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<sst xmlns="http://schemas.openxmlformats.org/spreadsheetml/2006/main" count="3247" uniqueCount="1217">
  <si>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</si>
  <si>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</si>
  <si>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</si>
  <si>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</si>
  <si>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</si>
  <si>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</si>
  <si>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</si>
  <si>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</si>
  <si>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</si>
  <si>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</si>
  <si>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</si>
  <si>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4</t>
  </si>
  <si>
    <t>_</t>
  </si>
  <si>
    <t>интересоваться</t>
  </si>
  <si>
    <t>Некоторое время я интересовался эффектом плацебо , что может показаться странным увлечением для фокусника .</t>
  </si>
  <si>
    <t>file://conllu/ru/teddy-1132.conllu#s1_0</t>
  </si>
  <si>
    <t>2</t>
  </si>
  <si>
    <t>Пока?</t>
  </si>
  <si>
    <t>задуматься</t>
  </si>
  <si>
    <t>Пока вы не задумаетесь об этом так , как сделал я .</t>
  </si>
  <si>
    <t>file://conllu/ru/teddy-1132.conllu#s2_0</t>
  </si>
  <si>
    <t>3</t>
  </si>
  <si>
    <t>а</t>
  </si>
  <si>
    <t>А именно : &amp;quot; как что-то фальшивое силой чьей-то веры превращается в реальность ? &amp;quot;</t>
  </si>
  <si>
    <t>file://conllu/ru/teddy-1132.conllu#s3_0</t>
  </si>
  <si>
    <t>9</t>
  </si>
  <si>
    <t>Потому?</t>
  </si>
  <si>
    <t>иметь</t>
  </si>
  <si>
    <t>Иначе говоря , сахарные таблетки в определенных исследованиях имеют вполне измеримое действие эффект плацебо просто потому , что человек думает , что происходящее с ним – результат действия лекарства или чего-то подобного .</t>
  </si>
  <si>
    <t>file://conllu/ru/teddy-1132.conllu#s4_0</t>
  </si>
  <si>
    <t>5</t>
  </si>
  <si>
    <t>13</t>
  </si>
  <si>
    <t>наблюдать</t>
  </si>
  <si>
    <t>Например , при утолении боли , если достаточно верить , в теле наблюдается ощутимый эффект , так называемый эффект плацебо .</t>
  </si>
  <si>
    <t>file://conllu/ru/teddy-1132.conllu#s5_0</t>
  </si>
  <si>
    <t>6</t>
  </si>
  <si>
    <t>становиться</t>
  </si>
  <si>
    <t>Что-то фальшивое становится чем-то реальным благодаря чьему-то восприятию .</t>
  </si>
  <si>
    <t>file://conllu/ru/teddy-1132.conllu#s6_0</t>
  </si>
  <si>
    <t>7</t>
  </si>
  <si>
    <t>хотеть</t>
  </si>
  <si>
    <t>Для того , чтобы мы с вами понимали друг друга , я хочу показать вам элементарный , простейший фокус .</t>
  </si>
  <si>
    <t>file://conllu/ru/teddy-1132.conllu#s7_0</t>
  </si>
  <si>
    <t>8</t>
  </si>
  <si>
    <t>показать</t>
  </si>
  <si>
    <t>И я покажу вам , как он работает .</t>
  </si>
  <si>
    <t>file://conllu/ru/teddy-1132.conllu#s8_0</t>
  </si>
  <si>
    <t>фокус</t>
  </si>
  <si>
    <t>Это фокус , который есть в любой детской книге фокусов , по меньшей мере с 1950х годов .</t>
  </si>
  <si>
    <t>file://conllu/ru/teddy-1132.conllu#s9_0</t>
  </si>
  <si>
    <t>10</t>
  </si>
  <si>
    <t>научиться</t>
  </si>
  <si>
    <t>Лично я научился ему по книге фокусов для младших скаутов в 1970х .</t>
  </si>
  <si>
    <t>file://conllu/ru/teddy-1132.conllu#s10_0</t>
  </si>
  <si>
    <t>11</t>
  </si>
  <si>
    <t>Я покажу его вам , а потом объясню .</t>
  </si>
  <si>
    <t>file://conllu/ru/teddy-1132.conllu#s11_0</t>
  </si>
  <si>
    <t>12</t>
  </si>
  <si>
    <t>объяснить (объяснить объяснить)</t>
  </si>
  <si>
    <t>А потом я объясню , почему я объяснил его .</t>
  </si>
  <si>
    <t>file://conllu/ru/teddy-1132.conllu#s12_0</t>
  </si>
  <si>
    <t>Итак?</t>
  </si>
  <si>
    <t>происходить</t>
  </si>
  <si>
    <t>Итак , вот что происходит .</t>
  </si>
  <si>
    <t>file://conllu/ru/teddy-1132.conllu#s13_0</t>
  </si>
  <si>
    <t>14</t>
  </si>
  <si>
    <t>смотреть</t>
  </si>
  <si>
    <t>Смотрите : вот нож , а вот моя рука .</t>
  </si>
  <si>
    <t>file://conllu/ru/teddy-1132.conllu#s14_0</t>
  </si>
  <si>
    <t>15</t>
  </si>
  <si>
    <t>зажм</t>
  </si>
  <si>
    <t>Я просто зажму нож в кулаке , вот так .</t>
  </si>
  <si>
    <t>file://conllu/ru/teddy-1132.conllu#s15_0</t>
  </si>
  <si>
    <t>16</t>
  </si>
  <si>
    <t>закатать</t>
  </si>
  <si>
    <t>Я закатаю рукав .</t>
  </si>
  <si>
    <t>file://conllu/ru/teddy-1132.conllu#s16_0</t>
  </si>
  <si>
    <t>17</t>
  </si>
  <si>
    <t>Чтоб?</t>
  </si>
  <si>
    <t>то</t>
  </si>
  <si>
    <t>И для того , чтоб вы убедились , что в рукаве ничего нет , я обхвачу запястье вот здесь .</t>
  </si>
  <si>
    <t>file://conllu/ru/teddy-1132.conllu#s17_0</t>
  </si>
  <si>
    <t>18</t>
  </si>
  <si>
    <t>пройти</t>
  </si>
  <si>
    <t>Как видите , здесь ничего не пройдет , пока я сжимаю его .</t>
  </si>
  <si>
    <t>file://conllu/ru/teddy-1132.conllu#s18_0</t>
  </si>
  <si>
    <t>19</t>
  </si>
  <si>
    <t>скользить</t>
  </si>
  <si>
    <t>У меня по рукаву ничего не скользит .</t>
  </si>
  <si>
    <t>file://conllu/ru/teddy-1132.conllu#s19_0</t>
  </si>
  <si>
    <t>20</t>
  </si>
  <si>
    <t>простой</t>
  </si>
  <si>
    <t>Фокус достаточно прост .</t>
  </si>
  <si>
    <t>file://conllu/ru/teddy-1132.conllu#s20_0</t>
  </si>
  <si>
    <t>21</t>
  </si>
  <si>
    <t>раскрый</t>
  </si>
  <si>
    <t>Сейчас я раскрою руку , и , если фокус получится , мой чистый животный магнетизм удержит нож .</t>
  </si>
  <si>
    <t>file://conllu/ru/teddy-1132.conllu#s21_0</t>
  </si>
  <si>
    <t>22</t>
  </si>
  <si>
    <t>держаться</t>
  </si>
  <si>
    <t>На самом деле , он так прочно держится , что я могу потрясти рукой , и нож не упадет .</t>
  </si>
  <si>
    <t>file://conllu/ru/teddy-1132.conllu#s22_0</t>
  </si>
  <si>
    <t>23</t>
  </si>
  <si>
    <t>спрятать</t>
  </si>
  <si>
    <t>У меня в рукавах ничего не спрятано , никаких уловок .</t>
  </si>
  <si>
    <t>file://conllu/ru/teddy-1132.conllu#s23_0</t>
  </si>
  <si>
    <t>24</t>
  </si>
  <si>
    <t>мочь</t>
  </si>
  <si>
    <t>Вы можете все проверить .</t>
  </si>
  <si>
    <t>file://conllu/ru/teddy-1132.conllu#s24_0</t>
  </si>
  <si>
    <t>25</t>
  </si>
  <si>
    <t>Оп-ль</t>
  </si>
  <si>
    <t>Оп-ля !</t>
  </si>
  <si>
    <t>file://conllu/ru/teddy-1132.conllu#s25_0</t>
  </si>
  <si>
    <t>26</t>
  </si>
  <si>
    <t>аплодисменты</t>
  </si>
  <si>
    <t>( Аплодисменты ) Итак , этот фокус , которому я часто обучаю малышей , интересующихся магией , может помочь узнать многое об обмане , хотя методологически он очень прост .</t>
  </si>
  <si>
    <t>file://conllu/ru/teddy-1132.conllu#s26_0</t>
  </si>
  <si>
    <t>27</t>
  </si>
  <si>
    <t>известный</t>
  </si>
  <si>
    <t>Вероятно , многим из вас известен этот фокус .</t>
  </si>
  <si>
    <t>file://conllu/ru/teddy-1132.conllu#s27_0</t>
  </si>
  <si>
    <t>28</t>
  </si>
  <si>
    <t>Вот что происходит .</t>
  </si>
  <si>
    <t>file://conllu/ru/teddy-1132.conllu#s28_0</t>
  </si>
  <si>
    <t>29</t>
  </si>
  <si>
    <t>держать</t>
  </si>
  <si>
    <t>Я держу нож в руке .</t>
  </si>
  <si>
    <t>file://conllu/ru/teddy-1132.conllu#s29_0</t>
  </si>
  <si>
    <t>30</t>
  </si>
  <si>
    <t>говорить</t>
  </si>
  <si>
    <t>Я говорю , что обхвачу запястье для того , чтобы доказать , что в рукаве у меня ничего нет , что на самом деле ложь .</t>
  </si>
  <si>
    <t>file://conllu/ru/teddy-1132.conllu#s30_0</t>
  </si>
  <si>
    <t>31</t>
  </si>
  <si>
    <t>Я держу свое запястье потому , что это и есть секрет иллюзии .</t>
  </si>
  <si>
    <t>file://conllu/ru/teddy-1132.conllu#s31_0</t>
  </si>
  <si>
    <t>32</t>
  </si>
  <si>
    <t>сдвигаться</t>
  </si>
  <si>
    <t>В то мгновение , когда я , показав вам свою руку , поворачиваю её к вам тыльной стороной , мой указательный палец сдвигается отсюда вот в такое положение .</t>
  </si>
  <si>
    <t>file://conllu/ru/teddy-1132.conllu#s32_0</t>
  </si>
  <si>
    <t>33</t>
  </si>
  <si>
    <t>зал</t>
  </si>
  <si>
    <t>( Из зала ) : &amp;quot; Ловко &amp;quot; .</t>
  </si>
  <si>
    <t>file://conllu/ru/teddy-1132.conllu#s33_0</t>
  </si>
  <si>
    <t>34</t>
  </si>
  <si>
    <t>быть</t>
  </si>
  <si>
    <t>Похоже , там у кого-то не было детства .</t>
  </si>
  <si>
    <t>file://conllu/ru/teddy-1132.conllu#s34_0</t>
  </si>
  <si>
    <t>35</t>
  </si>
  <si>
    <t>двигаться</t>
  </si>
  <si>
    <t>( Смех ) Итак , он движется вот таким образом .</t>
  </si>
  <si>
    <t>file://conllu/ru/teddy-1132.conllu#s35_0</t>
  </si>
  <si>
    <t>36</t>
  </si>
  <si>
    <t>скрываться</t>
  </si>
  <si>
    <t>Когда я поворачиваюсь , мой палец скрывается .</t>
  </si>
  <si>
    <t>file://conllu/ru/teddy-1132.conllu#s36_0</t>
  </si>
  <si>
    <t>37</t>
  </si>
  <si>
    <t>И мы могли бы поговорить о том , почему же это обман , почему вы не замечаете , что здесь только три пальца , потому что разум , обрабатывая информацию , не считает пальцы .</t>
  </si>
  <si>
    <t>file://conllu/ru/teddy-1132.conllu#s37_0</t>
  </si>
  <si>
    <t>38</t>
  </si>
  <si>
    <t>группировать</t>
  </si>
  <si>
    <t>Он их группирует .</t>
  </si>
  <si>
    <t>file://conllu/ru/teddy-1132.conllu#s38_0</t>
  </si>
  <si>
    <t>39</t>
  </si>
  <si>
    <t>правда</t>
  </si>
  <si>
    <t>Но ведь не в этом дело , не правда ли ?</t>
  </si>
  <si>
    <t>file://conllu/ru/teddy-1132.conllu#s39_0</t>
  </si>
  <si>
    <t>40</t>
  </si>
  <si>
    <t>раскрывавать</t>
  </si>
  <si>
    <t>И потом я раскрываю руку .</t>
  </si>
  <si>
    <t>file://conllu/ru/teddy-1132.conllu#s40_0</t>
  </si>
  <si>
    <t>41</t>
  </si>
  <si>
    <t>видеть (видеть держаться)</t>
  </si>
  <si>
    <t>Как видите , он держится вовсе не животным магнетизмом , а всего лишь обманом с помощью указательного пальца .</t>
  </si>
  <si>
    <t>file://conllu/ru/teddy-1132.conllu#s41_0</t>
  </si>
  <si>
    <t>42</t>
  </si>
  <si>
    <t>скрывать</t>
  </si>
  <si>
    <t>И потом , таким же образом , поворачиваясь назад , я скрываю обратное движение моего пальца .</t>
  </si>
  <si>
    <t>file://conllu/ru/teddy-1132.conllu#s42_0</t>
  </si>
  <si>
    <t>43</t>
  </si>
  <si>
    <t>убирать</t>
  </si>
  <si>
    <t>Я убираю эту руку .</t>
  </si>
  <si>
    <t>file://conllu/ru/teddy-1132.conllu#s43_0</t>
  </si>
  <si>
    <t>44</t>
  </si>
  <si>
    <t>видеть</t>
  </si>
  <si>
    <t>Вы видите нож .</t>
  </si>
  <si>
    <t>file://conllu/ru/teddy-1132.conllu#s44_0</t>
  </si>
  <si>
    <t>45</t>
  </si>
  <si>
    <t>Вы можете показать этот фокус своим друзьям и соседям .</t>
  </si>
  <si>
    <t>file://conllu/ru/teddy-1132.conllu#s45_0</t>
  </si>
  <si>
    <t>46</t>
  </si>
  <si>
    <t>спасибо</t>
  </si>
  <si>
    <t>Спасибо .</t>
  </si>
  <si>
    <t>file://conllu/ru/teddy-1132.conllu#s46_0</t>
  </si>
  <si>
    <t>47</t>
  </si>
  <si>
    <t>спросить</t>
  </si>
  <si>
    <t>А теперь , ( смех ) вы спросите , как это связано с эффектом плацебо ?</t>
  </si>
  <si>
    <t>file://conllu/ru/teddy-1132.conllu#s47_0</t>
  </si>
  <si>
    <t>48</t>
  </si>
  <si>
    <t>прочести</t>
  </si>
  <si>
    <t>Около года назад я прочёл научную статью , которая буквально перевернула моё мировоззрение Я не врач и не учёный , поэтому для меня это стало поразительным открытием .</t>
  </si>
  <si>
    <t>file://conllu/ru/teddy-1132.conllu#s48_0</t>
  </si>
  <si>
    <t>49</t>
  </si>
  <si>
    <t>Оказывается , если вы облечете плацебо в форму белой таблетки , напоминающей аспирин , то эта круглая таблетка сможет вызвать определенный эффект .</t>
  </si>
  <si>
    <t>file://conllu/ru/teddy-1132.conllu#s49_0</t>
  </si>
  <si>
    <t>50</t>
  </si>
  <si>
    <t>изменить</t>
  </si>
  <si>
    <t>Но если вы измените форму , которую вы придаете плацебо , например , сделаете пилюлю меньше , покрасите её в синий цвет и поставите на ней букву , это окажется еще более эффективным .</t>
  </si>
  <si>
    <t>file://conllu/ru/teddy-1132.conllu#s50_0</t>
  </si>
  <si>
    <t>51</t>
  </si>
  <si>
    <t>пилюля</t>
  </si>
  <si>
    <t>Несмотря на то , что ни одна из этих вещей не имеет никакого лечебного эффекта это всего лишь сахарные пилюли .</t>
  </si>
  <si>
    <t>file://conllu/ru/teddy-1132.conllu#s51_0</t>
  </si>
  <si>
    <t>52</t>
  </si>
  <si>
    <t>действенный</t>
  </si>
  <si>
    <t>Но белая пилюля не так действенна , как голубая .</t>
  </si>
  <si>
    <t>file://conllu/ru/teddy-1132.conllu#s52_0</t>
  </si>
  <si>
    <t>53</t>
  </si>
  <si>
    <t>что</t>
  </si>
  <si>
    <t>Что ?</t>
  </si>
  <si>
    <t>file://conllu/ru/teddy-1132.conllu#s53_0</t>
  </si>
  <si>
    <t>54</t>
  </si>
  <si>
    <t>потрясти</t>
  </si>
  <si>
    <t>( Смех ) Это на самом деле потрясло меня .</t>
  </si>
  <si>
    <t>file://conllu/ru/teddy-1132.conllu#s54_0</t>
  </si>
  <si>
    <t>55</t>
  </si>
  <si>
    <t>предел</t>
  </si>
  <si>
    <t>Оказывается , это еще не предел .</t>
  </si>
  <si>
    <t>file://conllu/ru/teddy-1132.conllu#s55_0</t>
  </si>
  <si>
    <t>56</t>
  </si>
  <si>
    <t>эффективный</t>
  </si>
  <si>
    <t>Если у вас есть капсулы , они более эффективны , чем таблетки любой формы .</t>
  </si>
  <si>
    <t>file://conllu/ru/teddy-1132.conllu#s56_0</t>
  </si>
  <si>
    <t>57</t>
  </si>
  <si>
    <t>капсул</t>
  </si>
  <si>
    <t>Цветная капсула , желтая с одной стороны и красная с другой лучше , чем белая капсула .</t>
  </si>
  <si>
    <t>file://conllu/ru/teddy-1132.conllu#s57_0</t>
  </si>
  <si>
    <t>58</t>
  </si>
  <si>
    <t>важный</t>
  </si>
  <si>
    <t>Здесь также важна дозировка Одна пилюля дважды в день не так действенно , как три пилюли Я не помню точные данные .</t>
  </si>
  <si>
    <t>file://conllu/ru/teddy-1132.conllu#s58_0</t>
  </si>
  <si>
    <t>59</t>
  </si>
  <si>
    <t>простить</t>
  </si>
  <si>
    <t>Простите .</t>
  </si>
  <si>
    <t>file://conllu/ru/teddy-1132.conllu#s59_0</t>
  </si>
  <si>
    <t>60</t>
  </si>
  <si>
    <t>Но суть вот в чем . . .</t>
  </si>
  <si>
    <t>file://conllu/ru/teddy-1132.conllu#s60_0</t>
  </si>
  <si>
    <t>61</t>
  </si>
  <si>
    <t>Смех)..</t>
  </si>
  <si>
    <t>( Смех)..</t>
  </si>
  <si>
    <t>file://conllu/ru/teddy-1132.conllu#s61_0</t>
  </si>
  <si>
    <t>62</t>
  </si>
  <si>
    <t>.</t>
  </si>
  <si>
    <t>file://conllu/ru/teddy-1132.conllu#s62_0</t>
  </si>
  <si>
    <t>63</t>
  </si>
  <si>
    <t>влиять</t>
  </si>
  <si>
    <t>дозировки как-то влияют на эффект , и форма тоже имеет значение .</t>
  </si>
  <si>
    <t>file://conllu/ru/teddy-1132.conllu#s63_0</t>
  </si>
  <si>
    <t>64</t>
  </si>
  <si>
    <t>Однако?</t>
  </si>
  <si>
    <t>это (это игнуть)</t>
  </si>
  <si>
    <t>Однако , самое действенное плацебо это игла .</t>
  </si>
  <si>
    <t>file://conllu/ru/teddy-1132.conllu#s64_0</t>
  </si>
  <si>
    <t>65</t>
  </si>
  <si>
    <t>так</t>
  </si>
  <si>
    <t>Так ?</t>
  </si>
  <si>
    <t>file://conllu/ru/teddy-1132.conllu#s65_0</t>
  </si>
  <si>
    <t>66</t>
  </si>
  <si>
    <t>вводить</t>
  </si>
  <si>
    <t>Шприц с какой-либо жидкостью парой кубиков какого-нибудь физраствора , вводят пациенту . . .</t>
  </si>
  <si>
    <t>file://conllu/ru/teddy-1132.conllu#s66_0</t>
  </si>
  <si>
    <t>67</t>
  </si>
  <si>
    <t>И это так сильно влияет на него , намного сильнее , чем белая пилюля .</t>
  </si>
  <si>
    <t>file://conllu/ru/teddy-1132.conllu#s67_0</t>
  </si>
  <si>
    <t>68</t>
  </si>
  <si>
    <t>Эти данные есть на графике , который я покажу вам , когда у нас будут слайды .</t>
  </si>
  <si>
    <t>file://conllu/ru/teddy-1132.conllu#s68_0</t>
  </si>
  <si>
    <t>69</t>
  </si>
  <si>
    <t>Суть в том , что белая пилюля менее действенна , чем синяя , синяя менее действенна , чем капсула , а капсула чем игла .</t>
  </si>
  <si>
    <t>file://conllu/ru/teddy-1132.conllu#s69_0</t>
  </si>
  <si>
    <t>70</t>
  </si>
  <si>
    <t>лечить</t>
  </si>
  <si>
    <t>Ничего из этого на самом деле не лечит .</t>
  </si>
  <si>
    <t>file://conllu/ru/teddy-1132.conllu#s70_0</t>
  </si>
  <si>
    <t>71</t>
  </si>
  <si>
    <t>Вас лечит только вера в результат .</t>
  </si>
  <si>
    <t>file://conllu/ru/teddy-1132.conllu#s71_0</t>
  </si>
  <si>
    <t>72</t>
  </si>
  <si>
    <t>Именно она влияет на тело .</t>
  </si>
  <si>
    <t>file://conllu/ru/teddy-1132.conllu#s72_0</t>
  </si>
  <si>
    <t>73</t>
  </si>
  <si>
    <t>захотеть</t>
  </si>
  <si>
    <t>Мне захотелось узнать , смогу ли я превратить эту идею в фокус , и сделать что-нибудь явно ненастоящее похожим на правду .</t>
  </si>
  <si>
    <t>file://conllu/ru/teddy-1132.conllu#s73_0</t>
  </si>
  <si>
    <t>74</t>
  </si>
  <si>
    <t>В научной статье говорится , что наиболее правдоподобный предмет это игла .</t>
  </si>
  <si>
    <t>file://conllu/ru/teddy-1132.conllu#s74_0</t>
  </si>
  <si>
    <t>75</t>
  </si>
  <si>
    <t>вы</t>
  </si>
  <si>
    <t>Перед вами двадцатисантиметровая шпилька .</t>
  </si>
  <si>
    <t>file://conllu/ru/teddy-1132.conllu#s75_0</t>
  </si>
  <si>
    <t>76</t>
  </si>
  <si>
    <t>острый</t>
  </si>
  <si>
    <t>Она очень очень острая .</t>
  </si>
  <si>
    <t>file://conllu/ru/teddy-1132.conllu#s76_0</t>
  </si>
  <si>
    <t>77</t>
  </si>
  <si>
    <t>стерилизовать</t>
  </si>
  <si>
    <t>Сейчас я ее немного простерилизую .</t>
  </si>
  <si>
    <t>file://conllu/ru/teddy-1132.conllu#s77_0</t>
  </si>
  <si>
    <t>78</t>
  </si>
  <si>
    <t>рука</t>
  </si>
  <si>
    <t>Это действительно моя рука .</t>
  </si>
  <si>
    <t>file://conllu/ru/teddy-1132.conllu#s78_0</t>
  </si>
  <si>
    <t>79</t>
  </si>
  <si>
    <t>орган</t>
  </si>
  <si>
    <t>Это не искусственно выращенный орган от Дамиана .</t>
  </si>
  <si>
    <t>file://conllu/ru/teddy-1132.conllu#s79_0</t>
  </si>
  <si>
    <t>80</t>
  </si>
  <si>
    <t>кожа</t>
  </si>
  <si>
    <t>Это моя кожа .</t>
  </si>
  <si>
    <t>file://conllu/ru/teddy-1132.conllu#s80_0</t>
  </si>
  <si>
    <t>81</t>
  </si>
  <si>
    <t>спецэффект</t>
  </si>
  <si>
    <t>Никаких голливудских спецэффектов .</t>
  </si>
  <si>
    <t>file://conllu/ru/teddy-1132.conllu#s81_0</t>
  </si>
  <si>
    <t>82</t>
  </si>
  <si>
    <t>проколть</t>
  </si>
  <si>
    <t>Сейчас я проколю свою кожу и проткну ее насквозь этой иглой .</t>
  </si>
  <si>
    <t>file://conllu/ru/teddy-1132.conllu#s82_0</t>
  </si>
  <si>
    <t>83</t>
  </si>
  <si>
    <t>показывать</t>
  </si>
  <si>
    <t>Если вам не по себе ( Смех ) , если вам дурно от вида крови – я показывал это своим друзьям и другим людям в гостинице вчера вечером , и одна женщина чуть не упала в обморок .</t>
  </si>
  <si>
    <t>file://conllu/ru/teddy-1132.conllu#s83_0</t>
  </si>
  <si>
    <t>84</t>
  </si>
  <si>
    <t>смотреть (смотреть предлагать)</t>
  </si>
  <si>
    <t>Поэтому , я предлагаю особо чувствительным натурам пол минутки посмотреть в сторону .</t>
  </si>
  <si>
    <t>file://conllu/ru/teddy-1132.conllu#s84_0</t>
  </si>
  <si>
    <t>85</t>
  </si>
  <si>
    <t>сделать</t>
  </si>
  <si>
    <t>Хотя , знаете что , первую , страшную , часть фокуса я сделаю отвернувшись .</t>
  </si>
  <si>
    <t>file://conllu/ru/teddy-1132.conllu#s85_0</t>
  </si>
  <si>
    <t>86</t>
  </si>
  <si>
    <t>Вам будет видно , можете тоже отвернуться , если хотите .</t>
  </si>
  <si>
    <t>file://conllu/ru/teddy-1132.conllu#s86_0</t>
  </si>
  <si>
    <t>87</t>
  </si>
  <si>
    <t>Итак , вот что происходит , вот здесь , на поверхности моей кожи , в нижней части руки я делаю небольшой прокол .</t>
  </si>
  <si>
    <t>file://conllu/ru/teddy-1132.conllu#s87_0</t>
  </si>
  <si>
    <t>88</t>
  </si>
  <si>
    <t>прость</t>
  </si>
  <si>
    <t>Прости , дружище .</t>
  </si>
  <si>
    <t>file://conllu/ru/teddy-1132.conllu#s88_0</t>
  </si>
  <si>
    <t>89</t>
  </si>
  <si>
    <t>пугать</t>
  </si>
  <si>
    <t>Я тебя пугаю ?</t>
  </si>
  <si>
    <t>file://conllu/ru/teddy-1132.conllu#s89_0</t>
  </si>
  <si>
    <t>90</t>
  </si>
  <si>
    <t>протыкать</t>
  </si>
  <si>
    <t>А затем я протыкаю кожу насквозь , и вот она уже видна с другой стороны .</t>
  </si>
  <si>
    <t>file://conllu/ru/teddy-1132.conllu#s90_0</t>
  </si>
  <si>
    <t>91</t>
  </si>
  <si>
    <t>находиться</t>
  </si>
  <si>
    <t>Теперь мы находимся в такой же ситуации , как в трюке с ножом .</t>
  </si>
  <si>
    <t>file://conllu/ru/teddy-1132.conllu#s91_0</t>
  </si>
  <si>
    <t>92</t>
  </si>
  <si>
    <t>почти</t>
  </si>
  <si>
    <t>Почти .</t>
  </si>
  <si>
    <t>file://conllu/ru/teddy-1132.conllu#s92_0</t>
  </si>
  <si>
    <t>93</t>
  </si>
  <si>
    <t>Но сейчас вы не можете сосчитать мои пальцы , не так ли ?</t>
  </si>
  <si>
    <t>file://conllu/ru/teddy-1132.conllu#s93_0</t>
  </si>
  <si>
    <t>94</t>
  </si>
  <si>
    <t>показывать (показывать позволить)</t>
  </si>
  <si>
    <t>Поэтому , позвольте мне показать их вам .</t>
  </si>
  <si>
    <t>file://conllu/ru/teddy-1132.conllu#s94_0</t>
  </si>
  <si>
    <t>95</t>
  </si>
  <si>
    <t>один</t>
  </si>
  <si>
    <t>Один , два , три , четыре , пять .</t>
  </si>
  <si>
    <t>file://conllu/ru/teddy-1132.conllu#s95_0</t>
  </si>
  <si>
    <t>96</t>
  </si>
  <si>
    <t>вот</t>
  </si>
  <si>
    <t>Вот , но . . .</t>
  </si>
  <si>
    <t>file://conllu/ru/teddy-1132.conllu#s96_0</t>
  </si>
  <si>
    <t>97</t>
  </si>
  <si>
    <t>думать (думать знать)</t>
  </si>
  <si>
    <t>Я знаю , что думают люди , глядя на это .</t>
  </si>
  <si>
    <t>file://conllu/ru/teddy-1132.conllu#s97_0</t>
  </si>
  <si>
    <t>98</t>
  </si>
  <si>
    <t>думать</t>
  </si>
  <si>
    <t>Они думают : &amp;quot; Ну , он же не настолько глуп , чтобы проткнуть себе кожу ради нашего минутного веселья &amp;quot; .</t>
  </si>
  <si>
    <t>file://conllu/ru/teddy-1132.conllu#s98_0</t>
  </si>
  <si>
    <t>99</t>
  </si>
  <si>
    <t>позволить</t>
  </si>
  <si>
    <t>Поэтому , позвольте мне кое-что вам показать .</t>
  </si>
  <si>
    <t>file://conllu/ru/teddy-1132.conllu#s99_0</t>
  </si>
  <si>
    <t>100</t>
  </si>
  <si>
    <t>смотреться</t>
  </si>
  <si>
    <t>Ну , как смотрится ?</t>
  </si>
  <si>
    <t>file://conllu/ru/teddy-1132.conllu#s100_0</t>
  </si>
  <si>
    <t>101</t>
  </si>
  <si>
    <t>неплохой</t>
  </si>
  <si>
    <t>Очень неплохо .</t>
  </si>
  <si>
    <t>file://conllu/ru/teddy-1132.conllu#s101_0</t>
  </si>
  <si>
    <t>102</t>
  </si>
  <si>
    <t>да</t>
  </si>
  <si>
    <t>( Смеется ) Да , знаю .</t>
  </si>
  <si>
    <t>file://conllu/ru/teddy-1132.conllu#s102_0</t>
  </si>
  <si>
    <t>103</t>
  </si>
  <si>
    <t>смеяться (смеяться сказать)</t>
  </si>
  <si>
    <t>( Смеется ) Сидящие на задних рядах скажут , что им не видно .</t>
  </si>
  <si>
    <t>file://conllu/ru/teddy-1132.conllu#s103_0</t>
  </si>
  <si>
    <t>104</t>
  </si>
  <si>
    <t>придвинуться</t>
  </si>
  <si>
    <t>Люди в операторской сейчас придвинулись ближе , всматриваясь .</t>
  </si>
  <si>
    <t>file://conllu/ru/teddy-1132.conllu#s104_0</t>
  </si>
  <si>
    <t>105</t>
  </si>
  <si>
    <t>Позвольте показать вам это поближе .</t>
  </si>
  <si>
    <t>file://conllu/ru/teddy-1132.conllu#s105_0</t>
  </si>
  <si>
    <t>106</t>
  </si>
  <si>
    <t>Это правда моя кожа .</t>
  </si>
  <si>
    <t>file://conllu/ru/teddy-1132.conllu#s106_0</t>
  </si>
  <si>
    <t>107</t>
  </si>
  <si>
    <t>трюк</t>
  </si>
  <si>
    <t>Это не голливудский трюк .</t>
  </si>
  <si>
    <t>file://conllu/ru/teddy-1132.conllu#s107_0</t>
  </si>
  <si>
    <t>108</t>
  </si>
  <si>
    <t>плоть</t>
  </si>
  <si>
    <t>Это моя плоть , я могу прокрутить иглу .</t>
  </si>
  <si>
    <t>file://conllu/ru/teddy-1132.conllu#s108_0</t>
  </si>
  <si>
    <t>109</t>
  </si>
  <si>
    <t>file://conllu/ru/teddy-1132.conllu#s109_0</t>
  </si>
  <si>
    <t>110</t>
  </si>
  <si>
    <t>Если вас начинает тошнить , можете отвернуться , не смотрите на это .</t>
  </si>
  <si>
    <t>file://conllu/ru/teddy-1132.conllu#s110_0</t>
  </si>
  <si>
    <t>111</t>
  </si>
  <si>
    <t>сказать</t>
  </si>
  <si>
    <t>Люди с задних рядов или люди , которые посмотрят это видео , скажут : &amp;quot; Ну да , конечно , выглядит слишком аккуратно проделанным фокусом , но если бы это было на самом деле , если бы проколы были настоящими , из них текла бы кровь &amp;quot; .</t>
  </si>
  <si>
    <t>file://conllu/ru/teddy-1132.conllu#s111_0</t>
  </si>
  <si>
    <t>112</t>
  </si>
  <si>
    <t>Позвольте мне добыть для вас немного крови .</t>
  </si>
  <si>
    <t>file://conllu/ru/teddy-1132.conllu#s112_0</t>
  </si>
  <si>
    <t>113</t>
  </si>
  <si>
    <t>Вот она .</t>
  </si>
  <si>
    <t>file://conllu/ru/teddy-1132.conllu#s113_0</t>
  </si>
  <si>
    <t>114</t>
  </si>
  <si>
    <t>быть (быть должен)</t>
  </si>
  <si>
    <t>Естественно , я должен был бы сейчас вытащить иглу .</t>
  </si>
  <si>
    <t>file://conllu/ru/teddy-1132.conllu#s114_0</t>
  </si>
  <si>
    <t>115</t>
  </si>
  <si>
    <t>вытереть</t>
  </si>
  <si>
    <t>Я бы вытер руку и показал вам , что на ней нет никаких ран , но в данном случае , учитывая , что мы говорили о том , как что-то ненастоящее становится похожим на правду , я просто оставлю её там и уйду со сцены .</t>
  </si>
  <si>
    <t>file://conllu/ru/teddy-1132.conllu#s115_0</t>
  </si>
  <si>
    <t>116</t>
  </si>
  <si>
    <t>У нас будет еще несколько дней , чтобы увидеться .</t>
  </si>
  <si>
    <t>file://conllu/ru/teddy-1132.conllu#s116_0</t>
  </si>
  <si>
    <t>117</t>
  </si>
  <si>
    <t>ждать</t>
  </si>
  <si>
    <t>Надеюсь , вы будете с нетерпением ждать следующей встречи .</t>
  </si>
  <si>
    <t>file://conllu/ru/teddy-1132.conllu#s117_0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</si>
  <si>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</si>
  <si>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</si>
  <si>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</si>
  <si>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</si>
  <si>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</si>
  <si>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</si>
  <si>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</si>
  <si>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</si>
  <si>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</si>
  <si>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</si>
  <si>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</si>
  <si>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Некоторое время я интересовался эффектом плацебо, что может показаться странным увлечением для фокусника.</t>
  </si>
  <si>
    <t>Некоторое</t>
  </si>
  <si>
    <t>время</t>
  </si>
  <si>
    <t>other</t>
  </si>
  <si>
    <t>indef-np</t>
  </si>
  <si>
    <t>я</t>
  </si>
  <si>
    <t>SBJ</t>
  </si>
  <si>
    <t>pron</t>
  </si>
  <si>
    <t>?OLD</t>
  </si>
  <si>
    <t>интересовался</t>
  </si>
  <si>
    <t>эффектом</t>
  </si>
  <si>
    <t>плацебо</t>
  </si>
  <si>
    <t>,</t>
  </si>
  <si>
    <t>SBJ_2</t>
  </si>
  <si>
    <t>pron.pint</t>
  </si>
  <si>
    <t>может</t>
  </si>
  <si>
    <t>показаться</t>
  </si>
  <si>
    <t>странным</t>
  </si>
  <si>
    <t>увлечением</t>
  </si>
  <si>
    <t>для</t>
  </si>
  <si>
    <t>фокусника</t>
  </si>
  <si>
    <t># text = Пока вы не задумаетесь об этом так, как сделал я.</t>
  </si>
  <si>
    <t>Пока</t>
  </si>
  <si>
    <t>не</t>
  </si>
  <si>
    <t>задумаетесь</t>
  </si>
  <si>
    <t>об</t>
  </si>
  <si>
    <t>этом</t>
  </si>
  <si>
    <t>pron.pds</t>
  </si>
  <si>
    <t>как</t>
  </si>
  <si>
    <t>сделал</t>
  </si>
  <si>
    <t>--</t>
  </si>
  <si>
    <t># text = А именно: "как что-то фальшивое силой чьей-то веры превращается в реальность?"</t>
  </si>
  <si>
    <t>А</t>
  </si>
  <si>
    <t>именно</t>
  </si>
  <si>
    <t>:</t>
  </si>
  <si>
    <t>&amp;quot;</t>
  </si>
  <si>
    <t>что-то</t>
  </si>
  <si>
    <t>фальшивое</t>
  </si>
  <si>
    <t>силой</t>
  </si>
  <si>
    <t>чьей-то</t>
  </si>
  <si>
    <t>веры</t>
  </si>
  <si>
    <t>other_3</t>
  </si>
  <si>
    <t>превращается</t>
  </si>
  <si>
    <t>в</t>
  </si>
  <si>
    <t>реальность</t>
  </si>
  <si>
    <t>?</t>
  </si>
  <si>
    <t># text = Иначе говоря, сахарные таблетки в определенных исследованиях имеют вполне измеримое действие -- эффект плацебо -- просто потому, что человек думает, что происходящее с ним – результат действия лекарства или чего-то подобного.</t>
  </si>
  <si>
    <t>Иначе</t>
  </si>
  <si>
    <t>говоря</t>
  </si>
  <si>
    <t>сахарные</t>
  </si>
  <si>
    <t>таблетки</t>
  </si>
  <si>
    <t>OBJ</t>
  </si>
  <si>
    <t>определенных</t>
  </si>
  <si>
    <t>исследованиях</t>
  </si>
  <si>
    <t>имеют</t>
  </si>
  <si>
    <t>вполне</t>
  </si>
  <si>
    <t>измеримое</t>
  </si>
  <si>
    <t>действие</t>
  </si>
  <si>
    <t>эффект</t>
  </si>
  <si>
    <t>просто</t>
  </si>
  <si>
    <t>потому</t>
  </si>
  <si>
    <t>человек</t>
  </si>
  <si>
    <t>думает</t>
  </si>
  <si>
    <t>происходящее</t>
  </si>
  <si>
    <t>с</t>
  </si>
  <si>
    <t>ним</t>
  </si>
  <si>
    <t>–</t>
  </si>
  <si>
    <t>результат</t>
  </si>
  <si>
    <t>SBJ_3</t>
  </si>
  <si>
    <t>действия</t>
  </si>
  <si>
    <t>лекарства</t>
  </si>
  <si>
    <t>или</t>
  </si>
  <si>
    <t>чего-то</t>
  </si>
  <si>
    <t>other_4</t>
  </si>
  <si>
    <t>подобного</t>
  </si>
  <si>
    <t># text = Например, при утолении боли, если достаточно верить, в теле наблюдается ощутимый эффект, так называемый эффект плацебо.</t>
  </si>
  <si>
    <t>Например</t>
  </si>
  <si>
    <t>при</t>
  </si>
  <si>
    <t>утолении</t>
  </si>
  <si>
    <t>боли</t>
  </si>
  <si>
    <t>если</t>
  </si>
  <si>
    <t>достаточно</t>
  </si>
  <si>
    <t>верить</t>
  </si>
  <si>
    <t>теле</t>
  </si>
  <si>
    <t>наблюдается</t>
  </si>
  <si>
    <t>ощутимый</t>
  </si>
  <si>
    <t>называемый</t>
  </si>
  <si>
    <t># text = Что-то фальшивое становится чем-то реальным благодаря чьему-то восприятию.</t>
  </si>
  <si>
    <t>Что-то</t>
  </si>
  <si>
    <t>становится</t>
  </si>
  <si>
    <t>чем-то</t>
  </si>
  <si>
    <t>реальным</t>
  </si>
  <si>
    <t>благодаря</t>
  </si>
  <si>
    <t>чьему-то</t>
  </si>
  <si>
    <t>восприятию</t>
  </si>
  <si>
    <t># text = Для того, чтобы мы с вами понимали друг друга, я хочу показать вам элементарный, простейший фокус.</t>
  </si>
  <si>
    <t>Для</t>
  </si>
  <si>
    <t>того</t>
  </si>
  <si>
    <t>чтобы</t>
  </si>
  <si>
    <t>мы</t>
  </si>
  <si>
    <t>вами</t>
  </si>
  <si>
    <t>понимали</t>
  </si>
  <si>
    <t>друг</t>
  </si>
  <si>
    <t>OBJ_3</t>
  </si>
  <si>
    <t>друга</t>
  </si>
  <si>
    <t>хочу</t>
  </si>
  <si>
    <t>вам</t>
  </si>
  <si>
    <t>OBJ_2</t>
  </si>
  <si>
    <t>элементарный</t>
  </si>
  <si>
    <t>простейший</t>
  </si>
  <si>
    <t># text = И я покажу вам, как он работает.</t>
  </si>
  <si>
    <t>И</t>
  </si>
  <si>
    <t>покажу</t>
  </si>
  <si>
    <t>он</t>
  </si>
  <si>
    <t>работает</t>
  </si>
  <si>
    <t># text = Это фокус, который есть в любой детской книге фокусов, по меньшей мере с 1950х годов.</t>
  </si>
  <si>
    <t>Это</t>
  </si>
  <si>
    <t>который</t>
  </si>
  <si>
    <t>есть</t>
  </si>
  <si>
    <t>любой</t>
  </si>
  <si>
    <t>детской</t>
  </si>
  <si>
    <t>книге</t>
  </si>
  <si>
    <t>фокусов</t>
  </si>
  <si>
    <t>по</t>
  </si>
  <si>
    <t>меньшей</t>
  </si>
  <si>
    <t>мере</t>
  </si>
  <si>
    <t>1950х</t>
  </si>
  <si>
    <t>годов</t>
  </si>
  <si>
    <t># text = Лично я научился ему по книге фокусов для младших скаутов в 1970х.</t>
  </si>
  <si>
    <t>Лично</t>
  </si>
  <si>
    <t>научился</t>
  </si>
  <si>
    <t>ему</t>
  </si>
  <si>
    <t>младших</t>
  </si>
  <si>
    <t>скаутов</t>
  </si>
  <si>
    <t>1970х</t>
  </si>
  <si>
    <t># text = Я покажу его вам, а потом объясню.</t>
  </si>
  <si>
    <t>Я</t>
  </si>
  <si>
    <t>его</t>
  </si>
  <si>
    <t>потом</t>
  </si>
  <si>
    <t>объясню</t>
  </si>
  <si>
    <t># text = А потом я объясню, почему я объяснил его.</t>
  </si>
  <si>
    <t>почему</t>
  </si>
  <si>
    <t>объяснил</t>
  </si>
  <si>
    <t># text = Итак, вот что происходит.</t>
  </si>
  <si>
    <t>Итак</t>
  </si>
  <si>
    <t>происходит</t>
  </si>
  <si>
    <t># text = Смотрите: вот нож, а вот моя рука.</t>
  </si>
  <si>
    <t>Смотрите</t>
  </si>
  <si>
    <t>нож</t>
  </si>
  <si>
    <t>моя</t>
  </si>
  <si>
    <t>pron.ppos</t>
  </si>
  <si>
    <t># text = Я просто зажму нож в кулаке, вот так.</t>
  </si>
  <si>
    <t>зажму</t>
  </si>
  <si>
    <t>кулаке</t>
  </si>
  <si>
    <t># text = Я закатаю рукав.</t>
  </si>
  <si>
    <t>закатаю</t>
  </si>
  <si>
    <t>рукав</t>
  </si>
  <si>
    <t># text = И для того, чтоб вы убедились, что в рукаве ничего нет, я обхвачу запястье вот здесь.</t>
  </si>
  <si>
    <t>чтоб</t>
  </si>
  <si>
    <t>убедились</t>
  </si>
  <si>
    <t>рукаве</t>
  </si>
  <si>
    <t>ничего</t>
  </si>
  <si>
    <t>SBJ_4</t>
  </si>
  <si>
    <t>pron.pind</t>
  </si>
  <si>
    <t>нет</t>
  </si>
  <si>
    <t>обхвачу</t>
  </si>
  <si>
    <t>запястье</t>
  </si>
  <si>
    <t>здесь</t>
  </si>
  <si>
    <t># text = Как видите, здесь ничего не пройдет, пока я сжимаю его.</t>
  </si>
  <si>
    <t>Как</t>
  </si>
  <si>
    <t>видите</t>
  </si>
  <si>
    <t>пройдет</t>
  </si>
  <si>
    <t>пока</t>
  </si>
  <si>
    <t>сжимаю</t>
  </si>
  <si>
    <t># text = У меня по рукаву ничего не скользит.</t>
  </si>
  <si>
    <t>У</t>
  </si>
  <si>
    <t>меня</t>
  </si>
  <si>
    <t>рукаву</t>
  </si>
  <si>
    <t>скользит</t>
  </si>
  <si>
    <t># text = Фокус достаточно прост.</t>
  </si>
  <si>
    <t>Фокус</t>
  </si>
  <si>
    <t>прост</t>
  </si>
  <si>
    <t># text = Сейчас я раскрою руку, и, если фокус получится, мой чистый животный магнетизм удержит нож.</t>
  </si>
  <si>
    <t>Сейчас</t>
  </si>
  <si>
    <t>раскрою</t>
  </si>
  <si>
    <t>руку</t>
  </si>
  <si>
    <t>и</t>
  </si>
  <si>
    <t>получится</t>
  </si>
  <si>
    <t>мой</t>
  </si>
  <si>
    <t>чистый</t>
  </si>
  <si>
    <t>животный</t>
  </si>
  <si>
    <t>магнетизм</t>
  </si>
  <si>
    <t>удержит</t>
  </si>
  <si>
    <t># text = На самом деле, он так прочно держится, что я могу потрясти рукой, и нож не упадет.</t>
  </si>
  <si>
    <t>На</t>
  </si>
  <si>
    <t>самом</t>
  </si>
  <si>
    <t>деле</t>
  </si>
  <si>
    <t>прочно</t>
  </si>
  <si>
    <t>держится</t>
  </si>
  <si>
    <t>могу</t>
  </si>
  <si>
    <t>рукой</t>
  </si>
  <si>
    <t>упадет</t>
  </si>
  <si>
    <t># text = У меня в рукавах ничего не спрятано, никаких уловок.</t>
  </si>
  <si>
    <t>рукавах</t>
  </si>
  <si>
    <t>спрятано</t>
  </si>
  <si>
    <t>никаких</t>
  </si>
  <si>
    <t>уловок</t>
  </si>
  <si>
    <t># text = Вы можете все проверить.</t>
  </si>
  <si>
    <t>Вы</t>
  </si>
  <si>
    <t>можете</t>
  </si>
  <si>
    <t>все</t>
  </si>
  <si>
    <t>проверить</t>
  </si>
  <si>
    <t># text = Оп-ля!</t>
  </si>
  <si>
    <t>Оп-ля</t>
  </si>
  <si>
    <t>!</t>
  </si>
  <si>
    <t># text = (Аплодисменты) Итак, этот фокус, которому я часто обучаю малышей, интересующихся магией, может помочь узнать многое об обмане, хотя методологически он очень прост.</t>
  </si>
  <si>
    <t>(</t>
  </si>
  <si>
    <t>Аплодисменты</t>
  </si>
  <si>
    <t>)</t>
  </si>
  <si>
    <t>этот</t>
  </si>
  <si>
    <t>def-np.dem</t>
  </si>
  <si>
    <t>которому</t>
  </si>
  <si>
    <t>OBJ_4</t>
  </si>
  <si>
    <t>часто</t>
  </si>
  <si>
    <t>обучаю</t>
  </si>
  <si>
    <t>малышей</t>
  </si>
  <si>
    <t>интересующихся</t>
  </si>
  <si>
    <t>магией</t>
  </si>
  <si>
    <t>помочь</t>
  </si>
  <si>
    <t>узнать</t>
  </si>
  <si>
    <t>многое</t>
  </si>
  <si>
    <t>обмане</t>
  </si>
  <si>
    <t>хотя</t>
  </si>
  <si>
    <t>методологически</t>
  </si>
  <si>
    <t>SBJ_5</t>
  </si>
  <si>
    <t>очень</t>
  </si>
  <si>
    <t># text = Вероятно, многим из вас известен этот фокус.</t>
  </si>
  <si>
    <t>Вероятно</t>
  </si>
  <si>
    <t>многим</t>
  </si>
  <si>
    <t>из</t>
  </si>
  <si>
    <t>вас</t>
  </si>
  <si>
    <t>other_2</t>
  </si>
  <si>
    <t>известен</t>
  </si>
  <si>
    <t># text = Вот что происходит.</t>
  </si>
  <si>
    <t>Вот</t>
  </si>
  <si>
    <t># text = Я держу нож в руке.</t>
  </si>
  <si>
    <t>держу</t>
  </si>
  <si>
    <t>руке</t>
  </si>
  <si>
    <t># text = Я говорю, что обхвачу запястье для того, чтобы доказать, что в рукаве у меня ничего нет, что на самом деле - ложь.</t>
  </si>
  <si>
    <t>говорю</t>
  </si>
  <si>
    <t>доказать</t>
  </si>
  <si>
    <t>у</t>
  </si>
  <si>
    <t>other_5</t>
  </si>
  <si>
    <t>SBJ_6</t>
  </si>
  <si>
    <t>на</t>
  </si>
  <si>
    <t>ложь</t>
  </si>
  <si>
    <t># text = Я держу свое запястье потому, что это и есть секрет иллюзии.</t>
  </si>
  <si>
    <t>свое</t>
  </si>
  <si>
    <t>это</t>
  </si>
  <si>
    <t>секрет</t>
  </si>
  <si>
    <t>иллюзии</t>
  </si>
  <si>
    <t># text = В то мгновение, когда я, показав вам свою руку, поворачиваю её к вам тыльной стороной, мой указательный палец сдвигается отсюда вот в такое положение.</t>
  </si>
  <si>
    <t>В</t>
  </si>
  <si>
    <t>мгновение</t>
  </si>
  <si>
    <t>когда</t>
  </si>
  <si>
    <t>показав</t>
  </si>
  <si>
    <t>свою</t>
  </si>
  <si>
    <t>поворачиваю</t>
  </si>
  <si>
    <t>её</t>
  </si>
  <si>
    <t>к</t>
  </si>
  <si>
    <t>тыльной</t>
  </si>
  <si>
    <t>стороной</t>
  </si>
  <si>
    <t>указательный</t>
  </si>
  <si>
    <t>палец</t>
  </si>
  <si>
    <t>сдвигается</t>
  </si>
  <si>
    <t>отсюда</t>
  </si>
  <si>
    <t>такое</t>
  </si>
  <si>
    <t>положение</t>
  </si>
  <si>
    <t># text = (Из зала): \"Ловко\".</t>
  </si>
  <si>
    <t>Из</t>
  </si>
  <si>
    <t>зала</t>
  </si>
  <si>
    <t>Ловко</t>
  </si>
  <si>
    <t># text = Похоже, там у кого-то не было детства.</t>
  </si>
  <si>
    <t>Похоже</t>
  </si>
  <si>
    <t>там</t>
  </si>
  <si>
    <t>кого-то</t>
  </si>
  <si>
    <t>было</t>
  </si>
  <si>
    <t>детства</t>
  </si>
  <si>
    <t># text = (Смех) Итак, он движется вот таким образом.</t>
  </si>
  <si>
    <t>Смех</t>
  </si>
  <si>
    <t>движется</t>
  </si>
  <si>
    <t>таким</t>
  </si>
  <si>
    <t>образом</t>
  </si>
  <si>
    <t># text = Когда я поворачиваюсь, мой палец скрывается.</t>
  </si>
  <si>
    <t>Когда</t>
  </si>
  <si>
    <t>поворачиваюсь</t>
  </si>
  <si>
    <t>скрывается</t>
  </si>
  <si>
    <t># text = И мы могли бы поговорить о том, почему же это обман, почему вы не замечаете, что здесь только три пальца, потому что разум, обрабатывая информацию, не считает пальцы.</t>
  </si>
  <si>
    <t>могли</t>
  </si>
  <si>
    <t>бы</t>
  </si>
  <si>
    <t>поговорить</t>
  </si>
  <si>
    <t>о</t>
  </si>
  <si>
    <t>том</t>
  </si>
  <si>
    <t>же</t>
  </si>
  <si>
    <t>обман</t>
  </si>
  <si>
    <t>замечаете</t>
  </si>
  <si>
    <t>только</t>
  </si>
  <si>
    <t>три</t>
  </si>
  <si>
    <t>пальца</t>
  </si>
  <si>
    <t>indef-np.quant</t>
  </si>
  <si>
    <t>разум</t>
  </si>
  <si>
    <t>обрабатывая</t>
  </si>
  <si>
    <t>информацию</t>
  </si>
  <si>
    <t>OBJ_7</t>
  </si>
  <si>
    <t>считает</t>
  </si>
  <si>
    <t>пальцы</t>
  </si>
  <si>
    <t>OBJ_6</t>
  </si>
  <si>
    <t># text = Он их группирует.</t>
  </si>
  <si>
    <t>Он</t>
  </si>
  <si>
    <t>их</t>
  </si>
  <si>
    <t>группирует</t>
  </si>
  <si>
    <t># text = Но ведь не в этом дело, не правда ли?</t>
  </si>
  <si>
    <t>Но</t>
  </si>
  <si>
    <t>ведь</t>
  </si>
  <si>
    <t>дело</t>
  </si>
  <si>
    <t>def-np.poss</t>
  </si>
  <si>
    <t>ли</t>
  </si>
  <si>
    <t># text = И потом я раскрываю руку.</t>
  </si>
  <si>
    <t>раскрываю</t>
  </si>
  <si>
    <t># text = Как видите, он держится вовсе не животным магнетизмом, а всего лишь обманом с помощью указательного пальца.</t>
  </si>
  <si>
    <t>вовсе</t>
  </si>
  <si>
    <t>животным</t>
  </si>
  <si>
    <t>магнетизмом</t>
  </si>
  <si>
    <t>всего</t>
  </si>
  <si>
    <t>лишь</t>
  </si>
  <si>
    <t>обманом</t>
  </si>
  <si>
    <t>помощью</t>
  </si>
  <si>
    <t>указательного</t>
  </si>
  <si>
    <t># text = И потом, таким же образом, поворачиваясь назад, я скрываю обратное движение моего пальца.</t>
  </si>
  <si>
    <t>поворачиваясь</t>
  </si>
  <si>
    <t>назад</t>
  </si>
  <si>
    <t>скрываю</t>
  </si>
  <si>
    <t>обратное</t>
  </si>
  <si>
    <t>движение</t>
  </si>
  <si>
    <t>моего</t>
  </si>
  <si>
    <t># text = Я убираю эту руку.</t>
  </si>
  <si>
    <t>убираю</t>
  </si>
  <si>
    <t>эту</t>
  </si>
  <si>
    <t># text = Вы видите нож.</t>
  </si>
  <si>
    <t># text = Вы можете показать этот фокус своим друзьям и соседям.</t>
  </si>
  <si>
    <t>своим</t>
  </si>
  <si>
    <t>друзьям</t>
  </si>
  <si>
    <t>соседям</t>
  </si>
  <si>
    <t># text = Спасибо.</t>
  </si>
  <si>
    <t>Спасибо</t>
  </si>
  <si>
    <t># text = А теперь, (смех) вы спросите, как это связано с эффектом плацебо?</t>
  </si>
  <si>
    <t>теперь</t>
  </si>
  <si>
    <t>смех</t>
  </si>
  <si>
    <t>спросите</t>
  </si>
  <si>
    <t>связано</t>
  </si>
  <si>
    <t># text = Около года назад я прочёл научную статью, которая буквально перевернула моё мировоззрение Я не врач и не учёный, поэтому для меня это стало поразительным открытием.</t>
  </si>
  <si>
    <t>Около</t>
  </si>
  <si>
    <t>года</t>
  </si>
  <si>
    <t>прочёл</t>
  </si>
  <si>
    <t>научную</t>
  </si>
  <si>
    <t>статью</t>
  </si>
  <si>
    <t>которая</t>
  </si>
  <si>
    <t>буквально</t>
  </si>
  <si>
    <t>перевернула</t>
  </si>
  <si>
    <t>моё</t>
  </si>
  <si>
    <t>мировоззрение</t>
  </si>
  <si>
    <t>врач</t>
  </si>
  <si>
    <t>учёный</t>
  </si>
  <si>
    <t>поэтому</t>
  </si>
  <si>
    <t>стало</t>
  </si>
  <si>
    <t>поразительным</t>
  </si>
  <si>
    <t>открытием</t>
  </si>
  <si>
    <t># text = Оказывается, если вы облечете плацебо в форму белой таблетки, напоминающей аспирин, то эта круглая таблетка сможет вызвать определенный эффект.</t>
  </si>
  <si>
    <t>Оказывается</t>
  </si>
  <si>
    <t>облечете</t>
  </si>
  <si>
    <t>форму</t>
  </si>
  <si>
    <t>белой</t>
  </si>
  <si>
    <t>напоминающей</t>
  </si>
  <si>
    <t>аспирин</t>
  </si>
  <si>
    <t>эта</t>
  </si>
  <si>
    <t>круглая</t>
  </si>
  <si>
    <t>таблетка</t>
  </si>
  <si>
    <t>сможет</t>
  </si>
  <si>
    <t>вызвать</t>
  </si>
  <si>
    <t>определенный</t>
  </si>
  <si>
    <t># text = Но если вы измените форму, которую вы придаете плацебо, например, сделаете пилюлю меньше, покрасите её в синий цвет и поставите на ней букву, это окажется еще более эффективным.</t>
  </si>
  <si>
    <t>измените</t>
  </si>
  <si>
    <t>которую</t>
  </si>
  <si>
    <t>придаете</t>
  </si>
  <si>
    <t>например</t>
  </si>
  <si>
    <t>сделаете</t>
  </si>
  <si>
    <t>пилюлю</t>
  </si>
  <si>
    <t>OBJ_5</t>
  </si>
  <si>
    <t>меньше</t>
  </si>
  <si>
    <t>покрасите</t>
  </si>
  <si>
    <t>синий</t>
  </si>
  <si>
    <t>цвет</t>
  </si>
  <si>
    <t>поставите</t>
  </si>
  <si>
    <t>ней</t>
  </si>
  <si>
    <t>other_6</t>
  </si>
  <si>
    <t>букву</t>
  </si>
  <si>
    <t>окажется</t>
  </si>
  <si>
    <t>еще</t>
  </si>
  <si>
    <t>более</t>
  </si>
  <si>
    <t>эффективным</t>
  </si>
  <si>
    <t># text = Несмотря на то, что ни одна из этих вещей не имеет никакого лечебного эффекта - это всего лишь сахарные пилюли.</t>
  </si>
  <si>
    <t>Несмотря</t>
  </si>
  <si>
    <t>ни</t>
  </si>
  <si>
    <t>одна</t>
  </si>
  <si>
    <t>этих</t>
  </si>
  <si>
    <t>вещей</t>
  </si>
  <si>
    <t>имеет</t>
  </si>
  <si>
    <t>никакого</t>
  </si>
  <si>
    <t>лечебного</t>
  </si>
  <si>
    <t>эффекта</t>
  </si>
  <si>
    <t>пилюли</t>
  </si>
  <si>
    <t># text = Но белая пилюля не так действенна, как голубая.</t>
  </si>
  <si>
    <t>белая</t>
  </si>
  <si>
    <t>действенна</t>
  </si>
  <si>
    <t>голубая</t>
  </si>
  <si>
    <t># text = Что?</t>
  </si>
  <si>
    <t>Что</t>
  </si>
  <si>
    <t># text = (Смех) Это на самом деле потрясло меня.</t>
  </si>
  <si>
    <t>потрясло</t>
  </si>
  <si>
    <t># text = Оказывается, это еще не предел.</t>
  </si>
  <si>
    <t># text = Если у вас есть капсулы, они более эффективны, чем таблетки любой формы.</t>
  </si>
  <si>
    <t>Если</t>
  </si>
  <si>
    <t>капсулы</t>
  </si>
  <si>
    <t>они</t>
  </si>
  <si>
    <t>эффективны</t>
  </si>
  <si>
    <t>чем</t>
  </si>
  <si>
    <t>формы</t>
  </si>
  <si>
    <t># text = Цветная капсула, - желтая с одной стороны и красная с другой лучше, чем белая капсула.</t>
  </si>
  <si>
    <t>Цветная</t>
  </si>
  <si>
    <t>капсула</t>
  </si>
  <si>
    <t>желтая</t>
  </si>
  <si>
    <t>одной</t>
  </si>
  <si>
    <t>стороны</t>
  </si>
  <si>
    <t>красная</t>
  </si>
  <si>
    <t>другой</t>
  </si>
  <si>
    <t>лучше</t>
  </si>
  <si>
    <t># text = Здесь также важна дозировка Одна пилюля дважды в день - не так действенно, как три пилюли -- Я не помню точные данные.</t>
  </si>
  <si>
    <t>Здесь</t>
  </si>
  <si>
    <t>также</t>
  </si>
  <si>
    <t>важна</t>
  </si>
  <si>
    <t>дозировка</t>
  </si>
  <si>
    <t>Одна</t>
  </si>
  <si>
    <t>дважды</t>
  </si>
  <si>
    <t>день</t>
  </si>
  <si>
    <t>действенно</t>
  </si>
  <si>
    <t>помню</t>
  </si>
  <si>
    <t>точные</t>
  </si>
  <si>
    <t>данные</t>
  </si>
  <si>
    <t># text = Простите.</t>
  </si>
  <si>
    <t>Простите</t>
  </si>
  <si>
    <t># text = Но суть вот в чем...</t>
  </si>
  <si>
    <t>суть</t>
  </si>
  <si>
    <t># text = (Смех)..</t>
  </si>
  <si>
    <t>ne</t>
  </si>
  <si>
    <t># text = .</t>
  </si>
  <si>
    <t># text = дозировки как-то влияют на эффект, и форма тоже имеет значение.</t>
  </si>
  <si>
    <t>дозировки</t>
  </si>
  <si>
    <t>как-то</t>
  </si>
  <si>
    <t>влияют</t>
  </si>
  <si>
    <t>форма</t>
  </si>
  <si>
    <t>тоже</t>
  </si>
  <si>
    <t>значение</t>
  </si>
  <si>
    <t># text = Однако, самое действенное плацебо -- это игла.</t>
  </si>
  <si>
    <t>Однако</t>
  </si>
  <si>
    <t>самое</t>
  </si>
  <si>
    <t>действенное</t>
  </si>
  <si>
    <t>игла</t>
  </si>
  <si>
    <t># text = Так?</t>
  </si>
  <si>
    <t>Так</t>
  </si>
  <si>
    <t># text = Шприц с какой-либо жидкостью - парой кубиков какого-нибудь физраствора, вводят пациенту...</t>
  </si>
  <si>
    <t>Шприц</t>
  </si>
  <si>
    <t>какой-либо</t>
  </si>
  <si>
    <t>жидкостью</t>
  </si>
  <si>
    <t>парой</t>
  </si>
  <si>
    <t>кубиков</t>
  </si>
  <si>
    <t>какого-нибудь</t>
  </si>
  <si>
    <t>физраствора</t>
  </si>
  <si>
    <t>вводят</t>
  </si>
  <si>
    <t>пациенту</t>
  </si>
  <si>
    <t># text = И это так сильно влияет на него, намного сильнее, чем белая пилюля.</t>
  </si>
  <si>
    <t>сильно</t>
  </si>
  <si>
    <t>влияет</t>
  </si>
  <si>
    <t>него</t>
  </si>
  <si>
    <t>намного</t>
  </si>
  <si>
    <t>сильнее</t>
  </si>
  <si>
    <t># text = Эти данные есть на графике, который я покажу вам, когда у нас будут слайды.</t>
  </si>
  <si>
    <t>Эти</t>
  </si>
  <si>
    <t>графике</t>
  </si>
  <si>
    <t>нас</t>
  </si>
  <si>
    <t>будут</t>
  </si>
  <si>
    <t>слайды</t>
  </si>
  <si>
    <t># text = Суть в том, что белая пилюля менее действенна, чем синяя, синяя менее действенна, чем капсула, а капсула - чем игла.</t>
  </si>
  <si>
    <t>Суть</t>
  </si>
  <si>
    <t>менее</t>
  </si>
  <si>
    <t>синяя</t>
  </si>
  <si>
    <t># text = Ничего из этого на самом деле не лечит.</t>
  </si>
  <si>
    <t>Ничего</t>
  </si>
  <si>
    <t>этого</t>
  </si>
  <si>
    <t>лечит</t>
  </si>
  <si>
    <t># text = Вас лечит только вера в результат.</t>
  </si>
  <si>
    <t>Вас</t>
  </si>
  <si>
    <t>вера</t>
  </si>
  <si>
    <t># text = Именно она влияет на тело.</t>
  </si>
  <si>
    <t>Именно</t>
  </si>
  <si>
    <t>она</t>
  </si>
  <si>
    <t>тело</t>
  </si>
  <si>
    <t># text = Мне захотелось узнать, смогу ли я превратить эту идею в фокус, и сделать что-нибудь явно ненастоящее похожим на правду.</t>
  </si>
  <si>
    <t>Мне</t>
  </si>
  <si>
    <t>захотелось</t>
  </si>
  <si>
    <t>смогу</t>
  </si>
  <si>
    <t>превратить</t>
  </si>
  <si>
    <t>идею</t>
  </si>
  <si>
    <t>что-нибудь</t>
  </si>
  <si>
    <t>явно</t>
  </si>
  <si>
    <t>ненастоящее</t>
  </si>
  <si>
    <t>похожим</t>
  </si>
  <si>
    <t>правду</t>
  </si>
  <si>
    <t># text = В научной статье говорится, что наиболее правдоподобный предмет это игла.</t>
  </si>
  <si>
    <t>научной</t>
  </si>
  <si>
    <t>статье</t>
  </si>
  <si>
    <t>говорится</t>
  </si>
  <si>
    <t>наиболее</t>
  </si>
  <si>
    <t>правдоподобный</t>
  </si>
  <si>
    <t>предмет</t>
  </si>
  <si>
    <t># text = Перед вами - двадцатисантиметровая шпилька.</t>
  </si>
  <si>
    <t>Перед</t>
  </si>
  <si>
    <t>двадцатисантиметровая</t>
  </si>
  <si>
    <t>шпилька</t>
  </si>
  <si>
    <t># text = Она очень-очень острая.</t>
  </si>
  <si>
    <t>Она</t>
  </si>
  <si>
    <t>острая</t>
  </si>
  <si>
    <t># text = Сейчас я ее немного простерилизую.</t>
  </si>
  <si>
    <t>ее</t>
  </si>
  <si>
    <t>немного</t>
  </si>
  <si>
    <t>простерилизую</t>
  </si>
  <si>
    <t># text = Это действительно моя рука.</t>
  </si>
  <si>
    <t>действительно</t>
  </si>
  <si>
    <t># text = Это не искусственно выращенный орган от Дамиана.</t>
  </si>
  <si>
    <t>искусственно</t>
  </si>
  <si>
    <t>выращенный</t>
  </si>
  <si>
    <t>от</t>
  </si>
  <si>
    <t>Дамиана</t>
  </si>
  <si>
    <t># text = Это моя кожа.</t>
  </si>
  <si>
    <t># text = Никаких голливудских спецэффектов.</t>
  </si>
  <si>
    <t>Никаких</t>
  </si>
  <si>
    <t>голливудских</t>
  </si>
  <si>
    <t>спецэффектов</t>
  </si>
  <si>
    <t># text = Сейчас я проколю свою кожу и проткну ее насквозь этой иглой.</t>
  </si>
  <si>
    <t>проколю</t>
  </si>
  <si>
    <t>кожу</t>
  </si>
  <si>
    <t>проткну</t>
  </si>
  <si>
    <t>насквозь</t>
  </si>
  <si>
    <t>этой</t>
  </si>
  <si>
    <t>иглой</t>
  </si>
  <si>
    <t># text = Если вам не по себе - (Смех), если вам дурно от вида крови – я показывал это своим друзьям и другим людям в гостинице вчера вечером, и одна женщина чуть не упала в обморок.</t>
  </si>
  <si>
    <t>себе</t>
  </si>
  <si>
    <t>дурно</t>
  </si>
  <si>
    <t>вида</t>
  </si>
  <si>
    <t>крови</t>
  </si>
  <si>
    <t>показывал</t>
  </si>
  <si>
    <t>другим</t>
  </si>
  <si>
    <t>людям</t>
  </si>
  <si>
    <t>гостинице</t>
  </si>
  <si>
    <t>вчера</t>
  </si>
  <si>
    <t>вечером</t>
  </si>
  <si>
    <t>женщина</t>
  </si>
  <si>
    <t>чуть</t>
  </si>
  <si>
    <t>упала</t>
  </si>
  <si>
    <t>обморок</t>
  </si>
  <si>
    <t># text = Поэтому, я предлагаю особо чувствительным натурам полминутки посмотреть в сторону.</t>
  </si>
  <si>
    <t>Поэтому</t>
  </si>
  <si>
    <t>предлагаю</t>
  </si>
  <si>
    <t>особо</t>
  </si>
  <si>
    <t>чувствительным</t>
  </si>
  <si>
    <t>натурам</t>
  </si>
  <si>
    <t>пол</t>
  </si>
  <si>
    <t>минутки</t>
  </si>
  <si>
    <t>посмотреть</t>
  </si>
  <si>
    <t>сторону</t>
  </si>
  <si>
    <t># text = Хотя, знаете что, первую, страшную, часть фокуса я сделаю отвернувшись.</t>
  </si>
  <si>
    <t>Хотя</t>
  </si>
  <si>
    <t>знаете</t>
  </si>
  <si>
    <t>первую</t>
  </si>
  <si>
    <t>страшную</t>
  </si>
  <si>
    <t>часть</t>
  </si>
  <si>
    <t>фокуса</t>
  </si>
  <si>
    <t>сделаю</t>
  </si>
  <si>
    <t>отвернувшись</t>
  </si>
  <si>
    <t># text = Вам будет видно, можете тоже отвернуться, если хотите.</t>
  </si>
  <si>
    <t>Вам</t>
  </si>
  <si>
    <t>будет</t>
  </si>
  <si>
    <t>видно</t>
  </si>
  <si>
    <t>отвернуться</t>
  </si>
  <si>
    <t>хотите</t>
  </si>
  <si>
    <t># text = Итак, вот что происходит, вот здесь, на поверхности моей кожи, в нижней части руки я делаю небольшой прокол.</t>
  </si>
  <si>
    <t>поверхности</t>
  </si>
  <si>
    <t>моей</t>
  </si>
  <si>
    <t>кожи</t>
  </si>
  <si>
    <t>нижней</t>
  </si>
  <si>
    <t>части</t>
  </si>
  <si>
    <t>руки</t>
  </si>
  <si>
    <t>делаю</t>
  </si>
  <si>
    <t>небольшой</t>
  </si>
  <si>
    <t>прокол</t>
  </si>
  <si>
    <t># text = Прости, дружище.</t>
  </si>
  <si>
    <t>Прости</t>
  </si>
  <si>
    <t>дружище</t>
  </si>
  <si>
    <t># text = Я тебя пугаю?</t>
  </si>
  <si>
    <t>тебя</t>
  </si>
  <si>
    <t>пугаю</t>
  </si>
  <si>
    <t># text = А затем я протыкаю кожу насквозь, и вот она уже видна с другой стороны.</t>
  </si>
  <si>
    <t>затем</t>
  </si>
  <si>
    <t>протыкаю</t>
  </si>
  <si>
    <t>уже</t>
  </si>
  <si>
    <t>видна</t>
  </si>
  <si>
    <t># text = Теперь мы находимся в такой же ситуации, как в трюке с ножом.</t>
  </si>
  <si>
    <t>Теперь</t>
  </si>
  <si>
    <t>находимся</t>
  </si>
  <si>
    <t>такой</t>
  </si>
  <si>
    <t>ситуации</t>
  </si>
  <si>
    <t>трюке</t>
  </si>
  <si>
    <t>ножом</t>
  </si>
  <si>
    <t># text = Почти.</t>
  </si>
  <si>
    <t>Почти</t>
  </si>
  <si>
    <t># text = Но сейчас вы не можете сосчитать мои пальцы, не так ли?</t>
  </si>
  <si>
    <t>сейчас</t>
  </si>
  <si>
    <t>сосчитать</t>
  </si>
  <si>
    <t>мои</t>
  </si>
  <si>
    <t># text = Поэтому, позвольте мне показать их вам.</t>
  </si>
  <si>
    <t>позвольте</t>
  </si>
  <si>
    <t>мне</t>
  </si>
  <si>
    <t># text = Один, два, три, четыре, пять.</t>
  </si>
  <si>
    <t>Один</t>
  </si>
  <si>
    <t>два</t>
  </si>
  <si>
    <t>четыре</t>
  </si>
  <si>
    <t>пять</t>
  </si>
  <si>
    <t># text = Вот, но...</t>
  </si>
  <si>
    <t>но</t>
  </si>
  <si>
    <t># text = Я знаю, что думают люди, глядя на это.</t>
  </si>
  <si>
    <t>знаю</t>
  </si>
  <si>
    <t>думают</t>
  </si>
  <si>
    <t>люди</t>
  </si>
  <si>
    <t>глядя</t>
  </si>
  <si>
    <t># text = Они думают: \"Ну, он же не настолько глуп, чтобы проткнуть себе кожу ради нашего минутного веселья\".</t>
  </si>
  <si>
    <t>Они</t>
  </si>
  <si>
    <t>Ну</t>
  </si>
  <si>
    <t>настолько</t>
  </si>
  <si>
    <t>глуп</t>
  </si>
  <si>
    <t>проткнуть</t>
  </si>
  <si>
    <t>ради</t>
  </si>
  <si>
    <t>нашего</t>
  </si>
  <si>
    <t>минутного</t>
  </si>
  <si>
    <t>веселья</t>
  </si>
  <si>
    <t># text = Поэтому, позвольте мне кое-что вам показать.</t>
  </si>
  <si>
    <t>кое-что</t>
  </si>
  <si>
    <t># text = Ну, как смотрится?</t>
  </si>
  <si>
    <t>смотрится</t>
  </si>
  <si>
    <t># text = Очень неплохо.</t>
  </si>
  <si>
    <t>Очень</t>
  </si>
  <si>
    <t>неплохо</t>
  </si>
  <si>
    <t># text = (Смеется) Да, знаю.</t>
  </si>
  <si>
    <t>Смеется</t>
  </si>
  <si>
    <t>Да</t>
  </si>
  <si>
    <t># text = (Смеется) Сидящие на задних рядах скажут, что им не видно.</t>
  </si>
  <si>
    <t>Сидящие</t>
  </si>
  <si>
    <t>задних</t>
  </si>
  <si>
    <t>рядах</t>
  </si>
  <si>
    <t>скажут</t>
  </si>
  <si>
    <t>им</t>
  </si>
  <si>
    <t># text = Люди в операторской сейчас придвинулись ближе, всматриваясь.</t>
  </si>
  <si>
    <t>Люди</t>
  </si>
  <si>
    <t>операторской</t>
  </si>
  <si>
    <t>придвинулись</t>
  </si>
  <si>
    <t>ближе</t>
  </si>
  <si>
    <t>всматриваясь</t>
  </si>
  <si>
    <t># text = Позвольте показать вам это поближе.</t>
  </si>
  <si>
    <t>Позвольте</t>
  </si>
  <si>
    <t>поближе</t>
  </si>
  <si>
    <t># text = Это правда моя кожа.</t>
  </si>
  <si>
    <t># text = Это не голливудский трюк.</t>
  </si>
  <si>
    <t>голливудский</t>
  </si>
  <si>
    <t># text = Это моя плоть, я могу прокрутить иглу.</t>
  </si>
  <si>
    <t>прокрутить</t>
  </si>
  <si>
    <t>иглу</t>
  </si>
  <si>
    <t># text = Если вас начинает тошнить, можете отвернуться, не смотрите на это.</t>
  </si>
  <si>
    <t>начинает</t>
  </si>
  <si>
    <t>тошнить</t>
  </si>
  <si>
    <t>смотрите</t>
  </si>
  <si>
    <t># text = Люди с задних рядов или люди, которые посмотрят это видео, скажут: \"Ну да, конечно, выглядит слишком аккуратно проделанным фокусом, но если бы это было на самом деле, если бы проколы были настоящими, из них текла бы кровь\".</t>
  </si>
  <si>
    <t>рядов</t>
  </si>
  <si>
    <t>которые</t>
  </si>
  <si>
    <t>посмотрят</t>
  </si>
  <si>
    <t>видео</t>
  </si>
  <si>
    <t>конечно</t>
  </si>
  <si>
    <t>выглядит</t>
  </si>
  <si>
    <t>слишком</t>
  </si>
  <si>
    <t>аккуратно</t>
  </si>
  <si>
    <t>проделанным</t>
  </si>
  <si>
    <t>фокусом</t>
  </si>
  <si>
    <t>проколы</t>
  </si>
  <si>
    <t>были</t>
  </si>
  <si>
    <t>настоящими</t>
  </si>
  <si>
    <t>них</t>
  </si>
  <si>
    <t>текла</t>
  </si>
  <si>
    <t>кровь</t>
  </si>
  <si>
    <t># text = Позвольте мне добыть для вас немного крови.</t>
  </si>
  <si>
    <t>добыть</t>
  </si>
  <si>
    <t># text = Вот она.</t>
  </si>
  <si>
    <t># text = Естественно, я должен был бы сейчас вытащить иглу.</t>
  </si>
  <si>
    <t>Естественно</t>
  </si>
  <si>
    <t>должен</t>
  </si>
  <si>
    <t>был</t>
  </si>
  <si>
    <t>вытащить</t>
  </si>
  <si>
    <t># text = Я бы вытер руку и показал вам, что на ней нет никаких ран, но в данном случае, учитывая, что мы говорили о том, как что-то ненастоящее становится похожим на правду, я просто оставлю её там и уйду со сцены.</t>
  </si>
  <si>
    <t>вытер</t>
  </si>
  <si>
    <t>показал</t>
  </si>
  <si>
    <t>ран</t>
  </si>
  <si>
    <t>данном</t>
  </si>
  <si>
    <t>случае</t>
  </si>
  <si>
    <t>учитывая</t>
  </si>
  <si>
    <t>говорили</t>
  </si>
  <si>
    <t>other_8</t>
  </si>
  <si>
    <t>SBJ_7</t>
  </si>
  <si>
    <t>оставлю</t>
  </si>
  <si>
    <t>уйду</t>
  </si>
  <si>
    <t>со</t>
  </si>
  <si>
    <t>сцены</t>
  </si>
  <si>
    <t># text = У нас будет еще несколько дней, чтобы увидеться.</t>
  </si>
  <si>
    <t>несколько</t>
  </si>
  <si>
    <t>дней</t>
  </si>
  <si>
    <t>увидеться</t>
  </si>
  <si>
    <t># text = Надеюсь, вы будете с нетерпением ждать следующей встречи.</t>
  </si>
  <si>
    <t>Надеюсь</t>
  </si>
  <si>
    <t>будете</t>
  </si>
  <si>
    <t>нетерпением</t>
  </si>
  <si>
    <t>следующей</t>
  </si>
  <si>
    <t>встречи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</si>
</sst>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118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11</v>
      </c>
      <c r="C2" s="6" t="s">
        <v>12</v>
      </c>
      <c r="D2" s="7" t="s">
        <v>13</v>
      </c>
      <c r="E2" s="8" t="s">
        <v>14</v>
      </c>
      <c r="F2" s="6" t="s">
        <v>15</v>
      </c>
      <c r="G2" s="9">
        <f>IF(A2=1,"_",IF(C2="_","???",C2))</f>
        <v/>
      </c>
      <c r="H2" s="10" t="s">
        <v>12</v>
      </c>
      <c r="I2" s="11" t="s">
        <v>12</v>
      </c>
      <c r="J2" s="12"/>
    </row>
    <row r="3" spans="1:10" ht="60" customHeight="1">
      <c r="A3" s="6" t="s">
        <v>16</v>
      </c>
      <c r="B3" s="6" t="s">
        <v>11</v>
      </c>
      <c r="C3" s="6" t="s">
        <v>17</v>
      </c>
      <c r="D3" s="7" t="s">
        <v>18</v>
      </c>
      <c r="E3" s="8" t="s">
        <v>19</v>
      </c>
      <c r="F3" s="6" t="s">
        <v>20</v>
      </c>
      <c r="G3" s="9">
        <f>IF(A3=1,"_",IF(C3="_","???",C3))</f>
        <v/>
      </c>
      <c r="H3" s="10" t="s">
        <v>12</v>
      </c>
      <c r="I3" s="11" t="s">
        <v>12</v>
      </c>
      <c r="J3" s="12"/>
    </row>
    <row r="4" spans="1:10" ht="60" customHeight="1">
      <c r="A4" s="6" t="s">
        <v>21</v>
      </c>
      <c r="B4" s="6" t="s">
        <v>10</v>
      </c>
      <c r="C4" s="6" t="s">
        <v>12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12</v>
      </c>
      <c r="I4" s="11" t="s">
        <v>12</v>
      </c>
      <c r="J4" s="12"/>
    </row>
    <row r="5" spans="1:10" ht="60" customHeight="1">
      <c r="A5" s="6" t="s">
        <v>11</v>
      </c>
      <c r="B5" s="6" t="s">
        <v>25</v>
      </c>
      <c r="C5" s="6" t="s">
        <v>26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12</v>
      </c>
      <c r="I5" s="11" t="s">
        <v>12</v>
      </c>
      <c r="J5" s="12"/>
    </row>
    <row r="6" spans="1:10" ht="60" customHeight="1">
      <c r="A6" s="6" t="s">
        <v>30</v>
      </c>
      <c r="B6" s="6" t="s">
        <v>31</v>
      </c>
      <c r="C6" s="6" t="s">
        <v>12</v>
      </c>
      <c r="D6" s="7" t="s">
        <v>32</v>
      </c>
      <c r="E6" s="8" t="s">
        <v>33</v>
      </c>
      <c r="F6" s="6" t="s">
        <v>34</v>
      </c>
      <c r="G6" s="9">
        <f>IF(A6=1,"_",IF(C6="_","???",C6))</f>
        <v/>
      </c>
      <c r="H6" s="10" t="s">
        <v>12</v>
      </c>
      <c r="I6" s="11" t="s">
        <v>12</v>
      </c>
      <c r="J6" s="12"/>
    </row>
    <row r="7" spans="1:10" ht="60" customHeight="1">
      <c r="A7" s="6" t="s">
        <v>35</v>
      </c>
      <c r="B7" s="6" t="s">
        <v>21</v>
      </c>
      <c r="C7" s="6" t="s">
        <v>12</v>
      </c>
      <c r="D7" s="7" t="s">
        <v>36</v>
      </c>
      <c r="E7" s="8" t="s">
        <v>37</v>
      </c>
      <c r="F7" s="6" t="s">
        <v>38</v>
      </c>
      <c r="G7" s="9">
        <f>IF(A7=1,"_",IF(C7="_","???",C7))</f>
        <v/>
      </c>
      <c r="H7" s="10" t="s">
        <v>12</v>
      </c>
      <c r="I7" s="11" t="s">
        <v>12</v>
      </c>
      <c r="J7" s="12"/>
    </row>
    <row r="8" spans="1:10" ht="60" customHeight="1">
      <c r="A8" s="6" t="s">
        <v>39</v>
      </c>
      <c r="B8" s="6" t="s">
        <v>31</v>
      </c>
      <c r="C8" s="6" t="s">
        <v>12</v>
      </c>
      <c r="D8" s="7" t="s">
        <v>40</v>
      </c>
      <c r="E8" s="8" t="s">
        <v>41</v>
      </c>
      <c r="F8" s="6" t="s">
        <v>42</v>
      </c>
      <c r="G8" s="9">
        <f>IF(A8=1,"_",IF(C8="_","???",C8))</f>
        <v/>
      </c>
      <c r="H8" s="10" t="s">
        <v>12</v>
      </c>
      <c r="I8" s="11" t="s">
        <v>12</v>
      </c>
      <c r="J8" s="12"/>
    </row>
    <row r="9" spans="1:10" ht="60" customHeight="1">
      <c r="A9" s="6" t="s">
        <v>43</v>
      </c>
      <c r="B9" s="6" t="s">
        <v>21</v>
      </c>
      <c r="C9" s="6" t="s">
        <v>12</v>
      </c>
      <c r="D9" s="7" t="s">
        <v>44</v>
      </c>
      <c r="E9" s="8" t="s">
        <v>45</v>
      </c>
      <c r="F9" s="6" t="s">
        <v>46</v>
      </c>
      <c r="G9" s="9">
        <f>IF(A9=1,"_",IF(C9="_","???",C9))</f>
        <v/>
      </c>
      <c r="H9" s="10" t="s">
        <v>12</v>
      </c>
      <c r="I9" s="11" t="s">
        <v>12</v>
      </c>
      <c r="J9" s="12"/>
    </row>
    <row r="10" spans="1:10" ht="60" customHeight="1">
      <c r="A10" s="6" t="s">
        <v>25</v>
      </c>
      <c r="B10" s="6" t="s">
        <v>16</v>
      </c>
      <c r="C10" s="6" t="s">
        <v>12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12</v>
      </c>
      <c r="I10" s="11" t="s">
        <v>12</v>
      </c>
      <c r="J10" s="12"/>
    </row>
    <row r="11" spans="1:10" ht="60" customHeight="1">
      <c r="A11" s="6" t="s">
        <v>50</v>
      </c>
      <c r="B11" s="6" t="s">
        <v>21</v>
      </c>
      <c r="C11" s="6" t="s">
        <v>12</v>
      </c>
      <c r="D11" s="7" t="s">
        <v>51</v>
      </c>
      <c r="E11" s="8" t="s">
        <v>52</v>
      </c>
      <c r="F11" s="6" t="s">
        <v>53</v>
      </c>
      <c r="G11" s="9">
        <f>IF(A11=1,"_",IF(C11="_","???",C11))</f>
        <v/>
      </c>
      <c r="H11" s="10" t="s">
        <v>12</v>
      </c>
      <c r="I11" s="11" t="s">
        <v>12</v>
      </c>
      <c r="J11" s="12"/>
    </row>
    <row r="12" spans="1:10" ht="60" customHeight="1">
      <c r="A12" s="6" t="s">
        <v>54</v>
      </c>
      <c r="B12" s="6" t="s">
        <v>16</v>
      </c>
      <c r="C12" s="6" t="s">
        <v>12</v>
      </c>
      <c r="D12" s="7" t="s">
        <v>44</v>
      </c>
      <c r="E12" s="8" t="s">
        <v>55</v>
      </c>
      <c r="F12" s="6" t="s">
        <v>56</v>
      </c>
      <c r="G12" s="9">
        <f>IF(A12=1,"_",IF(C12="_","???",C12))</f>
        <v/>
      </c>
      <c r="H12" s="10" t="s">
        <v>12</v>
      </c>
      <c r="I12" s="11" t="s">
        <v>12</v>
      </c>
      <c r="J12" s="12"/>
    </row>
    <row r="13" spans="1:10" ht="60" customHeight="1">
      <c r="A13" s="6" t="s">
        <v>57</v>
      </c>
      <c r="B13" s="6" t="s">
        <v>43</v>
      </c>
      <c r="C13" s="6" t="s">
        <v>12</v>
      </c>
      <c r="D13" s="7" t="s">
        <v>58</v>
      </c>
      <c r="E13" s="8" t="s">
        <v>59</v>
      </c>
      <c r="F13" s="6" t="s">
        <v>60</v>
      </c>
      <c r="G13" s="9">
        <f>IF(A13=1,"_",IF(C13="_","???",C13))</f>
        <v/>
      </c>
      <c r="H13" s="10" t="s">
        <v>12</v>
      </c>
      <c r="I13" s="11" t="s">
        <v>12</v>
      </c>
      <c r="J13" s="12"/>
    </row>
    <row r="14" spans="1:10" ht="60" customHeight="1">
      <c r="A14" s="6" t="s">
        <v>31</v>
      </c>
      <c r="B14" s="6" t="s">
        <v>30</v>
      </c>
      <c r="C14" s="6" t="s">
        <v>61</v>
      </c>
      <c r="D14" s="7" t="s">
        <v>62</v>
      </c>
      <c r="E14" s="8" t="s">
        <v>63</v>
      </c>
      <c r="F14" s="6" t="s">
        <v>64</v>
      </c>
      <c r="G14" s="9">
        <f>IF(A14=1,"_",IF(C14="_","???",C14))</f>
        <v/>
      </c>
      <c r="H14" s="10" t="s">
        <v>12</v>
      </c>
      <c r="I14" s="11" t="s">
        <v>12</v>
      </c>
      <c r="J14" s="12"/>
    </row>
    <row r="15" spans="1:10" ht="60" customHeight="1">
      <c r="A15" s="6" t="s">
        <v>65</v>
      </c>
      <c r="B15" s="6" t="s">
        <v>10</v>
      </c>
      <c r="C15" s="6" t="s">
        <v>12</v>
      </c>
      <c r="D15" s="7" t="s">
        <v>66</v>
      </c>
      <c r="E15" s="8" t="s">
        <v>67</v>
      </c>
      <c r="F15" s="6" t="s">
        <v>68</v>
      </c>
      <c r="G15" s="9">
        <f>IF(A15=1,"_",IF(C15="_","???",C15))</f>
        <v/>
      </c>
      <c r="H15" s="10" t="s">
        <v>12</v>
      </c>
      <c r="I15" s="11" t="s">
        <v>12</v>
      </c>
      <c r="J15" s="12"/>
    </row>
    <row r="16" spans="1:10" ht="60" customHeight="1">
      <c r="A16" s="6" t="s">
        <v>69</v>
      </c>
      <c r="B16" s="6" t="s">
        <v>21</v>
      </c>
      <c r="C16" s="6" t="s">
        <v>12</v>
      </c>
      <c r="D16" s="7" t="s">
        <v>70</v>
      </c>
      <c r="E16" s="8" t="s">
        <v>71</v>
      </c>
      <c r="F16" s="6" t="s">
        <v>72</v>
      </c>
      <c r="G16" s="9">
        <f>IF(A16=1,"_",IF(C16="_","???",C16))</f>
        <v/>
      </c>
      <c r="H16" s="10" t="s">
        <v>12</v>
      </c>
      <c r="I16" s="11" t="s">
        <v>12</v>
      </c>
      <c r="J16" s="12"/>
    </row>
    <row r="17" spans="1:10" ht="60" customHeight="1">
      <c r="A17" s="6" t="s">
        <v>73</v>
      </c>
      <c r="B17" s="6" t="s">
        <v>16</v>
      </c>
      <c r="C17" s="6" t="s">
        <v>12</v>
      </c>
      <c r="D17" s="7" t="s">
        <v>74</v>
      </c>
      <c r="E17" s="8" t="s">
        <v>75</v>
      </c>
      <c r="F17" s="6" t="s">
        <v>76</v>
      </c>
      <c r="G17" s="9">
        <f>IF(A17=1,"_",IF(C17="_","???",C17))</f>
        <v/>
      </c>
      <c r="H17" s="10" t="s">
        <v>12</v>
      </c>
      <c r="I17" s="11" t="s">
        <v>12</v>
      </c>
      <c r="J17" s="12"/>
    </row>
    <row r="18" spans="1:10" ht="60" customHeight="1">
      <c r="A18" s="6" t="s">
        <v>77</v>
      </c>
      <c r="B18" s="6" t="s">
        <v>21</v>
      </c>
      <c r="C18" s="6" t="s">
        <v>78</v>
      </c>
      <c r="D18" s="7" t="s">
        <v>79</v>
      </c>
      <c r="E18" s="8" t="s">
        <v>80</v>
      </c>
      <c r="F18" s="6" t="s">
        <v>81</v>
      </c>
      <c r="G18" s="9">
        <f>IF(A18=1,"_",IF(C18="_","???",C18))</f>
        <v/>
      </c>
      <c r="H18" s="10" t="s">
        <v>12</v>
      </c>
      <c r="I18" s="11" t="s">
        <v>12</v>
      </c>
      <c r="J18" s="12"/>
    </row>
    <row r="19" spans="1:10" ht="60" customHeight="1">
      <c r="A19" s="6" t="s">
        <v>82</v>
      </c>
      <c r="B19" s="6" t="s">
        <v>39</v>
      </c>
      <c r="C19" s="6" t="s">
        <v>17</v>
      </c>
      <c r="D19" s="7" t="s">
        <v>83</v>
      </c>
      <c r="E19" s="8" t="s">
        <v>84</v>
      </c>
      <c r="F19" s="6" t="s">
        <v>85</v>
      </c>
      <c r="G19" s="9">
        <f>IF(A19=1,"_",IF(C19="_","???",C19))</f>
        <v/>
      </c>
      <c r="H19" s="10" t="s">
        <v>12</v>
      </c>
      <c r="I19" s="11" t="s">
        <v>12</v>
      </c>
      <c r="J19" s="12"/>
    </row>
    <row r="20" spans="1:10" ht="60" customHeight="1">
      <c r="A20" s="6" t="s">
        <v>86</v>
      </c>
      <c r="B20" s="6" t="s">
        <v>39</v>
      </c>
      <c r="C20" s="6" t="s">
        <v>12</v>
      </c>
      <c r="D20" s="7" t="s">
        <v>87</v>
      </c>
      <c r="E20" s="8" t="s">
        <v>88</v>
      </c>
      <c r="F20" s="6" t="s">
        <v>89</v>
      </c>
      <c r="G20" s="9">
        <f>IF(A20=1,"_",IF(C20="_","???",C20))</f>
        <v/>
      </c>
      <c r="H20" s="10" t="s">
        <v>12</v>
      </c>
      <c r="I20" s="11" t="s">
        <v>12</v>
      </c>
      <c r="J20" s="12"/>
    </row>
    <row r="21" spans="1:10" ht="60" customHeight="1">
      <c r="A21" s="6" t="s">
        <v>90</v>
      </c>
      <c r="B21" s="6" t="s">
        <v>21</v>
      </c>
      <c r="C21" s="6" t="s">
        <v>12</v>
      </c>
      <c r="D21" s="7" t="s">
        <v>91</v>
      </c>
      <c r="E21" s="8" t="s">
        <v>92</v>
      </c>
      <c r="F21" s="6" t="s">
        <v>93</v>
      </c>
      <c r="G21" s="9">
        <f>IF(A21=1,"_",IF(C21="_","???",C21))</f>
        <v/>
      </c>
      <c r="H21" s="10" t="s">
        <v>12</v>
      </c>
      <c r="I21" s="11" t="s">
        <v>12</v>
      </c>
      <c r="J21" s="12"/>
    </row>
    <row r="22" spans="1:10" ht="60" customHeight="1">
      <c r="A22" s="6" t="s">
        <v>94</v>
      </c>
      <c r="B22" s="6" t="s">
        <v>21</v>
      </c>
      <c r="C22" s="6" t="s">
        <v>12</v>
      </c>
      <c r="D22" s="7" t="s">
        <v>95</v>
      </c>
      <c r="E22" s="8" t="s">
        <v>96</v>
      </c>
      <c r="F22" s="6" t="s">
        <v>97</v>
      </c>
      <c r="G22" s="9">
        <f>IF(A22=1,"_",IF(C22="_","???",C22))</f>
        <v/>
      </c>
      <c r="H22" s="10" t="s">
        <v>12</v>
      </c>
      <c r="I22" s="11" t="s">
        <v>12</v>
      </c>
      <c r="J22" s="12"/>
    </row>
    <row r="23" spans="1:10" ht="60" customHeight="1">
      <c r="A23" s="6" t="s">
        <v>98</v>
      </c>
      <c r="B23" s="6" t="s">
        <v>43</v>
      </c>
      <c r="C23" s="6" t="s">
        <v>12</v>
      </c>
      <c r="D23" s="7" t="s">
        <v>99</v>
      </c>
      <c r="E23" s="8" t="s">
        <v>100</v>
      </c>
      <c r="F23" s="6" t="s">
        <v>101</v>
      </c>
      <c r="G23" s="9">
        <f>IF(A23=1,"_",IF(C23="_","???",C23))</f>
        <v/>
      </c>
      <c r="H23" s="10" t="s">
        <v>12</v>
      </c>
      <c r="I23" s="11" t="s">
        <v>12</v>
      </c>
      <c r="J23" s="12"/>
    </row>
    <row r="24" spans="1:10" ht="60" customHeight="1">
      <c r="A24" s="6" t="s">
        <v>102</v>
      </c>
      <c r="B24" s="6" t="s">
        <v>39</v>
      </c>
      <c r="C24" s="6" t="s">
        <v>12</v>
      </c>
      <c r="D24" s="7" t="s">
        <v>103</v>
      </c>
      <c r="E24" s="8" t="s">
        <v>104</v>
      </c>
      <c r="F24" s="6" t="s">
        <v>105</v>
      </c>
      <c r="G24" s="9">
        <f>IF(A24=1,"_",IF(C24="_","???",C24))</f>
        <v/>
      </c>
      <c r="H24" s="10" t="s">
        <v>12</v>
      </c>
      <c r="I24" s="11" t="s">
        <v>12</v>
      </c>
      <c r="J24" s="12"/>
    </row>
    <row r="25" spans="1:10" ht="60" customHeight="1">
      <c r="A25" s="6" t="s">
        <v>106</v>
      </c>
      <c r="B25" s="6" t="s">
        <v>16</v>
      </c>
      <c r="C25" s="6" t="s">
        <v>12</v>
      </c>
      <c r="D25" s="7" t="s">
        <v>107</v>
      </c>
      <c r="E25" s="8" t="s">
        <v>108</v>
      </c>
      <c r="F25" s="6" t="s">
        <v>109</v>
      </c>
      <c r="G25" s="9">
        <f>IF(A25=1,"_",IF(C25="_","???",C25))</f>
        <v/>
      </c>
      <c r="H25" s="10" t="s">
        <v>12</v>
      </c>
      <c r="I25" s="11" t="s">
        <v>12</v>
      </c>
      <c r="J25" s="12"/>
    </row>
    <row r="26" spans="1:10" ht="60" customHeight="1">
      <c r="A26" s="6" t="s">
        <v>110</v>
      </c>
      <c r="B26" s="6" t="s">
        <v>10</v>
      </c>
      <c r="C26" s="6" t="s">
        <v>12</v>
      </c>
      <c r="D26" s="7" t="s">
        <v>111</v>
      </c>
      <c r="E26" s="8" t="s">
        <v>112</v>
      </c>
      <c r="F26" s="6" t="s">
        <v>113</v>
      </c>
      <c r="G26" s="9">
        <f>IF(A26=1,"_",IF(C26="_","???",C26))</f>
        <v/>
      </c>
      <c r="H26" s="10" t="s">
        <v>12</v>
      </c>
      <c r="I26" s="11" t="s">
        <v>12</v>
      </c>
      <c r="J26" s="12"/>
    </row>
    <row r="27" spans="1:10" ht="60" customHeight="1">
      <c r="A27" s="6" t="s">
        <v>114</v>
      </c>
      <c r="B27" s="6" t="s">
        <v>16</v>
      </c>
      <c r="C27" s="6" t="s">
        <v>61</v>
      </c>
      <c r="D27" s="7" t="s">
        <v>115</v>
      </c>
      <c r="E27" s="8" t="s">
        <v>116</v>
      </c>
      <c r="F27" s="6" t="s">
        <v>117</v>
      </c>
      <c r="G27" s="9">
        <f>IF(A27=1,"_",IF(C27="_","???",C27))</f>
        <v/>
      </c>
      <c r="H27" s="10" t="s">
        <v>12</v>
      </c>
      <c r="I27" s="11" t="s">
        <v>12</v>
      </c>
      <c r="J27" s="12"/>
    </row>
    <row r="28" spans="1:10" ht="60" customHeight="1">
      <c r="A28" s="6" t="s">
        <v>118</v>
      </c>
      <c r="B28" s="6" t="s">
        <v>35</v>
      </c>
      <c r="C28" s="6" t="s">
        <v>12</v>
      </c>
      <c r="D28" s="7" t="s">
        <v>119</v>
      </c>
      <c r="E28" s="8" t="s">
        <v>120</v>
      </c>
      <c r="F28" s="6" t="s">
        <v>121</v>
      </c>
      <c r="G28" s="9">
        <f>IF(A28=1,"_",IF(C28="_","???",C28))</f>
        <v/>
      </c>
      <c r="H28" s="10" t="s">
        <v>12</v>
      </c>
      <c r="I28" s="11" t="s">
        <v>12</v>
      </c>
      <c r="J28" s="12"/>
    </row>
    <row r="29" spans="1:10" ht="60" customHeight="1">
      <c r="A29" s="6" t="s">
        <v>122</v>
      </c>
      <c r="B29" s="6" t="s">
        <v>21</v>
      </c>
      <c r="C29" s="6" t="s">
        <v>12</v>
      </c>
      <c r="D29" s="7" t="s">
        <v>62</v>
      </c>
      <c r="E29" s="8" t="s">
        <v>123</v>
      </c>
      <c r="F29" s="6" t="s">
        <v>124</v>
      </c>
      <c r="G29" s="9">
        <f>IF(A29=1,"_",IF(C29="_","???",C29))</f>
        <v/>
      </c>
      <c r="H29" s="10" t="s">
        <v>12</v>
      </c>
      <c r="I29" s="11" t="s">
        <v>12</v>
      </c>
      <c r="J29" s="12"/>
    </row>
    <row r="30" spans="1:10" ht="60" customHeight="1">
      <c r="A30" s="6" t="s">
        <v>125</v>
      </c>
      <c r="B30" s="6" t="s">
        <v>16</v>
      </c>
      <c r="C30" s="6" t="s">
        <v>12</v>
      </c>
      <c r="D30" s="7" t="s">
        <v>126</v>
      </c>
      <c r="E30" s="8" t="s">
        <v>127</v>
      </c>
      <c r="F30" s="6" t="s">
        <v>128</v>
      </c>
      <c r="G30" s="9">
        <f>IF(A30=1,"_",IF(C30="_","???",C30))</f>
        <v/>
      </c>
      <c r="H30" s="10" t="s">
        <v>12</v>
      </c>
      <c r="I30" s="11" t="s">
        <v>12</v>
      </c>
      <c r="J30" s="12"/>
    </row>
    <row r="31" spans="1:10" ht="60" customHeight="1">
      <c r="A31" s="6" t="s">
        <v>129</v>
      </c>
      <c r="B31" s="6" t="s">
        <v>16</v>
      </c>
      <c r="C31" s="6" t="s">
        <v>12</v>
      </c>
      <c r="D31" s="7" t="s">
        <v>130</v>
      </c>
      <c r="E31" s="8" t="s">
        <v>131</v>
      </c>
      <c r="F31" s="6" t="s">
        <v>132</v>
      </c>
      <c r="G31" s="9">
        <f>IF(A31=1,"_",IF(C31="_","???",C31))</f>
        <v/>
      </c>
      <c r="H31" s="10" t="s">
        <v>12</v>
      </c>
      <c r="I31" s="11" t="s">
        <v>12</v>
      </c>
      <c r="J31" s="12"/>
    </row>
    <row r="32" spans="1:10" ht="60" customHeight="1">
      <c r="A32" s="6" t="s">
        <v>133</v>
      </c>
      <c r="B32" s="6" t="s">
        <v>16</v>
      </c>
      <c r="C32" s="6" t="s">
        <v>26</v>
      </c>
      <c r="D32" s="7" t="s">
        <v>126</v>
      </c>
      <c r="E32" s="8" t="s">
        <v>134</v>
      </c>
      <c r="F32" s="6" t="s">
        <v>135</v>
      </c>
      <c r="G32" s="9">
        <f>IF(A32=1,"_",IF(C32="_","???",C32))</f>
        <v/>
      </c>
      <c r="H32" s="10" t="s">
        <v>12</v>
      </c>
      <c r="I32" s="11" t="s">
        <v>12</v>
      </c>
      <c r="J32" s="12"/>
    </row>
    <row r="33" spans="1:10" ht="60" customHeight="1">
      <c r="A33" s="6" t="s">
        <v>136</v>
      </c>
      <c r="B33" s="6" t="s">
        <v>102</v>
      </c>
      <c r="C33" s="6" t="s">
        <v>12</v>
      </c>
      <c r="D33" s="7" t="s">
        <v>137</v>
      </c>
      <c r="E33" s="8" t="s">
        <v>138</v>
      </c>
      <c r="F33" s="6" t="s">
        <v>139</v>
      </c>
      <c r="G33" s="9">
        <f>IF(A33=1,"_",IF(C33="_","???",C33))</f>
        <v/>
      </c>
      <c r="H33" s="10" t="s">
        <v>12</v>
      </c>
      <c r="I33" s="11" t="s">
        <v>12</v>
      </c>
      <c r="J33" s="12"/>
    </row>
    <row r="34" spans="1:10" ht="60" customHeight="1">
      <c r="A34" s="6" t="s">
        <v>140</v>
      </c>
      <c r="B34" s="6" t="s">
        <v>21</v>
      </c>
      <c r="C34" s="6" t="s">
        <v>12</v>
      </c>
      <c r="D34" s="7" t="s">
        <v>141</v>
      </c>
      <c r="E34" s="8" t="s">
        <v>142</v>
      </c>
      <c r="F34" s="6" t="s">
        <v>143</v>
      </c>
      <c r="G34" s="9">
        <f>IF(A34=1,"_",IF(C34="_","???",C34))</f>
        <v/>
      </c>
      <c r="H34" s="10" t="s">
        <v>12</v>
      </c>
      <c r="I34" s="11" t="s">
        <v>12</v>
      </c>
      <c r="J34" s="12"/>
    </row>
    <row r="35" spans="1:10" ht="60" customHeight="1">
      <c r="A35" s="6" t="s">
        <v>144</v>
      </c>
      <c r="B35" s="6" t="s">
        <v>39</v>
      </c>
      <c r="C35" s="6" t="s">
        <v>12</v>
      </c>
      <c r="D35" s="7" t="s">
        <v>145</v>
      </c>
      <c r="E35" s="8" t="s">
        <v>146</v>
      </c>
      <c r="F35" s="6" t="s">
        <v>147</v>
      </c>
      <c r="G35" s="9">
        <f>IF(A35=1,"_",IF(C35="_","???",C35))</f>
        <v/>
      </c>
      <c r="H35" s="10" t="s">
        <v>12</v>
      </c>
      <c r="I35" s="11" t="s">
        <v>12</v>
      </c>
      <c r="J35" s="12"/>
    </row>
    <row r="36" spans="1:10" ht="60" customHeight="1">
      <c r="A36" s="6" t="s">
        <v>148</v>
      </c>
      <c r="B36" s="6" t="s">
        <v>39</v>
      </c>
      <c r="C36" s="6" t="s">
        <v>61</v>
      </c>
      <c r="D36" s="7" t="s">
        <v>149</v>
      </c>
      <c r="E36" s="8" t="s">
        <v>150</v>
      </c>
      <c r="F36" s="6" t="s">
        <v>151</v>
      </c>
      <c r="G36" s="9">
        <f>IF(A36=1,"_",IF(C36="_","???",C36))</f>
        <v/>
      </c>
      <c r="H36" s="10" t="s">
        <v>12</v>
      </c>
      <c r="I36" s="11" t="s">
        <v>12</v>
      </c>
      <c r="J36" s="12"/>
    </row>
    <row r="37" spans="1:10" ht="60" customHeight="1">
      <c r="A37" s="6" t="s">
        <v>152</v>
      </c>
      <c r="B37" s="6" t="s">
        <v>39</v>
      </c>
      <c r="C37" s="6" t="s">
        <v>12</v>
      </c>
      <c r="D37" s="7" t="s">
        <v>153</v>
      </c>
      <c r="E37" s="8" t="s">
        <v>154</v>
      </c>
      <c r="F37" s="6" t="s">
        <v>155</v>
      </c>
      <c r="G37" s="9">
        <f>IF(A37=1,"_",IF(C37="_","???",C37))</f>
        <v/>
      </c>
      <c r="H37" s="10" t="s">
        <v>12</v>
      </c>
      <c r="I37" s="11" t="s">
        <v>12</v>
      </c>
      <c r="J37" s="12"/>
    </row>
    <row r="38" spans="1:10" ht="60" customHeight="1">
      <c r="A38" s="6" t="s">
        <v>156</v>
      </c>
      <c r="B38" s="6" t="s">
        <v>21</v>
      </c>
      <c r="C38" s="6" t="s">
        <v>12</v>
      </c>
      <c r="D38" s="7" t="s">
        <v>107</v>
      </c>
      <c r="E38" s="8" t="s">
        <v>157</v>
      </c>
      <c r="F38" s="6" t="s">
        <v>158</v>
      </c>
      <c r="G38" s="9">
        <f>IF(A38=1,"_",IF(C38="_","???",C38))</f>
        <v/>
      </c>
      <c r="H38" s="10" t="s">
        <v>12</v>
      </c>
      <c r="I38" s="11" t="s">
        <v>12</v>
      </c>
      <c r="J38" s="12"/>
    </row>
    <row r="39" spans="1:10" ht="60" customHeight="1">
      <c r="A39" s="6" t="s">
        <v>159</v>
      </c>
      <c r="B39" s="6" t="s">
        <v>21</v>
      </c>
      <c r="C39" s="6" t="s">
        <v>12</v>
      </c>
      <c r="D39" s="7" t="s">
        <v>160</v>
      </c>
      <c r="E39" s="8" t="s">
        <v>161</v>
      </c>
      <c r="F39" s="6" t="s">
        <v>162</v>
      </c>
      <c r="G39" s="9">
        <f>IF(A39=1,"_",IF(C39="_","???",C39))</f>
        <v/>
      </c>
      <c r="H39" s="10" t="s">
        <v>12</v>
      </c>
      <c r="I39" s="11" t="s">
        <v>12</v>
      </c>
      <c r="J39" s="12"/>
    </row>
    <row r="40" spans="1:10" ht="60" customHeight="1">
      <c r="A40" s="6" t="s">
        <v>163</v>
      </c>
      <c r="B40" s="6" t="s">
        <v>25</v>
      </c>
      <c r="C40" s="6" t="s">
        <v>12</v>
      </c>
      <c r="D40" s="7" t="s">
        <v>164</v>
      </c>
      <c r="E40" s="8" t="s">
        <v>165</v>
      </c>
      <c r="F40" s="6" t="s">
        <v>166</v>
      </c>
      <c r="G40" s="9">
        <f>IF(A40=1,"_",IF(C40="_","???",C40))</f>
        <v/>
      </c>
      <c r="H40" s="10" t="s">
        <v>12</v>
      </c>
      <c r="I40" s="11" t="s">
        <v>12</v>
      </c>
      <c r="J40" s="12"/>
    </row>
    <row r="41" spans="1:10" ht="60" customHeight="1">
      <c r="A41" s="6" t="s">
        <v>167</v>
      </c>
      <c r="B41" s="6" t="s">
        <v>11</v>
      </c>
      <c r="C41" s="6" t="s">
        <v>12</v>
      </c>
      <c r="D41" s="7" t="s">
        <v>168</v>
      </c>
      <c r="E41" s="8" t="s">
        <v>169</v>
      </c>
      <c r="F41" s="6" t="s">
        <v>170</v>
      </c>
      <c r="G41" s="9">
        <f>IF(A41=1,"_",IF(C41="_","???",C41))</f>
        <v/>
      </c>
      <c r="H41" s="10" t="s">
        <v>12</v>
      </c>
      <c r="I41" s="11" t="s">
        <v>12</v>
      </c>
      <c r="J41" s="12"/>
    </row>
    <row r="42" spans="1:10" ht="60" customHeight="1">
      <c r="A42" s="6" t="s">
        <v>171</v>
      </c>
      <c r="B42" s="6" t="s">
        <v>16</v>
      </c>
      <c r="C42" s="6" t="s">
        <v>12</v>
      </c>
      <c r="D42" s="7" t="s">
        <v>172</v>
      </c>
      <c r="E42" s="8" t="s">
        <v>173</v>
      </c>
      <c r="F42" s="6" t="s">
        <v>174</v>
      </c>
      <c r="G42" s="9">
        <f>IF(A42=1,"_",IF(C42="_","???",C42))</f>
        <v/>
      </c>
      <c r="H42" s="10" t="s">
        <v>12</v>
      </c>
      <c r="I42" s="11" t="s">
        <v>12</v>
      </c>
      <c r="J42" s="12"/>
    </row>
    <row r="43" spans="1:10" ht="60" customHeight="1">
      <c r="A43" s="6" t="s">
        <v>175</v>
      </c>
      <c r="B43" s="6" t="s">
        <v>57</v>
      </c>
      <c r="C43" s="6" t="s">
        <v>12</v>
      </c>
      <c r="D43" s="7" t="s">
        <v>176</v>
      </c>
      <c r="E43" s="8" t="s">
        <v>177</v>
      </c>
      <c r="F43" s="6" t="s">
        <v>178</v>
      </c>
      <c r="G43" s="9">
        <f>IF(A43=1,"_",IF(C43="_","???",C43))</f>
        <v/>
      </c>
      <c r="H43" s="10" t="s">
        <v>12</v>
      </c>
      <c r="I43" s="11" t="s">
        <v>12</v>
      </c>
      <c r="J43" s="12"/>
    </row>
    <row r="44" spans="1:10" ht="60" customHeight="1">
      <c r="A44" s="6" t="s">
        <v>179</v>
      </c>
      <c r="B44" s="6" t="s">
        <v>16</v>
      </c>
      <c r="C44" s="6" t="s">
        <v>12</v>
      </c>
      <c r="D44" s="7" t="s">
        <v>180</v>
      </c>
      <c r="E44" s="8" t="s">
        <v>181</v>
      </c>
      <c r="F44" s="6" t="s">
        <v>182</v>
      </c>
      <c r="G44" s="9">
        <f>IF(A44=1,"_",IF(C44="_","???",C44))</f>
        <v/>
      </c>
      <c r="H44" s="10" t="s">
        <v>12</v>
      </c>
      <c r="I44" s="11" t="s">
        <v>12</v>
      </c>
      <c r="J44" s="12"/>
    </row>
    <row r="45" spans="1:10" ht="60" customHeight="1">
      <c r="A45" s="6" t="s">
        <v>183</v>
      </c>
      <c r="B45" s="6" t="s">
        <v>16</v>
      </c>
      <c r="C45" s="6" t="s">
        <v>12</v>
      </c>
      <c r="D45" s="7" t="s">
        <v>184</v>
      </c>
      <c r="E45" s="8" t="s">
        <v>185</v>
      </c>
      <c r="F45" s="6" t="s">
        <v>186</v>
      </c>
      <c r="G45" s="9">
        <f>IF(A45=1,"_",IF(C45="_","???",C45))</f>
        <v/>
      </c>
      <c r="H45" s="10" t="s">
        <v>12</v>
      </c>
      <c r="I45" s="11" t="s">
        <v>12</v>
      </c>
      <c r="J45" s="12"/>
    </row>
    <row r="46" spans="1:10" ht="60" customHeight="1">
      <c r="A46" s="6" t="s">
        <v>187</v>
      </c>
      <c r="B46" s="6" t="s">
        <v>16</v>
      </c>
      <c r="C46" s="6" t="s">
        <v>12</v>
      </c>
      <c r="D46" s="7" t="s">
        <v>107</v>
      </c>
      <c r="E46" s="8" t="s">
        <v>188</v>
      </c>
      <c r="F46" s="6" t="s">
        <v>189</v>
      </c>
      <c r="G46" s="9">
        <f>IF(A46=1,"_",IF(C46="_","???",C46))</f>
        <v/>
      </c>
      <c r="H46" s="10" t="s">
        <v>12</v>
      </c>
      <c r="I46" s="11" t="s">
        <v>12</v>
      </c>
      <c r="J46" s="12"/>
    </row>
    <row r="47" spans="1:10" ht="60" customHeight="1">
      <c r="A47" s="6" t="s">
        <v>190</v>
      </c>
      <c r="B47" s="6" t="s">
        <v>10</v>
      </c>
      <c r="C47" s="6" t="s">
        <v>12</v>
      </c>
      <c r="D47" s="7" t="s">
        <v>191</v>
      </c>
      <c r="E47" s="8" t="s">
        <v>192</v>
      </c>
      <c r="F47" s="6" t="s">
        <v>193</v>
      </c>
      <c r="G47" s="9">
        <f>IF(A47=1,"_",IF(C47="_","???",C47))</f>
        <v/>
      </c>
      <c r="H47" s="10" t="s">
        <v>12</v>
      </c>
      <c r="I47" s="11" t="s">
        <v>12</v>
      </c>
      <c r="J47" s="12"/>
    </row>
    <row r="48" spans="1:10" ht="60" customHeight="1">
      <c r="A48" s="6" t="s">
        <v>194</v>
      </c>
      <c r="B48" s="6" t="s">
        <v>43</v>
      </c>
      <c r="C48" s="6" t="s">
        <v>12</v>
      </c>
      <c r="D48" s="7" t="s">
        <v>195</v>
      </c>
      <c r="E48" s="8" t="s">
        <v>196</v>
      </c>
      <c r="F48" s="6" t="s">
        <v>197</v>
      </c>
      <c r="G48" s="9">
        <f>IF(A48=1,"_",IF(C48="_","???",C48))</f>
        <v/>
      </c>
      <c r="H48" s="10" t="s">
        <v>12</v>
      </c>
      <c r="I48" s="11" t="s">
        <v>12</v>
      </c>
      <c r="J48" s="12"/>
    </row>
    <row r="49" spans="1:10" ht="60" customHeight="1">
      <c r="A49" s="6" t="s">
        <v>198</v>
      </c>
      <c r="B49" s="6" t="s">
        <v>30</v>
      </c>
      <c r="C49" s="6" t="s">
        <v>12</v>
      </c>
      <c r="D49" s="7" t="s">
        <v>199</v>
      </c>
      <c r="E49" s="8" t="s">
        <v>200</v>
      </c>
      <c r="F49" s="6" t="s">
        <v>201</v>
      </c>
      <c r="G49" s="9">
        <f>IF(A49=1,"_",IF(C49="_","???",C49))</f>
        <v/>
      </c>
      <c r="H49" s="10" t="s">
        <v>12</v>
      </c>
      <c r="I49" s="11" t="s">
        <v>12</v>
      </c>
      <c r="J49" s="12"/>
    </row>
    <row r="50" spans="1:10" ht="60" customHeight="1">
      <c r="A50" s="6" t="s">
        <v>202</v>
      </c>
      <c r="B50" s="6" t="s">
        <v>86</v>
      </c>
      <c r="C50" s="6" t="s">
        <v>12</v>
      </c>
      <c r="D50" s="7" t="s">
        <v>107</v>
      </c>
      <c r="E50" s="8" t="s">
        <v>203</v>
      </c>
      <c r="F50" s="6" t="s">
        <v>204</v>
      </c>
      <c r="G50" s="9">
        <f>IF(A50=1,"_",IF(C50="_","???",C50))</f>
        <v/>
      </c>
      <c r="H50" s="10" t="s">
        <v>12</v>
      </c>
      <c r="I50" s="11" t="s">
        <v>12</v>
      </c>
      <c r="J50" s="12"/>
    </row>
    <row r="51" spans="1:10" ht="60" customHeight="1">
      <c r="A51" s="6" t="s">
        <v>205</v>
      </c>
      <c r="B51" s="6" t="s">
        <v>11</v>
      </c>
      <c r="C51" s="6" t="s">
        <v>12</v>
      </c>
      <c r="D51" s="7" t="s">
        <v>206</v>
      </c>
      <c r="E51" s="8" t="s">
        <v>207</v>
      </c>
      <c r="F51" s="6" t="s">
        <v>208</v>
      </c>
      <c r="G51" s="9">
        <f>IF(A51=1,"_",IF(C51="_","???",C51))</f>
        <v/>
      </c>
      <c r="H51" s="10" t="s">
        <v>12</v>
      </c>
      <c r="I51" s="11" t="s">
        <v>12</v>
      </c>
      <c r="J51" s="12"/>
    </row>
    <row r="52" spans="1:10" ht="60" customHeight="1">
      <c r="A52" s="6" t="s">
        <v>209</v>
      </c>
      <c r="B52" s="6" t="s">
        <v>94</v>
      </c>
      <c r="C52" s="6" t="s">
        <v>12</v>
      </c>
      <c r="D52" s="7" t="s">
        <v>210</v>
      </c>
      <c r="E52" s="8" t="s">
        <v>211</v>
      </c>
      <c r="F52" s="6" t="s">
        <v>212</v>
      </c>
      <c r="G52" s="9">
        <f>IF(A52=1,"_",IF(C52="_","???",C52))</f>
        <v/>
      </c>
      <c r="H52" s="10" t="s">
        <v>12</v>
      </c>
      <c r="I52" s="11" t="s">
        <v>12</v>
      </c>
      <c r="J52" s="12"/>
    </row>
    <row r="53" spans="1:10" ht="60" customHeight="1">
      <c r="A53" s="6" t="s">
        <v>213</v>
      </c>
      <c r="B53" s="6" t="s">
        <v>35</v>
      </c>
      <c r="C53" s="6" t="s">
        <v>12</v>
      </c>
      <c r="D53" s="7" t="s">
        <v>214</v>
      </c>
      <c r="E53" s="8" t="s">
        <v>215</v>
      </c>
      <c r="F53" s="6" t="s">
        <v>216</v>
      </c>
      <c r="G53" s="9">
        <f>IF(A53=1,"_",IF(C53="_","???",C53))</f>
        <v/>
      </c>
      <c r="H53" s="10" t="s">
        <v>12</v>
      </c>
      <c r="I53" s="11" t="s">
        <v>12</v>
      </c>
      <c r="J53" s="12"/>
    </row>
    <row r="54" spans="1:10" ht="60" customHeight="1">
      <c r="A54" s="6" t="s">
        <v>217</v>
      </c>
      <c r="B54" s="6" t="s">
        <v>10</v>
      </c>
      <c r="C54" s="6" t="s">
        <v>12</v>
      </c>
      <c r="D54" s="7" t="s">
        <v>218</v>
      </c>
      <c r="E54" s="8" t="s">
        <v>219</v>
      </c>
      <c r="F54" s="6" t="s">
        <v>220</v>
      </c>
      <c r="G54" s="9">
        <f>IF(A54=1,"_",IF(C54="_","???",C54))</f>
        <v/>
      </c>
      <c r="H54" s="10" t="s">
        <v>12</v>
      </c>
      <c r="I54" s="11" t="s">
        <v>12</v>
      </c>
      <c r="J54" s="12"/>
    </row>
    <row r="55" spans="1:10" ht="60" customHeight="1">
      <c r="A55" s="6" t="s">
        <v>221</v>
      </c>
      <c r="B55" s="6" t="s">
        <v>43</v>
      </c>
      <c r="C55" s="6" t="s">
        <v>12</v>
      </c>
      <c r="D55" s="7" t="s">
        <v>222</v>
      </c>
      <c r="E55" s="8" t="s">
        <v>223</v>
      </c>
      <c r="F55" s="6" t="s">
        <v>224</v>
      </c>
      <c r="G55" s="9">
        <f>IF(A55=1,"_",IF(C55="_","???",C55))</f>
        <v/>
      </c>
      <c r="H55" s="10" t="s">
        <v>12</v>
      </c>
      <c r="I55" s="11" t="s">
        <v>12</v>
      </c>
      <c r="J55" s="12"/>
    </row>
    <row r="56" spans="1:10" ht="60" customHeight="1">
      <c r="A56" s="6" t="s">
        <v>225</v>
      </c>
      <c r="B56" s="6" t="s">
        <v>35</v>
      </c>
      <c r="C56" s="6" t="s">
        <v>12</v>
      </c>
      <c r="D56" s="7" t="s">
        <v>226</v>
      </c>
      <c r="E56" s="8" t="s">
        <v>227</v>
      </c>
      <c r="F56" s="6" t="s">
        <v>228</v>
      </c>
      <c r="G56" s="9">
        <f>IF(A56=1,"_",IF(C56="_","???",C56))</f>
        <v/>
      </c>
      <c r="H56" s="10" t="s">
        <v>12</v>
      </c>
      <c r="I56" s="11" t="s">
        <v>12</v>
      </c>
      <c r="J56" s="12"/>
    </row>
    <row r="57" spans="1:10" ht="60" customHeight="1">
      <c r="A57" s="6" t="s">
        <v>229</v>
      </c>
      <c r="B57" s="6" t="s">
        <v>25</v>
      </c>
      <c r="C57" s="6" t="s">
        <v>12</v>
      </c>
      <c r="D57" s="7" t="s">
        <v>230</v>
      </c>
      <c r="E57" s="8" t="s">
        <v>231</v>
      </c>
      <c r="F57" s="6" t="s">
        <v>232</v>
      </c>
      <c r="G57" s="9">
        <f>IF(A57=1,"_",IF(C57="_","???",C57))</f>
        <v/>
      </c>
      <c r="H57" s="10" t="s">
        <v>12</v>
      </c>
      <c r="I57" s="11" t="s">
        <v>12</v>
      </c>
      <c r="J57" s="12"/>
    </row>
    <row r="58" spans="1:10" ht="60" customHeight="1">
      <c r="A58" s="6" t="s">
        <v>233</v>
      </c>
      <c r="B58" s="6" t="s">
        <v>16</v>
      </c>
      <c r="C58" s="6" t="s">
        <v>12</v>
      </c>
      <c r="D58" s="7" t="s">
        <v>234</v>
      </c>
      <c r="E58" s="8" t="s">
        <v>235</v>
      </c>
      <c r="F58" s="6" t="s">
        <v>236</v>
      </c>
      <c r="G58" s="9">
        <f>IF(A58=1,"_",IF(C58="_","???",C58))</f>
        <v/>
      </c>
      <c r="H58" s="10" t="s">
        <v>12</v>
      </c>
      <c r="I58" s="11" t="s">
        <v>12</v>
      </c>
      <c r="J58" s="12"/>
    </row>
    <row r="59" spans="1:10" ht="60" customHeight="1">
      <c r="A59" s="6" t="s">
        <v>237</v>
      </c>
      <c r="B59" s="6" t="s">
        <v>21</v>
      </c>
      <c r="C59" s="6" t="s">
        <v>12</v>
      </c>
      <c r="D59" s="7" t="s">
        <v>238</v>
      </c>
      <c r="E59" s="8" t="s">
        <v>239</v>
      </c>
      <c r="F59" s="6" t="s">
        <v>240</v>
      </c>
      <c r="G59" s="9">
        <f>IF(A59=1,"_",IF(C59="_","???",C59))</f>
        <v/>
      </c>
      <c r="H59" s="10" t="s">
        <v>12</v>
      </c>
      <c r="I59" s="11" t="s">
        <v>12</v>
      </c>
      <c r="J59" s="12"/>
    </row>
    <row r="60" spans="1:10" ht="60" customHeight="1">
      <c r="A60" s="6" t="s">
        <v>241</v>
      </c>
      <c r="B60" s="6" t="s">
        <v>10</v>
      </c>
      <c r="C60" s="6" t="s">
        <v>12</v>
      </c>
      <c r="D60" s="7" t="s">
        <v>242</v>
      </c>
      <c r="E60" s="8" t="s">
        <v>243</v>
      </c>
      <c r="F60" s="6" t="s">
        <v>244</v>
      </c>
      <c r="G60" s="9">
        <f>IF(A60=1,"_",IF(C60="_","???",C60))</f>
        <v/>
      </c>
      <c r="H60" s="10" t="s">
        <v>12</v>
      </c>
      <c r="I60" s="11" t="s">
        <v>12</v>
      </c>
      <c r="J60" s="12"/>
    </row>
    <row r="61" spans="1:10" ht="60" customHeight="1">
      <c r="A61" s="6" t="s">
        <v>245</v>
      </c>
      <c r="B61" s="6" t="s">
        <v>30</v>
      </c>
      <c r="C61" s="6" t="s">
        <v>12</v>
      </c>
      <c r="D61" s="7" t="s">
        <v>218</v>
      </c>
      <c r="E61" s="8" t="s">
        <v>246</v>
      </c>
      <c r="F61" s="6" t="s">
        <v>247</v>
      </c>
      <c r="G61" s="9">
        <f>IF(A61=1,"_",IF(C61="_","???",C61))</f>
        <v/>
      </c>
      <c r="H61" s="10" t="s">
        <v>12</v>
      </c>
      <c r="I61" s="11" t="s">
        <v>12</v>
      </c>
      <c r="J61" s="12"/>
    </row>
    <row r="62" spans="1:10" ht="60" customHeight="1">
      <c r="A62" s="6" t="s">
        <v>248</v>
      </c>
      <c r="B62" s="6" t="s">
        <v>16</v>
      </c>
      <c r="C62" s="6" t="s">
        <v>12</v>
      </c>
      <c r="D62" s="7" t="s">
        <v>249</v>
      </c>
      <c r="E62" s="8" t="s">
        <v>250</v>
      </c>
      <c r="F62" s="6" t="s">
        <v>251</v>
      </c>
      <c r="G62" s="9">
        <f>IF(A62=1,"_",IF(C62="_","???",C62))</f>
        <v/>
      </c>
      <c r="H62" s="10" t="s">
        <v>12</v>
      </c>
      <c r="I62" s="11" t="s">
        <v>12</v>
      </c>
      <c r="J62" s="12"/>
    </row>
    <row r="63" spans="1:10" ht="60" customHeight="1">
      <c r="A63" s="6" t="s">
        <v>252</v>
      </c>
      <c r="B63" s="6" t="s">
        <v>10</v>
      </c>
      <c r="C63" s="6" t="s">
        <v>12</v>
      </c>
      <c r="D63" s="7" t="s">
        <v>253</v>
      </c>
      <c r="E63" s="8" t="s">
        <v>253</v>
      </c>
      <c r="F63" s="6" t="s">
        <v>254</v>
      </c>
      <c r="G63" s="9">
        <f>IF(A63=1,"_",IF(C63="_","???",C63))</f>
        <v/>
      </c>
      <c r="H63" s="10" t="s">
        <v>12</v>
      </c>
      <c r="I63" s="11" t="s">
        <v>12</v>
      </c>
      <c r="J63" s="12"/>
    </row>
    <row r="64" spans="1:10" ht="60" customHeight="1">
      <c r="A64" s="6" t="s">
        <v>255</v>
      </c>
      <c r="B64" s="6" t="s">
        <v>21</v>
      </c>
      <c r="C64" s="6" t="s">
        <v>12</v>
      </c>
      <c r="D64" s="7" t="s">
        <v>256</v>
      </c>
      <c r="E64" s="8" t="s">
        <v>257</v>
      </c>
      <c r="F64" s="6" t="s">
        <v>258</v>
      </c>
      <c r="G64" s="9">
        <f>IF(A64=1,"_",IF(C64="_","???",C64))</f>
        <v/>
      </c>
      <c r="H64" s="10" t="s">
        <v>12</v>
      </c>
      <c r="I64" s="11" t="s">
        <v>12</v>
      </c>
      <c r="J64" s="12"/>
    </row>
    <row r="65" spans="1:10" ht="60" customHeight="1">
      <c r="A65" s="6" t="s">
        <v>259</v>
      </c>
      <c r="B65" s="6" t="s">
        <v>43</v>
      </c>
      <c r="C65" s="6" t="s">
        <v>260</v>
      </c>
      <c r="D65" s="7" t="s">
        <v>261</v>
      </c>
      <c r="E65" s="8" t="s">
        <v>262</v>
      </c>
      <c r="F65" s="6" t="s">
        <v>263</v>
      </c>
      <c r="G65" s="9">
        <f>IF(A65=1,"_",IF(C65="_","???",C65))</f>
        <v/>
      </c>
      <c r="H65" s="10" t="s">
        <v>12</v>
      </c>
      <c r="I65" s="11" t="s">
        <v>12</v>
      </c>
      <c r="J65" s="12"/>
    </row>
    <row r="66" spans="1:10" ht="60" customHeight="1">
      <c r="A66" s="6" t="s">
        <v>264</v>
      </c>
      <c r="B66" s="6" t="s">
        <v>10</v>
      </c>
      <c r="C66" s="6" t="s">
        <v>12</v>
      </c>
      <c r="D66" s="7" t="s">
        <v>265</v>
      </c>
      <c r="E66" s="8" t="s">
        <v>266</v>
      </c>
      <c r="F66" s="6" t="s">
        <v>267</v>
      </c>
      <c r="G66" s="9">
        <f>IF(A66=1,"_",IF(C66="_","???",C66))</f>
        <v/>
      </c>
      <c r="H66" s="10" t="s">
        <v>12</v>
      </c>
      <c r="I66" s="11" t="s">
        <v>12</v>
      </c>
      <c r="J66" s="12"/>
    </row>
    <row r="67" spans="1:10" ht="60" customHeight="1">
      <c r="A67" s="6" t="s">
        <v>268</v>
      </c>
      <c r="B67" s="6" t="s">
        <v>54</v>
      </c>
      <c r="C67" s="6" t="s">
        <v>12</v>
      </c>
      <c r="D67" s="7" t="s">
        <v>269</v>
      </c>
      <c r="E67" s="8" t="s">
        <v>270</v>
      </c>
      <c r="F67" s="6" t="s">
        <v>271</v>
      </c>
      <c r="G67" s="9">
        <f>IF(A67=1,"_",IF(C67="_","???",C67))</f>
        <v/>
      </c>
      <c r="H67" s="10" t="s">
        <v>12</v>
      </c>
      <c r="I67" s="11" t="s">
        <v>12</v>
      </c>
      <c r="J67" s="12"/>
    </row>
    <row r="68" spans="1:10" ht="60" customHeight="1">
      <c r="A68" s="6" t="s">
        <v>272</v>
      </c>
      <c r="B68" s="6" t="s">
        <v>30</v>
      </c>
      <c r="C68" s="6" t="s">
        <v>12</v>
      </c>
      <c r="D68" s="7" t="s">
        <v>256</v>
      </c>
      <c r="E68" s="8" t="s">
        <v>273</v>
      </c>
      <c r="F68" s="6" t="s">
        <v>274</v>
      </c>
      <c r="G68" s="9">
        <f>IF(A68=1,"_",IF(C68="_","???",C68))</f>
        <v/>
      </c>
      <c r="H68" s="10" t="s">
        <v>12</v>
      </c>
      <c r="I68" s="11" t="s">
        <v>12</v>
      </c>
      <c r="J68" s="12"/>
    </row>
    <row r="69" spans="1:10" ht="60" customHeight="1">
      <c r="A69" s="6" t="s">
        <v>275</v>
      </c>
      <c r="B69" s="6" t="s">
        <v>21</v>
      </c>
      <c r="C69" s="6" t="s">
        <v>12</v>
      </c>
      <c r="D69" s="7" t="s">
        <v>145</v>
      </c>
      <c r="E69" s="8" t="s">
        <v>276</v>
      </c>
      <c r="F69" s="6" t="s">
        <v>277</v>
      </c>
      <c r="G69" s="9">
        <f>IF(A69=1,"_",IF(C69="_","???",C69))</f>
        <v/>
      </c>
      <c r="H69" s="10" t="s">
        <v>12</v>
      </c>
      <c r="I69" s="11" t="s">
        <v>12</v>
      </c>
      <c r="J69" s="12"/>
    </row>
    <row r="70" spans="1:10" ht="60" customHeight="1">
      <c r="A70" s="6" t="s">
        <v>278</v>
      </c>
      <c r="B70" s="6" t="s">
        <v>21</v>
      </c>
      <c r="C70" s="6" t="s">
        <v>12</v>
      </c>
      <c r="D70" s="7" t="s">
        <v>79</v>
      </c>
      <c r="E70" s="8" t="s">
        <v>279</v>
      </c>
      <c r="F70" s="6" t="s">
        <v>280</v>
      </c>
      <c r="G70" s="9">
        <f>IF(A70=1,"_",IF(C70="_","???",C70))</f>
        <v/>
      </c>
      <c r="H70" s="10" t="s">
        <v>12</v>
      </c>
      <c r="I70" s="11" t="s">
        <v>12</v>
      </c>
      <c r="J70" s="12"/>
    </row>
    <row r="71" spans="1:10" ht="60" customHeight="1">
      <c r="A71" s="6" t="s">
        <v>281</v>
      </c>
      <c r="B71" s="6" t="s">
        <v>43</v>
      </c>
      <c r="C71" s="6" t="s">
        <v>12</v>
      </c>
      <c r="D71" s="7" t="s">
        <v>282</v>
      </c>
      <c r="E71" s="8" t="s">
        <v>283</v>
      </c>
      <c r="F71" s="6" t="s">
        <v>284</v>
      </c>
      <c r="G71" s="9">
        <f>IF(A71=1,"_",IF(C71="_","???",C71))</f>
        <v/>
      </c>
      <c r="H71" s="10" t="s">
        <v>12</v>
      </c>
      <c r="I71" s="11" t="s">
        <v>12</v>
      </c>
      <c r="J71" s="12"/>
    </row>
    <row r="72" spans="1:10" ht="60" customHeight="1">
      <c r="A72" s="6" t="s">
        <v>285</v>
      </c>
      <c r="B72" s="6" t="s">
        <v>16</v>
      </c>
      <c r="C72" s="6" t="s">
        <v>12</v>
      </c>
      <c r="D72" s="7" t="s">
        <v>282</v>
      </c>
      <c r="E72" s="8" t="s">
        <v>286</v>
      </c>
      <c r="F72" s="6" t="s">
        <v>287</v>
      </c>
      <c r="G72" s="9">
        <f>IF(A72=1,"_",IF(C72="_","???",C72))</f>
        <v/>
      </c>
      <c r="H72" s="10" t="s">
        <v>12</v>
      </c>
      <c r="I72" s="11" t="s">
        <v>12</v>
      </c>
      <c r="J72" s="12"/>
    </row>
    <row r="73" spans="1:10" ht="60" customHeight="1">
      <c r="A73" s="6" t="s">
        <v>288</v>
      </c>
      <c r="B73" s="6" t="s">
        <v>21</v>
      </c>
      <c r="C73" s="6" t="s">
        <v>12</v>
      </c>
      <c r="D73" s="7" t="s">
        <v>256</v>
      </c>
      <c r="E73" s="8" t="s">
        <v>289</v>
      </c>
      <c r="F73" s="6" t="s">
        <v>290</v>
      </c>
      <c r="G73" s="9">
        <f>IF(A73=1,"_",IF(C73="_","???",C73))</f>
        <v/>
      </c>
      <c r="H73" s="10" t="s">
        <v>12</v>
      </c>
      <c r="I73" s="11" t="s">
        <v>12</v>
      </c>
      <c r="J73" s="12"/>
    </row>
    <row r="74" spans="1:10" ht="60" customHeight="1">
      <c r="A74" s="6" t="s">
        <v>291</v>
      </c>
      <c r="B74" s="6" t="s">
        <v>16</v>
      </c>
      <c r="C74" s="6" t="s">
        <v>12</v>
      </c>
      <c r="D74" s="7" t="s">
        <v>292</v>
      </c>
      <c r="E74" s="8" t="s">
        <v>293</v>
      </c>
      <c r="F74" s="6" t="s">
        <v>294</v>
      </c>
      <c r="G74" s="9">
        <f>IF(A74=1,"_",IF(C74="_","???",C74))</f>
        <v/>
      </c>
      <c r="H74" s="10" t="s">
        <v>12</v>
      </c>
      <c r="I74" s="11" t="s">
        <v>12</v>
      </c>
      <c r="J74" s="12"/>
    </row>
    <row r="75" spans="1:10" ht="60" customHeight="1">
      <c r="A75" s="6" t="s">
        <v>295</v>
      </c>
      <c r="B75" s="6" t="s">
        <v>11</v>
      </c>
      <c r="C75" s="6" t="s">
        <v>12</v>
      </c>
      <c r="D75" s="7" t="s">
        <v>130</v>
      </c>
      <c r="E75" s="8" t="s">
        <v>296</v>
      </c>
      <c r="F75" s="6" t="s">
        <v>297</v>
      </c>
      <c r="G75" s="9">
        <f>IF(A75=1,"_",IF(C75="_","???",C75))</f>
        <v/>
      </c>
      <c r="H75" s="10" t="s">
        <v>12</v>
      </c>
      <c r="I75" s="11" t="s">
        <v>12</v>
      </c>
      <c r="J75" s="12"/>
    </row>
    <row r="76" spans="1:10" ht="60" customHeight="1">
      <c r="A76" s="6" t="s">
        <v>298</v>
      </c>
      <c r="B76" s="6" t="s">
        <v>16</v>
      </c>
      <c r="C76" s="6" t="s">
        <v>12</v>
      </c>
      <c r="D76" s="7" t="s">
        <v>299</v>
      </c>
      <c r="E76" s="8" t="s">
        <v>300</v>
      </c>
      <c r="F76" s="6" t="s">
        <v>301</v>
      </c>
      <c r="G76" s="9">
        <f>IF(A76=1,"_",IF(C76="_","???",C76))</f>
        <v/>
      </c>
      <c r="H76" s="10" t="s">
        <v>12</v>
      </c>
      <c r="I76" s="11" t="s">
        <v>12</v>
      </c>
      <c r="J76" s="12"/>
    </row>
    <row r="77" spans="1:10" ht="60" customHeight="1">
      <c r="A77" s="6" t="s">
        <v>302</v>
      </c>
      <c r="B77" s="6" t="s">
        <v>30</v>
      </c>
      <c r="C77" s="6" t="s">
        <v>12</v>
      </c>
      <c r="D77" s="7" t="s">
        <v>303</v>
      </c>
      <c r="E77" s="8" t="s">
        <v>304</v>
      </c>
      <c r="F77" s="6" t="s">
        <v>305</v>
      </c>
      <c r="G77" s="9">
        <f>IF(A77=1,"_",IF(C77="_","???",C77))</f>
        <v/>
      </c>
      <c r="H77" s="10" t="s">
        <v>12</v>
      </c>
      <c r="I77" s="11" t="s">
        <v>12</v>
      </c>
      <c r="J77" s="12"/>
    </row>
    <row r="78" spans="1:10" ht="60" customHeight="1">
      <c r="A78" s="6" t="s">
        <v>306</v>
      </c>
      <c r="B78" s="6" t="s">
        <v>30</v>
      </c>
      <c r="C78" s="6" t="s">
        <v>12</v>
      </c>
      <c r="D78" s="7" t="s">
        <v>307</v>
      </c>
      <c r="E78" s="8" t="s">
        <v>308</v>
      </c>
      <c r="F78" s="6" t="s">
        <v>309</v>
      </c>
      <c r="G78" s="9">
        <f>IF(A78=1,"_",IF(C78="_","???",C78))</f>
        <v/>
      </c>
      <c r="H78" s="10" t="s">
        <v>12</v>
      </c>
      <c r="I78" s="11" t="s">
        <v>12</v>
      </c>
      <c r="J78" s="12"/>
    </row>
    <row r="79" spans="1:10" ht="60" customHeight="1">
      <c r="A79" s="6" t="s">
        <v>310</v>
      </c>
      <c r="B79" s="6" t="s">
        <v>11</v>
      </c>
      <c r="C79" s="6" t="s">
        <v>12</v>
      </c>
      <c r="D79" s="7" t="s">
        <v>311</v>
      </c>
      <c r="E79" s="8" t="s">
        <v>312</v>
      </c>
      <c r="F79" s="6" t="s">
        <v>313</v>
      </c>
      <c r="G79" s="9">
        <f>IF(A79=1,"_",IF(C79="_","???",C79))</f>
        <v/>
      </c>
      <c r="H79" s="10" t="s">
        <v>12</v>
      </c>
      <c r="I79" s="11" t="s">
        <v>12</v>
      </c>
      <c r="J79" s="12"/>
    </row>
    <row r="80" spans="1:10" ht="60" customHeight="1">
      <c r="A80" s="6" t="s">
        <v>314</v>
      </c>
      <c r="B80" s="6" t="s">
        <v>30</v>
      </c>
      <c r="C80" s="6" t="s">
        <v>12</v>
      </c>
      <c r="D80" s="7" t="s">
        <v>315</v>
      </c>
      <c r="E80" s="8" t="s">
        <v>316</v>
      </c>
      <c r="F80" s="6" t="s">
        <v>317</v>
      </c>
      <c r="G80" s="9">
        <f>IF(A80=1,"_",IF(C80="_","???",C80))</f>
        <v/>
      </c>
      <c r="H80" s="10" t="s">
        <v>12</v>
      </c>
      <c r="I80" s="11" t="s">
        <v>12</v>
      </c>
      <c r="J80" s="12"/>
    </row>
    <row r="81" spans="1:10" ht="60" customHeight="1">
      <c r="A81" s="6" t="s">
        <v>318</v>
      </c>
      <c r="B81" s="6" t="s">
        <v>21</v>
      </c>
      <c r="C81" s="6" t="s">
        <v>12</v>
      </c>
      <c r="D81" s="7" t="s">
        <v>319</v>
      </c>
      <c r="E81" s="8" t="s">
        <v>320</v>
      </c>
      <c r="F81" s="6" t="s">
        <v>321</v>
      </c>
      <c r="G81" s="9">
        <f>IF(A81=1,"_",IF(C81="_","???",C81))</f>
        <v/>
      </c>
      <c r="H81" s="10" t="s">
        <v>12</v>
      </c>
      <c r="I81" s="11" t="s">
        <v>12</v>
      </c>
      <c r="J81" s="12"/>
    </row>
    <row r="82" spans="1:10" ht="60" customHeight="1">
      <c r="A82" s="6" t="s">
        <v>322</v>
      </c>
      <c r="B82" s="6" t="s">
        <v>21</v>
      </c>
      <c r="C82" s="6" t="s">
        <v>12</v>
      </c>
      <c r="D82" s="7" t="s">
        <v>323</v>
      </c>
      <c r="E82" s="8" t="s">
        <v>324</v>
      </c>
      <c r="F82" s="6" t="s">
        <v>325</v>
      </c>
      <c r="G82" s="9">
        <f>IF(A82=1,"_",IF(C82="_","???",C82))</f>
        <v/>
      </c>
      <c r="H82" s="10" t="s">
        <v>12</v>
      </c>
      <c r="I82" s="11" t="s">
        <v>12</v>
      </c>
      <c r="J82" s="12"/>
    </row>
    <row r="83" spans="1:10" ht="60" customHeight="1">
      <c r="A83" s="6" t="s">
        <v>326</v>
      </c>
      <c r="B83" s="6" t="s">
        <v>21</v>
      </c>
      <c r="C83" s="6" t="s">
        <v>12</v>
      </c>
      <c r="D83" s="7" t="s">
        <v>327</v>
      </c>
      <c r="E83" s="8" t="s">
        <v>328</v>
      </c>
      <c r="F83" s="6" t="s">
        <v>329</v>
      </c>
      <c r="G83" s="9">
        <f>IF(A83=1,"_",IF(C83="_","???",C83))</f>
        <v/>
      </c>
      <c r="H83" s="10" t="s">
        <v>12</v>
      </c>
      <c r="I83" s="11" t="s">
        <v>12</v>
      </c>
      <c r="J83" s="12"/>
    </row>
    <row r="84" spans="1:10" ht="60" customHeight="1">
      <c r="A84" s="6" t="s">
        <v>330</v>
      </c>
      <c r="B84" s="6" t="s">
        <v>86</v>
      </c>
      <c r="C84" s="6" t="s">
        <v>12</v>
      </c>
      <c r="D84" s="7" t="s">
        <v>331</v>
      </c>
      <c r="E84" s="8" t="s">
        <v>332</v>
      </c>
      <c r="F84" s="6" t="s">
        <v>333</v>
      </c>
      <c r="G84" s="9">
        <f>IF(A84=1,"_",IF(C84="_","???",C84))</f>
        <v/>
      </c>
      <c r="H84" s="10" t="s">
        <v>12</v>
      </c>
      <c r="I84" s="11" t="s">
        <v>12</v>
      </c>
      <c r="J84" s="12"/>
    </row>
    <row r="85" spans="1:10" ht="60" customHeight="1">
      <c r="A85" s="6" t="s">
        <v>334</v>
      </c>
      <c r="B85" s="6" t="s">
        <v>50</v>
      </c>
      <c r="C85" s="6" t="s">
        <v>12</v>
      </c>
      <c r="D85" s="7" t="s">
        <v>335</v>
      </c>
      <c r="E85" s="8" t="s">
        <v>336</v>
      </c>
      <c r="F85" s="6" t="s">
        <v>337</v>
      </c>
      <c r="G85" s="9">
        <f>IF(A85=1,"_",IF(C85="_","???",C85))</f>
        <v/>
      </c>
      <c r="H85" s="10" t="s">
        <v>12</v>
      </c>
      <c r="I85" s="11" t="s">
        <v>12</v>
      </c>
      <c r="J85" s="12"/>
    </row>
    <row r="86" spans="1:10" ht="60" customHeight="1">
      <c r="A86" s="6" t="s">
        <v>338</v>
      </c>
      <c r="B86" s="6" t="s">
        <v>31</v>
      </c>
      <c r="C86" s="6" t="s">
        <v>12</v>
      </c>
      <c r="D86" s="7" t="s">
        <v>339</v>
      </c>
      <c r="E86" s="8" t="s">
        <v>340</v>
      </c>
      <c r="F86" s="6" t="s">
        <v>341</v>
      </c>
      <c r="G86" s="9">
        <f>IF(A86=1,"_",IF(C86="_","???",C86))</f>
        <v/>
      </c>
      <c r="H86" s="10" t="s">
        <v>12</v>
      </c>
      <c r="I86" s="11" t="s">
        <v>12</v>
      </c>
      <c r="J86" s="12"/>
    </row>
    <row r="87" spans="1:10" ht="60" customHeight="1">
      <c r="A87" s="6" t="s">
        <v>342</v>
      </c>
      <c r="B87" s="6" t="s">
        <v>16</v>
      </c>
      <c r="C87" s="6" t="s">
        <v>12</v>
      </c>
      <c r="D87" s="7" t="s">
        <v>145</v>
      </c>
      <c r="E87" s="8" t="s">
        <v>343</v>
      </c>
      <c r="F87" s="6" t="s">
        <v>344</v>
      </c>
      <c r="G87" s="9">
        <f>IF(A87=1,"_",IF(C87="_","???",C87))</f>
        <v/>
      </c>
      <c r="H87" s="10" t="s">
        <v>12</v>
      </c>
      <c r="I87" s="11" t="s">
        <v>12</v>
      </c>
      <c r="J87" s="12"/>
    </row>
    <row r="88" spans="1:10" ht="60" customHeight="1">
      <c r="A88" s="6" t="s">
        <v>345</v>
      </c>
      <c r="B88" s="6" t="s">
        <v>30</v>
      </c>
      <c r="C88" s="6" t="s">
        <v>61</v>
      </c>
      <c r="D88" s="7" t="s">
        <v>62</v>
      </c>
      <c r="E88" s="8" t="s">
        <v>346</v>
      </c>
      <c r="F88" s="6" t="s">
        <v>347</v>
      </c>
      <c r="G88" s="9">
        <f>IF(A88=1,"_",IF(C88="_","???",C88))</f>
        <v/>
      </c>
      <c r="H88" s="10" t="s">
        <v>12</v>
      </c>
      <c r="I88" s="11" t="s">
        <v>12</v>
      </c>
      <c r="J88" s="12"/>
    </row>
    <row r="89" spans="1:10" ht="60" customHeight="1">
      <c r="A89" s="6" t="s">
        <v>348</v>
      </c>
      <c r="B89" s="6" t="s">
        <v>10</v>
      </c>
      <c r="C89" s="6" t="s">
        <v>12</v>
      </c>
      <c r="D89" s="7" t="s">
        <v>349</v>
      </c>
      <c r="E89" s="8" t="s">
        <v>350</v>
      </c>
      <c r="F89" s="6" t="s">
        <v>351</v>
      </c>
      <c r="G89" s="9">
        <f>IF(A89=1,"_",IF(C89="_","???",C89))</f>
        <v/>
      </c>
      <c r="H89" s="10" t="s">
        <v>12</v>
      </c>
      <c r="I89" s="11" t="s">
        <v>12</v>
      </c>
      <c r="J89" s="12"/>
    </row>
    <row r="90" spans="1:10" ht="60" customHeight="1">
      <c r="A90" s="6" t="s">
        <v>352</v>
      </c>
      <c r="B90" s="6" t="s">
        <v>21</v>
      </c>
      <c r="C90" s="6" t="s">
        <v>12</v>
      </c>
      <c r="D90" s="7" t="s">
        <v>353</v>
      </c>
      <c r="E90" s="8" t="s">
        <v>354</v>
      </c>
      <c r="F90" s="6" t="s">
        <v>355</v>
      </c>
      <c r="G90" s="9">
        <f>IF(A90=1,"_",IF(C90="_","???",C90))</f>
        <v/>
      </c>
      <c r="H90" s="10" t="s">
        <v>12</v>
      </c>
      <c r="I90" s="11" t="s">
        <v>12</v>
      </c>
      <c r="J90" s="12"/>
    </row>
    <row r="91" spans="1:10" ht="60" customHeight="1">
      <c r="A91" s="6" t="s">
        <v>356</v>
      </c>
      <c r="B91" s="6" t="s">
        <v>11</v>
      </c>
      <c r="C91" s="6" t="s">
        <v>12</v>
      </c>
      <c r="D91" s="7" t="s">
        <v>357</v>
      </c>
      <c r="E91" s="8" t="s">
        <v>358</v>
      </c>
      <c r="F91" s="6" t="s">
        <v>359</v>
      </c>
      <c r="G91" s="9">
        <f>IF(A91=1,"_",IF(C91="_","???",C91))</f>
        <v/>
      </c>
      <c r="H91" s="10" t="s">
        <v>12</v>
      </c>
      <c r="I91" s="11" t="s">
        <v>12</v>
      </c>
      <c r="J91" s="12"/>
    </row>
    <row r="92" spans="1:10" ht="60" customHeight="1">
      <c r="A92" s="6" t="s">
        <v>360</v>
      </c>
      <c r="B92" s="6" t="s">
        <v>21</v>
      </c>
      <c r="C92" s="6" t="s">
        <v>12</v>
      </c>
      <c r="D92" s="7" t="s">
        <v>361</v>
      </c>
      <c r="E92" s="8" t="s">
        <v>362</v>
      </c>
      <c r="F92" s="6" t="s">
        <v>363</v>
      </c>
      <c r="G92" s="9">
        <f>IF(A92=1,"_",IF(C92="_","???",C92))</f>
        <v/>
      </c>
      <c r="H92" s="10" t="s">
        <v>12</v>
      </c>
      <c r="I92" s="11" t="s">
        <v>12</v>
      </c>
      <c r="J92" s="12"/>
    </row>
    <row r="93" spans="1:10" ht="60" customHeight="1">
      <c r="A93" s="6" t="s">
        <v>364</v>
      </c>
      <c r="B93" s="6" t="s">
        <v>10</v>
      </c>
      <c r="C93" s="6" t="s">
        <v>12</v>
      </c>
      <c r="D93" s="7" t="s">
        <v>365</v>
      </c>
      <c r="E93" s="8" t="s">
        <v>366</v>
      </c>
      <c r="F93" s="6" t="s">
        <v>367</v>
      </c>
      <c r="G93" s="9">
        <f>IF(A93=1,"_",IF(C93="_","???",C93))</f>
        <v/>
      </c>
      <c r="H93" s="10" t="s">
        <v>12</v>
      </c>
      <c r="I93" s="11" t="s">
        <v>12</v>
      </c>
      <c r="J93" s="12"/>
    </row>
    <row r="94" spans="1:10" ht="60" customHeight="1">
      <c r="A94" s="6" t="s">
        <v>368</v>
      </c>
      <c r="B94" s="6" t="s">
        <v>30</v>
      </c>
      <c r="C94" s="6" t="s">
        <v>12</v>
      </c>
      <c r="D94" s="7" t="s">
        <v>107</v>
      </c>
      <c r="E94" s="8" t="s">
        <v>369</v>
      </c>
      <c r="F94" s="6" t="s">
        <v>370</v>
      </c>
      <c r="G94" s="9">
        <f>IF(A94=1,"_",IF(C94="_","???",C94))</f>
        <v/>
      </c>
      <c r="H94" s="10" t="s">
        <v>12</v>
      </c>
      <c r="I94" s="11" t="s">
        <v>12</v>
      </c>
      <c r="J94" s="12"/>
    </row>
    <row r="95" spans="1:10" ht="60" customHeight="1">
      <c r="A95" s="6" t="s">
        <v>371</v>
      </c>
      <c r="B95" s="6" t="s">
        <v>30</v>
      </c>
      <c r="C95" s="6" t="s">
        <v>12</v>
      </c>
      <c r="D95" s="7" t="s">
        <v>372</v>
      </c>
      <c r="E95" s="8" t="s">
        <v>373</v>
      </c>
      <c r="F95" s="6" t="s">
        <v>374</v>
      </c>
      <c r="G95" s="9">
        <f>IF(A95=1,"_",IF(C95="_","???",C95))</f>
        <v/>
      </c>
      <c r="H95" s="10" t="s">
        <v>12</v>
      </c>
      <c r="I95" s="11" t="s">
        <v>12</v>
      </c>
      <c r="J95" s="12"/>
    </row>
    <row r="96" spans="1:10" ht="60" customHeight="1">
      <c r="A96" s="6" t="s">
        <v>375</v>
      </c>
      <c r="B96" s="6" t="s">
        <v>10</v>
      </c>
      <c r="C96" s="6" t="s">
        <v>12</v>
      </c>
      <c r="D96" s="7" t="s">
        <v>376</v>
      </c>
      <c r="E96" s="8" t="s">
        <v>377</v>
      </c>
      <c r="F96" s="6" t="s">
        <v>378</v>
      </c>
      <c r="G96" s="9">
        <f>IF(A96=1,"_",IF(C96="_","???",C96))</f>
        <v/>
      </c>
      <c r="H96" s="10" t="s">
        <v>12</v>
      </c>
      <c r="I96" s="11" t="s">
        <v>12</v>
      </c>
      <c r="J96" s="12"/>
    </row>
    <row r="97" spans="1:10" ht="60" customHeight="1">
      <c r="A97" s="6" t="s">
        <v>379</v>
      </c>
      <c r="B97" s="6" t="s">
        <v>10</v>
      </c>
      <c r="C97" s="6" t="s">
        <v>12</v>
      </c>
      <c r="D97" s="7" t="s">
        <v>380</v>
      </c>
      <c r="E97" s="8" t="s">
        <v>381</v>
      </c>
      <c r="F97" s="6" t="s">
        <v>382</v>
      </c>
      <c r="G97" s="9">
        <f>IF(A97=1,"_",IF(C97="_","???",C97))</f>
        <v/>
      </c>
      <c r="H97" s="10" t="s">
        <v>12</v>
      </c>
      <c r="I97" s="11" t="s">
        <v>12</v>
      </c>
      <c r="J97" s="12"/>
    </row>
    <row r="98" spans="1:10" ht="60" customHeight="1">
      <c r="A98" s="6" t="s">
        <v>383</v>
      </c>
      <c r="B98" s="6" t="s">
        <v>30</v>
      </c>
      <c r="C98" s="6" t="s">
        <v>12</v>
      </c>
      <c r="D98" s="7" t="s">
        <v>384</v>
      </c>
      <c r="E98" s="8" t="s">
        <v>385</v>
      </c>
      <c r="F98" s="6" t="s">
        <v>386</v>
      </c>
      <c r="G98" s="9">
        <f>IF(A98=1,"_",IF(C98="_","???",C98))</f>
        <v/>
      </c>
      <c r="H98" s="10" t="s">
        <v>12</v>
      </c>
      <c r="I98" s="11" t="s">
        <v>12</v>
      </c>
      <c r="J98" s="12"/>
    </row>
    <row r="99" spans="1:10" ht="60" customHeight="1">
      <c r="A99" s="6" t="s">
        <v>387</v>
      </c>
      <c r="B99" s="6" t="s">
        <v>16</v>
      </c>
      <c r="C99" s="6" t="s">
        <v>12</v>
      </c>
      <c r="D99" s="7" t="s">
        <v>388</v>
      </c>
      <c r="E99" s="8" t="s">
        <v>389</v>
      </c>
      <c r="F99" s="6" t="s">
        <v>390</v>
      </c>
      <c r="G99" s="9">
        <f>IF(A99=1,"_",IF(C99="_","???",C99))</f>
        <v/>
      </c>
      <c r="H99" s="10" t="s">
        <v>12</v>
      </c>
      <c r="I99" s="11" t="s">
        <v>12</v>
      </c>
      <c r="J99" s="12"/>
    </row>
    <row r="100" spans="1:10" ht="60" customHeight="1">
      <c r="A100" s="6" t="s">
        <v>391</v>
      </c>
      <c r="B100" s="6" t="s">
        <v>21</v>
      </c>
      <c r="C100" s="6" t="s">
        <v>12</v>
      </c>
      <c r="D100" s="7" t="s">
        <v>392</v>
      </c>
      <c r="E100" s="8" t="s">
        <v>393</v>
      </c>
      <c r="F100" s="6" t="s">
        <v>394</v>
      </c>
      <c r="G100" s="9">
        <f>IF(A100=1,"_",IF(C100="_","???",C100))</f>
        <v/>
      </c>
      <c r="H100" s="10" t="s">
        <v>12</v>
      </c>
      <c r="I100" s="11" t="s">
        <v>12</v>
      </c>
      <c r="J100" s="12"/>
    </row>
    <row r="101" spans="1:10" ht="60" customHeight="1">
      <c r="A101" s="6" t="s">
        <v>395</v>
      </c>
      <c r="B101" s="6" t="s">
        <v>11</v>
      </c>
      <c r="C101" s="6" t="s">
        <v>12</v>
      </c>
      <c r="D101" s="7" t="s">
        <v>396</v>
      </c>
      <c r="E101" s="8" t="s">
        <v>397</v>
      </c>
      <c r="F101" s="6" t="s">
        <v>398</v>
      </c>
      <c r="G101" s="9">
        <f>IF(A101=1,"_",IF(C101="_","???",C101))</f>
        <v/>
      </c>
      <c r="H101" s="10" t="s">
        <v>12</v>
      </c>
      <c r="I101" s="11" t="s">
        <v>12</v>
      </c>
      <c r="J101" s="12"/>
    </row>
    <row r="102" spans="1:10" ht="60" customHeight="1">
      <c r="A102" s="6" t="s">
        <v>399</v>
      </c>
      <c r="B102" s="6" t="s">
        <v>16</v>
      </c>
      <c r="C102" s="6" t="s">
        <v>12</v>
      </c>
      <c r="D102" s="7" t="s">
        <v>400</v>
      </c>
      <c r="E102" s="8" t="s">
        <v>401</v>
      </c>
      <c r="F102" s="6" t="s">
        <v>402</v>
      </c>
      <c r="G102" s="9">
        <f>IF(A102=1,"_",IF(C102="_","???",C102))</f>
        <v/>
      </c>
      <c r="H102" s="10" t="s">
        <v>12</v>
      </c>
      <c r="I102" s="11" t="s">
        <v>12</v>
      </c>
      <c r="J102" s="12"/>
    </row>
    <row r="103" spans="1:10" ht="60" customHeight="1">
      <c r="A103" s="6" t="s">
        <v>403</v>
      </c>
      <c r="B103" s="6" t="s">
        <v>11</v>
      </c>
      <c r="C103" s="6" t="s">
        <v>12</v>
      </c>
      <c r="D103" s="7" t="s">
        <v>404</v>
      </c>
      <c r="E103" s="8" t="s">
        <v>405</v>
      </c>
      <c r="F103" s="6" t="s">
        <v>406</v>
      </c>
      <c r="G103" s="9">
        <f>IF(A103=1,"_",IF(C103="_","???",C103))</f>
        <v/>
      </c>
      <c r="H103" s="10" t="s">
        <v>12</v>
      </c>
      <c r="I103" s="11" t="s">
        <v>12</v>
      </c>
      <c r="J103" s="12"/>
    </row>
    <row r="104" spans="1:10" ht="60" customHeight="1">
      <c r="A104" s="6" t="s">
        <v>407</v>
      </c>
      <c r="B104" s="6" t="s">
        <v>16</v>
      </c>
      <c r="C104" s="6" t="s">
        <v>12</v>
      </c>
      <c r="D104" s="7" t="s">
        <v>408</v>
      </c>
      <c r="E104" s="8" t="s">
        <v>409</v>
      </c>
      <c r="F104" s="6" t="s">
        <v>410</v>
      </c>
      <c r="G104" s="9">
        <f>IF(A104=1,"_",IF(C104="_","???",C104))</f>
        <v/>
      </c>
      <c r="H104" s="10" t="s">
        <v>12</v>
      </c>
      <c r="I104" s="11" t="s">
        <v>12</v>
      </c>
      <c r="J104" s="12"/>
    </row>
    <row r="105" spans="1:10" ht="60" customHeight="1">
      <c r="A105" s="6" t="s">
        <v>411</v>
      </c>
      <c r="B105" s="6" t="s">
        <v>30</v>
      </c>
      <c r="C105" s="6" t="s">
        <v>12</v>
      </c>
      <c r="D105" s="7" t="s">
        <v>412</v>
      </c>
      <c r="E105" s="8" t="s">
        <v>413</v>
      </c>
      <c r="F105" s="6" t="s">
        <v>414</v>
      </c>
      <c r="G105" s="9">
        <f>IF(A105=1,"_",IF(C105="_","???",C105))</f>
        <v/>
      </c>
      <c r="H105" s="10" t="s">
        <v>12</v>
      </c>
      <c r="I105" s="11" t="s">
        <v>12</v>
      </c>
      <c r="J105" s="12"/>
    </row>
    <row r="106" spans="1:10" ht="60" customHeight="1">
      <c r="A106" s="6" t="s">
        <v>415</v>
      </c>
      <c r="B106" s="6" t="s">
        <v>10</v>
      </c>
      <c r="C106" s="6" t="s">
        <v>12</v>
      </c>
      <c r="D106" s="7" t="s">
        <v>392</v>
      </c>
      <c r="E106" s="8" t="s">
        <v>416</v>
      </c>
      <c r="F106" s="6" t="s">
        <v>417</v>
      </c>
      <c r="G106" s="9">
        <f>IF(A106=1,"_",IF(C106="_","???",C106))</f>
        <v/>
      </c>
      <c r="H106" s="10" t="s">
        <v>12</v>
      </c>
      <c r="I106" s="11" t="s">
        <v>12</v>
      </c>
      <c r="J106" s="12"/>
    </row>
    <row r="107" spans="1:10" ht="60" customHeight="1">
      <c r="A107" s="6" t="s">
        <v>418</v>
      </c>
      <c r="B107" s="6" t="s">
        <v>11</v>
      </c>
      <c r="C107" s="6" t="s">
        <v>12</v>
      </c>
      <c r="D107" s="7" t="s">
        <v>319</v>
      </c>
      <c r="E107" s="8" t="s">
        <v>419</v>
      </c>
      <c r="F107" s="6" t="s">
        <v>420</v>
      </c>
      <c r="G107" s="9">
        <f>IF(A107=1,"_",IF(C107="_","???",C107))</f>
        <v/>
      </c>
      <c r="H107" s="10" t="s">
        <v>12</v>
      </c>
      <c r="I107" s="11" t="s">
        <v>12</v>
      </c>
      <c r="J107" s="12"/>
    </row>
    <row r="108" spans="1:10" ht="60" customHeight="1">
      <c r="A108" s="6" t="s">
        <v>421</v>
      </c>
      <c r="B108" s="6" t="s">
        <v>11</v>
      </c>
      <c r="C108" s="6" t="s">
        <v>12</v>
      </c>
      <c r="D108" s="7" t="s">
        <v>422</v>
      </c>
      <c r="E108" s="8" t="s">
        <v>423</v>
      </c>
      <c r="F108" s="6" t="s">
        <v>424</v>
      </c>
      <c r="G108" s="9">
        <f>IF(A108=1,"_",IF(C108="_","???",C108))</f>
        <v/>
      </c>
      <c r="H108" s="10" t="s">
        <v>12</v>
      </c>
      <c r="I108" s="11" t="s">
        <v>12</v>
      </c>
      <c r="J108" s="12"/>
    </row>
    <row r="109" spans="1:10" ht="60" customHeight="1">
      <c r="A109" s="6" t="s">
        <v>425</v>
      </c>
      <c r="B109" s="6" t="s">
        <v>21</v>
      </c>
      <c r="C109" s="6" t="s">
        <v>12</v>
      </c>
      <c r="D109" s="7" t="s">
        <v>426</v>
      </c>
      <c r="E109" s="8" t="s">
        <v>427</v>
      </c>
      <c r="F109" s="6" t="s">
        <v>428</v>
      </c>
      <c r="G109" s="9">
        <f>IF(A109=1,"_",IF(C109="_","???",C109))</f>
        <v/>
      </c>
      <c r="H109" s="10" t="s">
        <v>12</v>
      </c>
      <c r="I109" s="11" t="s">
        <v>12</v>
      </c>
      <c r="J109" s="12"/>
    </row>
    <row r="110" spans="1:10" ht="60" customHeight="1">
      <c r="A110" s="6" t="s">
        <v>429</v>
      </c>
      <c r="B110" s="6" t="s">
        <v>10</v>
      </c>
      <c r="C110" s="6" t="s">
        <v>12</v>
      </c>
      <c r="D110" s="7" t="s">
        <v>242</v>
      </c>
      <c r="E110" s="8" t="s">
        <v>243</v>
      </c>
      <c r="F110" s="6" t="s">
        <v>430</v>
      </c>
      <c r="G110" s="9">
        <f>IF(A110=1,"_",IF(C110="_","???",C110))</f>
        <v/>
      </c>
      <c r="H110" s="10" t="s">
        <v>12</v>
      </c>
      <c r="I110" s="11" t="s">
        <v>12</v>
      </c>
      <c r="J110" s="12"/>
    </row>
    <row r="111" spans="1:10" ht="60" customHeight="1">
      <c r="A111" s="6" t="s">
        <v>431</v>
      </c>
      <c r="B111" s="6" t="s">
        <v>35</v>
      </c>
      <c r="C111" s="6" t="s">
        <v>12</v>
      </c>
      <c r="D111" s="7" t="s">
        <v>107</v>
      </c>
      <c r="E111" s="8" t="s">
        <v>432</v>
      </c>
      <c r="F111" s="6" t="s">
        <v>433</v>
      </c>
      <c r="G111" s="9">
        <f>IF(A111=1,"_",IF(C111="_","???",C111))</f>
        <v/>
      </c>
      <c r="H111" s="10" t="s">
        <v>12</v>
      </c>
      <c r="I111" s="11" t="s">
        <v>12</v>
      </c>
      <c r="J111" s="12"/>
    </row>
    <row r="112" spans="1:10" ht="60" customHeight="1">
      <c r="A112" s="6" t="s">
        <v>434</v>
      </c>
      <c r="B112" s="6" t="s">
        <v>31</v>
      </c>
      <c r="C112" s="6" t="s">
        <v>12</v>
      </c>
      <c r="D112" s="7" t="s">
        <v>435</v>
      </c>
      <c r="E112" s="8" t="s">
        <v>436</v>
      </c>
      <c r="F112" s="6" t="s">
        <v>437</v>
      </c>
      <c r="G112" s="9">
        <f>IF(A112=1,"_",IF(C112="_","???",C112))</f>
        <v/>
      </c>
      <c r="H112" s="10" t="s">
        <v>12</v>
      </c>
      <c r="I112" s="11" t="s">
        <v>12</v>
      </c>
      <c r="J112" s="12"/>
    </row>
    <row r="113" spans="1:10" ht="60" customHeight="1">
      <c r="A113" s="6" t="s">
        <v>438</v>
      </c>
      <c r="B113" s="6" t="s">
        <v>10</v>
      </c>
      <c r="C113" s="6" t="s">
        <v>12</v>
      </c>
      <c r="D113" s="7" t="s">
        <v>392</v>
      </c>
      <c r="E113" s="8" t="s">
        <v>439</v>
      </c>
      <c r="F113" s="6" t="s">
        <v>440</v>
      </c>
      <c r="G113" s="9">
        <f>IF(A113=1,"_",IF(C113="_","???",C113))</f>
        <v/>
      </c>
      <c r="H113" s="10" t="s">
        <v>12</v>
      </c>
      <c r="I113" s="11" t="s">
        <v>12</v>
      </c>
      <c r="J113" s="12"/>
    </row>
    <row r="114" spans="1:10" ht="60" customHeight="1">
      <c r="A114" s="6" t="s">
        <v>441</v>
      </c>
      <c r="B114" s="6" t="s">
        <v>10</v>
      </c>
      <c r="C114" s="6" t="s">
        <v>12</v>
      </c>
      <c r="D114" s="7" t="s">
        <v>380</v>
      </c>
      <c r="E114" s="8" t="s">
        <v>442</v>
      </c>
      <c r="F114" s="6" t="s">
        <v>443</v>
      </c>
      <c r="G114" s="9">
        <f>IF(A114=1,"_",IF(C114="_","???",C114))</f>
        <v/>
      </c>
      <c r="H114" s="10" t="s">
        <v>12</v>
      </c>
      <c r="I114" s="11" t="s">
        <v>12</v>
      </c>
      <c r="J114" s="12"/>
    </row>
    <row r="115" spans="1:10" ht="60" customHeight="1">
      <c r="A115" s="6" t="s">
        <v>444</v>
      </c>
      <c r="B115" s="6" t="s">
        <v>30</v>
      </c>
      <c r="C115" s="6" t="s">
        <v>12</v>
      </c>
      <c r="D115" s="7" t="s">
        <v>445</v>
      </c>
      <c r="E115" s="8" t="s">
        <v>446</v>
      </c>
      <c r="F115" s="6" t="s">
        <v>447</v>
      </c>
      <c r="G115" s="9">
        <f>IF(A115=1,"_",IF(C115="_","???",C115))</f>
        <v/>
      </c>
      <c r="H115" s="10" t="s">
        <v>12</v>
      </c>
      <c r="I115" s="11" t="s">
        <v>12</v>
      </c>
      <c r="J115" s="12"/>
    </row>
    <row r="116" spans="1:10" ht="60" customHeight="1">
      <c r="A116" s="6" t="s">
        <v>448</v>
      </c>
      <c r="B116" s="6" t="s">
        <v>21</v>
      </c>
      <c r="C116" s="6" t="s">
        <v>12</v>
      </c>
      <c r="D116" s="7" t="s">
        <v>449</v>
      </c>
      <c r="E116" s="8" t="s">
        <v>450</v>
      </c>
      <c r="F116" s="6" t="s">
        <v>451</v>
      </c>
      <c r="G116" s="9">
        <f>IF(A116=1,"_",IF(C116="_","???",C116))</f>
        <v/>
      </c>
      <c r="H116" s="10" t="s">
        <v>12</v>
      </c>
      <c r="I116" s="11" t="s">
        <v>12</v>
      </c>
      <c r="J116" s="12"/>
    </row>
    <row r="117" spans="1:10" ht="60" customHeight="1">
      <c r="A117" s="6" t="s">
        <v>452</v>
      </c>
      <c r="B117" s="6" t="s">
        <v>21</v>
      </c>
      <c r="C117" s="6" t="s">
        <v>12</v>
      </c>
      <c r="D117" s="7" t="s">
        <v>145</v>
      </c>
      <c r="E117" s="8" t="s">
        <v>453</v>
      </c>
      <c r="F117" s="6" t="s">
        <v>454</v>
      </c>
      <c r="G117" s="9">
        <f>IF(A117=1,"_",IF(C117="_","???",C117))</f>
        <v/>
      </c>
      <c r="H117" s="10" t="s">
        <v>12</v>
      </c>
      <c r="I117" s="11" t="s">
        <v>12</v>
      </c>
      <c r="J117" s="12"/>
    </row>
    <row r="118" spans="1:10" ht="60" customHeight="1">
      <c r="A118" s="6" t="s">
        <v>455</v>
      </c>
      <c r="B118" s="6" t="s">
        <v>39</v>
      </c>
      <c r="C118" s="6" t="s">
        <v>12</v>
      </c>
      <c r="D118" s="7" t="s">
        <v>456</v>
      </c>
      <c r="E118" s="8" t="s">
        <v>457</v>
      </c>
      <c r="F118" s="6" t="s">
        <v>458</v>
      </c>
      <c r="G118" s="9">
        <f>IF(A118=1,"_",IF(C118="_","???",C118))</f>
        <v/>
      </c>
      <c r="H118" s="10" t="s">
        <v>12</v>
      </c>
      <c r="I118" s="11" t="s">
        <v>12</v>
      </c>
      <c r="J118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168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459</v>
      </c>
      <c r="B1" s="13" t="s">
        <v>460</v>
      </c>
      <c r="C1" s="13" t="s">
        <v>461</v>
      </c>
      <c r="D1" s="13" t="s">
        <v>462</v>
      </c>
      <c r="E1" s="14" t="s">
        <v>463</v>
      </c>
      <c r="F1" s="15" t="s">
        <v>464</v>
      </c>
      <c r="G1" s="16" t="s">
        <v>465</v>
      </c>
      <c r="H1" s="17" t="s">
        <v>466</v>
      </c>
      <c r="I1" s="18" t="s">
        <v>467</v>
      </c>
      <c r="J1" s="18" t="s">
        <v>468</v>
      </c>
      <c r="K1" s="18" t="s">
        <v>469</v>
      </c>
      <c r="L1" s="19" t="s">
        <v>9</v>
      </c>
    </row>
    <row r="2" spans="1:12">
      <c r="A2" s="20" t="s">
        <v>470</v>
      </c>
    </row>
    <row r="3" spans="1:12">
      <c r="A3" s="20" t="s">
        <v>471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472</v>
      </c>
      <c r="B4" s="27" t="s">
        <v>473</v>
      </c>
      <c r="C4" s="27" t="s">
        <v>474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475</v>
      </c>
      <c r="B5" s="27" t="s">
        <v>476</v>
      </c>
      <c r="C5" s="27" t="s">
        <v>477</v>
      </c>
      <c r="D5" s="27" t="s">
        <v>478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479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480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481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482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218</v>
      </c>
      <c r="B10" s="27" t="s">
        <v>483</v>
      </c>
      <c r="C10" s="27" t="s">
        <v>484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485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486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 t="s">
        <v>487</v>
      </c>
      <c r="E13" s="21">
        <f>IF(D13="?OLD","!!!","")</f>
        <v/>
      </c>
      <c r="F13" s="22" t="str">
        <f>IF(OR(E13="",E13="!!!"),"",IF(NOT(ISNA(VLOOKUP(E13,E$1:E12,1,FALSE()))),"OLD",IF(AND(E13&lt;&gt;"",E13&lt;&gt;"!!!"),"NEW","")))</f>
        <v> </v>
      </c>
      <c r="G13" s="23" t="str">
        <f>IF(OR(E13="",E13="!!!"),"",IF(OR(J13=0,AND(J13=1,K13=1),AND(J13=1,I13="SBJ"),AND(J13=1,I13=0)),"?IN_FOCUS",IF(J13&lt;=2,"?ACTIVATED",IF(J13&lt;&gt;"","?FAMILIAR",IF(F13="NEW",IF(ISNA(VLOOKUP(E13,#REF!,1,FALSE())),"?TYPE_IDENTIFIABLE","?REFERENTIAL"),"_")))))</f>
        <v> </v>
      </c>
      <c r="H13" s="24" t="str">
        <f>IF(J13&lt;&gt;1,"",IF(I13="SBJ","CB","?"))</f>
        <v> </v>
      </c>
      <c r="I13" s="25" t="str">
        <f>IF(OR(E13="",E13="!!!",F13="NEW"),"",INDEX(B12:B$2,-1+SUMPRODUCT(MAX(ROW(E12:E$2)*(E13=E12:E$2)))))</f>
        <v> </v>
      </c>
      <c r="J13" s="25" t="str">
        <f>IF(OR(E13="",E13="!!!",F13="NEW"),"",COUNTBLANK(OFFSET(A$1,,,SUMPRODUCT(MAX(ROW(E$2:E13)*(E13=E$2:E13)))))-COUNTBLANK(OFFSET(A$1,,,SUMPRODUCT(MAX(ROW(E$1:E12)*(E2=E$1:E12))))))</f>
        <v> </v>
      </c>
      <c r="K13" s="25" t="str">
        <f>IF(OR(E13="",E13="!!!",F13="NEW"),"",INDEX(J$1:J12,SUMPRODUCT(MAX(ROW(E$1:E12)*(E13=E$1:E12)))))</f>
        <v> </v>
      </c>
      <c r="L13" s="26"/>
    </row>
    <row r="14" spans="1:12">
      <c r="A14" s="20" t="s">
        <v>488</v>
      </c>
      <c r="E14" s="21">
        <f>IF(D14="?OLD","!!!","")</f>
        <v/>
      </c>
      <c r="F14" s="22" t="str">
        <f>IF(OR(E14="",E14="!!!"),"",IF(NOT(ISNA(VLOOKUP(E14,E$1:E13,1,FALSE()))),"OLD",IF(AND(E14&lt;&gt;"",E14&lt;&gt;"!!!"),"NEW","")))</f>
        <v> </v>
      </c>
      <c r="G14" s="23" t="str">
        <f>IF(OR(E14="",E14="!!!"),"",IF(OR(J14=0,AND(J14=1,K14=1),AND(J14=1,I14="SBJ"),AND(J14=1,I14=0)),"?IN_FOCUS",IF(J14&lt;=2,"?ACTIVATED",IF(J14&lt;&gt;"","?FAMILIAR",IF(F14="NEW",IF(ISNA(VLOOKUP(E14,#REF!,1,FALSE())),"?TYPE_IDENTIFIABLE","?REFERENTIAL"),"_")))))</f>
        <v> </v>
      </c>
      <c r="H14" s="24" t="str">
        <f>IF(J14&lt;&gt;1,"",IF(I14="SBJ","CB","?"))</f>
        <v> </v>
      </c>
      <c r="I14" s="25" t="str">
        <f>IF(OR(E14="",E14="!!!",F14="NEW"),"",INDEX(B13:B$2,-1+SUMPRODUCT(MAX(ROW(E13:E$2)*(E14=E13:E$2)))))</f>
        <v> </v>
      </c>
      <c r="J14" s="25" t="str">
        <f>IF(OR(E14="",E14="!!!",F14="NEW"),"",COUNTBLANK(OFFSET(A$1,,,SUMPRODUCT(MAX(ROW(E$2:E14)*(E14=E$2:E14)))))-COUNTBLANK(OFFSET(A$1,,,SUMPRODUCT(MAX(ROW(E$1:E13)*(E2=E$1:E13))))))</f>
        <v> </v>
      </c>
      <c r="K14" s="25" t="str">
        <f>IF(OR(E14="",E14="!!!",F14="NEW"),"",INDEX(J$1:J13,SUMPRODUCT(MAX(ROW(E$1:E13)*(E14=E$1:E13)))))</f>
        <v> </v>
      </c>
      <c r="L14" s="26"/>
    </row>
    <row r="15" spans="1:12">
      <c r="A15" s="20" t="s">
        <v>489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490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253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/>
    </row>
    <row r="19" spans="1:12">
      <c r="A19" s="20" t="s">
        <v>491</v>
      </c>
    </row>
    <row r="20" spans="1:12">
      <c r="A20" s="20" t="s">
        <v>492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299</v>
      </c>
      <c r="B21" s="27" t="s">
        <v>476</v>
      </c>
      <c r="C21" s="27" t="s">
        <v>477</v>
      </c>
      <c r="D21" s="27" t="s">
        <v>478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493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494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495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496</v>
      </c>
      <c r="B25" s="27" t="s">
        <v>473</v>
      </c>
      <c r="C25" s="27" t="s">
        <v>497</v>
      </c>
      <c r="D25" s="27" t="s">
        <v>478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265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482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498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499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475</v>
      </c>
      <c r="B30" s="27" t="s">
        <v>483</v>
      </c>
      <c r="C30" s="27" t="s">
        <v>477</v>
      </c>
      <c r="D30" s="27" t="s">
        <v>478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253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/>
    </row>
    <row r="33" spans="1:12">
      <c r="A33" s="20" t="s">
        <v>500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 t="s">
        <v>501</v>
      </c>
    </row>
    <row r="35" spans="1:12">
      <c r="A35" s="20" t="s">
        <v>502</v>
      </c>
      <c r="E35" s="21">
        <f>IF(D35="?OLD","!!!","")</f>
        <v/>
      </c>
      <c r="F35" s="22" t="str">
        <f>IF(OR(E35="",E35="!!!"),"",IF(NOT(ISNA(VLOOKUP(E35,E$1:E34,1,FALSE()))),"OLD",IF(AND(E35&lt;&gt;"",E35&lt;&gt;"!!!"),"NEW","")))</f>
        <v> </v>
      </c>
      <c r="G35" s="23" t="str">
        <f>IF(OR(E35="",E35="!!!"),"",IF(OR(J35=0,AND(J35=1,K35=1),AND(J35=1,I35="SBJ"),AND(J35=1,I35=0)),"?IN_FOCUS",IF(J35&lt;=2,"?ACTIVATED",IF(J35&lt;&gt;"","?FAMILIAR",IF(F35="NEW",IF(ISNA(VLOOKUP(E35,#REF!,1,FALSE())),"?TYPE_IDENTIFIABLE","?REFERENTIAL"),"_")))))</f>
        <v> </v>
      </c>
      <c r="H35" s="24" t="str">
        <f>IF(J35&lt;&gt;1,"",IF(I35="SBJ","CB","?"))</f>
        <v> </v>
      </c>
      <c r="I35" s="25" t="str">
        <f>IF(OR(E35="",E35="!!!",F35="NEW"),"",INDEX(B34:B$2,-1+SUMPRODUCT(MAX(ROW(E34:E$2)*(E35=E34:E$2)))))</f>
        <v> </v>
      </c>
      <c r="J35" s="25" t="str">
        <f>IF(OR(E35="",E35="!!!",F35="NEW"),"",COUNTBLANK(OFFSET(A$1,,,SUMPRODUCT(MAX(ROW(E$2:E35)*(E35=E$2:E35)))))-COUNTBLANK(OFFSET(A$1,,,SUMPRODUCT(MAX(ROW(E$1:E34)*(E2=E$1:E34))))))</f>
        <v> </v>
      </c>
      <c r="K35" s="25" t="str">
        <f>IF(OR(E35="",E35="!!!",F35="NEW"),"",INDEX(J$1:J34,SUMPRODUCT(MAX(ROW(E$1:E34)*(E35=E$1:E34)))))</f>
        <v> </v>
      </c>
      <c r="L35" s="26"/>
    </row>
    <row r="36" spans="1:12">
      <c r="A36" s="20" t="s">
        <v>503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504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505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498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506</v>
      </c>
      <c r="B40" s="27" t="s">
        <v>483</v>
      </c>
      <c r="C40" s="27" t="s">
        <v>484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507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508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509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510</v>
      </c>
      <c r="B44" s="27" t="s">
        <v>511</v>
      </c>
      <c r="C44" s="27" t="s">
        <v>474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512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513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514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515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505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/>
    </row>
    <row r="51" spans="1:12">
      <c r="A51" s="20" t="s">
        <v>516</v>
      </c>
    </row>
    <row r="52" spans="1:12">
      <c r="A52" s="20" t="s">
        <v>517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518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482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519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520</v>
      </c>
      <c r="B56" s="27" t="s">
        <v>521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513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522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523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524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525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526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527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 t="s">
        <v>12</v>
      </c>
      <c r="E64" s="21">
        <f>IF(D64="?OLD","!!!","")</f>
        <v/>
      </c>
      <c r="F64" s="22" t="str">
        <f>IF(OR(E64="",E64="!!!"),"",IF(NOT(ISNA(VLOOKUP(E64,E$1:E63,1,FALSE()))),"OLD",IF(AND(E64&lt;&gt;"",E64&lt;&gt;"!!!"),"NEW","")))</f>
        <v> </v>
      </c>
      <c r="G64" s="23" t="str">
        <f>IF(OR(E64="",E64="!!!"),"",IF(OR(J64=0,AND(J64=1,K64=1),AND(J64=1,I64="SBJ"),AND(J64=1,I64=0)),"?IN_FOCUS",IF(J64&lt;=2,"?ACTIVATED",IF(J64&lt;&gt;"","?FAMILIAR",IF(F64="NEW",IF(ISNA(VLOOKUP(E64,#REF!,1,FALSE())),"?TYPE_IDENTIFIABLE","?REFERENTIAL"),"_")))))</f>
        <v> </v>
      </c>
      <c r="H64" s="24" t="str">
        <f>IF(J64&lt;&gt;1,"",IF(I64="SBJ","CB","?"))</f>
        <v> </v>
      </c>
      <c r="I64" s="25" t="str">
        <f>IF(OR(E64="",E64="!!!",F64="NEW"),"",INDEX(B63:B$2,-1+SUMPRODUCT(MAX(ROW(E63:E$2)*(E64=E63:E$2)))))</f>
        <v> </v>
      </c>
      <c r="J64" s="25" t="str">
        <f>IF(OR(E64="",E64="!!!",F64="NEW"),"",COUNTBLANK(OFFSET(A$1,,,SUMPRODUCT(MAX(ROW(E$2:E64)*(E64=E$2:E64)))))-COUNTBLANK(OFFSET(A$1,,,SUMPRODUCT(MAX(ROW(E$1:E63)*(E2=E$1:E63))))))</f>
        <v> </v>
      </c>
      <c r="K64" s="25" t="str">
        <f>IF(OR(E64="",E64="!!!",F64="NEW"),"",INDEX(J$1:J63,SUMPRODUCT(MAX(ROW(E$1:E63)*(E64=E$1:E63)))))</f>
        <v> </v>
      </c>
      <c r="L64" s="26"/>
    </row>
    <row r="65" spans="1:12">
      <c r="A65" s="20" t="s">
        <v>12</v>
      </c>
      <c r="E65" s="21">
        <f>IF(D65="?OLD","!!!","")</f>
        <v/>
      </c>
      <c r="F65" s="22" t="str">
        <f>IF(OR(E65="",E65="!!!"),"",IF(NOT(ISNA(VLOOKUP(E65,E$1:E64,1,FALSE()))),"OLD",IF(AND(E65&lt;&gt;"",E65&lt;&gt;"!!!"),"NEW","")))</f>
        <v> </v>
      </c>
      <c r="G65" s="23" t="str">
        <f>IF(OR(E65="",E65="!!!"),"",IF(OR(J65=0,AND(J65=1,K65=1),AND(J65=1,I65="SBJ"),AND(J65=1,I65=0)),"?IN_FOCUS",IF(J65&lt;=2,"?ACTIVATED",IF(J65&lt;&gt;"","?FAMILIAR",IF(F65="NEW",IF(ISNA(VLOOKUP(E65,#REF!,1,FALSE())),"?TYPE_IDENTIFIABLE","?REFERENTIAL"),"_")))))</f>
        <v> </v>
      </c>
      <c r="H65" s="24" t="str">
        <f>IF(J65&lt;&gt;1,"",IF(I65="SBJ","CB","?"))</f>
        <v> </v>
      </c>
      <c r="I65" s="25" t="str">
        <f>IF(OR(E65="",E65="!!!",F65="NEW"),"",INDEX(B64:B$2,-1+SUMPRODUCT(MAX(ROW(E64:E$2)*(E65=E64:E$2)))))</f>
        <v> </v>
      </c>
      <c r="J65" s="25" t="str">
        <f>IF(OR(E65="",E65="!!!",F65="NEW"),"",COUNTBLANK(OFFSET(A$1,,,SUMPRODUCT(MAX(ROW(E$2:E65)*(E65=E$2:E65)))))-COUNTBLANK(OFFSET(A$1,,,SUMPRODUCT(MAX(ROW(E$1:E64)*(E2=E$1:E64))))))</f>
        <v> </v>
      </c>
      <c r="K65" s="25" t="str">
        <f>IF(OR(E65="",E65="!!!",F65="NEW"),"",INDEX(J$1:J64,SUMPRODUCT(MAX(ROW(E$1:E64)*(E65=E$1:E64)))))</f>
        <v> </v>
      </c>
      <c r="L65" s="26"/>
    </row>
    <row r="66" spans="1:12">
      <c r="A66" s="20" t="s">
        <v>528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481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12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12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529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530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482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218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531</v>
      </c>
      <c r="B74" s="27" t="s">
        <v>483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532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482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218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533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534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535</v>
      </c>
      <c r="B80" s="27" t="s">
        <v>511</v>
      </c>
      <c r="C80" s="27" t="s">
        <v>477</v>
      </c>
      <c r="D80" s="27" t="s">
        <v>478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536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537</v>
      </c>
      <c r="B82" s="27" t="s">
        <v>538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 t="s">
        <v>539</v>
      </c>
      <c r="E83" s="21">
        <f>IF(D83="?OLD","!!!","")</f>
        <v/>
      </c>
      <c r="F83" s="22" t="str">
        <f>IF(OR(E83="",E83="!!!"),"",IF(NOT(ISNA(VLOOKUP(E83,E$1:E82,1,FALSE()))),"OLD",IF(AND(E83&lt;&gt;"",E83&lt;&gt;"!!!"),"NEW","")))</f>
        <v> </v>
      </c>
      <c r="G83" s="23" t="str">
        <f>IF(OR(E83="",E83="!!!"),"",IF(OR(J83=0,AND(J83=1,K83=1),AND(J83=1,I83="SBJ"),AND(J83=1,I83=0)),"?IN_FOCUS",IF(J83&lt;=2,"?ACTIVATED",IF(J83&lt;&gt;"","?FAMILIAR",IF(F83="NEW",IF(ISNA(VLOOKUP(E83,#REF!,1,FALSE())),"?TYPE_IDENTIFIABLE","?REFERENTIAL"),"_")))))</f>
        <v> </v>
      </c>
      <c r="H83" s="24" t="str">
        <f>IF(J83&lt;&gt;1,"",IF(I83="SBJ","CB","?"))</f>
        <v> </v>
      </c>
      <c r="I83" s="25" t="str">
        <f>IF(OR(E83="",E83="!!!",F83="NEW"),"",INDEX(B82:B$2,-1+SUMPRODUCT(MAX(ROW(E82:E$2)*(E83=E82:E$2)))))</f>
        <v> </v>
      </c>
      <c r="J83" s="25" t="str">
        <f>IF(OR(E83="",E83="!!!",F83="NEW"),"",COUNTBLANK(OFFSET(A$1,,,SUMPRODUCT(MAX(ROW(E$2:E83)*(E83=E$2:E83)))))-COUNTBLANK(OFFSET(A$1,,,SUMPRODUCT(MAX(ROW(E$1:E82)*(E2=E$1:E82))))))</f>
        <v> </v>
      </c>
      <c r="K83" s="25" t="str">
        <f>IF(OR(E83="",E83="!!!",F83="NEW"),"",INDEX(J$1:J82,SUMPRODUCT(MAX(ROW(E$1:E82)*(E83=E$1:E82)))))</f>
        <v> </v>
      </c>
      <c r="L83" s="26"/>
    </row>
    <row r="84" spans="1:12">
      <c r="A84" s="20" t="s">
        <v>540</v>
      </c>
      <c r="E84" s="21">
        <f>IF(D84="?OLD","!!!","")</f>
        <v/>
      </c>
      <c r="F84" s="22" t="str">
        <f>IF(OR(E84="",E84="!!!"),"",IF(NOT(ISNA(VLOOKUP(E84,E$1:E83,1,FALSE()))),"OLD",IF(AND(E84&lt;&gt;"",E84&lt;&gt;"!!!"),"NEW","")))</f>
        <v> </v>
      </c>
      <c r="G84" s="23" t="str">
        <f>IF(OR(E84="",E84="!!!"),"",IF(OR(J84=0,AND(J84=1,K84=1),AND(J84=1,I84="SBJ"),AND(J84=1,I84=0)),"?IN_FOCUS",IF(J84&lt;=2,"?ACTIVATED",IF(J84&lt;&gt;"","?FAMILIAR",IF(F84="NEW",IF(ISNA(VLOOKUP(E84,#REF!,1,FALSE())),"?TYPE_IDENTIFIABLE","?REFERENTIAL"),"_")))))</f>
        <v> </v>
      </c>
      <c r="H84" s="24" t="str">
        <f>IF(J84&lt;&gt;1,"",IF(I84="SBJ","CB","?"))</f>
        <v> </v>
      </c>
      <c r="I84" s="25" t="str">
        <f>IF(OR(E84="",E84="!!!",F84="NEW"),"",INDEX(B83:B$2,-1+SUMPRODUCT(MAX(ROW(E83:E$2)*(E84=E83:E$2)))))</f>
        <v> </v>
      </c>
      <c r="J84" s="25" t="str">
        <f>IF(OR(E84="",E84="!!!",F84="NEW"),"",COUNTBLANK(OFFSET(A$1,,,SUMPRODUCT(MAX(ROW(E$2:E84)*(E84=E$2:E84)))))-COUNTBLANK(OFFSET(A$1,,,SUMPRODUCT(MAX(ROW(E$1:E83)*(E2=E$1:E83))))))</f>
        <v> </v>
      </c>
      <c r="K84" s="25" t="str">
        <f>IF(OR(E84="",E84="!!!",F84="NEW"),"",INDEX(J$1:J83,SUMPRODUCT(MAX(ROW(E$1:E83)*(E84=E$1:E83)))))</f>
        <v> </v>
      </c>
      <c r="L84" s="26"/>
    </row>
    <row r="85" spans="1:12">
      <c r="A85" s="20" t="s">
        <v>541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542</v>
      </c>
      <c r="B86" s="27" t="s">
        <v>543</v>
      </c>
      <c r="C86" s="27" t="s">
        <v>484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544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253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/>
    </row>
    <row r="90" spans="1:12">
      <c r="A90" s="20" t="s">
        <v>545</v>
      </c>
    </row>
    <row r="91" spans="1:12">
      <c r="A91" s="20" t="s">
        <v>546</v>
      </c>
      <c r="E91" s="21">
        <f>IF(D91="?OLD","!!!","")</f>
        <v/>
      </c>
      <c r="F91" s="22" t="str">
        <f>IF(OR(E91="",E91="!!!"),"",IF(NOT(ISNA(VLOOKUP(E91,E$1:E90,1,FALSE()))),"OLD",IF(AND(E91&lt;&gt;"",E91&lt;&gt;"!!!"),"NEW","")))</f>
        <v> </v>
      </c>
      <c r="G91" s="23" t="str">
        <f>IF(OR(E91="",E91="!!!"),"",IF(OR(J91=0,AND(J91=1,K91=1),AND(J91=1,I91="SBJ"),AND(J91=1,I91=0)),"?IN_FOCUS",IF(J91&lt;=2,"?ACTIVATED",IF(J91&lt;&gt;"","?FAMILIAR",IF(F91="NEW",IF(ISNA(VLOOKUP(E91,#REF!,1,FALSE())),"?TYPE_IDENTIFIABLE","?REFERENTIAL"),"_")))))</f>
        <v> </v>
      </c>
      <c r="H91" s="24" t="str">
        <f>IF(J91&lt;&gt;1,"",IF(I91="SBJ","CB","?"))</f>
        <v> </v>
      </c>
      <c r="I91" s="25" t="str">
        <f>IF(OR(E91="",E91="!!!",F91="NEW"),"",INDEX(B90:B$2,-1+SUMPRODUCT(MAX(ROW(E90:E$2)*(E91=E90:E$2)))))</f>
        <v> </v>
      </c>
      <c r="J91" s="25" t="str">
        <f>IF(OR(E91="",E91="!!!",F91="NEW"),"",COUNTBLANK(OFFSET(A$1,,,SUMPRODUCT(MAX(ROW(E$2:E91)*(E91=E$2:E91)))))-COUNTBLANK(OFFSET(A$1,,,SUMPRODUCT(MAX(ROW(E$1:E90)*(E2=E$1:E90))))))</f>
        <v> </v>
      </c>
      <c r="K91" s="25" t="str">
        <f>IF(OR(E91="",E91="!!!",F91="NEW"),"",INDEX(J$1:J90,SUMPRODUCT(MAX(ROW(E$1:E90)*(E91=E$1:E90)))))</f>
        <v> </v>
      </c>
      <c r="L91" s="26"/>
    </row>
    <row r="92" spans="1:12">
      <c r="A92" s="20" t="s">
        <v>482</v>
      </c>
      <c r="E92" s="21">
        <f>IF(D92="?OLD","!!!","")</f>
        <v/>
      </c>
      <c r="F92" s="22" t="str">
        <f>IF(OR(E92="",E92="!!!"),"",IF(NOT(ISNA(VLOOKUP(E92,E$1:E91,1,FALSE()))),"OLD",IF(AND(E92&lt;&gt;"",E92&lt;&gt;"!!!"),"NEW","")))</f>
        <v> </v>
      </c>
      <c r="G92" s="23" t="str">
        <f>IF(OR(E92="",E92="!!!"),"",IF(OR(J92=0,AND(J92=1,K92=1),AND(J92=1,I92="SBJ"),AND(J92=1,I92=0)),"?IN_FOCUS",IF(J92&lt;=2,"?ACTIVATED",IF(J92&lt;&gt;"","?FAMILIAR",IF(F92="NEW",IF(ISNA(VLOOKUP(E92,#REF!,1,FALSE())),"?TYPE_IDENTIFIABLE","?REFERENTIAL"),"_")))))</f>
        <v> </v>
      </c>
      <c r="H92" s="24" t="str">
        <f>IF(J92&lt;&gt;1,"",IF(I92="SBJ","CB","?"))</f>
        <v> </v>
      </c>
      <c r="I92" s="25" t="str">
        <f>IF(OR(E92="",E92="!!!",F92="NEW"),"",INDEX(B91:B$2,-1+SUMPRODUCT(MAX(ROW(E91:E$2)*(E92=E91:E$2)))))</f>
        <v> </v>
      </c>
      <c r="J92" s="25" t="str">
        <f>IF(OR(E92="",E92="!!!",F92="NEW"),"",COUNTBLANK(OFFSET(A$1,,,SUMPRODUCT(MAX(ROW(E$2:E92)*(E92=E$2:E92)))))-COUNTBLANK(OFFSET(A$1,,,SUMPRODUCT(MAX(ROW(E$1:E91)*(E2=E$1:E91))))))</f>
        <v> </v>
      </c>
      <c r="K92" s="25" t="str">
        <f>IF(OR(E92="",E92="!!!",F92="NEW"),"",INDEX(J$1:J91,SUMPRODUCT(MAX(ROW(E$1:E91)*(E92=E$1:E91)))))</f>
        <v> </v>
      </c>
      <c r="L92" s="26"/>
    </row>
    <row r="93" spans="1:12">
      <c r="A93" s="20" t="s">
        <v>547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548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549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482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550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551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 t="s">
        <v>552</v>
      </c>
      <c r="E99" s="21">
        <f>IF(D99="?OLD","!!!","")</f>
        <v/>
      </c>
      <c r="F99" s="22" t="str">
        <f>IF(OR(E99="",E99="!!!"),"",IF(NOT(ISNA(VLOOKUP(E99,E$1:E98,1,FALSE()))),"OLD",IF(AND(E99&lt;&gt;"",E99&lt;&gt;"!!!"),"NEW","")))</f>
        <v> </v>
      </c>
      <c r="G99" s="23" t="str">
        <f>IF(OR(E99="",E99="!!!"),"",IF(OR(J99=0,AND(J99=1,K99=1),AND(J99=1,I99="SBJ"),AND(J99=1,I99=0)),"?IN_FOCUS",IF(J99&lt;=2,"?ACTIVATED",IF(J99&lt;&gt;"","?FAMILIAR",IF(F99="NEW",IF(ISNA(VLOOKUP(E99,#REF!,1,FALSE())),"?TYPE_IDENTIFIABLE","?REFERENTIAL"),"_")))))</f>
        <v> </v>
      </c>
      <c r="H99" s="24" t="str">
        <f>IF(J99&lt;&gt;1,"",IF(I99="SBJ","CB","?"))</f>
        <v> </v>
      </c>
      <c r="I99" s="25" t="str">
        <f>IF(OR(E99="",E99="!!!",F99="NEW"),"",INDEX(B98:B$2,-1+SUMPRODUCT(MAX(ROW(E98:E$2)*(E99=E98:E$2)))))</f>
        <v> </v>
      </c>
      <c r="J99" s="25" t="str">
        <f>IF(OR(E99="",E99="!!!",F99="NEW"),"",COUNTBLANK(OFFSET(A$1,,,SUMPRODUCT(MAX(ROW(E$2:E99)*(E99=E$2:E99)))))-COUNTBLANK(OFFSET(A$1,,,SUMPRODUCT(MAX(ROW(E$1:E98)*(E2=E$1:E98))))))</f>
        <v> </v>
      </c>
      <c r="K99" s="25" t="str">
        <f>IF(OR(E99="",E99="!!!",F99="NEW"),"",INDEX(J$1:J98,SUMPRODUCT(MAX(ROW(E$1:E98)*(E99=E$1:E98)))))</f>
        <v> </v>
      </c>
      <c r="L99" s="26"/>
    </row>
    <row r="100" spans="1:12">
      <c r="A100" s="20" t="s">
        <v>482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513</v>
      </c>
      <c r="E101" s="21">
        <f>IF(D101="?OLD","!!!","")</f>
        <v/>
      </c>
      <c r="F101" s="22" t="str">
        <f>IF(OR(E101="",E101="!!!"),"",IF(NOT(ISNA(VLOOKUP(E101,E$1:E100,1,FALSE()))),"OLD",IF(AND(E101&lt;&gt;"",E101&lt;&gt;"!!!"),"NEW","")))</f>
        <v> </v>
      </c>
      <c r="G101" s="23" t="str">
        <f>IF(OR(E101="",E101="!!!"),"",IF(OR(J101=0,AND(J101=1,K101=1),AND(J101=1,I101="SBJ"),AND(J101=1,I101=0)),"?IN_FOCUS",IF(J101&lt;=2,"?ACTIVATED",IF(J101&lt;&gt;"","?FAMILIAR",IF(F101="NEW",IF(ISNA(VLOOKUP(E101,#REF!,1,FALSE())),"?TYPE_IDENTIFIABLE","?REFERENTIAL"),"_")))))</f>
        <v> </v>
      </c>
      <c r="H101" s="24" t="str">
        <f>IF(J101&lt;&gt;1,"",IF(I101="SBJ","CB","?"))</f>
        <v> </v>
      </c>
      <c r="I101" s="25" t="str">
        <f>IF(OR(E101="",E101="!!!",F101="NEW"),"",INDEX(B100:B$2,-1+SUMPRODUCT(MAX(ROW(E100:E$2)*(E101=E100:E$2)))))</f>
        <v> </v>
      </c>
      <c r="J101" s="25" t="str">
        <f>IF(OR(E101="",E101="!!!",F101="NEW"),"",COUNTBLANK(OFFSET(A$1,,,SUMPRODUCT(MAX(ROW(E$2:E101)*(E101=E$2:E101)))))-COUNTBLANK(OFFSET(A$1,,,SUMPRODUCT(MAX(ROW(E$1:E100)*(E2=E$1:E100))))))</f>
        <v> </v>
      </c>
      <c r="K101" s="25" t="str">
        <f>IF(OR(E101="",E101="!!!",F101="NEW"),"",INDEX(J$1:J100,SUMPRODUCT(MAX(ROW(E$1:E100)*(E101=E$1:E100)))))</f>
        <v> </v>
      </c>
      <c r="L101" s="26"/>
    </row>
    <row r="102" spans="1:12">
      <c r="A102" s="20" t="s">
        <v>553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554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555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528</v>
      </c>
      <c r="B105" s="27" t="s">
        <v>476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482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265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556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528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481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253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/>
    </row>
    <row r="113" spans="1:12">
      <c r="A113" s="20" t="s">
        <v>557</v>
      </c>
    </row>
    <row r="114" spans="1:12">
      <c r="A114" s="20" t="s">
        <v>558</v>
      </c>
      <c r="B114" s="27" t="s">
        <v>476</v>
      </c>
      <c r="C114" s="27" t="s">
        <v>484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507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559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560</v>
      </c>
      <c r="B117" s="27" t="s">
        <v>473</v>
      </c>
      <c r="C117" s="27" t="s">
        <v>484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561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562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563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564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 t="s">
        <v>253</v>
      </c>
      <c r="E122" s="21">
        <f>IF(D122="?OLD","!!!","")</f>
        <v/>
      </c>
      <c r="F122" s="22" t="str">
        <f>IF(OR(E122="",E122="!!!"),"",IF(NOT(ISNA(VLOOKUP(E122,E$1:E121,1,FALSE()))),"OLD",IF(AND(E122&lt;&gt;"",E122&lt;&gt;"!!!"),"NEW","")))</f>
        <v> </v>
      </c>
      <c r="G122" s="23" t="str">
        <f>IF(OR(E122="",E122="!!!"),"",IF(OR(J122=0,AND(J122=1,K122=1),AND(J122=1,I122="SBJ"),AND(J122=1,I122=0)),"?IN_FOCUS",IF(J122&lt;=2,"?ACTIVATED",IF(J122&lt;&gt;"","?FAMILIAR",IF(F122="NEW",IF(ISNA(VLOOKUP(E122,#REF!,1,FALSE())),"?TYPE_IDENTIFIABLE","?REFERENTIAL"),"_")))))</f>
        <v> </v>
      </c>
      <c r="H122" s="24" t="str">
        <f>IF(J122&lt;&gt;1,"",IF(I122="SBJ","CB","?"))</f>
        <v> </v>
      </c>
      <c r="I122" s="25" t="str">
        <f>IF(OR(E122="",E122="!!!",F122="NEW"),"",INDEX(B121:B$2,-1+SUMPRODUCT(MAX(ROW(E121:E$2)*(E122=E121:E$2)))))</f>
        <v> </v>
      </c>
      <c r="J122" s="25" t="str">
        <f>IF(OR(E122="",E122="!!!",F122="NEW"),"",COUNTBLANK(OFFSET(A$1,,,SUMPRODUCT(MAX(ROW(E$2:E122)*(E122=E$2:E122)))))-COUNTBLANK(OFFSET(A$1,,,SUMPRODUCT(MAX(ROW(E$1:E121)*(E2=E$1:E121))))))</f>
        <v> </v>
      </c>
      <c r="K122" s="25" t="str">
        <f>IF(OR(E122="",E122="!!!",F122="NEW"),"",INDEX(J$1:J121,SUMPRODUCT(MAX(ROW(E$1:E121)*(E122=E$1:E121)))))</f>
        <v> </v>
      </c>
      <c r="L122" s="26"/>
    </row>
    <row r="123" spans="1:12">
      <c r="A123" s="20"/>
    </row>
    <row r="124" spans="1:12">
      <c r="A124" s="20" t="s">
        <v>565</v>
      </c>
    </row>
    <row r="125" spans="1:12">
      <c r="A125" s="20" t="s">
        <v>566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567</v>
      </c>
      <c r="B126" s="27" t="s">
        <v>473</v>
      </c>
      <c r="C126" s="27" t="s">
        <v>497</v>
      </c>
      <c r="D126" s="27" t="s">
        <v>478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482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568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569</v>
      </c>
      <c r="B129" s="27" t="s">
        <v>538</v>
      </c>
      <c r="C129" s="27" t="s">
        <v>477</v>
      </c>
      <c r="D129" s="27" t="s">
        <v>478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534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570</v>
      </c>
      <c r="B131" s="27" t="s">
        <v>543</v>
      </c>
      <c r="C131" s="27" t="s">
        <v>477</v>
      </c>
      <c r="D131" s="27" t="s">
        <v>478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571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572</v>
      </c>
      <c r="B133" s="27" t="s">
        <v>573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574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482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475</v>
      </c>
      <c r="B136" s="27" t="s">
        <v>476</v>
      </c>
      <c r="C136" s="27" t="s">
        <v>477</v>
      </c>
      <c r="D136" s="27" t="s">
        <v>478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575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44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576</v>
      </c>
      <c r="B139" s="27" t="s">
        <v>577</v>
      </c>
      <c r="C139" s="27" t="s">
        <v>477</v>
      </c>
      <c r="D139" s="27" t="s">
        <v>478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578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482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579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47</v>
      </c>
      <c r="B143" s="27" t="s">
        <v>483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253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/>
    </row>
    <row r="146" spans="1:12">
      <c r="A146" s="20" t="s">
        <v>580</v>
      </c>
    </row>
    <row r="147" spans="1:12">
      <c r="A147" s="20" t="s">
        <v>581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 t="s">
        <v>475</v>
      </c>
      <c r="B148" s="27" t="s">
        <v>476</v>
      </c>
      <c r="C148" s="27" t="s">
        <v>477</v>
      </c>
      <c r="D148" s="27" t="s">
        <v>478</v>
      </c>
      <c r="E148" s="21">
        <f>IF(D148="?OLD","!!!","")</f>
        <v/>
      </c>
      <c r="F148" s="22" t="str">
        <f>IF(OR(E148="",E148="!!!"),"",IF(NOT(ISNA(VLOOKUP(E148,E$1:E147,1,FALSE()))),"OLD",IF(AND(E148&lt;&gt;"",E148&lt;&gt;"!!!"),"NEW","")))</f>
        <v> </v>
      </c>
      <c r="G148" s="23" t="str">
        <f>IF(OR(E148="",E148="!!!"),"",IF(OR(J148=0,AND(J148=1,K148=1),AND(J148=1,I148="SBJ"),AND(J148=1,I148=0)),"?IN_FOCUS",IF(J148&lt;=2,"?ACTIVATED",IF(J148&lt;&gt;"","?FAMILIAR",IF(F148="NEW",IF(ISNA(VLOOKUP(E148,#REF!,1,FALSE())),"?TYPE_IDENTIFIABLE","?REFERENTIAL"),"_")))))</f>
        <v> </v>
      </c>
      <c r="H148" s="24" t="str">
        <f>IF(J148&lt;&gt;1,"",IF(I148="SBJ","CB","?"))</f>
        <v> </v>
      </c>
      <c r="I148" s="25" t="str">
        <f>IF(OR(E148="",E148="!!!",F148="NEW"),"",INDEX(B147:B$2,-1+SUMPRODUCT(MAX(ROW(E147:E$2)*(E148=E147:E$2)))))</f>
        <v> </v>
      </c>
      <c r="J148" s="25" t="str">
        <f>IF(OR(E148="",E148="!!!",F148="NEW"),"",COUNTBLANK(OFFSET(A$1,,,SUMPRODUCT(MAX(ROW(E$2:E148)*(E148=E$2:E148)))))-COUNTBLANK(OFFSET(A$1,,,SUMPRODUCT(MAX(ROW(E$1:E147)*(E2=E$1:E147))))))</f>
        <v> </v>
      </c>
      <c r="K148" s="25" t="str">
        <f>IF(OR(E148="",E148="!!!",F148="NEW"),"",INDEX(J$1:J147,SUMPRODUCT(MAX(ROW(E$1:E147)*(E148=E$1:E147)))))</f>
        <v> </v>
      </c>
      <c r="L148" s="26"/>
    </row>
    <row r="149" spans="1:12">
      <c r="A149" s="20" t="s">
        <v>582</v>
      </c>
      <c r="E149" s="21">
        <f>IF(D149="?OLD","!!!","")</f>
        <v/>
      </c>
      <c r="F149" s="22" t="str">
        <f>IF(OR(E149="",E149="!!!"),"",IF(NOT(ISNA(VLOOKUP(E149,E$1:E148,1,FALSE()))),"OLD",IF(AND(E149&lt;&gt;"",E149&lt;&gt;"!!!"),"NEW","")))</f>
        <v> </v>
      </c>
      <c r="G149" s="23" t="str">
        <f>IF(OR(E149="",E149="!!!"),"",IF(OR(J149=0,AND(J149=1,K149=1),AND(J149=1,I149="SBJ"),AND(J149=1,I149=0)),"?IN_FOCUS",IF(J149&lt;=2,"?ACTIVATED",IF(J149&lt;&gt;"","?FAMILIAR",IF(F149="NEW",IF(ISNA(VLOOKUP(E149,#REF!,1,FALSE())),"?TYPE_IDENTIFIABLE","?REFERENTIAL"),"_")))))</f>
        <v> </v>
      </c>
      <c r="H149" s="24" t="str">
        <f>IF(J149&lt;&gt;1,"",IF(I149="SBJ","CB","?"))</f>
        <v> </v>
      </c>
      <c r="I149" s="25" t="str">
        <f>IF(OR(E149="",E149="!!!",F149="NEW"),"",INDEX(B148:B$2,-1+SUMPRODUCT(MAX(ROW(E148:E$2)*(E149=E148:E$2)))))</f>
        <v> </v>
      </c>
      <c r="J149" s="25" t="str">
        <f>IF(OR(E149="",E149="!!!",F149="NEW"),"",COUNTBLANK(OFFSET(A$1,,,SUMPRODUCT(MAX(ROW(E$2:E149)*(E149=E$2:E149)))))-COUNTBLANK(OFFSET(A$1,,,SUMPRODUCT(MAX(ROW(E$1:E148)*(E2=E$1:E148))))))</f>
        <v> </v>
      </c>
      <c r="K149" s="25" t="str">
        <f>IF(OR(E149="",E149="!!!",F149="NEW"),"",INDEX(J$1:J148,SUMPRODUCT(MAX(ROW(E$1:E148)*(E149=E$1:E148)))))</f>
        <v> </v>
      </c>
      <c r="L149" s="26"/>
    </row>
    <row r="150" spans="1:12">
      <c r="A150" s="20" t="s">
        <v>576</v>
      </c>
      <c r="B150" s="27" t="s">
        <v>521</v>
      </c>
      <c r="C150" s="27" t="s">
        <v>477</v>
      </c>
      <c r="D150" s="27" t="s">
        <v>478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482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498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583</v>
      </c>
      <c r="B153" s="27" t="s">
        <v>483</v>
      </c>
      <c r="C153" s="27" t="s">
        <v>477</v>
      </c>
      <c r="D153" s="27" t="s">
        <v>478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584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253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/>
    </row>
    <row r="157" spans="1:12">
      <c r="A157" s="20" t="s">
        <v>585</v>
      </c>
    </row>
    <row r="158" spans="1:12">
      <c r="A158" s="20" t="s">
        <v>586</v>
      </c>
      <c r="B158" s="27" t="s">
        <v>476</v>
      </c>
      <c r="C158" s="27" t="s">
        <v>497</v>
      </c>
      <c r="D158" s="27" t="s">
        <v>478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47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482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 t="s">
        <v>587</v>
      </c>
      <c r="B161" s="27" t="s">
        <v>483</v>
      </c>
      <c r="C161" s="27" t="s">
        <v>484</v>
      </c>
      <c r="E161" s="21">
        <f>IF(D161="?OLD","!!!","")</f>
        <v/>
      </c>
      <c r="F161" s="22" t="str">
        <f>IF(OR(E161="",E161="!!!"),"",IF(NOT(ISNA(VLOOKUP(E161,E$1:E160,1,FALSE()))),"OLD",IF(AND(E161&lt;&gt;"",E161&lt;&gt;"!!!"),"NEW","")))</f>
        <v> </v>
      </c>
      <c r="G161" s="23" t="str">
        <f>IF(OR(E161="",E161="!!!"),"",IF(OR(J161=0,AND(J161=1,K161=1),AND(J161=1,I161="SBJ"),AND(J161=1,I161=0)),"?IN_FOCUS",IF(J161&lt;=2,"?ACTIVATED",IF(J161&lt;&gt;"","?FAMILIAR",IF(F161="NEW",IF(ISNA(VLOOKUP(E161,#REF!,1,FALSE())),"?TYPE_IDENTIFIABLE","?REFERENTIAL"),"_")))))</f>
        <v> </v>
      </c>
      <c r="H161" s="24" t="str">
        <f>IF(J161&lt;&gt;1,"",IF(I161="SBJ","CB","?"))</f>
        <v> </v>
      </c>
      <c r="I161" s="25" t="str">
        <f>IF(OR(E161="",E161="!!!",F161="NEW"),"",INDEX(B160:B$2,-1+SUMPRODUCT(MAX(ROW(E160:E$2)*(E161=E160:E$2)))))</f>
        <v> </v>
      </c>
      <c r="J161" s="25" t="str">
        <f>IF(OR(E161="",E161="!!!",F161="NEW"),"",COUNTBLANK(OFFSET(A$1,,,SUMPRODUCT(MAX(ROW(E$2:E161)*(E161=E$2:E161)))))-COUNTBLANK(OFFSET(A$1,,,SUMPRODUCT(MAX(ROW(E$1:E160)*(E2=E$1:E160))))))</f>
        <v> </v>
      </c>
      <c r="K161" s="25" t="str">
        <f>IF(OR(E161="",E161="!!!",F161="NEW"),"",INDEX(J$1:J160,SUMPRODUCT(MAX(ROW(E$1:E160)*(E161=E$1:E160)))))</f>
        <v> </v>
      </c>
      <c r="L161" s="26"/>
    </row>
    <row r="162" spans="1:12">
      <c r="A162" s="20" t="s">
        <v>588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513</v>
      </c>
      <c r="E163" s="21">
        <f>IF(D163="?OLD","!!!","")</f>
        <v/>
      </c>
      <c r="F163" s="22" t="str">
        <f>IF(OR(E163="",E163="!!!"),"",IF(NOT(ISNA(VLOOKUP(E163,E$1:E162,1,FALSE()))),"OLD",IF(AND(E163&lt;&gt;"",E163&lt;&gt;"!!!"),"NEW","")))</f>
        <v> </v>
      </c>
      <c r="G163" s="23" t="str">
        <f>IF(OR(E163="",E163="!!!"),"",IF(OR(J163=0,AND(J163=1,K163=1),AND(J163=1,I163="SBJ"),AND(J163=1,I163=0)),"?IN_FOCUS",IF(J163&lt;=2,"?ACTIVATED",IF(J163&lt;&gt;"","?FAMILIAR",IF(F163="NEW",IF(ISNA(VLOOKUP(E163,#REF!,1,FALSE())),"?TYPE_IDENTIFIABLE","?REFERENTIAL"),"_")))))</f>
        <v> </v>
      </c>
      <c r="H163" s="24" t="str">
        <f>IF(J163&lt;&gt;1,"",IF(I163="SBJ","CB","?"))</f>
        <v> </v>
      </c>
      <c r="I163" s="25" t="str">
        <f>IF(OR(E163="",E163="!!!",F163="NEW"),"",INDEX(B162:B$2,-1+SUMPRODUCT(MAX(ROW(E162:E$2)*(E163=E162:E$2)))))</f>
        <v> </v>
      </c>
      <c r="J163" s="25" t="str">
        <f>IF(OR(E163="",E163="!!!",F163="NEW"),"",COUNTBLANK(OFFSET(A$1,,,SUMPRODUCT(MAX(ROW(E$2:E163)*(E163=E$2:E163)))))-COUNTBLANK(OFFSET(A$1,,,SUMPRODUCT(MAX(ROW(E$1:E162)*(E2=E$1:E162))))))</f>
        <v> </v>
      </c>
      <c r="K163" s="25" t="str">
        <f>IF(OR(E163="",E163="!!!",F163="NEW"),"",INDEX(J$1:J162,SUMPRODUCT(MAX(ROW(E$1:E162)*(E163=E$1:E162)))))</f>
        <v> </v>
      </c>
      <c r="L163" s="26"/>
    </row>
    <row r="164" spans="1:12">
      <c r="A164" s="20" t="s">
        <v>589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590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591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592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482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593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594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595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534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596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597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253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/>
    </row>
    <row r="177" spans="1:12">
      <c r="A177" s="20" t="s">
        <v>598</v>
      </c>
    </row>
    <row r="178" spans="1:12">
      <c r="A178" s="20" t="s">
        <v>599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475</v>
      </c>
      <c r="B179" s="27" t="s">
        <v>476</v>
      </c>
      <c r="C179" s="27" t="s">
        <v>477</v>
      </c>
      <c r="D179" s="27" t="s">
        <v>478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600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601</v>
      </c>
      <c r="B181" s="27" t="s">
        <v>521</v>
      </c>
      <c r="C181" s="27" t="s">
        <v>477</v>
      </c>
      <c r="D181" s="27" t="s">
        <v>478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593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591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592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 t="s">
        <v>489</v>
      </c>
      <c r="E185" s="21">
        <f>IF(D185="?OLD","!!!","")</f>
        <v/>
      </c>
      <c r="F185" s="22" t="str">
        <f>IF(OR(E185="",E185="!!!"),"",IF(NOT(ISNA(VLOOKUP(E185,E$1:E184,1,FALSE()))),"OLD",IF(AND(E185&lt;&gt;"",E185&lt;&gt;"!!!"),"NEW","")))</f>
        <v> </v>
      </c>
      <c r="G185" s="23" t="str">
        <f>IF(OR(E185="",E185="!!!"),"",IF(OR(J185=0,AND(J185=1,K185=1),AND(J185=1,I185="SBJ"),AND(J185=1,I185=0)),"?IN_FOCUS",IF(J185&lt;=2,"?ACTIVATED",IF(J185&lt;&gt;"","?FAMILIAR",IF(F185="NEW",IF(ISNA(VLOOKUP(E185,#REF!,1,FALSE())),"?TYPE_IDENTIFIABLE","?REFERENTIAL"),"_")))))</f>
        <v> </v>
      </c>
      <c r="H185" s="24" t="str">
        <f>IF(J185&lt;&gt;1,"",IF(I185="SBJ","CB","?"))</f>
        <v> </v>
      </c>
      <c r="I185" s="25" t="str">
        <f>IF(OR(E185="",E185="!!!",F185="NEW"),"",INDEX(B184:B$2,-1+SUMPRODUCT(MAX(ROW(E184:E$2)*(E185=E184:E$2)))))</f>
        <v> </v>
      </c>
      <c r="J185" s="25" t="str">
        <f>IF(OR(E185="",E185="!!!",F185="NEW"),"",COUNTBLANK(OFFSET(A$1,,,SUMPRODUCT(MAX(ROW(E$2:E185)*(E185=E$2:E185)))))-COUNTBLANK(OFFSET(A$1,,,SUMPRODUCT(MAX(ROW(E$1:E184)*(E2=E$1:E184))))))</f>
        <v> </v>
      </c>
      <c r="K185" s="25" t="str">
        <f>IF(OR(E185="",E185="!!!",F185="NEW"),"",INDEX(J$1:J184,SUMPRODUCT(MAX(ROW(E$1:E184)*(E185=E$1:E184)))))</f>
        <v> </v>
      </c>
      <c r="L185" s="26"/>
    </row>
    <row r="186" spans="1:12">
      <c r="A186" s="20" t="s">
        <v>602</v>
      </c>
      <c r="E186" s="21">
        <f>IF(D186="?OLD","!!!","")</f>
        <v/>
      </c>
      <c r="F186" s="22" t="str">
        <f>IF(OR(E186="",E186="!!!"),"",IF(NOT(ISNA(VLOOKUP(E186,E$1:E185,1,FALSE()))),"OLD",IF(AND(E186&lt;&gt;"",E186&lt;&gt;"!!!"),"NEW","")))</f>
        <v> </v>
      </c>
      <c r="G186" s="23" t="str">
        <f>IF(OR(E186="",E186="!!!"),"",IF(OR(J186=0,AND(J186=1,K186=1),AND(J186=1,I186="SBJ"),AND(J186=1,I186=0)),"?IN_FOCUS",IF(J186&lt;=2,"?ACTIVATED",IF(J186&lt;&gt;"","?FAMILIAR",IF(F186="NEW",IF(ISNA(VLOOKUP(E186,#REF!,1,FALSE())),"?TYPE_IDENTIFIABLE","?REFERENTIAL"),"_")))))</f>
        <v> </v>
      </c>
      <c r="H186" s="24" t="str">
        <f>IF(J186&lt;&gt;1,"",IF(I186="SBJ","CB","?"))</f>
        <v> </v>
      </c>
      <c r="I186" s="25" t="str">
        <f>IF(OR(E186="",E186="!!!",F186="NEW"),"",INDEX(B185:B$2,-1+SUMPRODUCT(MAX(ROW(E185:E$2)*(E186=E185:E$2)))))</f>
        <v> </v>
      </c>
      <c r="J186" s="25" t="str">
        <f>IF(OR(E186="",E186="!!!",F186="NEW"),"",COUNTBLANK(OFFSET(A$1,,,SUMPRODUCT(MAX(ROW(E$2:E186)*(E186=E$2:E186)))))-COUNTBLANK(OFFSET(A$1,,,SUMPRODUCT(MAX(ROW(E$1:E185)*(E2=E$1:E185))))))</f>
        <v> </v>
      </c>
      <c r="K186" s="25" t="str">
        <f>IF(OR(E186="",E186="!!!",F186="NEW"),"",INDEX(J$1:J185,SUMPRODUCT(MAX(ROW(E$1:E185)*(E186=E$1:E185)))))</f>
        <v> </v>
      </c>
      <c r="L186" s="26"/>
    </row>
    <row r="187" spans="1:12">
      <c r="A187" s="20" t="s">
        <v>603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513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604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253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/>
    </row>
    <row r="192" spans="1:12">
      <c r="A192" s="20" t="s">
        <v>605</v>
      </c>
    </row>
    <row r="193" spans="1:12">
      <c r="A193" s="20" t="s">
        <v>606</v>
      </c>
      <c r="B193" s="27" t="s">
        <v>476</v>
      </c>
      <c r="C193" s="27" t="s">
        <v>477</v>
      </c>
      <c r="D193" s="27" t="s">
        <v>478</v>
      </c>
      <c r="E193" s="21">
        <f>IF(D193="?OLD","!!!","")</f>
        <v/>
      </c>
      <c r="F193" s="22" t="str">
        <f>IF(OR(E193="",E193="!!!"),"",IF(NOT(ISNA(VLOOKUP(E193,E$1:E192,1,FALSE()))),"OLD",IF(AND(E193&lt;&gt;"",E193&lt;&gt;"!!!"),"NEW","")))</f>
        <v> </v>
      </c>
      <c r="G193" s="23" t="str">
        <f>IF(OR(E193="",E193="!!!"),"",IF(OR(J193=0,AND(J193=1,K193=1),AND(J193=1,I193="SBJ"),AND(J193=1,I193=0)),"?IN_FOCUS",IF(J193&lt;=2,"?ACTIVATED",IF(J193&lt;&gt;"","?FAMILIAR",IF(F193="NEW",IF(ISNA(VLOOKUP(E193,#REF!,1,FALSE())),"?TYPE_IDENTIFIABLE","?REFERENTIAL"),"_")))))</f>
        <v> </v>
      </c>
      <c r="H193" s="24" t="str">
        <f>IF(J193&lt;&gt;1,"",IF(I193="SBJ","CB","?"))</f>
        <v> </v>
      </c>
      <c r="I193" s="25" t="str">
        <f>IF(OR(E193="",E193="!!!",F193="NEW"),"",INDEX(B192:B$2,-1+SUMPRODUCT(MAX(ROW(E192:E$2)*(E193=E192:E$2)))))</f>
        <v> </v>
      </c>
      <c r="J193" s="25" t="str">
        <f>IF(OR(E193="",E193="!!!",F193="NEW"),"",COUNTBLANK(OFFSET(A$1,,,SUMPRODUCT(MAX(ROW(E$2:E193)*(E193=E$2:E193)))))-COUNTBLANK(OFFSET(A$1,,,SUMPRODUCT(MAX(ROW(E$1:E192)*(E2=E$1:E192))))))</f>
        <v> </v>
      </c>
      <c r="K193" s="25" t="str">
        <f>IF(OR(E193="",E193="!!!",F193="NEW"),"",INDEX(J$1:J192,SUMPRODUCT(MAX(ROW(E$1:E192)*(E193=E$1:E192)))))</f>
        <v> </v>
      </c>
      <c r="L193" s="26"/>
    </row>
    <row r="194" spans="1:12">
      <c r="A194" s="20" t="s">
        <v>582</v>
      </c>
      <c r="E194" s="21">
        <f>IF(D194="?OLD","!!!","")</f>
        <v/>
      </c>
      <c r="F194" s="22" t="str">
        <f>IF(OR(E194="",E194="!!!"),"",IF(NOT(ISNA(VLOOKUP(E194,E$1:E193,1,FALSE()))),"OLD",IF(AND(E194&lt;&gt;"",E194&lt;&gt;"!!!"),"NEW","")))</f>
        <v> </v>
      </c>
      <c r="G194" s="23" t="str">
        <f>IF(OR(E194="",E194="!!!"),"",IF(OR(J194=0,AND(J194=1,K194=1),AND(J194=1,I194="SBJ"),AND(J194=1,I194=0)),"?IN_FOCUS",IF(J194&lt;=2,"?ACTIVATED",IF(J194&lt;&gt;"","?FAMILIAR",IF(F194="NEW",IF(ISNA(VLOOKUP(E194,#REF!,1,FALSE())),"?TYPE_IDENTIFIABLE","?REFERENTIAL"),"_")))))</f>
        <v> </v>
      </c>
      <c r="H194" s="24" t="str">
        <f>IF(J194&lt;&gt;1,"",IF(I194="SBJ","CB","?"))</f>
        <v> </v>
      </c>
      <c r="I194" s="25" t="str">
        <f>IF(OR(E194="",E194="!!!",F194="NEW"),"",INDEX(B193:B$2,-1+SUMPRODUCT(MAX(ROW(E193:E$2)*(E194=E193:E$2)))))</f>
        <v> </v>
      </c>
      <c r="J194" s="25" t="str">
        <f>IF(OR(E194="",E194="!!!",F194="NEW"),"",COUNTBLANK(OFFSET(A$1,,,SUMPRODUCT(MAX(ROW(E$2:E194)*(E194=E$2:E194)))))-COUNTBLANK(OFFSET(A$1,,,SUMPRODUCT(MAX(ROW(E$1:E193)*(E2=E$1:E193))))))</f>
        <v> </v>
      </c>
      <c r="K194" s="25" t="str">
        <f>IF(OR(E194="",E194="!!!",F194="NEW"),"",INDEX(J$1:J193,SUMPRODUCT(MAX(ROW(E$1:E193)*(E194=E$1:E193)))))</f>
        <v> </v>
      </c>
      <c r="L194" s="26"/>
    </row>
    <row r="195" spans="1:12">
      <c r="A195" s="20" t="s">
        <v>607</v>
      </c>
      <c r="B195" s="27" t="s">
        <v>521</v>
      </c>
      <c r="C195" s="27" t="s">
        <v>477</v>
      </c>
      <c r="D195" s="27" t="s">
        <v>478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576</v>
      </c>
      <c r="B196" s="27" t="s">
        <v>521</v>
      </c>
      <c r="C196" s="27" t="s">
        <v>477</v>
      </c>
      <c r="D196" s="27" t="s">
        <v>478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482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22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608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609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253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/>
    </row>
    <row r="203" spans="1:12">
      <c r="A203" s="20" t="s">
        <v>610</v>
      </c>
    </row>
    <row r="204" spans="1:12">
      <c r="A204" s="20" t="s">
        <v>502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608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475</v>
      </c>
      <c r="B206" s="27" t="s">
        <v>476</v>
      </c>
      <c r="C206" s="27" t="s">
        <v>477</v>
      </c>
      <c r="D206" s="27" t="s">
        <v>478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609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482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611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475</v>
      </c>
      <c r="B210" s="27" t="s">
        <v>483</v>
      </c>
      <c r="C210" s="27" t="s">
        <v>477</v>
      </c>
      <c r="D210" s="27" t="s">
        <v>478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612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607</v>
      </c>
      <c r="B212" s="27" t="s">
        <v>577</v>
      </c>
      <c r="C212" s="27" t="s">
        <v>477</v>
      </c>
      <c r="D212" s="27" t="s">
        <v>478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253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/>
    </row>
    <row r="215" spans="1:12">
      <c r="A215" s="20" t="s">
        <v>613</v>
      </c>
    </row>
    <row r="216" spans="1:12">
      <c r="A216" s="20" t="s">
        <v>614</v>
      </c>
      <c r="E216" s="21">
        <f>IF(D216="?OLD","!!!","")</f>
        <v/>
      </c>
      <c r="F216" s="22" t="str">
        <f>IF(OR(E216="",E216="!!!"),"",IF(NOT(ISNA(VLOOKUP(E216,E$1:E215,1,FALSE()))),"OLD",IF(AND(E216&lt;&gt;"",E216&lt;&gt;"!!!"),"NEW","")))</f>
        <v> </v>
      </c>
      <c r="G216" s="23" t="str">
        <f>IF(OR(E216="",E216="!!!"),"",IF(OR(J216=0,AND(J216=1,K216=1),AND(J216=1,I216="SBJ"),AND(J216=1,I216=0)),"?IN_FOCUS",IF(J216&lt;=2,"?ACTIVATED",IF(J216&lt;&gt;"","?FAMILIAR",IF(F216="NEW",IF(ISNA(VLOOKUP(E216,#REF!,1,FALSE())),"?TYPE_IDENTIFIABLE","?REFERENTIAL"),"_")))))</f>
        <v> </v>
      </c>
      <c r="H216" s="24" t="str">
        <f>IF(J216&lt;&gt;1,"",IF(I216="SBJ","CB","?"))</f>
        <v> </v>
      </c>
      <c r="I216" s="25" t="str">
        <f>IF(OR(E216="",E216="!!!",F216="NEW"),"",INDEX(B215:B$2,-1+SUMPRODUCT(MAX(ROW(E215:E$2)*(E216=E215:E$2)))))</f>
        <v> </v>
      </c>
      <c r="J216" s="25" t="str">
        <f>IF(OR(E216="",E216="!!!",F216="NEW"),"",COUNTBLANK(OFFSET(A$1,,,SUMPRODUCT(MAX(ROW(E$2:E216)*(E216=E$2:E216)))))-COUNTBLANK(OFFSET(A$1,,,SUMPRODUCT(MAX(ROW(E$1:E215)*(E2=E$1:E215))))))</f>
        <v> </v>
      </c>
      <c r="K216" s="25" t="str">
        <f>IF(OR(E216="",E216="!!!",F216="NEW"),"",INDEX(J$1:J215,SUMPRODUCT(MAX(ROW(E$1:E215)*(E216=E$1:E215)))))</f>
        <v> </v>
      </c>
      <c r="L216" s="26"/>
    </row>
    <row r="217" spans="1:12">
      <c r="A217" s="20" t="s">
        <v>482</v>
      </c>
      <c r="E217" s="21">
        <f>IF(D217="?OLD","!!!","")</f>
        <v/>
      </c>
      <c r="F217" s="22" t="str">
        <f>IF(OR(E217="",E217="!!!"),"",IF(NOT(ISNA(VLOOKUP(E217,E$1:E216,1,FALSE()))),"OLD",IF(AND(E217&lt;&gt;"",E217&lt;&gt;"!!!"),"NEW","")))</f>
        <v> </v>
      </c>
      <c r="G217" s="23" t="str">
        <f>IF(OR(E217="",E217="!!!"),"",IF(OR(J217=0,AND(J217=1,K217=1),AND(J217=1,I217="SBJ"),AND(J217=1,I217=0)),"?IN_FOCUS",IF(J217&lt;=2,"?ACTIVATED",IF(J217&lt;&gt;"","?FAMILIAR",IF(F217="NEW",IF(ISNA(VLOOKUP(E217,#REF!,1,FALSE())),"?TYPE_IDENTIFIABLE","?REFERENTIAL"),"_")))))</f>
        <v> </v>
      </c>
      <c r="H217" s="24" t="str">
        <f>IF(J217&lt;&gt;1,"",IF(I217="SBJ","CB","?"))</f>
        <v> </v>
      </c>
      <c r="I217" s="25" t="str">
        <f>IF(OR(E217="",E217="!!!",F217="NEW"),"",INDEX(B216:B$2,-1+SUMPRODUCT(MAX(ROW(E216:E$2)*(E217=E216:E$2)))))</f>
        <v> </v>
      </c>
      <c r="J217" s="25" t="str">
        <f>IF(OR(E217="",E217="!!!",F217="NEW"),"",COUNTBLANK(OFFSET(A$1,,,SUMPRODUCT(MAX(ROW(E$2:E217)*(E217=E$2:E217)))))-COUNTBLANK(OFFSET(A$1,,,SUMPRODUCT(MAX(ROW(E$1:E216)*(E2=E$1:E216))))))</f>
        <v> </v>
      </c>
      <c r="K217" s="25" t="str">
        <f>IF(OR(E217="",E217="!!!",F217="NEW"),"",INDEX(J$1:J216,SUMPRODUCT(MAX(ROW(E$1:E216)*(E217=E$1:E216)))))</f>
        <v> </v>
      </c>
      <c r="L217" s="26"/>
    </row>
    <row r="218" spans="1:12">
      <c r="A218" s="20" t="s">
        <v>380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218</v>
      </c>
      <c r="B219" s="27" t="s">
        <v>476</v>
      </c>
      <c r="C219" s="27" t="s">
        <v>484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615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253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/>
    </row>
    <row r="223" spans="1:12">
      <c r="A223" s="20" t="s">
        <v>616</v>
      </c>
    </row>
    <row r="224" spans="1:12">
      <c r="A224" s="20" t="s">
        <v>617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 t="s">
        <v>504</v>
      </c>
      <c r="E225" s="21">
        <f>IF(D225="?OLD","!!!","")</f>
        <v/>
      </c>
      <c r="F225" s="22" t="str">
        <f>IF(OR(E225="",E225="!!!"),"",IF(NOT(ISNA(VLOOKUP(E225,E$1:E224,1,FALSE()))),"OLD",IF(AND(E225&lt;&gt;"",E225&lt;&gt;"!!!"),"NEW","")))</f>
        <v> </v>
      </c>
      <c r="G225" s="23" t="str">
        <f>IF(OR(E225="",E225="!!!"),"",IF(OR(J225=0,AND(J225=1,K225=1),AND(J225=1,I225="SBJ"),AND(J225=1,I225=0)),"?IN_FOCUS",IF(J225&lt;=2,"?ACTIVATED",IF(J225&lt;&gt;"","?FAMILIAR",IF(F225="NEW",IF(ISNA(VLOOKUP(E225,#REF!,1,FALSE())),"?TYPE_IDENTIFIABLE","?REFERENTIAL"),"_")))))</f>
        <v> </v>
      </c>
      <c r="H225" s="24" t="str">
        <f>IF(J225&lt;&gt;1,"",IF(I225="SBJ","CB","?"))</f>
        <v> </v>
      </c>
      <c r="I225" s="25" t="str">
        <f>IF(OR(E225="",E225="!!!",F225="NEW"),"",INDEX(B224:B$2,-1+SUMPRODUCT(MAX(ROW(E224:E$2)*(E225=E224:E$2)))))</f>
        <v> </v>
      </c>
      <c r="J225" s="25" t="str">
        <f>IF(OR(E225="",E225="!!!",F225="NEW"),"",COUNTBLANK(OFFSET(A$1,,,SUMPRODUCT(MAX(ROW(E$2:E225)*(E225=E$2:E225)))))-COUNTBLANK(OFFSET(A$1,,,SUMPRODUCT(MAX(ROW(E$1:E224)*(E2=E$1:E224))))))</f>
        <v> </v>
      </c>
      <c r="K225" s="25" t="str">
        <f>IF(OR(E225="",E225="!!!",F225="NEW"),"",INDEX(J$1:J224,SUMPRODUCT(MAX(ROW(E$1:E224)*(E225=E$1:E224)))))</f>
        <v> </v>
      </c>
      <c r="L225" s="26"/>
    </row>
    <row r="226" spans="1:12">
      <c r="A226" s="20" t="s">
        <v>380</v>
      </c>
      <c r="E226" s="21">
        <f>IF(D226="?OLD","!!!","")</f>
        <v/>
      </c>
      <c r="F226" s="22" t="str">
        <f>IF(OR(E226="",E226="!!!"),"",IF(NOT(ISNA(VLOOKUP(E226,E$1:E225,1,FALSE()))),"OLD",IF(AND(E226&lt;&gt;"",E226&lt;&gt;"!!!"),"NEW","")))</f>
        <v> </v>
      </c>
      <c r="G226" s="23" t="str">
        <f>IF(OR(E226="",E226="!!!"),"",IF(OR(J226=0,AND(J226=1,K226=1),AND(J226=1,I226="SBJ"),AND(J226=1,I226=0)),"?IN_FOCUS",IF(J226&lt;=2,"?ACTIVATED",IF(J226&lt;&gt;"","?FAMILIAR",IF(F226="NEW",IF(ISNA(VLOOKUP(E226,#REF!,1,FALSE())),"?TYPE_IDENTIFIABLE","?REFERENTIAL"),"_")))))</f>
        <v> </v>
      </c>
      <c r="H226" s="24" t="str">
        <f>IF(J226&lt;&gt;1,"",IF(I226="SBJ","CB","?"))</f>
        <v> </v>
      </c>
      <c r="I226" s="25" t="str">
        <f>IF(OR(E226="",E226="!!!",F226="NEW"),"",INDEX(B225:B$2,-1+SUMPRODUCT(MAX(ROW(E225:E$2)*(E226=E225:E$2)))))</f>
        <v> </v>
      </c>
      <c r="J226" s="25" t="str">
        <f>IF(OR(E226="",E226="!!!",F226="NEW"),"",COUNTBLANK(OFFSET(A$1,,,SUMPRODUCT(MAX(ROW(E$2:E226)*(E226=E$2:E226)))))-COUNTBLANK(OFFSET(A$1,,,SUMPRODUCT(MAX(ROW(E$1:E225)*(E2=E$1:E225))))))</f>
        <v> </v>
      </c>
      <c r="K226" s="25" t="str">
        <f>IF(OR(E226="",E226="!!!",F226="NEW"),"",INDEX(J$1:J225,SUMPRODUCT(MAX(ROW(E$1:E225)*(E226=E$1:E225)))))</f>
        <v> </v>
      </c>
      <c r="L226" s="26"/>
    </row>
    <row r="227" spans="1:12">
      <c r="A227" s="20" t="s">
        <v>618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482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22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380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619</v>
      </c>
      <c r="B231" s="27" t="s">
        <v>511</v>
      </c>
      <c r="C231" s="27" t="s">
        <v>620</v>
      </c>
      <c r="D231" s="27" t="s">
        <v>478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311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253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/>
    </row>
    <row r="235" spans="1:12">
      <c r="A235" s="20" t="s">
        <v>621</v>
      </c>
    </row>
    <row r="236" spans="1:12">
      <c r="A236" s="20" t="s">
        <v>606</v>
      </c>
      <c r="B236" s="27" t="s">
        <v>476</v>
      </c>
      <c r="C236" s="27" t="s">
        <v>477</v>
      </c>
      <c r="D236" s="27" t="s">
        <v>478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 t="s">
        <v>529</v>
      </c>
      <c r="E237" s="21">
        <f>IF(D237="?OLD","!!!","")</f>
        <v/>
      </c>
      <c r="F237" s="22" t="str">
        <f>IF(OR(E237="",E237="!!!"),"",IF(NOT(ISNA(VLOOKUP(E237,E$1:E236,1,FALSE()))),"OLD",IF(AND(E237&lt;&gt;"",E237&lt;&gt;"!!!"),"NEW","")))</f>
        <v> </v>
      </c>
      <c r="G237" s="23" t="str">
        <f>IF(OR(E237="",E237="!!!"),"",IF(OR(J237=0,AND(J237=1,K237=1),AND(J237=1,I237="SBJ"),AND(J237=1,I237=0)),"?IN_FOCUS",IF(J237&lt;=2,"?ACTIVATED",IF(J237&lt;&gt;"","?FAMILIAR",IF(F237="NEW",IF(ISNA(VLOOKUP(E237,#REF!,1,FALSE())),"?TYPE_IDENTIFIABLE","?REFERENTIAL"),"_")))))</f>
        <v> </v>
      </c>
      <c r="H237" s="24" t="str">
        <f>IF(J237&lt;&gt;1,"",IF(I237="SBJ","CB","?"))</f>
        <v> </v>
      </c>
      <c r="I237" s="25" t="str">
        <f>IF(OR(E237="",E237="!!!",F237="NEW"),"",INDEX(B236:B$2,-1+SUMPRODUCT(MAX(ROW(E236:E$2)*(E237=E236:E$2)))))</f>
        <v> </v>
      </c>
      <c r="J237" s="25" t="str">
        <f>IF(OR(E237="",E237="!!!",F237="NEW"),"",COUNTBLANK(OFFSET(A$1,,,SUMPRODUCT(MAX(ROW(E$2:E237)*(E237=E$2:E237)))))-COUNTBLANK(OFFSET(A$1,,,SUMPRODUCT(MAX(ROW(E$1:E236)*(E2=E$1:E236))))))</f>
        <v> </v>
      </c>
      <c r="K237" s="25" t="str">
        <f>IF(OR(E237="",E237="!!!",F237="NEW"),"",INDEX(J$1:J236,SUMPRODUCT(MAX(ROW(E$1:E236)*(E237=E$1:E236)))))</f>
        <v> </v>
      </c>
      <c r="L237" s="26"/>
    </row>
    <row r="238" spans="1:12">
      <c r="A238" s="20" t="s">
        <v>622</v>
      </c>
      <c r="E238" s="21">
        <f>IF(D238="?OLD","!!!","")</f>
        <v/>
      </c>
      <c r="F238" s="22" t="str">
        <f>IF(OR(E238="",E238="!!!"),"",IF(NOT(ISNA(VLOOKUP(E238,E$1:E237,1,FALSE()))),"OLD",IF(AND(E238&lt;&gt;"",E238&lt;&gt;"!!!"),"NEW","")))</f>
        <v> </v>
      </c>
      <c r="G238" s="23" t="str">
        <f>IF(OR(E238="",E238="!!!"),"",IF(OR(J238=0,AND(J238=1,K238=1),AND(J238=1,I238="SBJ"),AND(J238=1,I238=0)),"?IN_FOCUS",IF(J238&lt;=2,"?ACTIVATED",IF(J238&lt;&gt;"","?FAMILIAR",IF(F238="NEW",IF(ISNA(VLOOKUP(E238,#REF!,1,FALSE())),"?TYPE_IDENTIFIABLE","?REFERENTIAL"),"_")))))</f>
        <v> </v>
      </c>
      <c r="H238" s="24" t="str">
        <f>IF(J238&lt;&gt;1,"",IF(I238="SBJ","CB","?"))</f>
        <v> </v>
      </c>
      <c r="I238" s="25" t="str">
        <f>IF(OR(E238="",E238="!!!",F238="NEW"),"",INDEX(B237:B$2,-1+SUMPRODUCT(MAX(ROW(E237:E$2)*(E238=E237:E$2)))))</f>
        <v> </v>
      </c>
      <c r="J238" s="25" t="str">
        <f>IF(OR(E238="",E238="!!!",F238="NEW"),"",COUNTBLANK(OFFSET(A$1,,,SUMPRODUCT(MAX(ROW(E$2:E238)*(E238=E$2:E238)))))-COUNTBLANK(OFFSET(A$1,,,SUMPRODUCT(MAX(ROW(E$1:E237)*(E2=E$1:E237))))))</f>
        <v> </v>
      </c>
      <c r="K238" s="25" t="str">
        <f>IF(OR(E238="",E238="!!!",F238="NEW"),"",INDEX(J$1:J237,SUMPRODUCT(MAX(ROW(E$1:E237)*(E238=E$1:E237)))))</f>
        <v> </v>
      </c>
      <c r="L238" s="26"/>
    </row>
    <row r="239" spans="1:12">
      <c r="A239" s="20" t="s">
        <v>618</v>
      </c>
      <c r="B239" s="27" t="s">
        <v>521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513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623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482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380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265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253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/>
    </row>
    <row r="247" spans="1:12">
      <c r="A247" s="20" t="s">
        <v>624</v>
      </c>
    </row>
    <row r="248" spans="1:12">
      <c r="A248" s="20" t="s">
        <v>606</v>
      </c>
      <c r="B248" s="27" t="s">
        <v>476</v>
      </c>
      <c r="C248" s="27" t="s">
        <v>477</v>
      </c>
      <c r="D248" s="27" t="s">
        <v>478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625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 t="s">
        <v>626</v>
      </c>
      <c r="B250" s="27" t="s">
        <v>521</v>
      </c>
      <c r="E250" s="21">
        <f>IF(D250="?OLD","!!!","")</f>
        <v/>
      </c>
      <c r="F250" s="22" t="str">
        <f>IF(OR(E250="",E250="!!!"),"",IF(NOT(ISNA(VLOOKUP(E250,E$1:E249,1,FALSE()))),"OLD",IF(AND(E250&lt;&gt;"",E250&lt;&gt;"!!!"),"NEW","")))</f>
        <v> </v>
      </c>
      <c r="G250" s="23" t="str">
        <f>IF(OR(E250="",E250="!!!"),"",IF(OR(J250=0,AND(J250=1,K250=1),AND(J250=1,I250="SBJ"),AND(J250=1,I250=0)),"?IN_FOCUS",IF(J250&lt;=2,"?ACTIVATED",IF(J250&lt;&gt;"","?FAMILIAR",IF(F250="NEW",IF(ISNA(VLOOKUP(E250,#REF!,1,FALSE())),"?TYPE_IDENTIFIABLE","?REFERENTIAL"),"_")))))</f>
        <v> </v>
      </c>
      <c r="H250" s="24" t="str">
        <f>IF(J250&lt;&gt;1,"",IF(I250="SBJ","CB","?"))</f>
        <v> </v>
      </c>
      <c r="I250" s="25" t="str">
        <f>IF(OR(E250="",E250="!!!",F250="NEW"),"",INDEX(B249:B$2,-1+SUMPRODUCT(MAX(ROW(E249:E$2)*(E250=E249:E$2)))))</f>
        <v> </v>
      </c>
      <c r="J250" s="25" t="str">
        <f>IF(OR(E250="",E250="!!!",F250="NEW"),"",COUNTBLANK(OFFSET(A$1,,,SUMPRODUCT(MAX(ROW(E$2:E250)*(E250=E$2:E250)))))-COUNTBLANK(OFFSET(A$1,,,SUMPRODUCT(MAX(ROW(E$1:E249)*(E2=E$1:E249))))))</f>
        <v> </v>
      </c>
      <c r="K250" s="25" t="str">
        <f>IF(OR(E250="",E250="!!!",F250="NEW"),"",INDEX(J$1:J249,SUMPRODUCT(MAX(ROW(E$1:E249)*(E250=E$1:E249)))))</f>
        <v> </v>
      </c>
      <c r="L250" s="26"/>
    </row>
    <row r="251" spans="1:12">
      <c r="A251" s="20" t="s">
        <v>253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/>
    </row>
    <row r="253" spans="1:12">
      <c r="A253" s="20" t="s">
        <v>627</v>
      </c>
    </row>
    <row r="254" spans="1:12">
      <c r="A254" s="20" t="s">
        <v>581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489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567</v>
      </c>
      <c r="B256" s="27" t="s">
        <v>473</v>
      </c>
      <c r="C256" s="27" t="s">
        <v>497</v>
      </c>
      <c r="D256" s="27" t="s">
        <v>478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482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628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299</v>
      </c>
      <c r="B259" s="27" t="s">
        <v>483</v>
      </c>
      <c r="C259" s="27" t="s">
        <v>477</v>
      </c>
      <c r="D259" s="27" t="s">
        <v>478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629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482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218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513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630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631</v>
      </c>
      <c r="B265" s="27" t="s">
        <v>632</v>
      </c>
      <c r="C265" s="27" t="s">
        <v>633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634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482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 t="s">
        <v>475</v>
      </c>
      <c r="B268" s="27" t="s">
        <v>538</v>
      </c>
      <c r="C268" s="27" t="s">
        <v>477</v>
      </c>
      <c r="D268" s="27" t="s">
        <v>478</v>
      </c>
      <c r="E268" s="21">
        <f>IF(D268="?OLD","!!!","")</f>
        <v/>
      </c>
      <c r="F268" s="22" t="str">
        <f>IF(OR(E268="",E268="!!!"),"",IF(NOT(ISNA(VLOOKUP(E268,E$1:E267,1,FALSE()))),"OLD",IF(AND(E268&lt;&gt;"",E268&lt;&gt;"!!!"),"NEW","")))</f>
        <v> </v>
      </c>
      <c r="G268" s="23" t="str">
        <f>IF(OR(E268="",E268="!!!"),"",IF(OR(J268=0,AND(J268=1,K268=1),AND(J268=1,I268="SBJ"),AND(J268=1,I268=0)),"?IN_FOCUS",IF(J268&lt;=2,"?ACTIVATED",IF(J268&lt;&gt;"","?FAMILIAR",IF(F268="NEW",IF(ISNA(VLOOKUP(E268,#REF!,1,FALSE())),"?TYPE_IDENTIFIABLE","?REFERENTIAL"),"_")))))</f>
        <v> </v>
      </c>
      <c r="H268" s="24" t="str">
        <f>IF(J268&lt;&gt;1,"",IF(I268="SBJ","CB","?"))</f>
        <v> </v>
      </c>
      <c r="I268" s="25" t="str">
        <f>IF(OR(E268="",E268="!!!",F268="NEW"),"",INDEX(B267:B$2,-1+SUMPRODUCT(MAX(ROW(E267:E$2)*(E268=E267:E$2)))))</f>
        <v> </v>
      </c>
      <c r="J268" s="25" t="str">
        <f>IF(OR(E268="",E268="!!!",F268="NEW"),"",COUNTBLANK(OFFSET(A$1,,,SUMPRODUCT(MAX(ROW(E$2:E268)*(E268=E$2:E268)))))-COUNTBLANK(OFFSET(A$1,,,SUMPRODUCT(MAX(ROW(E$1:E267)*(E2=E$1:E267))))))</f>
        <v> </v>
      </c>
      <c r="K268" s="25" t="str">
        <f>IF(OR(E268="",E268="!!!",F268="NEW"),"",INDEX(J$1:J267,SUMPRODUCT(MAX(ROW(E$1:E267)*(E268=E$1:E267)))))</f>
        <v> </v>
      </c>
      <c r="L268" s="26"/>
    </row>
    <row r="269" spans="1:12">
      <c r="A269" s="20" t="s">
        <v>635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636</v>
      </c>
      <c r="B270" s="27" t="s">
        <v>632</v>
      </c>
      <c r="E270" s="21">
        <f>IF(D270="?OLD","!!!","")</f>
        <v/>
      </c>
      <c r="F270" s="22" t="str">
        <f>IF(OR(E270="",E270="!!!"),"",IF(NOT(ISNA(VLOOKUP(E270,E$1:E269,1,FALSE()))),"OLD",IF(AND(E270&lt;&gt;"",E270&lt;&gt;"!!!"),"NEW","")))</f>
        <v> </v>
      </c>
      <c r="G270" s="23" t="str">
        <f>IF(OR(E270="",E270="!!!"),"",IF(OR(J270=0,AND(J270=1,K270=1),AND(J270=1,I270="SBJ"),AND(J270=1,I270=0)),"?IN_FOCUS",IF(J270&lt;=2,"?ACTIVATED",IF(J270&lt;&gt;"","?FAMILIAR",IF(F270="NEW",IF(ISNA(VLOOKUP(E270,#REF!,1,FALSE())),"?TYPE_IDENTIFIABLE","?REFERENTIAL"),"_")))))</f>
        <v> </v>
      </c>
      <c r="H270" s="24" t="str">
        <f>IF(J270&lt;&gt;1,"",IF(I270="SBJ","CB","?"))</f>
        <v> </v>
      </c>
      <c r="I270" s="25" t="str">
        <f>IF(OR(E270="",E270="!!!",F270="NEW"),"",INDEX(B269:B$2,-1+SUMPRODUCT(MAX(ROW(E269:E$2)*(E270=E269:E$2)))))</f>
        <v> </v>
      </c>
      <c r="J270" s="25" t="str">
        <f>IF(OR(E270="",E270="!!!",F270="NEW"),"",COUNTBLANK(OFFSET(A$1,,,SUMPRODUCT(MAX(ROW(E$2:E270)*(E270=E$2:E270)))))-COUNTBLANK(OFFSET(A$1,,,SUMPRODUCT(MAX(ROW(E$1:E269)*(E2=E$1:E269))))))</f>
        <v> </v>
      </c>
      <c r="K270" s="25" t="str">
        <f>IF(OR(E270="",E270="!!!",F270="NEW"),"",INDEX(J$1:J269,SUMPRODUCT(MAX(ROW(E$1:E269)*(E270=E$1:E269)))))</f>
        <v> </v>
      </c>
      <c r="L270" s="26"/>
    </row>
    <row r="271" spans="1:12">
      <c r="A271" s="20" t="s">
        <v>380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637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253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/>
    </row>
    <row r="275" spans="1:12">
      <c r="A275" s="20" t="s">
        <v>638</v>
      </c>
    </row>
    <row r="276" spans="1:12">
      <c r="A276" s="20" t="s">
        <v>639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640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482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637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631</v>
      </c>
      <c r="B280" s="27" t="s">
        <v>476</v>
      </c>
      <c r="C280" s="27" t="s">
        <v>633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493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641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482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642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 t="s">
        <v>475</v>
      </c>
      <c r="B285" s="27" t="s">
        <v>483</v>
      </c>
      <c r="C285" s="27" t="s">
        <v>477</v>
      </c>
      <c r="D285" s="27" t="s">
        <v>478</v>
      </c>
      <c r="E285" s="21">
        <f>IF(D285="?OLD","!!!","")</f>
        <v/>
      </c>
      <c r="F285" s="22" t="str">
        <f>IF(OR(E285="",E285="!!!"),"",IF(NOT(ISNA(VLOOKUP(E285,E$1:E284,1,FALSE()))),"OLD",IF(AND(E285&lt;&gt;"",E285&lt;&gt;"!!!"),"NEW","")))</f>
        <v> </v>
      </c>
      <c r="G285" s="23" t="str">
        <f>IF(OR(E285="",E285="!!!"),"",IF(OR(J285=0,AND(J285=1,K285=1),AND(J285=1,I285="SBJ"),AND(J285=1,I285=0)),"?IN_FOCUS",IF(J285&lt;=2,"?ACTIVATED",IF(J285&lt;&gt;"","?FAMILIAR",IF(F285="NEW",IF(ISNA(VLOOKUP(E285,#REF!,1,FALSE())),"?TYPE_IDENTIFIABLE","?REFERENTIAL"),"_")))))</f>
        <v> </v>
      </c>
      <c r="H285" s="24" t="str">
        <f>IF(J285&lt;&gt;1,"",IF(I285="SBJ","CB","?"))</f>
        <v> </v>
      </c>
      <c r="I285" s="25" t="str">
        <f>IF(OR(E285="",E285="!!!",F285="NEW"),"",INDEX(B284:B$2,-1+SUMPRODUCT(MAX(ROW(E284:E$2)*(E285=E284:E$2)))))</f>
        <v> </v>
      </c>
      <c r="J285" s="25" t="str">
        <f>IF(OR(E285="",E285="!!!",F285="NEW"),"",COUNTBLANK(OFFSET(A$1,,,SUMPRODUCT(MAX(ROW(E$2:E285)*(E285=E$2:E285)))))-COUNTBLANK(OFFSET(A$1,,,SUMPRODUCT(MAX(ROW(E$1:E284)*(E2=E$1:E284))))))</f>
        <v> </v>
      </c>
      <c r="K285" s="25" t="str">
        <f>IF(OR(E285="",E285="!!!",F285="NEW"),"",INDEX(J$1:J284,SUMPRODUCT(MAX(ROW(E$1:E284)*(E285=E$1:E284)))))</f>
        <v> </v>
      </c>
      <c r="L285" s="26"/>
    </row>
    <row r="286" spans="1:12">
      <c r="A286" s="20" t="s">
        <v>643</v>
      </c>
      <c r="E286" s="21">
        <f>IF(D286="?OLD","!!!","")</f>
        <v/>
      </c>
      <c r="F286" s="22" t="str">
        <f>IF(OR(E286="",E286="!!!"),"",IF(NOT(ISNA(VLOOKUP(E286,E$1:E285,1,FALSE()))),"OLD",IF(AND(E286&lt;&gt;"",E286&lt;&gt;"!!!"),"NEW","")))</f>
        <v> </v>
      </c>
      <c r="G286" s="23" t="str">
        <f>IF(OR(E286="",E286="!!!"),"",IF(OR(J286=0,AND(J286=1,K286=1),AND(J286=1,I286="SBJ"),AND(J286=1,I286=0)),"?IN_FOCUS",IF(J286&lt;=2,"?ACTIVATED",IF(J286&lt;&gt;"","?FAMILIAR",IF(F286="NEW",IF(ISNA(VLOOKUP(E286,#REF!,1,FALSE())),"?TYPE_IDENTIFIABLE","?REFERENTIAL"),"_")))))</f>
        <v> </v>
      </c>
      <c r="H286" s="24" t="str">
        <f>IF(J286&lt;&gt;1,"",IF(I286="SBJ","CB","?"))</f>
        <v> </v>
      </c>
      <c r="I286" s="25" t="str">
        <f>IF(OR(E286="",E286="!!!",F286="NEW"),"",INDEX(B285:B$2,-1+SUMPRODUCT(MAX(ROW(E285:E$2)*(E286=E285:E$2)))))</f>
        <v> </v>
      </c>
      <c r="J286" s="25" t="str">
        <f>IF(OR(E286="",E286="!!!",F286="NEW"),"",COUNTBLANK(OFFSET(A$1,,,SUMPRODUCT(MAX(ROW(E$2:E286)*(E286=E$2:E286)))))-COUNTBLANK(OFFSET(A$1,,,SUMPRODUCT(MAX(ROW(E$1:E285)*(E2=E$1:E285))))))</f>
        <v> </v>
      </c>
      <c r="K286" s="25" t="str">
        <f>IF(OR(E286="",E286="!!!",F286="NEW"),"",INDEX(J$1:J285,SUMPRODUCT(MAX(ROW(E$1:E285)*(E286=E$1:E285)))))</f>
        <v> </v>
      </c>
      <c r="L286" s="26"/>
    </row>
    <row r="287" spans="1:12">
      <c r="A287" s="20" t="s">
        <v>607</v>
      </c>
      <c r="B287" s="27" t="s">
        <v>577</v>
      </c>
      <c r="C287" s="27" t="s">
        <v>477</v>
      </c>
      <c r="D287" s="27" t="s">
        <v>478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253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/>
    </row>
    <row r="290" spans="1:12">
      <c r="A290" s="20" t="s">
        <v>644</v>
      </c>
    </row>
    <row r="291" spans="1:12">
      <c r="A291" s="20" t="s">
        <v>645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646</v>
      </c>
      <c r="B292" s="27" t="s">
        <v>473</v>
      </c>
      <c r="C292" s="27" t="s">
        <v>477</v>
      </c>
      <c r="D292" s="27" t="s">
        <v>478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593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647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631</v>
      </c>
      <c r="B295" s="27" t="s">
        <v>473</v>
      </c>
      <c r="C295" s="27" t="s">
        <v>633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493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648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253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/>
    </row>
    <row r="300" spans="1:12">
      <c r="A300" s="20" t="s">
        <v>649</v>
      </c>
    </row>
    <row r="301" spans="1:12">
      <c r="A301" s="20" t="s">
        <v>650</v>
      </c>
      <c r="B301" s="27" t="s">
        <v>476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551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651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 t="s">
        <v>253</v>
      </c>
      <c r="E304" s="21">
        <f>IF(D304="?OLD","!!!","")</f>
        <v/>
      </c>
      <c r="F304" s="22" t="str">
        <f>IF(OR(E304="",E304="!!!"),"",IF(NOT(ISNA(VLOOKUP(E304,E$1:E303,1,FALSE()))),"OLD",IF(AND(E304&lt;&gt;"",E304&lt;&gt;"!!!"),"NEW","")))</f>
        <v> </v>
      </c>
      <c r="G304" s="23" t="str">
        <f>IF(OR(E304="",E304="!!!"),"",IF(OR(J304=0,AND(J304=1,K304=1),AND(J304=1,I304="SBJ"),AND(J304=1,I304=0)),"?IN_FOCUS",IF(J304&lt;=2,"?ACTIVATED",IF(J304&lt;&gt;"","?FAMILIAR",IF(F304="NEW",IF(ISNA(VLOOKUP(E304,#REF!,1,FALSE())),"?TYPE_IDENTIFIABLE","?REFERENTIAL"),"_")))))</f>
        <v> </v>
      </c>
      <c r="H304" s="24" t="str">
        <f>IF(J304&lt;&gt;1,"",IF(I304="SBJ","CB","?"))</f>
        <v> </v>
      </c>
      <c r="I304" s="25" t="str">
        <f>IF(OR(E304="",E304="!!!",F304="NEW"),"",INDEX(B303:B$2,-1+SUMPRODUCT(MAX(ROW(E303:E$2)*(E304=E303:E$2)))))</f>
        <v> </v>
      </c>
      <c r="J304" s="25" t="str">
        <f>IF(OR(E304="",E304="!!!",F304="NEW"),"",COUNTBLANK(OFFSET(A$1,,,SUMPRODUCT(MAX(ROW(E$2:E304)*(E304=E$2:E304)))))-COUNTBLANK(OFFSET(A$1,,,SUMPRODUCT(MAX(ROW(E$1:E303)*(E2=E$1:E303))))))</f>
        <v> </v>
      </c>
      <c r="K304" s="25" t="str">
        <f>IF(OR(E304="",E304="!!!",F304="NEW"),"",INDEX(J$1:J303,SUMPRODUCT(MAX(ROW(E$1:E303)*(E304=E$1:E303)))))</f>
        <v> </v>
      </c>
      <c r="L304" s="26"/>
    </row>
    <row r="305" spans="1:12">
      <c r="A305" s="20"/>
    </row>
    <row r="306" spans="1:12">
      <c r="A306" s="20" t="s">
        <v>652</v>
      </c>
    </row>
    <row r="307" spans="1:12">
      <c r="A307" s="20" t="s">
        <v>653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475</v>
      </c>
      <c r="B308" s="27" t="s">
        <v>476</v>
      </c>
      <c r="C308" s="27" t="s">
        <v>477</v>
      </c>
      <c r="D308" s="27" t="s">
        <v>478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654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655</v>
      </c>
      <c r="B310" s="27" t="s">
        <v>521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482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656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482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550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47</v>
      </c>
      <c r="B315" s="27" t="s">
        <v>538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657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482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658</v>
      </c>
      <c r="B318" s="27" t="s">
        <v>511</v>
      </c>
      <c r="C318" s="27" t="s">
        <v>620</v>
      </c>
      <c r="D318" s="27" t="s">
        <v>478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659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660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661</v>
      </c>
      <c r="B321" s="27" t="s">
        <v>483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662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618</v>
      </c>
      <c r="B323" s="27" t="s">
        <v>577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253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/>
    </row>
    <row r="326" spans="1:12">
      <c r="A326" s="20" t="s">
        <v>663</v>
      </c>
    </row>
    <row r="327" spans="1:12">
      <c r="A327" s="20" t="s">
        <v>664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665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666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482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583</v>
      </c>
      <c r="B331" s="27" t="s">
        <v>476</v>
      </c>
      <c r="C331" s="27" t="s">
        <v>477</v>
      </c>
      <c r="D331" s="27" t="s">
        <v>478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265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667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668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 t="s">
        <v>482</v>
      </c>
      <c r="E335" s="21">
        <f>IF(D335="?OLD","!!!","")</f>
        <v/>
      </c>
      <c r="F335" s="22" t="str">
        <f>IF(OR(E335="",E335="!!!"),"",IF(NOT(ISNA(VLOOKUP(E335,E$1:E334,1,FALSE()))),"OLD",IF(AND(E335&lt;&gt;"",E335&lt;&gt;"!!!"),"NEW","")))</f>
        <v> </v>
      </c>
      <c r="G335" s="23" t="str">
        <f>IF(OR(E335="",E335="!!!"),"",IF(OR(J335=0,AND(J335=1,K335=1),AND(J335=1,I335="SBJ"),AND(J335=1,I335=0)),"?IN_FOCUS",IF(J335&lt;=2,"?ACTIVATED",IF(J335&lt;&gt;"","?FAMILIAR",IF(F335="NEW",IF(ISNA(VLOOKUP(E335,#REF!,1,FALSE())),"?TYPE_IDENTIFIABLE","?REFERENTIAL"),"_")))))</f>
        <v> </v>
      </c>
      <c r="H335" s="24" t="str">
        <f>IF(J335&lt;&gt;1,"",IF(I335="SBJ","CB","?"))</f>
        <v> </v>
      </c>
      <c r="I335" s="25" t="str">
        <f>IF(OR(E335="",E335="!!!",F335="NEW"),"",INDEX(B334:B$2,-1+SUMPRODUCT(MAX(ROW(E334:E$2)*(E335=E334:E$2)))))</f>
        <v> </v>
      </c>
      <c r="J335" s="25" t="str">
        <f>IF(OR(E335="",E335="!!!",F335="NEW"),"",COUNTBLANK(OFFSET(A$1,,,SUMPRODUCT(MAX(ROW(E$2:E335)*(E335=E$2:E335)))))-COUNTBLANK(OFFSET(A$1,,,SUMPRODUCT(MAX(ROW(E$1:E334)*(E2=E$1:E334))))))</f>
        <v> </v>
      </c>
      <c r="K335" s="25" t="str">
        <f>IF(OR(E335="",E335="!!!",F335="NEW"),"",INDEX(J$1:J334,SUMPRODUCT(MAX(ROW(E$1:E334)*(E335=E$1:E334)))))</f>
        <v> </v>
      </c>
      <c r="L335" s="26"/>
    </row>
    <row r="336" spans="1:12">
      <c r="A336" s="20" t="s">
        <v>218</v>
      </c>
      <c r="E336" s="21">
        <f>IF(D336="?OLD","!!!","")</f>
        <v/>
      </c>
      <c r="F336" s="22" t="str">
        <f>IF(OR(E336="",E336="!!!"),"",IF(NOT(ISNA(VLOOKUP(E336,E$1:E335,1,FALSE()))),"OLD",IF(AND(E336&lt;&gt;"",E336&lt;&gt;"!!!"),"NEW","")))</f>
        <v> </v>
      </c>
      <c r="G336" s="23" t="str">
        <f>IF(OR(E336="",E336="!!!"),"",IF(OR(J336=0,AND(J336=1,K336=1),AND(J336=1,I336="SBJ"),AND(J336=1,I336=0)),"?IN_FOCUS",IF(J336&lt;=2,"?ACTIVATED",IF(J336&lt;&gt;"","?FAMILIAR",IF(F336="NEW",IF(ISNA(VLOOKUP(E336,#REF!,1,FALSE())),"?TYPE_IDENTIFIABLE","?REFERENTIAL"),"_")))))</f>
        <v> </v>
      </c>
      <c r="H336" s="24" t="str">
        <f>IF(J336&lt;&gt;1,"",IF(I336="SBJ","CB","?"))</f>
        <v> </v>
      </c>
      <c r="I336" s="25" t="str">
        <f>IF(OR(E336="",E336="!!!",F336="NEW"),"",INDEX(B335:B$2,-1+SUMPRODUCT(MAX(ROW(E335:E$2)*(E336=E335:E$2)))))</f>
        <v> </v>
      </c>
      <c r="J336" s="25" t="str">
        <f>IF(OR(E336="",E336="!!!",F336="NEW"),"",COUNTBLANK(OFFSET(A$1,,,SUMPRODUCT(MAX(ROW(E$2:E336)*(E336=E$2:E336)))))-COUNTBLANK(OFFSET(A$1,,,SUMPRODUCT(MAX(ROW(E$1:E335)*(E2=E$1:E335))))))</f>
        <v> </v>
      </c>
      <c r="K336" s="25" t="str">
        <f>IF(OR(E336="",E336="!!!",F336="NEW"),"",INDEX(J$1:J335,SUMPRODUCT(MAX(ROW(E$1:E335)*(E336=E$1:E335)))))</f>
        <v> </v>
      </c>
      <c r="L336" s="26"/>
    </row>
    <row r="337" spans="1:12">
      <c r="A337" s="20" t="s">
        <v>475</v>
      </c>
      <c r="B337" s="27" t="s">
        <v>483</v>
      </c>
      <c r="C337" s="27" t="s">
        <v>477</v>
      </c>
      <c r="D337" s="27" t="s">
        <v>478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669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222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670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482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656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618</v>
      </c>
      <c r="B343" s="27" t="s">
        <v>538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 t="s">
        <v>493</v>
      </c>
      <c r="E344" s="21">
        <f>IF(D344="?OLD","!!!","")</f>
        <v/>
      </c>
      <c r="F344" s="22" t="str">
        <f>IF(OR(E344="",E344="!!!"),"",IF(NOT(ISNA(VLOOKUP(E344,E$1:E343,1,FALSE()))),"OLD",IF(AND(E344&lt;&gt;"",E344&lt;&gt;"!!!"),"NEW","")))</f>
        <v> </v>
      </c>
      <c r="G344" s="23" t="str">
        <f>IF(OR(E344="",E344="!!!"),"",IF(OR(J344=0,AND(J344=1,K344=1),AND(J344=1,I344="SBJ"),AND(J344=1,I344=0)),"?IN_FOCUS",IF(J344&lt;=2,"?ACTIVATED",IF(J344&lt;&gt;"","?FAMILIAR",IF(F344="NEW",IF(ISNA(VLOOKUP(E344,#REF!,1,FALSE())),"?TYPE_IDENTIFIABLE","?REFERENTIAL"),"_")))))</f>
        <v> </v>
      </c>
      <c r="H344" s="24" t="str">
        <f>IF(J344&lt;&gt;1,"",IF(I344="SBJ","CB","?"))</f>
        <v> </v>
      </c>
      <c r="I344" s="25" t="str">
        <f>IF(OR(E344="",E344="!!!",F344="NEW"),"",INDEX(B343:B$2,-1+SUMPRODUCT(MAX(ROW(E343:E$2)*(E344=E343:E$2)))))</f>
        <v> </v>
      </c>
      <c r="J344" s="25" t="str">
        <f>IF(OR(E344="",E344="!!!",F344="NEW"),"",COUNTBLANK(OFFSET(A$1,,,SUMPRODUCT(MAX(ROW(E$2:E344)*(E344=E$2:E344)))))-COUNTBLANK(OFFSET(A$1,,,SUMPRODUCT(MAX(ROW(E$1:E343)*(E2=E$1:E343))))))</f>
        <v> </v>
      </c>
      <c r="K344" s="25" t="str">
        <f>IF(OR(E344="",E344="!!!",F344="NEW"),"",INDEX(J$1:J343,SUMPRODUCT(MAX(ROW(E$1:E343)*(E344=E$1:E343)))))</f>
        <v> </v>
      </c>
      <c r="L344" s="26"/>
    </row>
    <row r="345" spans="1:12">
      <c r="A345" s="20" t="s">
        <v>671</v>
      </c>
      <c r="E345" s="21">
        <f>IF(D345="?OLD","!!!","")</f>
        <v/>
      </c>
      <c r="F345" s="22" t="str">
        <f>IF(OR(E345="",E345="!!!"),"",IF(NOT(ISNA(VLOOKUP(E345,E$1:E344,1,FALSE()))),"OLD",IF(AND(E345&lt;&gt;"",E345&lt;&gt;"!!!"),"NEW","")))</f>
        <v> </v>
      </c>
      <c r="G345" s="23" t="str">
        <f>IF(OR(E345="",E345="!!!"),"",IF(OR(J345=0,AND(J345=1,K345=1),AND(J345=1,I345="SBJ"),AND(J345=1,I345=0)),"?IN_FOCUS",IF(J345&lt;=2,"?ACTIVATED",IF(J345&lt;&gt;"","?FAMILIAR",IF(F345="NEW",IF(ISNA(VLOOKUP(E345,#REF!,1,FALSE())),"?TYPE_IDENTIFIABLE","?REFERENTIAL"),"_")))))</f>
        <v> </v>
      </c>
      <c r="H345" s="24" t="str">
        <f>IF(J345&lt;&gt;1,"",IF(I345="SBJ","CB","?"))</f>
        <v> </v>
      </c>
      <c r="I345" s="25" t="str">
        <f>IF(OR(E345="",E345="!!!",F345="NEW"),"",INDEX(B344:B$2,-1+SUMPRODUCT(MAX(ROW(E344:E$2)*(E345=E344:E$2)))))</f>
        <v> </v>
      </c>
      <c r="J345" s="25" t="str">
        <f>IF(OR(E345="",E345="!!!",F345="NEW"),"",COUNTBLANK(OFFSET(A$1,,,SUMPRODUCT(MAX(ROW(E$2:E345)*(E345=E$2:E345)))))-COUNTBLANK(OFFSET(A$1,,,SUMPRODUCT(MAX(ROW(E$1:E344)*(E2=E$1:E344))))))</f>
        <v> </v>
      </c>
      <c r="K345" s="25" t="str">
        <f>IF(OR(E345="",E345="!!!",F345="NEW"),"",INDEX(J$1:J344,SUMPRODUCT(MAX(ROW(E$1:E344)*(E345=E$1:E344)))))</f>
        <v> </v>
      </c>
      <c r="L345" s="26"/>
    </row>
    <row r="346" spans="1:12">
      <c r="A346" s="20" t="s">
        <v>253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/>
    </row>
    <row r="348" spans="1:12">
      <c r="A348" s="20" t="s">
        <v>672</v>
      </c>
    </row>
    <row r="349" spans="1:12">
      <c r="A349" s="20" t="s">
        <v>645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646</v>
      </c>
      <c r="B350" s="27" t="s">
        <v>473</v>
      </c>
      <c r="C350" s="27" t="s">
        <v>477</v>
      </c>
      <c r="D350" s="27" t="s">
        <v>478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513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673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631</v>
      </c>
      <c r="B353" s="27" t="s">
        <v>473</v>
      </c>
      <c r="C353" s="27" t="s">
        <v>633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493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674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482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675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676</v>
      </c>
      <c r="B358" s="27" t="s">
        <v>476</v>
      </c>
      <c r="C358" s="27" t="s">
        <v>474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253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/>
    </row>
    <row r="361" spans="1:12">
      <c r="A361" s="20" t="s">
        <v>677</v>
      </c>
    </row>
    <row r="362" spans="1:12">
      <c r="A362" s="20" t="s">
        <v>678</v>
      </c>
      <c r="B362" s="27" t="s">
        <v>476</v>
      </c>
      <c r="C362" s="27" t="s">
        <v>477</v>
      </c>
      <c r="D362" s="27" t="s">
        <v>478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679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680</v>
      </c>
      <c r="B364" s="27" t="s">
        <v>577</v>
      </c>
      <c r="C364" s="27" t="s">
        <v>477</v>
      </c>
      <c r="D364" s="27" t="s">
        <v>478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 t="s">
        <v>681</v>
      </c>
      <c r="E365" s="21">
        <f>IF(D365="?OLD","!!!","")</f>
        <v/>
      </c>
      <c r="F365" s="22" t="str">
        <f>IF(OR(E365="",E365="!!!"),"",IF(NOT(ISNA(VLOOKUP(E365,E$1:E364,1,FALSE()))),"OLD",IF(AND(E365&lt;&gt;"",E365&lt;&gt;"!!!"),"NEW","")))</f>
        <v> </v>
      </c>
      <c r="G365" s="23" t="str">
        <f>IF(OR(E365="",E365="!!!"),"",IF(OR(J365=0,AND(J365=1,K365=1),AND(J365=1,I365="SBJ"),AND(J365=1,I365=0)),"?IN_FOCUS",IF(J365&lt;=2,"?ACTIVATED",IF(J365&lt;&gt;"","?FAMILIAR",IF(F365="NEW",IF(ISNA(VLOOKUP(E365,#REF!,1,FALSE())),"?TYPE_IDENTIFIABLE","?REFERENTIAL"),"_")))))</f>
        <v> </v>
      </c>
      <c r="H365" s="24" t="str">
        <f>IF(J365&lt;&gt;1,"",IF(I365="SBJ","CB","?"))</f>
        <v> </v>
      </c>
      <c r="I365" s="25" t="str">
        <f>IF(OR(E365="",E365="!!!",F365="NEW"),"",INDEX(B364:B$2,-1+SUMPRODUCT(MAX(ROW(E364:E$2)*(E365=E364:E$2)))))</f>
        <v> </v>
      </c>
      <c r="J365" s="25" t="str">
        <f>IF(OR(E365="",E365="!!!",F365="NEW"),"",COUNTBLANK(OFFSET(A$1,,,SUMPRODUCT(MAX(ROW(E$2:E365)*(E365=E$2:E365)))))-COUNTBLANK(OFFSET(A$1,,,SUMPRODUCT(MAX(ROW(E$1:E364)*(E2=E$1:E364))))))</f>
        <v> </v>
      </c>
      <c r="K365" s="25" t="str">
        <f>IF(OR(E365="",E365="!!!",F365="NEW"),"",INDEX(J$1:J364,SUMPRODUCT(MAX(ROW(E$1:E364)*(E365=E$1:E364)))))</f>
        <v> </v>
      </c>
      <c r="L365" s="26"/>
    </row>
    <row r="366" spans="1:12">
      <c r="A366" s="20" t="s">
        <v>253</v>
      </c>
      <c r="E366" s="21">
        <f>IF(D366="?OLD","!!!","")</f>
        <v/>
      </c>
      <c r="F366" s="22" t="str">
        <f>IF(OR(E366="",E366="!!!"),"",IF(NOT(ISNA(VLOOKUP(E366,E$1:E365,1,FALSE()))),"OLD",IF(AND(E366&lt;&gt;"",E366&lt;&gt;"!!!"),"NEW","")))</f>
        <v> </v>
      </c>
      <c r="G366" s="23" t="str">
        <f>IF(OR(E366="",E366="!!!"),"",IF(OR(J366=0,AND(J366=1,K366=1),AND(J366=1,I366="SBJ"),AND(J366=1,I366=0)),"?IN_FOCUS",IF(J366&lt;=2,"?ACTIVATED",IF(J366&lt;&gt;"","?FAMILIAR",IF(F366="NEW",IF(ISNA(VLOOKUP(E366,#REF!,1,FALSE())),"?TYPE_IDENTIFIABLE","?REFERENTIAL"),"_")))))</f>
        <v> </v>
      </c>
      <c r="H366" s="24" t="str">
        <f>IF(J366&lt;&gt;1,"",IF(I366="SBJ","CB","?"))</f>
        <v> </v>
      </c>
      <c r="I366" s="25" t="str">
        <f>IF(OR(E366="",E366="!!!",F366="NEW"),"",INDEX(B365:B$2,-1+SUMPRODUCT(MAX(ROW(E365:E$2)*(E366=E365:E$2)))))</f>
        <v> </v>
      </c>
      <c r="J366" s="25" t="str">
        <f>IF(OR(E366="",E366="!!!",F366="NEW"),"",COUNTBLANK(OFFSET(A$1,,,SUMPRODUCT(MAX(ROW(E$2:E366)*(E366=E$2:E366)))))-COUNTBLANK(OFFSET(A$1,,,SUMPRODUCT(MAX(ROW(E$1:E365)*(E2=E$1:E365))))))</f>
        <v> </v>
      </c>
      <c r="K366" s="25" t="str">
        <f>IF(OR(E366="",E366="!!!",F366="NEW"),"",INDEX(J$1:J365,SUMPRODUCT(MAX(ROW(E$1:E365)*(E366=E$1:E365)))))</f>
        <v> </v>
      </c>
      <c r="L366" s="26"/>
    </row>
    <row r="367" spans="1:12">
      <c r="A367" s="20"/>
    </row>
    <row r="368" spans="1:12">
      <c r="A368" s="20" t="s">
        <v>682</v>
      </c>
    </row>
    <row r="369" spans="1:12">
      <c r="A369" s="20" t="s">
        <v>683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684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/>
    </row>
    <row r="372" spans="1:12">
      <c r="A372" s="20" t="s">
        <v>685</v>
      </c>
    </row>
    <row r="373" spans="1:12">
      <c r="A373" s="20" t="s">
        <v>686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687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 t="s">
        <v>688</v>
      </c>
      <c r="E375" s="21">
        <f>IF(D375="?OLD","!!!","")</f>
        <v/>
      </c>
      <c r="F375" s="22" t="str">
        <f>IF(OR(E375="",E375="!!!"),"",IF(NOT(ISNA(VLOOKUP(E375,E$1:E374,1,FALSE()))),"OLD",IF(AND(E375&lt;&gt;"",E375&lt;&gt;"!!!"),"NEW","")))</f>
        <v> </v>
      </c>
      <c r="G375" s="23" t="str">
        <f>IF(OR(E375="",E375="!!!"),"",IF(OR(J375=0,AND(J375=1,K375=1),AND(J375=1,I375="SBJ"),AND(J375=1,I375=0)),"?IN_FOCUS",IF(J375&lt;=2,"?ACTIVATED",IF(J375&lt;&gt;"","?FAMILIAR",IF(F375="NEW",IF(ISNA(VLOOKUP(E375,#REF!,1,FALSE())),"?TYPE_IDENTIFIABLE","?REFERENTIAL"),"_")))))</f>
        <v> </v>
      </c>
      <c r="H375" s="24" t="str">
        <f>IF(J375&lt;&gt;1,"",IF(I375="SBJ","CB","?"))</f>
        <v> </v>
      </c>
      <c r="I375" s="25" t="str">
        <f>IF(OR(E375="",E375="!!!",F375="NEW"),"",INDEX(B374:B$2,-1+SUMPRODUCT(MAX(ROW(E374:E$2)*(E375=E374:E$2)))))</f>
        <v> </v>
      </c>
      <c r="J375" s="25" t="str">
        <f>IF(OR(E375="",E375="!!!",F375="NEW"),"",COUNTBLANK(OFFSET(A$1,,,SUMPRODUCT(MAX(ROW(E$2:E375)*(E375=E$2:E375)))))-COUNTBLANK(OFFSET(A$1,,,SUMPRODUCT(MAX(ROW(E$1:E374)*(E2=E$1:E374))))))</f>
        <v> </v>
      </c>
      <c r="K375" s="25" t="str">
        <f>IF(OR(E375="",E375="!!!",F375="NEW"),"",INDEX(J$1:J374,SUMPRODUCT(MAX(ROW(E$1:E374)*(E375=E$1:E374)))))</f>
        <v> </v>
      </c>
      <c r="L375" s="26"/>
    </row>
    <row r="376" spans="1:12">
      <c r="A376" s="20" t="s">
        <v>614</v>
      </c>
      <c r="E376" s="21">
        <f>IF(D376="?OLD","!!!","")</f>
        <v/>
      </c>
      <c r="F376" s="22" t="str">
        <f>IF(OR(E376="",E376="!!!"),"",IF(NOT(ISNA(VLOOKUP(E376,E$1:E375,1,FALSE()))),"OLD",IF(AND(E376&lt;&gt;"",E376&lt;&gt;"!!!"),"NEW","")))</f>
        <v> </v>
      </c>
      <c r="G376" s="23" t="str">
        <f>IF(OR(E376="",E376="!!!"),"",IF(OR(J376=0,AND(J376=1,K376=1),AND(J376=1,I376="SBJ"),AND(J376=1,I376=0)),"?IN_FOCUS",IF(J376&lt;=2,"?ACTIVATED",IF(J376&lt;&gt;"","?FAMILIAR",IF(F376="NEW",IF(ISNA(VLOOKUP(E376,#REF!,1,FALSE())),"?TYPE_IDENTIFIABLE","?REFERENTIAL"),"_")))))</f>
        <v> </v>
      </c>
      <c r="H376" s="24" t="str">
        <f>IF(J376&lt;&gt;1,"",IF(I376="SBJ","CB","?"))</f>
        <v> </v>
      </c>
      <c r="I376" s="25" t="str">
        <f>IF(OR(E376="",E376="!!!",F376="NEW"),"",INDEX(B375:B$2,-1+SUMPRODUCT(MAX(ROW(E375:E$2)*(E376=E375:E$2)))))</f>
        <v> </v>
      </c>
      <c r="J376" s="25" t="str">
        <f>IF(OR(E376="",E376="!!!",F376="NEW"),"",COUNTBLANK(OFFSET(A$1,,,SUMPRODUCT(MAX(ROW(E$2:E376)*(E376=E$2:E376)))))-COUNTBLANK(OFFSET(A$1,,,SUMPRODUCT(MAX(ROW(E$1:E375)*(E2=E$1:E375))))))</f>
        <v> </v>
      </c>
      <c r="K376" s="25" t="str">
        <f>IF(OR(E376="",E376="!!!",F376="NEW"),"",INDEX(J$1:J375,SUMPRODUCT(MAX(ROW(E$1:E375)*(E376=E$1:E375)))))</f>
        <v> </v>
      </c>
      <c r="L376" s="26"/>
    </row>
    <row r="377" spans="1:12">
      <c r="A377" s="20" t="s">
        <v>482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689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47</v>
      </c>
      <c r="B379" s="27" t="s">
        <v>483</v>
      </c>
      <c r="C379" s="27" t="s">
        <v>690</v>
      </c>
      <c r="D379" s="27" t="s">
        <v>478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482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691</v>
      </c>
      <c r="B381" s="27" t="s">
        <v>692</v>
      </c>
      <c r="C381" s="27" t="s">
        <v>484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475</v>
      </c>
      <c r="B382" s="27" t="s">
        <v>632</v>
      </c>
      <c r="C382" s="27" t="s">
        <v>477</v>
      </c>
      <c r="D382" s="27" t="s">
        <v>478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693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694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 t="s">
        <v>695</v>
      </c>
      <c r="B385" s="27" t="s">
        <v>692</v>
      </c>
      <c r="E385" s="21">
        <f>IF(D385="?OLD","!!!","")</f>
        <v/>
      </c>
      <c r="F385" s="22" t="str">
        <f>IF(OR(E385="",E385="!!!"),"",IF(NOT(ISNA(VLOOKUP(E385,E$1:E384,1,FALSE()))),"OLD",IF(AND(E385&lt;&gt;"",E385&lt;&gt;"!!!"),"NEW","")))</f>
        <v> </v>
      </c>
      <c r="G385" s="23" t="str">
        <f>IF(OR(E385="",E385="!!!"),"",IF(OR(J385=0,AND(J385=1,K385=1),AND(J385=1,I385="SBJ"),AND(J385=1,I385=0)),"?IN_FOCUS",IF(J385&lt;=2,"?ACTIVATED",IF(J385&lt;&gt;"","?FAMILIAR",IF(F385="NEW",IF(ISNA(VLOOKUP(E385,#REF!,1,FALSE())),"?TYPE_IDENTIFIABLE","?REFERENTIAL"),"_")))))</f>
        <v> </v>
      </c>
      <c r="H385" s="24" t="str">
        <f>IF(J385&lt;&gt;1,"",IF(I385="SBJ","CB","?"))</f>
        <v> </v>
      </c>
      <c r="I385" s="25" t="str">
        <f>IF(OR(E385="",E385="!!!",F385="NEW"),"",INDEX(B384:B$2,-1+SUMPRODUCT(MAX(ROW(E384:E$2)*(E385=E384:E$2)))))</f>
        <v> </v>
      </c>
      <c r="J385" s="25" t="str">
        <f>IF(OR(E385="",E385="!!!",F385="NEW"),"",COUNTBLANK(OFFSET(A$1,,,SUMPRODUCT(MAX(ROW(E$2:E385)*(E385=E$2:E385)))))-COUNTBLANK(OFFSET(A$1,,,SUMPRODUCT(MAX(ROW(E$1:E384)*(E2=E$1:E384))))))</f>
        <v> </v>
      </c>
      <c r="K385" s="25" t="str">
        <f>IF(OR(E385="",E385="!!!",F385="NEW"),"",INDEX(J$1:J384,SUMPRODUCT(MAX(ROW(E$1:E384)*(E385=E$1:E384)))))</f>
        <v> </v>
      </c>
      <c r="L385" s="26"/>
    </row>
    <row r="386" spans="1:12">
      <c r="A386" s="20" t="s">
        <v>482</v>
      </c>
      <c r="E386" s="21">
        <f>IF(D386="?OLD","!!!","")</f>
        <v/>
      </c>
      <c r="F386" s="22" t="str">
        <f>IF(OR(E386="",E386="!!!"),"",IF(NOT(ISNA(VLOOKUP(E386,E$1:E385,1,FALSE()))),"OLD",IF(AND(E386&lt;&gt;"",E386&lt;&gt;"!!!"),"NEW","")))</f>
        <v> </v>
      </c>
      <c r="G386" s="23" t="str">
        <f>IF(OR(E386="",E386="!!!"),"",IF(OR(J386=0,AND(J386=1,K386=1),AND(J386=1,I386="SBJ"),AND(J386=1,I386=0)),"?IN_FOCUS",IF(J386&lt;=2,"?ACTIVATED",IF(J386&lt;&gt;"","?FAMILIAR",IF(F386="NEW",IF(ISNA(VLOOKUP(E386,#REF!,1,FALSE())),"?TYPE_IDENTIFIABLE","?REFERENTIAL"),"_")))))</f>
        <v> </v>
      </c>
      <c r="H386" s="24" t="str">
        <f>IF(J386&lt;&gt;1,"",IF(I386="SBJ","CB","?"))</f>
        <v> </v>
      </c>
      <c r="I386" s="25" t="str">
        <f>IF(OR(E386="",E386="!!!",F386="NEW"),"",INDEX(B385:B$2,-1+SUMPRODUCT(MAX(ROW(E385:E$2)*(E386=E385:E$2)))))</f>
        <v> </v>
      </c>
      <c r="J386" s="25" t="str">
        <f>IF(OR(E386="",E386="!!!",F386="NEW"),"",COUNTBLANK(OFFSET(A$1,,,SUMPRODUCT(MAX(ROW(E$2:E386)*(E386=E$2:E386)))))-COUNTBLANK(OFFSET(A$1,,,SUMPRODUCT(MAX(ROW(E$1:E385)*(E2=E$1:E385))))))</f>
        <v> </v>
      </c>
      <c r="K386" s="25" t="str">
        <f>IF(OR(E386="",E386="!!!",F386="NEW"),"",INDEX(J$1:J385,SUMPRODUCT(MAX(ROW(E$1:E385)*(E386=E$1:E385)))))</f>
        <v> </v>
      </c>
      <c r="L386" s="26"/>
    </row>
    <row r="387" spans="1:12">
      <c r="A387" s="20" t="s">
        <v>696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697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482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 t="s">
        <v>485</v>
      </c>
      <c r="E390" s="21">
        <f>IF(D390="?OLD","!!!","")</f>
        <v/>
      </c>
      <c r="F390" s="22" t="str">
        <f>IF(OR(E390="",E390="!!!"),"",IF(NOT(ISNA(VLOOKUP(E390,E$1:E389,1,FALSE()))),"OLD",IF(AND(E390&lt;&gt;"",E390&lt;&gt;"!!!"),"NEW","")))</f>
        <v> </v>
      </c>
      <c r="G390" s="23" t="str">
        <f>IF(OR(E390="",E390="!!!"),"",IF(OR(J390=0,AND(J390=1,K390=1),AND(J390=1,I390="SBJ"),AND(J390=1,I390=0)),"?IN_FOCUS",IF(J390&lt;=2,"?ACTIVATED",IF(J390&lt;&gt;"","?FAMILIAR",IF(F390="NEW",IF(ISNA(VLOOKUP(E390,#REF!,1,FALSE())),"?TYPE_IDENTIFIABLE","?REFERENTIAL"),"_")))))</f>
        <v> </v>
      </c>
      <c r="H390" s="24" t="str">
        <f>IF(J390&lt;&gt;1,"",IF(I390="SBJ","CB","?"))</f>
        <v> </v>
      </c>
      <c r="I390" s="25" t="str">
        <f>IF(OR(E390="",E390="!!!",F390="NEW"),"",INDEX(B389:B$2,-1+SUMPRODUCT(MAX(ROW(E389:E$2)*(E390=E389:E$2)))))</f>
        <v> </v>
      </c>
      <c r="J390" s="25" t="str">
        <f>IF(OR(E390="",E390="!!!",F390="NEW"),"",COUNTBLANK(OFFSET(A$1,,,SUMPRODUCT(MAX(ROW(E$2:E390)*(E390=E$2:E390)))))-COUNTBLANK(OFFSET(A$1,,,SUMPRODUCT(MAX(ROW(E$1:E389)*(E2=E$1:E389))))))</f>
        <v> </v>
      </c>
      <c r="K390" s="25" t="str">
        <f>IF(OR(E390="",E390="!!!",F390="NEW"),"",INDEX(J$1:J389,SUMPRODUCT(MAX(ROW(E$1:E389)*(E390=E$1:E389)))))</f>
        <v> </v>
      </c>
      <c r="L390" s="26"/>
    </row>
    <row r="391" spans="1:12">
      <c r="A391" s="20" t="s">
        <v>698</v>
      </c>
      <c r="E391" s="21">
        <f>IF(D391="?OLD","!!!","")</f>
        <v/>
      </c>
      <c r="F391" s="22" t="str">
        <f>IF(OR(E391="",E391="!!!"),"",IF(NOT(ISNA(VLOOKUP(E391,E$1:E390,1,FALSE()))),"OLD",IF(AND(E391&lt;&gt;"",E391&lt;&gt;"!!!"),"NEW","")))</f>
        <v> </v>
      </c>
      <c r="G391" s="23" t="str">
        <f>IF(OR(E391="",E391="!!!"),"",IF(OR(J391=0,AND(J391=1,K391=1),AND(J391=1,I391="SBJ"),AND(J391=1,I391=0)),"?IN_FOCUS",IF(J391&lt;=2,"?ACTIVATED",IF(J391&lt;&gt;"","?FAMILIAR",IF(F391="NEW",IF(ISNA(VLOOKUP(E391,#REF!,1,FALSE())),"?TYPE_IDENTIFIABLE","?REFERENTIAL"),"_")))))</f>
        <v> </v>
      </c>
      <c r="H391" s="24" t="str">
        <f>IF(J391&lt;&gt;1,"",IF(I391="SBJ","CB","?"))</f>
        <v> </v>
      </c>
      <c r="I391" s="25" t="str">
        <f>IF(OR(E391="",E391="!!!",F391="NEW"),"",INDEX(B390:B$2,-1+SUMPRODUCT(MAX(ROW(E390:E$2)*(E391=E390:E$2)))))</f>
        <v> </v>
      </c>
      <c r="J391" s="25" t="str">
        <f>IF(OR(E391="",E391="!!!",F391="NEW"),"",COUNTBLANK(OFFSET(A$1,,,SUMPRODUCT(MAX(ROW(E$2:E391)*(E391=E$2:E391)))))-COUNTBLANK(OFFSET(A$1,,,SUMPRODUCT(MAX(ROW(E$1:E390)*(E2=E$1:E390))))))</f>
        <v> </v>
      </c>
      <c r="K391" s="25" t="str">
        <f>IF(OR(E391="",E391="!!!",F391="NEW"),"",INDEX(J$1:J390,SUMPRODUCT(MAX(ROW(E$1:E390)*(E391=E$1:E390)))))</f>
        <v> </v>
      </c>
      <c r="L391" s="26"/>
    </row>
    <row r="392" spans="1:12">
      <c r="A392" s="20" t="s">
        <v>699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700</v>
      </c>
      <c r="B393" s="27" t="s">
        <v>692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495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701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482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702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703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583</v>
      </c>
      <c r="B399" s="27" t="s">
        <v>704</v>
      </c>
      <c r="C399" s="27" t="s">
        <v>477</v>
      </c>
      <c r="D399" s="27" t="s">
        <v>478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 t="s">
        <v>705</v>
      </c>
      <c r="E400" s="21">
        <f>IF(D400="?OLD","!!!","")</f>
        <v/>
      </c>
      <c r="F400" s="22" t="str">
        <f>IF(OR(E400="",E400="!!!"),"",IF(NOT(ISNA(VLOOKUP(E400,E$1:E399,1,FALSE()))),"OLD",IF(AND(E400&lt;&gt;"",E400&lt;&gt;"!!!"),"NEW","")))</f>
        <v> </v>
      </c>
      <c r="G400" s="23" t="str">
        <f>IF(OR(E400="",E400="!!!"),"",IF(OR(J400=0,AND(J400=1,K400=1),AND(J400=1,I400="SBJ"),AND(J400=1,I400=0)),"?IN_FOCUS",IF(J400&lt;=2,"?ACTIVATED",IF(J400&lt;&gt;"","?FAMILIAR",IF(F400="NEW",IF(ISNA(VLOOKUP(E400,#REF!,1,FALSE())),"?TYPE_IDENTIFIABLE","?REFERENTIAL"),"_")))))</f>
        <v> </v>
      </c>
      <c r="H400" s="24" t="str">
        <f>IF(J400&lt;&gt;1,"",IF(I400="SBJ","CB","?"))</f>
        <v> </v>
      </c>
      <c r="I400" s="25" t="str">
        <f>IF(OR(E400="",E400="!!!",F400="NEW"),"",INDEX(B399:B$2,-1+SUMPRODUCT(MAX(ROW(E399:E$2)*(E400=E399:E$2)))))</f>
        <v> </v>
      </c>
      <c r="J400" s="25" t="str">
        <f>IF(OR(E400="",E400="!!!",F400="NEW"),"",COUNTBLANK(OFFSET(A$1,,,SUMPRODUCT(MAX(ROW(E$2:E400)*(E400=E$2:E400)))))-COUNTBLANK(OFFSET(A$1,,,SUMPRODUCT(MAX(ROW(E$1:E399)*(E2=E$1:E399))))))</f>
        <v> </v>
      </c>
      <c r="K400" s="25" t="str">
        <f>IF(OR(E400="",E400="!!!",F400="NEW"),"",INDEX(J$1:J399,SUMPRODUCT(MAX(ROW(E$1:E399)*(E400=E$1:E399)))))</f>
        <v> </v>
      </c>
      <c r="L400" s="26"/>
    </row>
    <row r="401" spans="1:12">
      <c r="A401" s="20" t="s">
        <v>651</v>
      </c>
      <c r="E401" s="21">
        <f>IF(D401="?OLD","!!!","")</f>
        <v/>
      </c>
      <c r="F401" s="22" t="str">
        <f>IF(OR(E401="",E401="!!!"),"",IF(NOT(ISNA(VLOOKUP(E401,E$1:E400,1,FALSE()))),"OLD",IF(AND(E401&lt;&gt;"",E401&lt;&gt;"!!!"),"NEW","")))</f>
        <v> </v>
      </c>
      <c r="G401" s="23" t="str">
        <f>IF(OR(E401="",E401="!!!"),"",IF(OR(J401=0,AND(J401=1,K401=1),AND(J401=1,I401="SBJ"),AND(J401=1,I401=0)),"?IN_FOCUS",IF(J401&lt;=2,"?ACTIVATED",IF(J401&lt;&gt;"","?FAMILIAR",IF(F401="NEW",IF(ISNA(VLOOKUP(E401,#REF!,1,FALSE())),"?TYPE_IDENTIFIABLE","?REFERENTIAL"),"_")))))</f>
        <v> </v>
      </c>
      <c r="H401" s="24" t="str">
        <f>IF(J401&lt;&gt;1,"",IF(I401="SBJ","CB","?"))</f>
        <v> </v>
      </c>
      <c r="I401" s="25" t="str">
        <f>IF(OR(E401="",E401="!!!",F401="NEW"),"",INDEX(B400:B$2,-1+SUMPRODUCT(MAX(ROW(E400:E$2)*(E401=E400:E$2)))))</f>
        <v> </v>
      </c>
      <c r="J401" s="25" t="str">
        <f>IF(OR(E401="",E401="!!!",F401="NEW"),"",COUNTBLANK(OFFSET(A$1,,,SUMPRODUCT(MAX(ROW(E$2:E401)*(E401=E$2:E401)))))-COUNTBLANK(OFFSET(A$1,,,SUMPRODUCT(MAX(ROW(E$1:E400)*(E2=E$1:E400))))))</f>
        <v> </v>
      </c>
      <c r="K401" s="25" t="str">
        <f>IF(OR(E401="",E401="!!!",F401="NEW"),"",INDEX(J$1:J400,SUMPRODUCT(MAX(ROW(E$1:E400)*(E401=E$1:E400)))))</f>
        <v> </v>
      </c>
      <c r="L401" s="26"/>
    </row>
    <row r="402" spans="1:12">
      <c r="A402" s="20" t="s">
        <v>253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/>
    </row>
    <row r="404" spans="1:12">
      <c r="A404" s="20" t="s">
        <v>706</v>
      </c>
    </row>
    <row r="405" spans="1:12">
      <c r="A405" s="20" t="s">
        <v>707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482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708</v>
      </c>
      <c r="B407" s="27" t="s">
        <v>521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709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710</v>
      </c>
      <c r="B409" s="27" t="s">
        <v>711</v>
      </c>
      <c r="C409" s="27" t="s">
        <v>477</v>
      </c>
      <c r="D409" s="27" t="s">
        <v>478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712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689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47</v>
      </c>
      <c r="B412" s="27" t="s">
        <v>476</v>
      </c>
      <c r="C412" s="27" t="s">
        <v>690</v>
      </c>
      <c r="D412" s="27" t="s">
        <v>478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253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/>
    </row>
    <row r="415" spans="1:12">
      <c r="A415" s="20" t="s">
        <v>713</v>
      </c>
    </row>
    <row r="416" spans="1:12">
      <c r="A416" s="20" t="s">
        <v>714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218</v>
      </c>
      <c r="B417" s="27" t="s">
        <v>476</v>
      </c>
      <c r="C417" s="27" t="s">
        <v>484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615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253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/>
    </row>
    <row r="421" spans="1:12">
      <c r="A421" s="20" t="s">
        <v>715</v>
      </c>
    </row>
    <row r="422" spans="1:12">
      <c r="A422" s="20" t="s">
        <v>606</v>
      </c>
      <c r="B422" s="27" t="s">
        <v>476</v>
      </c>
      <c r="C422" s="27" t="s">
        <v>477</v>
      </c>
      <c r="D422" s="27" t="s">
        <v>478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716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618</v>
      </c>
      <c r="B424" s="27" t="s">
        <v>521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513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 t="s">
        <v>717</v>
      </c>
      <c r="E426" s="21">
        <f>IF(D426="?OLD","!!!","")</f>
        <v/>
      </c>
      <c r="F426" s="22" t="str">
        <f>IF(OR(E426="",E426="!!!"),"",IF(NOT(ISNA(VLOOKUP(E426,E$1:E425,1,FALSE()))),"OLD",IF(AND(E426&lt;&gt;"",E426&lt;&gt;"!!!"),"NEW","")))</f>
        <v> </v>
      </c>
      <c r="G426" s="23" t="str">
        <f>IF(OR(E426="",E426="!!!"),"",IF(OR(J426=0,AND(J426=1,K426=1),AND(J426=1,I426="SBJ"),AND(J426=1,I426=0)),"?IN_FOCUS",IF(J426&lt;=2,"?ACTIVATED",IF(J426&lt;&gt;"","?FAMILIAR",IF(F426="NEW",IF(ISNA(VLOOKUP(E426,#REF!,1,FALSE())),"?TYPE_IDENTIFIABLE","?REFERENTIAL"),"_")))))</f>
        <v> </v>
      </c>
      <c r="H426" s="24" t="str">
        <f>IF(J426&lt;&gt;1,"",IF(I426="SBJ","CB","?"))</f>
        <v> </v>
      </c>
      <c r="I426" s="25" t="str">
        <f>IF(OR(E426="",E426="!!!",F426="NEW"),"",INDEX(B425:B$2,-1+SUMPRODUCT(MAX(ROW(E425:E$2)*(E426=E425:E$2)))))</f>
        <v> </v>
      </c>
      <c r="J426" s="25" t="str">
        <f>IF(OR(E426="",E426="!!!",F426="NEW"),"",COUNTBLANK(OFFSET(A$1,,,SUMPRODUCT(MAX(ROW(E$2:E426)*(E426=E$2:E426)))))-COUNTBLANK(OFFSET(A$1,,,SUMPRODUCT(MAX(ROW(E$1:E425)*(E2=E$1:E425))))))</f>
        <v> </v>
      </c>
      <c r="K426" s="25" t="str">
        <f>IF(OR(E426="",E426="!!!",F426="NEW"),"",INDEX(J$1:J425,SUMPRODUCT(MAX(ROW(E$1:E425)*(E426=E$1:E425)))))</f>
        <v> </v>
      </c>
      <c r="L426" s="26"/>
    </row>
    <row r="427" spans="1:12">
      <c r="A427" s="20" t="s">
        <v>253</v>
      </c>
      <c r="E427" s="21">
        <f>IF(D427="?OLD","!!!","")</f>
        <v/>
      </c>
      <c r="F427" s="22" t="str">
        <f>IF(OR(E427="",E427="!!!"),"",IF(NOT(ISNA(VLOOKUP(E427,E$1:E426,1,FALSE()))),"OLD",IF(AND(E427&lt;&gt;"",E427&lt;&gt;"!!!"),"NEW","")))</f>
        <v> </v>
      </c>
      <c r="G427" s="23" t="str">
        <f>IF(OR(E427="",E427="!!!"),"",IF(OR(J427=0,AND(J427=1,K427=1),AND(J427=1,I427="SBJ"),AND(J427=1,I427=0)),"?IN_FOCUS",IF(J427&lt;=2,"?ACTIVATED",IF(J427&lt;&gt;"","?FAMILIAR",IF(F427="NEW",IF(ISNA(VLOOKUP(E427,#REF!,1,FALSE())),"?TYPE_IDENTIFIABLE","?REFERENTIAL"),"_")))))</f>
        <v> </v>
      </c>
      <c r="H427" s="24" t="str">
        <f>IF(J427&lt;&gt;1,"",IF(I427="SBJ","CB","?"))</f>
        <v> </v>
      </c>
      <c r="I427" s="25" t="str">
        <f>IF(OR(E427="",E427="!!!",F427="NEW"),"",INDEX(B426:B$2,-1+SUMPRODUCT(MAX(ROW(E426:E$2)*(E427=E426:E$2)))))</f>
        <v> </v>
      </c>
      <c r="J427" s="25" t="str">
        <f>IF(OR(E427="",E427="!!!",F427="NEW"),"",COUNTBLANK(OFFSET(A$1,,,SUMPRODUCT(MAX(ROW(E$2:E427)*(E427=E$2:E427)))))-COUNTBLANK(OFFSET(A$1,,,SUMPRODUCT(MAX(ROW(E$1:E426)*(E2=E$1:E426))))))</f>
        <v> </v>
      </c>
      <c r="K427" s="25" t="str">
        <f>IF(OR(E427="",E427="!!!",F427="NEW"),"",INDEX(J$1:J426,SUMPRODUCT(MAX(ROW(E$1:E426)*(E427=E$1:E426)))))</f>
        <v> </v>
      </c>
      <c r="L427" s="26"/>
    </row>
    <row r="428" spans="1:12">
      <c r="A428" s="20"/>
    </row>
    <row r="429" spans="1:12">
      <c r="A429" s="20" t="s">
        <v>718</v>
      </c>
    </row>
    <row r="430" spans="1:12">
      <c r="A430" s="20" t="s">
        <v>606</v>
      </c>
      <c r="B430" s="27" t="s">
        <v>476</v>
      </c>
      <c r="C430" s="27" t="s">
        <v>477</v>
      </c>
      <c r="D430" s="27" t="s">
        <v>478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719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482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218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635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636</v>
      </c>
      <c r="B435" s="27" t="s">
        <v>483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489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567</v>
      </c>
      <c r="B437" s="27" t="s">
        <v>711</v>
      </c>
      <c r="C437" s="27" t="s">
        <v>497</v>
      </c>
      <c r="D437" s="27" t="s">
        <v>478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482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568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720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482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218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 t="s">
        <v>513</v>
      </c>
      <c r="E443" s="21">
        <f>IF(D443="?OLD","!!!","")</f>
        <v/>
      </c>
      <c r="F443" s="22" t="str">
        <f>IF(OR(E443="",E443="!!!"),"",IF(NOT(ISNA(VLOOKUP(E443,E$1:E442,1,FALSE()))),"OLD",IF(AND(E443&lt;&gt;"",E443&lt;&gt;"!!!"),"NEW","")))</f>
        <v> </v>
      </c>
      <c r="G443" s="23" t="str">
        <f>IF(OR(E443="",E443="!!!"),"",IF(OR(J443=0,AND(J443=1,K443=1),AND(J443=1,I443="SBJ"),AND(J443=1,I443=0)),"?IN_FOCUS",IF(J443&lt;=2,"?ACTIVATED",IF(J443&lt;&gt;"","?FAMILIAR",IF(F443="NEW",IF(ISNA(VLOOKUP(E443,#REF!,1,FALSE())),"?TYPE_IDENTIFIABLE","?REFERENTIAL"),"_")))))</f>
        <v> </v>
      </c>
      <c r="H443" s="24" t="str">
        <f>IF(J443&lt;&gt;1,"",IF(I443="SBJ","CB","?"))</f>
        <v> </v>
      </c>
      <c r="I443" s="25" t="str">
        <f>IF(OR(E443="",E443="!!!",F443="NEW"),"",INDEX(B442:B$2,-1+SUMPRODUCT(MAX(ROW(E442:E$2)*(E443=E442:E$2)))))</f>
        <v> </v>
      </c>
      <c r="J443" s="25" t="str">
        <f>IF(OR(E443="",E443="!!!",F443="NEW"),"",COUNTBLANK(OFFSET(A$1,,,SUMPRODUCT(MAX(ROW(E$2:E443)*(E443=E$2:E443)))))-COUNTBLANK(OFFSET(A$1,,,SUMPRODUCT(MAX(ROW(E$1:E442)*(E2=E$1:E442))))))</f>
        <v> </v>
      </c>
      <c r="K443" s="25" t="str">
        <f>IF(OR(E443="",E443="!!!",F443="NEW"),"",INDEX(J$1:J442,SUMPRODUCT(MAX(ROW(E$1:E442)*(E443=E$1:E442)))))</f>
        <v> </v>
      </c>
      <c r="L443" s="26"/>
    </row>
    <row r="444" spans="1:12">
      <c r="A444" s="20" t="s">
        <v>630</v>
      </c>
      <c r="E444" s="21">
        <f>IF(D444="?OLD","!!!","")</f>
        <v/>
      </c>
      <c r="F444" s="22" t="str">
        <f>IF(OR(E444="",E444="!!!"),"",IF(NOT(ISNA(VLOOKUP(E444,E$1:E443,1,FALSE()))),"OLD",IF(AND(E444&lt;&gt;"",E444&lt;&gt;"!!!"),"NEW","")))</f>
        <v> </v>
      </c>
      <c r="G444" s="23" t="str">
        <f>IF(OR(E444="",E444="!!!"),"",IF(OR(J444=0,AND(J444=1,K444=1),AND(J444=1,I444="SBJ"),AND(J444=1,I444=0)),"?IN_FOCUS",IF(J444&lt;=2,"?ACTIVATED",IF(J444&lt;&gt;"","?FAMILIAR",IF(F444="NEW",IF(ISNA(VLOOKUP(E444,#REF!,1,FALSE())),"?TYPE_IDENTIFIABLE","?REFERENTIAL"),"_")))))</f>
        <v> </v>
      </c>
      <c r="H444" s="24" t="str">
        <f>IF(J444&lt;&gt;1,"",IF(I444="SBJ","CB","?"))</f>
        <v> </v>
      </c>
      <c r="I444" s="25" t="str">
        <f>IF(OR(E444="",E444="!!!",F444="NEW"),"",INDEX(B443:B$2,-1+SUMPRODUCT(MAX(ROW(E443:E$2)*(E444=E443:E$2)))))</f>
        <v> </v>
      </c>
      <c r="J444" s="25" t="str">
        <f>IF(OR(E444="",E444="!!!",F444="NEW"),"",COUNTBLANK(OFFSET(A$1,,,SUMPRODUCT(MAX(ROW(E$2:E444)*(E444=E$2:E444)))))-COUNTBLANK(OFFSET(A$1,,,SUMPRODUCT(MAX(ROW(E$1:E443)*(E2=E$1:E443))))))</f>
        <v> </v>
      </c>
      <c r="K444" s="25" t="str">
        <f>IF(OR(E444="",E444="!!!",F444="NEW"),"",INDEX(J$1:J443,SUMPRODUCT(MAX(ROW(E$1:E443)*(E444=E$1:E443)))))</f>
        <v> </v>
      </c>
      <c r="L444" s="26"/>
    </row>
    <row r="445" spans="1:12">
      <c r="A445" s="20" t="s">
        <v>721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646</v>
      </c>
      <c r="B446" s="27" t="s">
        <v>722</v>
      </c>
      <c r="C446" s="27" t="s">
        <v>477</v>
      </c>
      <c r="D446" s="27" t="s">
        <v>478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631</v>
      </c>
      <c r="B447" s="27" t="s">
        <v>704</v>
      </c>
      <c r="C447" s="27" t="s">
        <v>633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 t="s">
        <v>634</v>
      </c>
      <c r="E448" s="21">
        <f>IF(D448="?OLD","!!!","")</f>
        <v/>
      </c>
      <c r="F448" s="22" t="str">
        <f>IF(OR(E448="",E448="!!!"),"",IF(NOT(ISNA(VLOOKUP(E448,E$1:E447,1,FALSE()))),"OLD",IF(AND(E448&lt;&gt;"",E448&lt;&gt;"!!!"),"NEW","")))</f>
        <v> </v>
      </c>
      <c r="G448" s="23" t="str">
        <f>IF(OR(E448="",E448="!!!"),"",IF(OR(J448=0,AND(J448=1,K448=1),AND(J448=1,I448="SBJ"),AND(J448=1,I448=0)),"?IN_FOCUS",IF(J448&lt;=2,"?ACTIVATED",IF(J448&lt;&gt;"","?FAMILIAR",IF(F448="NEW",IF(ISNA(VLOOKUP(E448,#REF!,1,FALSE())),"?TYPE_IDENTIFIABLE","?REFERENTIAL"),"_")))))</f>
        <v> </v>
      </c>
      <c r="H448" s="24" t="str">
        <f>IF(J448&lt;&gt;1,"",IF(I448="SBJ","CB","?"))</f>
        <v> </v>
      </c>
      <c r="I448" s="25" t="str">
        <f>IF(OR(E448="",E448="!!!",F448="NEW"),"",INDEX(B447:B$2,-1+SUMPRODUCT(MAX(ROW(E447:E$2)*(E448=E447:E$2)))))</f>
        <v> </v>
      </c>
      <c r="J448" s="25" t="str">
        <f>IF(OR(E448="",E448="!!!",F448="NEW"),"",COUNTBLANK(OFFSET(A$1,,,SUMPRODUCT(MAX(ROW(E$2:E448)*(E448=E$2:E448)))))-COUNTBLANK(OFFSET(A$1,,,SUMPRODUCT(MAX(ROW(E$1:E447)*(E2=E$1:E447))))))</f>
        <v> </v>
      </c>
      <c r="K448" s="25" t="str">
        <f>IF(OR(E448="",E448="!!!",F448="NEW"),"",INDEX(J$1:J447,SUMPRODUCT(MAX(ROW(E$1:E447)*(E448=E$1:E447)))))</f>
        <v> </v>
      </c>
      <c r="L448" s="26"/>
    </row>
    <row r="449" spans="1:12">
      <c r="A449" s="20" t="s">
        <v>482</v>
      </c>
      <c r="E449" s="21">
        <f>IF(D449="?OLD","!!!","")</f>
        <v/>
      </c>
      <c r="F449" s="22" t="str">
        <f>IF(OR(E449="",E449="!!!"),"",IF(NOT(ISNA(VLOOKUP(E449,E$1:E448,1,FALSE()))),"OLD",IF(AND(E449&lt;&gt;"",E449&lt;&gt;"!!!"),"NEW","")))</f>
        <v> </v>
      </c>
      <c r="G449" s="23" t="str">
        <f>IF(OR(E449="",E449="!!!"),"",IF(OR(J449=0,AND(J449=1,K449=1),AND(J449=1,I449="SBJ"),AND(J449=1,I449=0)),"?IN_FOCUS",IF(J449&lt;=2,"?ACTIVATED",IF(J449&lt;&gt;"","?FAMILIAR",IF(F449="NEW",IF(ISNA(VLOOKUP(E449,#REF!,1,FALSE())),"?TYPE_IDENTIFIABLE","?REFERENTIAL"),"_")))))</f>
        <v> </v>
      </c>
      <c r="H449" s="24" t="str">
        <f>IF(J449&lt;&gt;1,"",IF(I449="SBJ","CB","?"))</f>
        <v> </v>
      </c>
      <c r="I449" s="25" t="str">
        <f>IF(OR(E449="",E449="!!!",F449="NEW"),"",INDEX(B448:B$2,-1+SUMPRODUCT(MAX(ROW(E448:E$2)*(E449=E448:E$2)))))</f>
        <v> </v>
      </c>
      <c r="J449" s="25" t="str">
        <f>IF(OR(E449="",E449="!!!",F449="NEW"),"",COUNTBLANK(OFFSET(A$1,,,SUMPRODUCT(MAX(ROW(E$2:E449)*(E449=E$2:E449)))))-COUNTBLANK(OFFSET(A$1,,,SUMPRODUCT(MAX(ROW(E$1:E448)*(E2=E$1:E448))))))</f>
        <v> </v>
      </c>
      <c r="K449" s="25" t="str">
        <f>IF(OR(E449="",E449="!!!",F449="NEW"),"",INDEX(J$1:J448,SUMPRODUCT(MAX(ROW(E$1:E448)*(E449=E$1:E448)))))</f>
        <v> </v>
      </c>
      <c r="L449" s="26"/>
    </row>
    <row r="450" spans="1:12">
      <c r="A450" s="20" t="s">
        <v>218</v>
      </c>
      <c r="B450" s="27" t="s">
        <v>723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724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665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666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12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725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253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/>
    </row>
    <row r="458" spans="1:12">
      <c r="A458" s="20" t="s">
        <v>726</v>
      </c>
    </row>
    <row r="459" spans="1:12">
      <c r="A459" s="20" t="s">
        <v>606</v>
      </c>
      <c r="B459" s="27" t="s">
        <v>476</v>
      </c>
      <c r="C459" s="27" t="s">
        <v>477</v>
      </c>
      <c r="D459" s="27" t="s">
        <v>478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 t="s">
        <v>716</v>
      </c>
      <c r="E460" s="21">
        <f>IF(D460="?OLD","!!!","")</f>
        <v/>
      </c>
      <c r="F460" s="22" t="str">
        <f>IF(OR(E460="",E460="!!!"),"",IF(NOT(ISNA(VLOOKUP(E460,E$1:E459,1,FALSE()))),"OLD",IF(AND(E460&lt;&gt;"",E460&lt;&gt;"!!!"),"NEW","")))</f>
        <v> </v>
      </c>
      <c r="G460" s="23" t="str">
        <f>IF(OR(E460="",E460="!!!"),"",IF(OR(J460=0,AND(J460=1,K460=1),AND(J460=1,I460="SBJ"),AND(J460=1,I460=0)),"?IN_FOCUS",IF(J460&lt;=2,"?ACTIVATED",IF(J460&lt;&gt;"","?FAMILIAR",IF(F460="NEW",IF(ISNA(VLOOKUP(E460,#REF!,1,FALSE())),"?TYPE_IDENTIFIABLE","?REFERENTIAL"),"_")))))</f>
        <v> </v>
      </c>
      <c r="H460" s="24" t="str">
        <f>IF(J460&lt;&gt;1,"",IF(I460="SBJ","CB","?"))</f>
        <v> </v>
      </c>
      <c r="I460" s="25" t="str">
        <f>IF(OR(E460="",E460="!!!",F460="NEW"),"",INDEX(B459:B$2,-1+SUMPRODUCT(MAX(ROW(E459:E$2)*(E460=E459:E$2)))))</f>
        <v> </v>
      </c>
      <c r="J460" s="25" t="str">
        <f>IF(OR(E460="",E460="!!!",F460="NEW"),"",COUNTBLANK(OFFSET(A$1,,,SUMPRODUCT(MAX(ROW(E$2:E460)*(E460=E$2:E460)))))-COUNTBLANK(OFFSET(A$1,,,SUMPRODUCT(MAX(ROW(E$1:E459)*(E2=E$1:E459))))))</f>
        <v> </v>
      </c>
      <c r="K460" s="25" t="str">
        <f>IF(OR(E460="",E460="!!!",F460="NEW"),"",INDEX(J$1:J459,SUMPRODUCT(MAX(ROW(E$1:E459)*(E460=E$1:E459)))))</f>
        <v> </v>
      </c>
      <c r="L460" s="26"/>
    </row>
    <row r="461" spans="1:12">
      <c r="A461" s="20" t="s">
        <v>727</v>
      </c>
      <c r="E461" s="21">
        <f>IF(D461="?OLD","!!!","")</f>
        <v/>
      </c>
      <c r="F461" s="22" t="str">
        <f>IF(OR(E461="",E461="!!!"),"",IF(NOT(ISNA(VLOOKUP(E461,E$1:E460,1,FALSE()))),"OLD",IF(AND(E461&lt;&gt;"",E461&lt;&gt;"!!!"),"NEW","")))</f>
        <v> </v>
      </c>
      <c r="G461" s="23" t="str">
        <f>IF(OR(E461="",E461="!!!"),"",IF(OR(J461=0,AND(J461=1,K461=1),AND(J461=1,I461="SBJ"),AND(J461=1,I461=0)),"?IN_FOCUS",IF(J461&lt;=2,"?ACTIVATED",IF(J461&lt;&gt;"","?FAMILIAR",IF(F461="NEW",IF(ISNA(VLOOKUP(E461,#REF!,1,FALSE())),"?TYPE_IDENTIFIABLE","?REFERENTIAL"),"_")))))</f>
        <v> </v>
      </c>
      <c r="H461" s="24" t="str">
        <f>IF(J461&lt;&gt;1,"",IF(I461="SBJ","CB","?"))</f>
        <v> </v>
      </c>
      <c r="I461" s="25" t="str">
        <f>IF(OR(E461="",E461="!!!",F461="NEW"),"",INDEX(B460:B$2,-1+SUMPRODUCT(MAX(ROW(E460:E$2)*(E461=E460:E$2)))))</f>
        <v> </v>
      </c>
      <c r="J461" s="25" t="str">
        <f>IF(OR(E461="",E461="!!!",F461="NEW"),"",COUNTBLANK(OFFSET(A$1,,,SUMPRODUCT(MAX(ROW(E$2:E461)*(E461=E$2:E461)))))-COUNTBLANK(OFFSET(A$1,,,SUMPRODUCT(MAX(ROW(E$1:E460)*(E2=E$1:E460))))))</f>
        <v> </v>
      </c>
      <c r="K461" s="25" t="str">
        <f>IF(OR(E461="",E461="!!!",F461="NEW"),"",INDEX(J$1:J460,SUMPRODUCT(MAX(ROW(E$1:E460)*(E461=E$1:E460)))))</f>
        <v> </v>
      </c>
      <c r="L461" s="26"/>
    </row>
    <row r="462" spans="1:12">
      <c r="A462" s="20" t="s">
        <v>636</v>
      </c>
      <c r="B462" s="27" t="s">
        <v>521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530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482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218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728</v>
      </c>
      <c r="B466" s="27" t="s">
        <v>538</v>
      </c>
      <c r="C466" s="27" t="s">
        <v>497</v>
      </c>
      <c r="D466" s="27" t="s">
        <v>478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656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588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729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730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253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/>
    </row>
    <row r="473" spans="1:12">
      <c r="A473" s="20" t="s">
        <v>731</v>
      </c>
    </row>
    <row r="474" spans="1:12">
      <c r="A474" s="20" t="s">
        <v>732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 t="s">
        <v>79</v>
      </c>
      <c r="E475" s="21">
        <f>IF(D475="?OLD","!!!","")</f>
        <v/>
      </c>
      <c r="F475" s="22" t="str">
        <f>IF(OR(E475="",E475="!!!"),"",IF(NOT(ISNA(VLOOKUP(E475,E$1:E474,1,FALSE()))),"OLD",IF(AND(E475&lt;&gt;"",E475&lt;&gt;"!!!"),"NEW","")))</f>
        <v> </v>
      </c>
      <c r="G475" s="23" t="str">
        <f>IF(OR(E475="",E475="!!!"),"",IF(OR(J475=0,AND(J475=1,K475=1),AND(J475=1,I475="SBJ"),AND(J475=1,I475=0)),"?IN_FOCUS",IF(J475&lt;=2,"?ACTIVATED",IF(J475&lt;&gt;"","?FAMILIAR",IF(F475="NEW",IF(ISNA(VLOOKUP(E475,#REF!,1,FALSE())),"?TYPE_IDENTIFIABLE","?REFERENTIAL"),"_")))))</f>
        <v> </v>
      </c>
      <c r="H475" s="24" t="str">
        <f>IF(J475&lt;&gt;1,"",IF(I475="SBJ","CB","?"))</f>
        <v> </v>
      </c>
      <c r="I475" s="25" t="str">
        <f>IF(OR(E475="",E475="!!!",F475="NEW"),"",INDEX(B474:B$2,-1+SUMPRODUCT(MAX(ROW(E474:E$2)*(E475=E474:E$2)))))</f>
        <v> </v>
      </c>
      <c r="J475" s="25" t="str">
        <f>IF(OR(E475="",E475="!!!",F475="NEW"),"",COUNTBLANK(OFFSET(A$1,,,SUMPRODUCT(MAX(ROW(E$2:E475)*(E475=E$2:E475)))))-COUNTBLANK(OFFSET(A$1,,,SUMPRODUCT(MAX(ROW(E$1:E474)*(E2=E$1:E474))))))</f>
        <v> </v>
      </c>
      <c r="K475" s="25" t="str">
        <f>IF(OR(E475="",E475="!!!",F475="NEW"),"",INDEX(J$1:J474,SUMPRODUCT(MAX(ROW(E$1:E474)*(E475=E$1:E474)))))</f>
        <v> </v>
      </c>
      <c r="L475" s="26"/>
    </row>
    <row r="476" spans="1:12">
      <c r="A476" s="20" t="s">
        <v>733</v>
      </c>
      <c r="B476" s="27" t="s">
        <v>473</v>
      </c>
      <c r="C476" s="27" t="s">
        <v>690</v>
      </c>
      <c r="D476" s="27" t="s">
        <v>478</v>
      </c>
      <c r="E476" s="21">
        <f>IF(D476="?OLD","!!!","")</f>
        <v/>
      </c>
      <c r="F476" s="22" t="str">
        <f>IF(OR(E476="",E476="!!!"),"",IF(NOT(ISNA(VLOOKUP(E476,E$1:E475,1,FALSE()))),"OLD",IF(AND(E476&lt;&gt;"",E476&lt;&gt;"!!!"),"NEW","")))</f>
        <v> </v>
      </c>
      <c r="G476" s="23" t="str">
        <f>IF(OR(E476="",E476="!!!"),"",IF(OR(J476=0,AND(J476=1,K476=1),AND(J476=1,I476="SBJ"),AND(J476=1,I476=0)),"?IN_FOCUS",IF(J476&lt;=2,"?ACTIVATED",IF(J476&lt;&gt;"","?FAMILIAR",IF(F476="NEW",IF(ISNA(VLOOKUP(E476,#REF!,1,FALSE())),"?TYPE_IDENTIFIABLE","?REFERENTIAL"),"_")))))</f>
        <v> </v>
      </c>
      <c r="H476" s="24" t="str">
        <f>IF(J476&lt;&gt;1,"",IF(I476="SBJ","CB","?"))</f>
        <v> </v>
      </c>
      <c r="I476" s="25" t="str">
        <f>IF(OR(E476="",E476="!!!",F476="NEW"),"",INDEX(B475:B$2,-1+SUMPRODUCT(MAX(ROW(E475:E$2)*(E476=E475:E$2)))))</f>
        <v> </v>
      </c>
      <c r="J476" s="25" t="str">
        <f>IF(OR(E476="",E476="!!!",F476="NEW"),"",COUNTBLANK(OFFSET(A$1,,,SUMPRODUCT(MAX(ROW(E$2:E476)*(E476=E$2:E476)))))-COUNTBLANK(OFFSET(A$1,,,SUMPRODUCT(MAX(ROW(E$1:E475)*(E2=E$1:E475))))))</f>
        <v> </v>
      </c>
      <c r="K476" s="25" t="str">
        <f>IF(OR(E476="",E476="!!!",F476="NEW"),"",INDEX(J$1:J475,SUMPRODUCT(MAX(ROW(E$1:E475)*(E476=E$1:E475)))))</f>
        <v> </v>
      </c>
      <c r="L476" s="26"/>
    </row>
    <row r="477" spans="1:12">
      <c r="A477" s="20" t="s">
        <v>482</v>
      </c>
      <c r="E477" s="21">
        <f>IF(D477="?OLD","!!!","")</f>
        <v/>
      </c>
      <c r="F477" s="22" t="str">
        <f>IF(OR(E477="",E477="!!!"),"",IF(NOT(ISNA(VLOOKUP(E477,E$1:E476,1,FALSE()))),"OLD",IF(AND(E477&lt;&gt;"",E477&lt;&gt;"!!!"),"NEW","")))</f>
        <v> </v>
      </c>
      <c r="G477" s="23" t="str">
        <f>IF(OR(E477="",E477="!!!"),"",IF(OR(J477=0,AND(J477=1,K477=1),AND(J477=1,I477="SBJ"),AND(J477=1,I477=0)),"?IN_FOCUS",IF(J477&lt;=2,"?ACTIVATED",IF(J477&lt;&gt;"","?FAMILIAR",IF(F477="NEW",IF(ISNA(VLOOKUP(E477,#REF!,1,FALSE())),"?TYPE_IDENTIFIABLE","?REFERENTIAL"),"_")))))</f>
        <v> </v>
      </c>
      <c r="H477" s="24" t="str">
        <f>IF(J477&lt;&gt;1,"",IF(I477="SBJ","CB","?"))</f>
        <v> </v>
      </c>
      <c r="I477" s="25" t="str">
        <f>IF(OR(E477="",E477="!!!",F477="NEW"),"",INDEX(B476:B$2,-1+SUMPRODUCT(MAX(ROW(E476:E$2)*(E477=E476:E$2)))))</f>
        <v> </v>
      </c>
      <c r="J477" s="25" t="str">
        <f>IF(OR(E477="",E477="!!!",F477="NEW"),"",COUNTBLANK(OFFSET(A$1,,,SUMPRODUCT(MAX(ROW(E$2:E477)*(E477=E$2:E477)))))-COUNTBLANK(OFFSET(A$1,,,SUMPRODUCT(MAX(ROW(E$1:E476)*(E2=E$1:E476))))))</f>
        <v> </v>
      </c>
      <c r="K477" s="25" t="str">
        <f>IF(OR(E477="",E477="!!!",F477="NEW"),"",INDEX(J$1:J476,SUMPRODUCT(MAX(ROW(E$1:E476)*(E477=E$1:E476)))))</f>
        <v> </v>
      </c>
      <c r="L477" s="26"/>
    </row>
    <row r="478" spans="1:12">
      <c r="A478" s="20" t="s">
        <v>734</v>
      </c>
      <c r="E478" s="21">
        <f>IF(D478="?OLD","!!!","")</f>
        <v/>
      </c>
      <c r="F478" s="22" t="str">
        <f>IF(OR(E478="",E478="!!!"),"",IF(NOT(ISNA(VLOOKUP(E478,E$1:E477,1,FALSE()))),"OLD",IF(AND(E478&lt;&gt;"",E478&lt;&gt;"!!!"),"NEW","")))</f>
        <v> </v>
      </c>
      <c r="G478" s="23" t="str">
        <f>IF(OR(E478="",E478="!!!"),"",IF(OR(J478=0,AND(J478=1,K478=1),AND(J478=1,I478="SBJ"),AND(J478=1,I478=0)),"?IN_FOCUS",IF(J478&lt;=2,"?ACTIVATED",IF(J478&lt;&gt;"","?FAMILIAR",IF(F478="NEW",IF(ISNA(VLOOKUP(E478,#REF!,1,FALSE())),"?TYPE_IDENTIFIABLE","?REFERENTIAL"),"_")))))</f>
        <v> </v>
      </c>
      <c r="H478" s="24" t="str">
        <f>IF(J478&lt;&gt;1,"",IF(I478="SBJ","CB","?"))</f>
        <v> </v>
      </c>
      <c r="I478" s="25" t="str">
        <f>IF(OR(E478="",E478="!!!",F478="NEW"),"",INDEX(B477:B$2,-1+SUMPRODUCT(MAX(ROW(E477:E$2)*(E478=E477:E$2)))))</f>
        <v> </v>
      </c>
      <c r="J478" s="25" t="str">
        <f>IF(OR(E478="",E478="!!!",F478="NEW"),"",COUNTBLANK(OFFSET(A$1,,,SUMPRODUCT(MAX(ROW(E$2:E478)*(E478=E$2:E478)))))-COUNTBLANK(OFFSET(A$1,,,SUMPRODUCT(MAX(ROW(E$1:E477)*(E2=E$1:E477))))))</f>
        <v> </v>
      </c>
      <c r="K478" s="25" t="str">
        <f>IF(OR(E478="",E478="!!!",F478="NEW"),"",INDEX(J$1:J477,SUMPRODUCT(MAX(ROW(E$1:E477)*(E478=E$1:E477)))))</f>
        <v> </v>
      </c>
      <c r="L478" s="26"/>
    </row>
    <row r="479" spans="1:12">
      <c r="A479" s="20" t="s">
        <v>475</v>
      </c>
      <c r="B479" s="27" t="s">
        <v>538</v>
      </c>
      <c r="C479" s="27" t="s">
        <v>477</v>
      </c>
      <c r="D479" s="27" t="s">
        <v>478</v>
      </c>
      <c r="E479" s="21">
        <f>IF(D479="?OLD","!!!","")</f>
        <v/>
      </c>
      <c r="F479" s="22" t="str">
        <f>IF(OR(E479="",E479="!!!"),"",IF(NOT(ISNA(VLOOKUP(E479,E$1:E478,1,FALSE()))),"OLD",IF(AND(E479&lt;&gt;"",E479&lt;&gt;"!!!"),"NEW","")))</f>
        <v> </v>
      </c>
      <c r="G479" s="23" t="str">
        <f>IF(OR(E479="",E479="!!!"),"",IF(OR(J479=0,AND(J479=1,K479=1),AND(J479=1,I479="SBJ"),AND(J479=1,I479=0)),"?IN_FOCUS",IF(J479&lt;=2,"?ACTIVATED",IF(J479&lt;&gt;"","?FAMILIAR",IF(F479="NEW",IF(ISNA(VLOOKUP(E479,#REF!,1,FALSE())),"?TYPE_IDENTIFIABLE","?REFERENTIAL"),"_")))))</f>
        <v> </v>
      </c>
      <c r="H479" s="24" t="str">
        <f>IF(J479&lt;&gt;1,"",IF(I479="SBJ","CB","?"))</f>
        <v> </v>
      </c>
      <c r="I479" s="25" t="str">
        <f>IF(OR(E479="",E479="!!!",F479="NEW"),"",INDEX(B478:B$2,-1+SUMPRODUCT(MAX(ROW(E478:E$2)*(E479=E478:E$2)))))</f>
        <v> </v>
      </c>
      <c r="J479" s="25" t="str">
        <f>IF(OR(E479="",E479="!!!",F479="NEW"),"",COUNTBLANK(OFFSET(A$1,,,SUMPRODUCT(MAX(ROW(E$2:E479)*(E479=E$2:E479)))))-COUNTBLANK(OFFSET(A$1,,,SUMPRODUCT(MAX(ROW(E$1:E478)*(E2=E$1:E478))))))</f>
        <v> </v>
      </c>
      <c r="K479" s="25" t="str">
        <f>IF(OR(E479="",E479="!!!",F479="NEW"),"",INDEX(J$1:J478,SUMPRODUCT(MAX(ROW(E$1:E478)*(E479=E$1:E478)))))</f>
        <v> </v>
      </c>
      <c r="L479" s="26"/>
    </row>
    <row r="480" spans="1:12">
      <c r="A480" s="20" t="s">
        <v>482</v>
      </c>
      <c r="E480" s="21">
        <f>IF(D480="?OLD","!!!","")</f>
        <v/>
      </c>
      <c r="F480" s="22" t="str">
        <f>IF(OR(E480="",E480="!!!"),"",IF(NOT(ISNA(VLOOKUP(E480,E$1:E479,1,FALSE()))),"OLD",IF(AND(E480&lt;&gt;"",E480&lt;&gt;"!!!"),"NEW","")))</f>
        <v> </v>
      </c>
      <c r="G480" s="23" t="str">
        <f>IF(OR(E480="",E480="!!!"),"",IF(OR(J480=0,AND(J480=1,K480=1),AND(J480=1,I480="SBJ"),AND(J480=1,I480=0)),"?IN_FOCUS",IF(J480&lt;=2,"?ACTIVATED",IF(J480&lt;&gt;"","?FAMILIAR",IF(F480="NEW",IF(ISNA(VLOOKUP(E480,#REF!,1,FALSE())),"?TYPE_IDENTIFIABLE","?REFERENTIAL"),"_")))))</f>
        <v> </v>
      </c>
      <c r="H480" s="24" t="str">
        <f>IF(J480&lt;&gt;1,"",IF(I480="SBJ","CB","?"))</f>
        <v> </v>
      </c>
      <c r="I480" s="25" t="str">
        <f>IF(OR(E480="",E480="!!!",F480="NEW"),"",INDEX(B479:B$2,-1+SUMPRODUCT(MAX(ROW(E479:E$2)*(E480=E479:E$2)))))</f>
        <v> </v>
      </c>
      <c r="J480" s="25" t="str">
        <f>IF(OR(E480="",E480="!!!",F480="NEW"),"",COUNTBLANK(OFFSET(A$1,,,SUMPRODUCT(MAX(ROW(E$2:E480)*(E480=E$2:E480)))))-COUNTBLANK(OFFSET(A$1,,,SUMPRODUCT(MAX(ROW(E$1:E479)*(E2=E$1:E479))))))</f>
        <v> </v>
      </c>
      <c r="K480" s="25" t="str">
        <f>IF(OR(E480="",E480="!!!",F480="NEW"),"",INDEX(J$1:J479,SUMPRODUCT(MAX(ROW(E$1:E479)*(E480=E$1:E479)))))</f>
        <v> </v>
      </c>
      <c r="L480" s="26"/>
    </row>
    <row r="481" spans="1:12">
      <c r="A481" s="20" t="s">
        <v>735</v>
      </c>
      <c r="E481" s="21">
        <f>IF(D481="?OLD","!!!","")</f>
        <v/>
      </c>
      <c r="F481" s="22" t="str">
        <f>IF(OR(E481="",E481="!!!"),"",IF(NOT(ISNA(VLOOKUP(E481,E$1:E480,1,FALSE()))),"OLD",IF(AND(E481&lt;&gt;"",E481&lt;&gt;"!!!"),"NEW","")))</f>
        <v> </v>
      </c>
      <c r="G481" s="23" t="str">
        <f>IF(OR(E481="",E481="!!!"),"",IF(OR(J481=0,AND(J481=1,K481=1),AND(J481=1,I481="SBJ"),AND(J481=1,I481=0)),"?IN_FOCUS",IF(J481&lt;=2,"?ACTIVATED",IF(J481&lt;&gt;"","?FAMILIAR",IF(F481="NEW",IF(ISNA(VLOOKUP(E481,#REF!,1,FALSE())),"?TYPE_IDENTIFIABLE","?REFERENTIAL"),"_")))))</f>
        <v> </v>
      </c>
      <c r="H481" s="24" t="str">
        <f>IF(J481&lt;&gt;1,"",IF(I481="SBJ","CB","?"))</f>
        <v> </v>
      </c>
      <c r="I481" s="25" t="str">
        <f>IF(OR(E481="",E481="!!!",F481="NEW"),"",INDEX(B480:B$2,-1+SUMPRODUCT(MAX(ROW(E480:E$2)*(E481=E480:E$2)))))</f>
        <v> </v>
      </c>
      <c r="J481" s="25" t="str">
        <f>IF(OR(E481="",E481="!!!",F481="NEW"),"",COUNTBLANK(OFFSET(A$1,,,SUMPRODUCT(MAX(ROW(E$2:E481)*(E481=E$2:E481)))))-COUNTBLANK(OFFSET(A$1,,,SUMPRODUCT(MAX(ROW(E$1:E480)*(E2=E$1:E480))))))</f>
        <v> </v>
      </c>
      <c r="K481" s="25" t="str">
        <f>IF(OR(E481="",E481="!!!",F481="NEW"),"",INDEX(J$1:J480,SUMPRODUCT(MAX(ROW(E$1:E480)*(E481=E$1:E480)))))</f>
        <v> </v>
      </c>
      <c r="L481" s="26"/>
    </row>
    <row r="482" spans="1:12">
      <c r="A482" s="20" t="s">
        <v>576</v>
      </c>
      <c r="B482" s="27" t="s">
        <v>692</v>
      </c>
      <c r="C482" s="27" t="s">
        <v>477</v>
      </c>
      <c r="D482" s="27" t="s">
        <v>478</v>
      </c>
      <c r="E482" s="21">
        <f>IF(D482="?OLD","!!!","")</f>
        <v/>
      </c>
      <c r="F482" s="22" t="str">
        <f>IF(OR(E482="",E482="!!!"),"",IF(NOT(ISNA(VLOOKUP(E482,E$1:E481,1,FALSE()))),"OLD",IF(AND(E482&lt;&gt;"",E482&lt;&gt;"!!!"),"NEW","")))</f>
        <v> </v>
      </c>
      <c r="G482" s="23" t="str">
        <f>IF(OR(E482="",E482="!!!"),"",IF(OR(J482=0,AND(J482=1,K482=1),AND(J482=1,I482="SBJ"),AND(J482=1,I482=0)),"?IN_FOCUS",IF(J482&lt;=2,"?ACTIVATED",IF(J482&lt;&gt;"","?FAMILIAR",IF(F482="NEW",IF(ISNA(VLOOKUP(E482,#REF!,1,FALSE())),"?TYPE_IDENTIFIABLE","?REFERENTIAL"),"_")))))</f>
        <v> </v>
      </c>
      <c r="H482" s="24" t="str">
        <f>IF(J482&lt;&gt;1,"",IF(I482="SBJ","CB","?"))</f>
        <v> </v>
      </c>
      <c r="I482" s="25" t="str">
        <f>IF(OR(E482="",E482="!!!",F482="NEW"),"",INDEX(B481:B$2,-1+SUMPRODUCT(MAX(ROW(E481:E$2)*(E482=E481:E$2)))))</f>
        <v> </v>
      </c>
      <c r="J482" s="25" t="str">
        <f>IF(OR(E482="",E482="!!!",F482="NEW"),"",COUNTBLANK(OFFSET(A$1,,,SUMPRODUCT(MAX(ROW(E$2:E482)*(E482=E$2:E482)))))-COUNTBLANK(OFFSET(A$1,,,SUMPRODUCT(MAX(ROW(E$1:E481)*(E2=E$1:E481))))))</f>
        <v> </v>
      </c>
      <c r="K482" s="25" t="str">
        <f>IF(OR(E482="",E482="!!!",F482="NEW"),"",INDEX(J$1:J481,SUMPRODUCT(MAX(ROW(E$1:E481)*(E482=E$1:E481)))))</f>
        <v> </v>
      </c>
      <c r="L482" s="26"/>
    </row>
    <row r="483" spans="1:12">
      <c r="A483" s="20" t="s">
        <v>736</v>
      </c>
      <c r="E483" s="21">
        <f>IF(D483="?OLD","!!!","")</f>
        <v/>
      </c>
      <c r="F483" s="22" t="str">
        <f>IF(OR(E483="",E483="!!!"),"",IF(NOT(ISNA(VLOOKUP(E483,E$1:E482,1,FALSE()))),"OLD",IF(AND(E483&lt;&gt;"",E483&lt;&gt;"!!!"),"NEW","")))</f>
        <v> </v>
      </c>
      <c r="G483" s="23" t="str">
        <f>IF(OR(E483="",E483="!!!"),"",IF(OR(J483=0,AND(J483=1,K483=1),AND(J483=1,I483="SBJ"),AND(J483=1,I483=0)),"?IN_FOCUS",IF(J483&lt;=2,"?ACTIVATED",IF(J483&lt;&gt;"","?FAMILIAR",IF(F483="NEW",IF(ISNA(VLOOKUP(E483,#REF!,1,FALSE())),"?TYPE_IDENTIFIABLE","?REFERENTIAL"),"_")))))</f>
        <v> </v>
      </c>
      <c r="H483" s="24" t="str">
        <f>IF(J483&lt;&gt;1,"",IF(I483="SBJ","CB","?"))</f>
        <v> </v>
      </c>
      <c r="I483" s="25" t="str">
        <f>IF(OR(E483="",E483="!!!",F483="NEW"),"",INDEX(B482:B$2,-1+SUMPRODUCT(MAX(ROW(E482:E$2)*(E483=E482:E$2)))))</f>
        <v> </v>
      </c>
      <c r="J483" s="25" t="str">
        <f>IF(OR(E483="",E483="!!!",F483="NEW"),"",COUNTBLANK(OFFSET(A$1,,,SUMPRODUCT(MAX(ROW(E$2:E483)*(E483=E$2:E483)))))-COUNTBLANK(OFFSET(A$1,,,SUMPRODUCT(MAX(ROW(E$1:E482)*(E2=E$1:E482))))))</f>
        <v> </v>
      </c>
      <c r="K483" s="25" t="str">
        <f>IF(OR(E483="",E483="!!!",F483="NEW"),"",INDEX(J$1:J482,SUMPRODUCT(MAX(ROW(E$1:E482)*(E483=E$1:E482)))))</f>
        <v> </v>
      </c>
      <c r="L483" s="26"/>
    </row>
    <row r="484" spans="1:12">
      <c r="A484" s="20" t="s">
        <v>655</v>
      </c>
      <c r="B484" s="27" t="s">
        <v>692</v>
      </c>
      <c r="E484" s="21">
        <f>IF(D484="?OLD","!!!","")</f>
        <v/>
      </c>
      <c r="F484" s="22" t="str">
        <f>IF(OR(E484="",E484="!!!"),"",IF(NOT(ISNA(VLOOKUP(E484,E$1:E483,1,FALSE()))),"OLD",IF(AND(E484&lt;&gt;"",E484&lt;&gt;"!!!"),"NEW","")))</f>
        <v> </v>
      </c>
      <c r="G484" s="23" t="str">
        <f>IF(OR(E484="",E484="!!!"),"",IF(OR(J484=0,AND(J484=1,K484=1),AND(J484=1,I484="SBJ"),AND(J484=1,I484=0)),"?IN_FOCUS",IF(J484&lt;=2,"?ACTIVATED",IF(J484&lt;&gt;"","?FAMILIAR",IF(F484="NEW",IF(ISNA(VLOOKUP(E484,#REF!,1,FALSE())),"?TYPE_IDENTIFIABLE","?REFERENTIAL"),"_")))))</f>
        <v> </v>
      </c>
      <c r="H484" s="24" t="str">
        <f>IF(J484&lt;&gt;1,"",IF(I484="SBJ","CB","?"))</f>
        <v> </v>
      </c>
      <c r="I484" s="25" t="str">
        <f>IF(OR(E484="",E484="!!!",F484="NEW"),"",INDEX(B483:B$2,-1+SUMPRODUCT(MAX(ROW(E483:E$2)*(E484=E483:E$2)))))</f>
        <v> </v>
      </c>
      <c r="J484" s="25" t="str">
        <f>IF(OR(E484="",E484="!!!",F484="NEW"),"",COUNTBLANK(OFFSET(A$1,,,SUMPRODUCT(MAX(ROW(E$2:E484)*(E484=E$2:E484)))))-COUNTBLANK(OFFSET(A$1,,,SUMPRODUCT(MAX(ROW(E$1:E483)*(E2=E$1:E483))))))</f>
        <v> </v>
      </c>
      <c r="K484" s="25" t="str">
        <f>IF(OR(E484="",E484="!!!",F484="NEW"),"",INDEX(J$1:J483,SUMPRODUCT(MAX(ROW(E$1:E483)*(E484=E$1:E483)))))</f>
        <v> </v>
      </c>
      <c r="L484" s="26"/>
    </row>
    <row r="485" spans="1:12">
      <c r="A485" s="20" t="s">
        <v>482</v>
      </c>
      <c r="E485" s="21">
        <f>IF(D485="?OLD","!!!","")</f>
        <v/>
      </c>
      <c r="F485" s="22" t="str">
        <f>IF(OR(E485="",E485="!!!"),"",IF(NOT(ISNA(VLOOKUP(E485,E$1:E484,1,FALSE()))),"OLD",IF(AND(E485&lt;&gt;"",E485&lt;&gt;"!!!"),"NEW","")))</f>
        <v> </v>
      </c>
      <c r="G485" s="23" t="str">
        <f>IF(OR(E485="",E485="!!!"),"",IF(OR(J485=0,AND(J485=1,K485=1),AND(J485=1,I485="SBJ"),AND(J485=1,I485=0)),"?IN_FOCUS",IF(J485&lt;=2,"?ACTIVATED",IF(J485&lt;&gt;"","?FAMILIAR",IF(F485="NEW",IF(ISNA(VLOOKUP(E485,#REF!,1,FALSE())),"?TYPE_IDENTIFIABLE","?REFERENTIAL"),"_")))))</f>
        <v> </v>
      </c>
      <c r="H485" s="24" t="str">
        <f>IF(J485&lt;&gt;1,"",IF(I485="SBJ","CB","?"))</f>
        <v> </v>
      </c>
      <c r="I485" s="25" t="str">
        <f>IF(OR(E485="",E485="!!!",F485="NEW"),"",INDEX(B484:B$2,-1+SUMPRODUCT(MAX(ROW(E484:E$2)*(E485=E484:E$2)))))</f>
        <v> </v>
      </c>
      <c r="J485" s="25" t="str">
        <f>IF(OR(E485="",E485="!!!",F485="NEW"),"",COUNTBLANK(OFFSET(A$1,,,SUMPRODUCT(MAX(ROW(E$2:E485)*(E485=E$2:E485)))))-COUNTBLANK(OFFSET(A$1,,,SUMPRODUCT(MAX(ROW(E$1:E484)*(E2=E$1:E484))))))</f>
        <v> </v>
      </c>
      <c r="K485" s="25" t="str">
        <f>IF(OR(E485="",E485="!!!",F485="NEW"),"",INDEX(J$1:J484,SUMPRODUCT(MAX(ROW(E$1:E484)*(E485=E$1:E484)))))</f>
        <v> </v>
      </c>
      <c r="L485" s="26"/>
    </row>
    <row r="486" spans="1:12">
      <c r="A486" s="20" t="s">
        <v>737</v>
      </c>
      <c r="E486" s="21">
        <f>IF(D486="?OLD","!!!","")</f>
        <v/>
      </c>
      <c r="F486" s="22" t="str">
        <f>IF(OR(E486="",E486="!!!"),"",IF(NOT(ISNA(VLOOKUP(E486,E$1:E485,1,FALSE()))),"OLD",IF(AND(E486&lt;&gt;"",E486&lt;&gt;"!!!"),"NEW","")))</f>
        <v> </v>
      </c>
      <c r="G486" s="23" t="str">
        <f>IF(OR(E486="",E486="!!!"),"",IF(OR(J486=0,AND(J486=1,K486=1),AND(J486=1,I486="SBJ"),AND(J486=1,I486=0)),"?IN_FOCUS",IF(J486&lt;=2,"?ACTIVATED",IF(J486&lt;&gt;"","?FAMILIAR",IF(F486="NEW",IF(ISNA(VLOOKUP(E486,#REF!,1,FALSE())),"?TYPE_IDENTIFIABLE","?REFERENTIAL"),"_")))))</f>
        <v> </v>
      </c>
      <c r="H486" s="24" t="str">
        <f>IF(J486&lt;&gt;1,"",IF(I486="SBJ","CB","?"))</f>
        <v> </v>
      </c>
      <c r="I486" s="25" t="str">
        <f>IF(OR(E486="",E486="!!!",F486="NEW"),"",INDEX(B485:B$2,-1+SUMPRODUCT(MAX(ROW(E485:E$2)*(E486=E485:E$2)))))</f>
        <v> </v>
      </c>
      <c r="J486" s="25" t="str">
        <f>IF(OR(E486="",E486="!!!",F486="NEW"),"",COUNTBLANK(OFFSET(A$1,,,SUMPRODUCT(MAX(ROW(E$2:E486)*(E486=E$2:E486)))))-COUNTBLANK(OFFSET(A$1,,,SUMPRODUCT(MAX(ROW(E$1:E485)*(E2=E$1:E485))))))</f>
        <v> </v>
      </c>
      <c r="K486" s="25" t="str">
        <f>IF(OR(E486="",E486="!!!",F486="NEW"),"",INDEX(J$1:J485,SUMPRODUCT(MAX(ROW(E$1:E485)*(E486=E$1:E485)))))</f>
        <v> </v>
      </c>
      <c r="L486" s="26"/>
    </row>
    <row r="487" spans="1:12">
      <c r="A487" s="20" t="s">
        <v>738</v>
      </c>
      <c r="B487" s="27" t="s">
        <v>573</v>
      </c>
      <c r="C487" s="27" t="s">
        <v>477</v>
      </c>
      <c r="D487" s="27" t="s">
        <v>478</v>
      </c>
      <c r="E487" s="21">
        <f>IF(D487="?OLD","!!!","")</f>
        <v/>
      </c>
      <c r="F487" s="22" t="str">
        <f>IF(OR(E487="",E487="!!!"),"",IF(NOT(ISNA(VLOOKUP(E487,E$1:E486,1,FALSE()))),"OLD",IF(AND(E487&lt;&gt;"",E487&lt;&gt;"!!!"),"NEW","")))</f>
        <v> </v>
      </c>
      <c r="G487" s="23" t="str">
        <f>IF(OR(E487="",E487="!!!"),"",IF(OR(J487=0,AND(J487=1,K487=1),AND(J487=1,I487="SBJ"),AND(J487=1,I487=0)),"?IN_FOCUS",IF(J487&lt;=2,"?ACTIVATED",IF(J487&lt;&gt;"","?FAMILIAR",IF(F487="NEW",IF(ISNA(VLOOKUP(E487,#REF!,1,FALSE())),"?TYPE_IDENTIFIABLE","?REFERENTIAL"),"_")))))</f>
        <v> </v>
      </c>
      <c r="H487" s="24" t="str">
        <f>IF(J487&lt;&gt;1,"",IF(I487="SBJ","CB","?"))</f>
        <v> </v>
      </c>
      <c r="I487" s="25" t="str">
        <f>IF(OR(E487="",E487="!!!",F487="NEW"),"",INDEX(B486:B$2,-1+SUMPRODUCT(MAX(ROW(E486:E$2)*(E487=E486:E$2)))))</f>
        <v> </v>
      </c>
      <c r="J487" s="25" t="str">
        <f>IF(OR(E487="",E487="!!!",F487="NEW"),"",COUNTBLANK(OFFSET(A$1,,,SUMPRODUCT(MAX(ROW(E$2:E487)*(E487=E$2:E487)))))-COUNTBLANK(OFFSET(A$1,,,SUMPRODUCT(MAX(ROW(E$1:E486)*(E2=E$1:E486))))))</f>
        <v> </v>
      </c>
      <c r="K487" s="25" t="str">
        <f>IF(OR(E487="",E487="!!!",F487="NEW"),"",INDEX(J$1:J486,SUMPRODUCT(MAX(ROW(E$1:E486)*(E487=E$1:E486)))))</f>
        <v> </v>
      </c>
      <c r="L487" s="26"/>
    </row>
    <row r="488" spans="1:12">
      <c r="A488" s="20" t="s">
        <v>739</v>
      </c>
      <c r="E488" s="21">
        <f>IF(D488="?OLD","!!!","")</f>
        <v/>
      </c>
      <c r="F488" s="22" t="str">
        <f>IF(OR(E488="",E488="!!!"),"",IF(NOT(ISNA(VLOOKUP(E488,E$1:E487,1,FALSE()))),"OLD",IF(AND(E488&lt;&gt;"",E488&lt;&gt;"!!!"),"NEW","")))</f>
        <v> </v>
      </c>
      <c r="G488" s="23" t="str">
        <f>IF(OR(E488="",E488="!!!"),"",IF(OR(J488=0,AND(J488=1,K488=1),AND(J488=1,I488="SBJ"),AND(J488=1,I488=0)),"?IN_FOCUS",IF(J488&lt;=2,"?ACTIVATED",IF(J488&lt;&gt;"","?FAMILIAR",IF(F488="NEW",IF(ISNA(VLOOKUP(E488,#REF!,1,FALSE())),"?TYPE_IDENTIFIABLE","?REFERENTIAL"),"_")))))</f>
        <v> </v>
      </c>
      <c r="H488" s="24" t="str">
        <f>IF(J488&lt;&gt;1,"",IF(I488="SBJ","CB","?"))</f>
        <v> </v>
      </c>
      <c r="I488" s="25" t="str">
        <f>IF(OR(E488="",E488="!!!",F488="NEW"),"",INDEX(B487:B$2,-1+SUMPRODUCT(MAX(ROW(E487:E$2)*(E488=E487:E$2)))))</f>
        <v> </v>
      </c>
      <c r="J488" s="25" t="str">
        <f>IF(OR(E488="",E488="!!!",F488="NEW"),"",COUNTBLANK(OFFSET(A$1,,,SUMPRODUCT(MAX(ROW(E$2:E488)*(E488=E$2:E488)))))-COUNTBLANK(OFFSET(A$1,,,SUMPRODUCT(MAX(ROW(E$1:E487)*(E2=E$1:E487))))))</f>
        <v> </v>
      </c>
      <c r="K488" s="25" t="str">
        <f>IF(OR(E488="",E488="!!!",F488="NEW"),"",INDEX(J$1:J487,SUMPRODUCT(MAX(ROW(E$1:E487)*(E488=E$1:E487)))))</f>
        <v> </v>
      </c>
      <c r="L488" s="26"/>
    </row>
    <row r="489" spans="1:12">
      <c r="A489" s="20" t="s">
        <v>576</v>
      </c>
      <c r="B489" s="27" t="s">
        <v>511</v>
      </c>
      <c r="C489" s="27" t="s">
        <v>477</v>
      </c>
      <c r="D489" s="27" t="s">
        <v>478</v>
      </c>
      <c r="E489" s="21">
        <f>IF(D489="?OLD","!!!","")</f>
        <v/>
      </c>
      <c r="F489" s="22" t="str">
        <f>IF(OR(E489="",E489="!!!"),"",IF(NOT(ISNA(VLOOKUP(E489,E$1:E488,1,FALSE()))),"OLD",IF(AND(E489&lt;&gt;"",E489&lt;&gt;"!!!"),"NEW","")))</f>
        <v> </v>
      </c>
      <c r="G489" s="23" t="str">
        <f>IF(OR(E489="",E489="!!!"),"",IF(OR(J489=0,AND(J489=1,K489=1),AND(J489=1,I489="SBJ"),AND(J489=1,I489=0)),"?IN_FOCUS",IF(J489&lt;=2,"?ACTIVATED",IF(J489&lt;&gt;"","?FAMILIAR",IF(F489="NEW",IF(ISNA(VLOOKUP(E489,#REF!,1,FALSE())),"?TYPE_IDENTIFIABLE","?REFERENTIAL"),"_")))))</f>
        <v> </v>
      </c>
      <c r="H489" s="24" t="str">
        <f>IF(J489&lt;&gt;1,"",IF(I489="SBJ","CB","?"))</f>
        <v> </v>
      </c>
      <c r="I489" s="25" t="str">
        <f>IF(OR(E489="",E489="!!!",F489="NEW"),"",INDEX(B488:B$2,-1+SUMPRODUCT(MAX(ROW(E488:E$2)*(E489=E488:E$2)))))</f>
        <v> </v>
      </c>
      <c r="J489" s="25" t="str">
        <f>IF(OR(E489="",E489="!!!",F489="NEW"),"",COUNTBLANK(OFFSET(A$1,,,SUMPRODUCT(MAX(ROW(E$2:E489)*(E489=E$2:E489)))))-COUNTBLANK(OFFSET(A$1,,,SUMPRODUCT(MAX(ROW(E$1:E488)*(E2=E$1:E488))))))</f>
        <v> </v>
      </c>
      <c r="K489" s="25" t="str">
        <f>IF(OR(E489="",E489="!!!",F489="NEW"),"",INDEX(J$1:J488,SUMPRODUCT(MAX(ROW(E$1:E488)*(E489=E$1:E488)))))</f>
        <v> </v>
      </c>
      <c r="L489" s="26"/>
    </row>
    <row r="490" spans="1:12">
      <c r="A490" s="20" t="s">
        <v>740</v>
      </c>
      <c r="E490" s="21">
        <f>IF(D490="?OLD","!!!","")</f>
        <v/>
      </c>
      <c r="F490" s="22" t="str">
        <f>IF(OR(E490="",E490="!!!"),"",IF(NOT(ISNA(VLOOKUP(E490,E$1:E489,1,FALSE()))),"OLD",IF(AND(E490&lt;&gt;"",E490&lt;&gt;"!!!"),"NEW","")))</f>
        <v> </v>
      </c>
      <c r="G490" s="23" t="str">
        <f>IF(OR(E490="",E490="!!!"),"",IF(OR(J490=0,AND(J490=1,K490=1),AND(J490=1,I490="SBJ"),AND(J490=1,I490=0)),"?IN_FOCUS",IF(J490&lt;=2,"?ACTIVATED",IF(J490&lt;&gt;"","?FAMILIAR",IF(F490="NEW",IF(ISNA(VLOOKUP(E490,#REF!,1,FALSE())),"?TYPE_IDENTIFIABLE","?REFERENTIAL"),"_")))))</f>
        <v> </v>
      </c>
      <c r="H490" s="24" t="str">
        <f>IF(J490&lt;&gt;1,"",IF(I490="SBJ","CB","?"))</f>
        <v> </v>
      </c>
      <c r="I490" s="25" t="str">
        <f>IF(OR(E490="",E490="!!!",F490="NEW"),"",INDEX(B489:B$2,-1+SUMPRODUCT(MAX(ROW(E489:E$2)*(E490=E489:E$2)))))</f>
        <v> </v>
      </c>
      <c r="J490" s="25" t="str">
        <f>IF(OR(E490="",E490="!!!",F490="NEW"),"",COUNTBLANK(OFFSET(A$1,,,SUMPRODUCT(MAX(ROW(E$2:E490)*(E490=E$2:E490)))))-COUNTBLANK(OFFSET(A$1,,,SUMPRODUCT(MAX(ROW(E$1:E489)*(E2=E$1:E489))))))</f>
        <v> </v>
      </c>
      <c r="K490" s="25" t="str">
        <f>IF(OR(E490="",E490="!!!",F490="NEW"),"",INDEX(J$1:J489,SUMPRODUCT(MAX(ROW(E$1:E489)*(E490=E$1:E489)))))</f>
        <v> </v>
      </c>
      <c r="L490" s="26"/>
    </row>
    <row r="491" spans="1:12">
      <c r="A491" s="20" t="s">
        <v>741</v>
      </c>
      <c r="E491" s="21">
        <f>IF(D491="?OLD","!!!","")</f>
        <v/>
      </c>
      <c r="F491" s="22" t="str">
        <f>IF(OR(E491="",E491="!!!"),"",IF(NOT(ISNA(VLOOKUP(E491,E$1:E490,1,FALSE()))),"OLD",IF(AND(E491&lt;&gt;"",E491&lt;&gt;"!!!"),"NEW","")))</f>
        <v> </v>
      </c>
      <c r="G491" s="23" t="str">
        <f>IF(OR(E491="",E491="!!!"),"",IF(OR(J491=0,AND(J491=1,K491=1),AND(J491=1,I491="SBJ"),AND(J491=1,I491=0)),"?IN_FOCUS",IF(J491&lt;=2,"?ACTIVATED",IF(J491&lt;&gt;"","?FAMILIAR",IF(F491="NEW",IF(ISNA(VLOOKUP(E491,#REF!,1,FALSE())),"?TYPE_IDENTIFIABLE","?REFERENTIAL"),"_")))))</f>
        <v> </v>
      </c>
      <c r="H491" s="24" t="str">
        <f>IF(J491&lt;&gt;1,"",IF(I491="SBJ","CB","?"))</f>
        <v> </v>
      </c>
      <c r="I491" s="25" t="str">
        <f>IF(OR(E491="",E491="!!!",F491="NEW"),"",INDEX(B490:B$2,-1+SUMPRODUCT(MAX(ROW(E490:E$2)*(E491=E490:E$2)))))</f>
        <v> </v>
      </c>
      <c r="J491" s="25" t="str">
        <f>IF(OR(E491="",E491="!!!",F491="NEW"),"",COUNTBLANK(OFFSET(A$1,,,SUMPRODUCT(MAX(ROW(E$2:E491)*(E491=E$2:E491)))))-COUNTBLANK(OFFSET(A$1,,,SUMPRODUCT(MAX(ROW(E$1:E490)*(E2=E$1:E490))))))</f>
        <v> </v>
      </c>
      <c r="K491" s="25" t="str">
        <f>IF(OR(E491="",E491="!!!",F491="NEW"),"",INDEX(J$1:J490,SUMPRODUCT(MAX(ROW(E$1:E490)*(E491=E$1:E490)))))</f>
        <v> </v>
      </c>
      <c r="L491" s="26"/>
    </row>
    <row r="492" spans="1:12">
      <c r="A492" s="20" t="s">
        <v>482</v>
      </c>
      <c r="E492" s="21">
        <f>IF(D492="?OLD","!!!","")</f>
        <v/>
      </c>
      <c r="F492" s="22" t="str">
        <f>IF(OR(E492="",E492="!!!"),"",IF(NOT(ISNA(VLOOKUP(E492,E$1:E491,1,FALSE()))),"OLD",IF(AND(E492&lt;&gt;"",E492&lt;&gt;"!!!"),"NEW","")))</f>
        <v> </v>
      </c>
      <c r="G492" s="23" t="str">
        <f>IF(OR(E492="",E492="!!!"),"",IF(OR(J492=0,AND(J492=1,K492=1),AND(J492=1,I492="SBJ"),AND(J492=1,I492=0)),"?IN_FOCUS",IF(J492&lt;=2,"?ACTIVATED",IF(J492&lt;&gt;"","?FAMILIAR",IF(F492="NEW",IF(ISNA(VLOOKUP(E492,#REF!,1,FALSE())),"?TYPE_IDENTIFIABLE","?REFERENTIAL"),"_")))))</f>
        <v> </v>
      </c>
      <c r="H492" s="24" t="str">
        <f>IF(J492&lt;&gt;1,"",IF(I492="SBJ","CB","?"))</f>
        <v> </v>
      </c>
      <c r="I492" s="25" t="str">
        <f>IF(OR(E492="",E492="!!!",F492="NEW"),"",INDEX(B491:B$2,-1+SUMPRODUCT(MAX(ROW(E491:E$2)*(E492=E491:E$2)))))</f>
        <v> </v>
      </c>
      <c r="J492" s="25" t="str">
        <f>IF(OR(E492="",E492="!!!",F492="NEW"),"",COUNTBLANK(OFFSET(A$1,,,SUMPRODUCT(MAX(ROW(E$2:E492)*(E492=E$2:E492)))))-COUNTBLANK(OFFSET(A$1,,,SUMPRODUCT(MAX(ROW(E$1:E491)*(E2=E$1:E491))))))</f>
        <v> </v>
      </c>
      <c r="K492" s="25" t="str">
        <f>IF(OR(E492="",E492="!!!",F492="NEW"),"",INDEX(J$1:J491,SUMPRODUCT(MAX(ROW(E$1:E491)*(E492=E$1:E491)))))</f>
        <v> </v>
      </c>
      <c r="L492" s="26"/>
    </row>
    <row r="493" spans="1:12">
      <c r="A493" s="20" t="s">
        <v>658</v>
      </c>
      <c r="B493" s="27" t="s">
        <v>711</v>
      </c>
      <c r="C493" s="27" t="s">
        <v>620</v>
      </c>
      <c r="D493" s="27" t="s">
        <v>478</v>
      </c>
      <c r="E493" s="21">
        <f>IF(D493="?OLD","!!!","")</f>
        <v/>
      </c>
      <c r="F493" s="22" t="str">
        <f>IF(OR(E493="",E493="!!!"),"",IF(NOT(ISNA(VLOOKUP(E493,E$1:E492,1,FALSE()))),"OLD",IF(AND(E493&lt;&gt;"",E493&lt;&gt;"!!!"),"NEW","")))</f>
        <v> </v>
      </c>
      <c r="G493" s="23" t="str">
        <f>IF(OR(E493="",E493="!!!"),"",IF(OR(J493=0,AND(J493=1,K493=1),AND(J493=1,I493="SBJ"),AND(J493=1,I493=0)),"?IN_FOCUS",IF(J493&lt;=2,"?ACTIVATED",IF(J493&lt;&gt;"","?FAMILIAR",IF(F493="NEW",IF(ISNA(VLOOKUP(E493,#REF!,1,FALSE())),"?TYPE_IDENTIFIABLE","?REFERENTIAL"),"_")))))</f>
        <v> </v>
      </c>
      <c r="H493" s="24" t="str">
        <f>IF(J493&lt;&gt;1,"",IF(I493="SBJ","CB","?"))</f>
        <v> </v>
      </c>
      <c r="I493" s="25" t="str">
        <f>IF(OR(E493="",E493="!!!",F493="NEW"),"",INDEX(B492:B$2,-1+SUMPRODUCT(MAX(ROW(E492:E$2)*(E493=E492:E$2)))))</f>
        <v> </v>
      </c>
      <c r="J493" s="25" t="str">
        <f>IF(OR(E493="",E493="!!!",F493="NEW"),"",COUNTBLANK(OFFSET(A$1,,,SUMPRODUCT(MAX(ROW(E$2:E493)*(E493=E$2:E493)))))-COUNTBLANK(OFFSET(A$1,,,SUMPRODUCT(MAX(ROW(E$1:E492)*(E2=E$1:E492))))))</f>
        <v> </v>
      </c>
      <c r="K493" s="25" t="str">
        <f>IF(OR(E493="",E493="!!!",F493="NEW"),"",INDEX(J$1:J492,SUMPRODUCT(MAX(ROW(E$1:E492)*(E493=E$1:E492)))))</f>
        <v> </v>
      </c>
      <c r="L493" s="26"/>
    </row>
    <row r="494" spans="1:12">
      <c r="A494" s="20" t="s">
        <v>742</v>
      </c>
      <c r="E494" s="21">
        <f>IF(D494="?OLD","!!!","")</f>
        <v/>
      </c>
      <c r="F494" s="22" t="str">
        <f>IF(OR(E494="",E494="!!!"),"",IF(NOT(ISNA(VLOOKUP(E494,E$1:E493,1,FALSE()))),"OLD",IF(AND(E494&lt;&gt;"",E494&lt;&gt;"!!!"),"NEW","")))</f>
        <v> </v>
      </c>
      <c r="G494" s="23" t="str">
        <f>IF(OR(E494="",E494="!!!"),"",IF(OR(J494=0,AND(J494=1,K494=1),AND(J494=1,I494="SBJ"),AND(J494=1,I494=0)),"?IN_FOCUS",IF(J494&lt;=2,"?ACTIVATED",IF(J494&lt;&gt;"","?FAMILIAR",IF(F494="NEW",IF(ISNA(VLOOKUP(E494,#REF!,1,FALSE())),"?TYPE_IDENTIFIABLE","?REFERENTIAL"),"_")))))</f>
        <v> </v>
      </c>
      <c r="H494" s="24" t="str">
        <f>IF(J494&lt;&gt;1,"",IF(I494="SBJ","CB","?"))</f>
        <v> </v>
      </c>
      <c r="I494" s="25" t="str">
        <f>IF(OR(E494="",E494="!!!",F494="NEW"),"",INDEX(B493:B$2,-1+SUMPRODUCT(MAX(ROW(E493:E$2)*(E494=E493:E$2)))))</f>
        <v> </v>
      </c>
      <c r="J494" s="25" t="str">
        <f>IF(OR(E494="",E494="!!!",F494="NEW"),"",COUNTBLANK(OFFSET(A$1,,,SUMPRODUCT(MAX(ROW(E$2:E494)*(E494=E$2:E494)))))-COUNTBLANK(OFFSET(A$1,,,SUMPRODUCT(MAX(ROW(E$1:E493)*(E2=E$1:E493))))))</f>
        <v> </v>
      </c>
      <c r="K494" s="25" t="str">
        <f>IF(OR(E494="",E494="!!!",F494="NEW"),"",INDEX(J$1:J493,SUMPRODUCT(MAX(ROW(E$1:E493)*(E494=E$1:E493)))))</f>
        <v> </v>
      </c>
      <c r="L494" s="26"/>
    </row>
    <row r="495" spans="1:12">
      <c r="A495" s="20" t="s">
        <v>743</v>
      </c>
      <c r="B495" s="27" t="s">
        <v>476</v>
      </c>
      <c r="E495" s="21">
        <f>IF(D495="?OLD","!!!","")</f>
        <v/>
      </c>
      <c r="F495" s="22" t="str">
        <f>IF(OR(E495="",E495="!!!"),"",IF(NOT(ISNA(VLOOKUP(E495,E$1:E494,1,FALSE()))),"OLD",IF(AND(E495&lt;&gt;"",E495&lt;&gt;"!!!"),"NEW","")))</f>
        <v> </v>
      </c>
      <c r="G495" s="23" t="str">
        <f>IF(OR(E495="",E495="!!!"),"",IF(OR(J495=0,AND(J495=1,K495=1),AND(J495=1,I495="SBJ"),AND(J495=1,I495=0)),"?IN_FOCUS",IF(J495&lt;=2,"?ACTIVATED",IF(J495&lt;&gt;"","?FAMILIAR",IF(F495="NEW",IF(ISNA(VLOOKUP(E495,#REF!,1,FALSE())),"?TYPE_IDENTIFIABLE","?REFERENTIAL"),"_")))))</f>
        <v> </v>
      </c>
      <c r="H495" s="24" t="str">
        <f>IF(J495&lt;&gt;1,"",IF(I495="SBJ","CB","?"))</f>
        <v> </v>
      </c>
      <c r="I495" s="25" t="str">
        <f>IF(OR(E495="",E495="!!!",F495="NEW"),"",INDEX(B494:B$2,-1+SUMPRODUCT(MAX(ROW(E494:E$2)*(E495=E494:E$2)))))</f>
        <v> </v>
      </c>
      <c r="J495" s="25" t="str">
        <f>IF(OR(E495="",E495="!!!",F495="NEW"),"",COUNTBLANK(OFFSET(A$1,,,SUMPRODUCT(MAX(ROW(E$2:E495)*(E495=E$2:E495)))))-COUNTBLANK(OFFSET(A$1,,,SUMPRODUCT(MAX(ROW(E$1:E494)*(E2=E$1:E494))))))</f>
        <v> </v>
      </c>
      <c r="K495" s="25" t="str">
        <f>IF(OR(E495="",E495="!!!",F495="NEW"),"",INDEX(J$1:J494,SUMPRODUCT(MAX(ROW(E$1:E494)*(E495=E$1:E494)))))</f>
        <v> </v>
      </c>
      <c r="L495" s="26"/>
    </row>
    <row r="496" spans="1:12">
      <c r="A496" s="20" t="s">
        <v>744</v>
      </c>
      <c r="E496" s="21">
        <f>IF(D496="?OLD","!!!","")</f>
        <v/>
      </c>
      <c r="F496" s="22" t="str">
        <f>IF(OR(E496="",E496="!!!"),"",IF(NOT(ISNA(VLOOKUP(E496,E$1:E495,1,FALSE()))),"OLD",IF(AND(E496&lt;&gt;"",E496&lt;&gt;"!!!"),"NEW","")))</f>
        <v> </v>
      </c>
      <c r="G496" s="23" t="str">
        <f>IF(OR(E496="",E496="!!!"),"",IF(OR(J496=0,AND(J496=1,K496=1),AND(J496=1,I496="SBJ"),AND(J496=1,I496=0)),"?IN_FOCUS",IF(J496&lt;=2,"?ACTIVATED",IF(J496&lt;&gt;"","?FAMILIAR",IF(F496="NEW",IF(ISNA(VLOOKUP(E496,#REF!,1,FALSE())),"?TYPE_IDENTIFIABLE","?REFERENTIAL"),"_")))))</f>
        <v> </v>
      </c>
      <c r="H496" s="24" t="str">
        <f>IF(J496&lt;&gt;1,"",IF(I496="SBJ","CB","?"))</f>
        <v> </v>
      </c>
      <c r="I496" s="25" t="str">
        <f>IF(OR(E496="",E496="!!!",F496="NEW"),"",INDEX(B495:B$2,-1+SUMPRODUCT(MAX(ROW(E495:E$2)*(E496=E495:E$2)))))</f>
        <v> </v>
      </c>
      <c r="J496" s="25" t="str">
        <f>IF(OR(E496="",E496="!!!",F496="NEW"),"",COUNTBLANK(OFFSET(A$1,,,SUMPRODUCT(MAX(ROW(E$2:E496)*(E496=E$2:E496)))))-COUNTBLANK(OFFSET(A$1,,,SUMPRODUCT(MAX(ROW(E$1:E495)*(E2=E$1:E495))))))</f>
        <v> </v>
      </c>
      <c r="K496" s="25" t="str">
        <f>IF(OR(E496="",E496="!!!",F496="NEW"),"",INDEX(J$1:J495,SUMPRODUCT(MAX(ROW(E$1:E495)*(E496=E$1:E495)))))</f>
        <v> </v>
      </c>
      <c r="L496" s="26"/>
    </row>
    <row r="497" spans="1:12">
      <c r="A497" s="20" t="s">
        <v>745</v>
      </c>
      <c r="E497" s="21">
        <f>IF(D497="?OLD","!!!","")</f>
        <v/>
      </c>
      <c r="F497" s="22" t="str">
        <f>IF(OR(E497="",E497="!!!"),"",IF(NOT(ISNA(VLOOKUP(E497,E$1:E496,1,FALSE()))),"OLD",IF(AND(E497&lt;&gt;"",E497&lt;&gt;"!!!"),"NEW","")))</f>
        <v> </v>
      </c>
      <c r="G497" s="23" t="str">
        <f>IF(OR(E497="",E497="!!!"),"",IF(OR(J497=0,AND(J497=1,K497=1),AND(J497=1,I497="SBJ"),AND(J497=1,I497=0)),"?IN_FOCUS",IF(J497&lt;=2,"?ACTIVATED",IF(J497&lt;&gt;"","?FAMILIAR",IF(F497="NEW",IF(ISNA(VLOOKUP(E497,#REF!,1,FALSE())),"?TYPE_IDENTIFIABLE","?REFERENTIAL"),"_")))))</f>
        <v> </v>
      </c>
      <c r="H497" s="24" t="str">
        <f>IF(J497&lt;&gt;1,"",IF(I497="SBJ","CB","?"))</f>
        <v> </v>
      </c>
      <c r="I497" s="25" t="str">
        <f>IF(OR(E497="",E497="!!!",F497="NEW"),"",INDEX(B496:B$2,-1+SUMPRODUCT(MAX(ROW(E496:E$2)*(E497=E496:E$2)))))</f>
        <v> </v>
      </c>
      <c r="J497" s="25" t="str">
        <f>IF(OR(E497="",E497="!!!",F497="NEW"),"",COUNTBLANK(OFFSET(A$1,,,SUMPRODUCT(MAX(ROW(E$2:E497)*(E497=E$2:E497)))))-COUNTBLANK(OFFSET(A$1,,,SUMPRODUCT(MAX(ROW(E$1:E496)*(E2=E$1:E496))))))</f>
        <v> </v>
      </c>
      <c r="K497" s="25" t="str">
        <f>IF(OR(E497="",E497="!!!",F497="NEW"),"",INDEX(J$1:J496,SUMPRODUCT(MAX(ROW(E$1:E496)*(E497=E$1:E496)))))</f>
        <v> </v>
      </c>
      <c r="L497" s="26"/>
    </row>
    <row r="498" spans="1:12">
      <c r="A498" s="20" t="s">
        <v>380</v>
      </c>
      <c r="E498" s="21">
        <f>IF(D498="?OLD","!!!","")</f>
        <v/>
      </c>
      <c r="F498" s="22" t="str">
        <f>IF(OR(E498="",E498="!!!"),"",IF(NOT(ISNA(VLOOKUP(E498,E$1:E497,1,FALSE()))),"OLD",IF(AND(E498&lt;&gt;"",E498&lt;&gt;"!!!"),"NEW","")))</f>
        <v> </v>
      </c>
      <c r="G498" s="23" t="str">
        <f>IF(OR(E498="",E498="!!!"),"",IF(OR(J498=0,AND(J498=1,K498=1),AND(J498=1,I498="SBJ"),AND(J498=1,I498=0)),"?IN_FOCUS",IF(J498&lt;=2,"?ACTIVATED",IF(J498&lt;&gt;"","?FAMILIAR",IF(F498="NEW",IF(ISNA(VLOOKUP(E498,#REF!,1,FALSE())),"?TYPE_IDENTIFIABLE","?REFERENTIAL"),"_")))))</f>
        <v> </v>
      </c>
      <c r="H498" s="24" t="str">
        <f>IF(J498&lt;&gt;1,"",IF(I498="SBJ","CB","?"))</f>
        <v> </v>
      </c>
      <c r="I498" s="25" t="str">
        <f>IF(OR(E498="",E498="!!!",F498="NEW"),"",INDEX(B497:B$2,-1+SUMPRODUCT(MAX(ROW(E497:E$2)*(E498=E497:E$2)))))</f>
        <v> </v>
      </c>
      <c r="J498" s="25" t="str">
        <f>IF(OR(E498="",E498="!!!",F498="NEW"),"",COUNTBLANK(OFFSET(A$1,,,SUMPRODUCT(MAX(ROW(E$2:E498)*(E498=E$2:E498)))))-COUNTBLANK(OFFSET(A$1,,,SUMPRODUCT(MAX(ROW(E$1:E497)*(E2=E$1:E497))))))</f>
        <v> </v>
      </c>
      <c r="K498" s="25" t="str">
        <f>IF(OR(E498="",E498="!!!",F498="NEW"),"",INDEX(J$1:J497,SUMPRODUCT(MAX(ROW(E$1:E497)*(E498=E$1:E497)))))</f>
        <v> </v>
      </c>
      <c r="L498" s="26"/>
    </row>
    <row r="499" spans="1:12">
      <c r="A499" s="20" t="s">
        <v>513</v>
      </c>
      <c r="E499" s="21">
        <f>IF(D499="?OLD","!!!","")</f>
        <v/>
      </c>
      <c r="F499" s="22" t="str">
        <f>IF(OR(E499="",E499="!!!"),"",IF(NOT(ISNA(VLOOKUP(E499,E$1:E498,1,FALSE()))),"OLD",IF(AND(E499&lt;&gt;"",E499&lt;&gt;"!!!"),"NEW","")))</f>
        <v> </v>
      </c>
      <c r="G499" s="23" t="str">
        <f>IF(OR(E499="",E499="!!!"),"",IF(OR(J499=0,AND(J499=1,K499=1),AND(J499=1,I499="SBJ"),AND(J499=1,I499=0)),"?IN_FOCUS",IF(J499&lt;=2,"?ACTIVATED",IF(J499&lt;&gt;"","?FAMILIAR",IF(F499="NEW",IF(ISNA(VLOOKUP(E499,#REF!,1,FALSE())),"?TYPE_IDENTIFIABLE","?REFERENTIAL"),"_")))))</f>
        <v> </v>
      </c>
      <c r="H499" s="24" t="str">
        <f>IF(J499&lt;&gt;1,"",IF(I499="SBJ","CB","?"))</f>
        <v> </v>
      </c>
      <c r="I499" s="25" t="str">
        <f>IF(OR(E499="",E499="!!!",F499="NEW"),"",INDEX(B498:B$2,-1+SUMPRODUCT(MAX(ROW(E498:E$2)*(E499=E498:E$2)))))</f>
        <v> </v>
      </c>
      <c r="J499" s="25" t="str">
        <f>IF(OR(E499="",E499="!!!",F499="NEW"),"",COUNTBLANK(OFFSET(A$1,,,SUMPRODUCT(MAX(ROW(E$2:E499)*(E499=E$2:E499)))))-COUNTBLANK(OFFSET(A$1,,,SUMPRODUCT(MAX(ROW(E$1:E498)*(E2=E$1:E498))))))</f>
        <v> </v>
      </c>
      <c r="K499" s="25" t="str">
        <f>IF(OR(E499="",E499="!!!",F499="NEW"),"",INDEX(J$1:J498,SUMPRODUCT(MAX(ROW(E$1:E498)*(E499=E$1:E498)))))</f>
        <v> </v>
      </c>
      <c r="L499" s="26"/>
    </row>
    <row r="500" spans="1:12">
      <c r="A500" s="20" t="s">
        <v>746</v>
      </c>
      <c r="E500" s="21">
        <f>IF(D500="?OLD","!!!","")</f>
        <v/>
      </c>
      <c r="F500" s="22" t="str">
        <f>IF(OR(E500="",E500="!!!"),"",IF(NOT(ISNA(VLOOKUP(E500,E$1:E499,1,FALSE()))),"OLD",IF(AND(E500&lt;&gt;"",E500&lt;&gt;"!!!"),"NEW","")))</f>
        <v> </v>
      </c>
      <c r="G500" s="23" t="str">
        <f>IF(OR(E500="",E500="!!!"),"",IF(OR(J500=0,AND(J500=1,K500=1),AND(J500=1,I500="SBJ"),AND(J500=1,I500=0)),"?IN_FOCUS",IF(J500&lt;=2,"?ACTIVATED",IF(J500&lt;&gt;"","?FAMILIAR",IF(F500="NEW",IF(ISNA(VLOOKUP(E500,#REF!,1,FALSE())),"?TYPE_IDENTIFIABLE","?REFERENTIAL"),"_")))))</f>
        <v> </v>
      </c>
      <c r="H500" s="24" t="str">
        <f>IF(J500&lt;&gt;1,"",IF(I500="SBJ","CB","?"))</f>
        <v> </v>
      </c>
      <c r="I500" s="25" t="str">
        <f>IF(OR(E500="",E500="!!!",F500="NEW"),"",INDEX(B499:B$2,-1+SUMPRODUCT(MAX(ROW(E499:E$2)*(E500=E499:E$2)))))</f>
        <v> </v>
      </c>
      <c r="J500" s="25" t="str">
        <f>IF(OR(E500="",E500="!!!",F500="NEW"),"",COUNTBLANK(OFFSET(A$1,,,SUMPRODUCT(MAX(ROW(E$2:E500)*(E500=E$2:E500)))))-COUNTBLANK(OFFSET(A$1,,,SUMPRODUCT(MAX(ROW(E$1:E499)*(E2=E$1:E499))))))</f>
        <v> </v>
      </c>
      <c r="K500" s="25" t="str">
        <f>IF(OR(E500="",E500="!!!",F500="NEW"),"",INDEX(J$1:J499,SUMPRODUCT(MAX(ROW(E$1:E499)*(E500=E$1:E499)))))</f>
        <v> </v>
      </c>
      <c r="L500" s="26"/>
    </row>
    <row r="501" spans="1:12">
      <c r="A501" s="20" t="s">
        <v>747</v>
      </c>
      <c r="B501" s="27" t="s">
        <v>473</v>
      </c>
      <c r="C501" s="27" t="s">
        <v>497</v>
      </c>
      <c r="E501" s="21">
        <f>IF(D501="?OLD","!!!","")</f>
        <v/>
      </c>
      <c r="F501" s="22" t="str">
        <f>IF(OR(E501="",E501="!!!"),"",IF(NOT(ISNA(VLOOKUP(E501,E$1:E500,1,FALSE()))),"OLD",IF(AND(E501&lt;&gt;"",E501&lt;&gt;"!!!"),"NEW","")))</f>
        <v> </v>
      </c>
      <c r="G501" s="23" t="str">
        <f>IF(OR(E501="",E501="!!!"),"",IF(OR(J501=0,AND(J501=1,K501=1),AND(J501=1,I501="SBJ"),AND(J501=1,I501=0)),"?IN_FOCUS",IF(J501&lt;=2,"?ACTIVATED",IF(J501&lt;&gt;"","?FAMILIAR",IF(F501="NEW",IF(ISNA(VLOOKUP(E501,#REF!,1,FALSE())),"?TYPE_IDENTIFIABLE","?REFERENTIAL"),"_")))))</f>
        <v> </v>
      </c>
      <c r="H501" s="24" t="str">
        <f>IF(J501&lt;&gt;1,"",IF(I501="SBJ","CB","?"))</f>
        <v> </v>
      </c>
      <c r="I501" s="25" t="str">
        <f>IF(OR(E501="",E501="!!!",F501="NEW"),"",INDEX(B500:B$2,-1+SUMPRODUCT(MAX(ROW(E500:E$2)*(E501=E500:E$2)))))</f>
        <v> </v>
      </c>
      <c r="J501" s="25" t="str">
        <f>IF(OR(E501="",E501="!!!",F501="NEW"),"",COUNTBLANK(OFFSET(A$1,,,SUMPRODUCT(MAX(ROW(E$2:E501)*(E501=E$2:E501)))))-COUNTBLANK(OFFSET(A$1,,,SUMPRODUCT(MAX(ROW(E$1:E500)*(E2=E$1:E500))))))</f>
        <v> </v>
      </c>
      <c r="K501" s="25" t="str">
        <f>IF(OR(E501="",E501="!!!",F501="NEW"),"",INDEX(J$1:J500,SUMPRODUCT(MAX(ROW(E$1:E500)*(E501=E$1:E500)))))</f>
        <v> </v>
      </c>
      <c r="L501" s="26"/>
    </row>
    <row r="502" spans="1:12">
      <c r="A502" s="20" t="s">
        <v>253</v>
      </c>
      <c r="E502" s="21">
        <f>IF(D502="?OLD","!!!","")</f>
        <v/>
      </c>
      <c r="F502" s="22" t="str">
        <f>IF(OR(E502="",E502="!!!"),"",IF(NOT(ISNA(VLOOKUP(E502,E$1:E501,1,FALSE()))),"OLD",IF(AND(E502&lt;&gt;"",E502&lt;&gt;"!!!"),"NEW","")))</f>
        <v> </v>
      </c>
      <c r="G502" s="23" t="str">
        <f>IF(OR(E502="",E502="!!!"),"",IF(OR(J502=0,AND(J502=1,K502=1),AND(J502=1,I502="SBJ"),AND(J502=1,I502=0)),"?IN_FOCUS",IF(J502&lt;=2,"?ACTIVATED",IF(J502&lt;&gt;"","?FAMILIAR",IF(F502="NEW",IF(ISNA(VLOOKUP(E502,#REF!,1,FALSE())),"?TYPE_IDENTIFIABLE","?REFERENTIAL"),"_")))))</f>
        <v> </v>
      </c>
      <c r="H502" s="24" t="str">
        <f>IF(J502&lt;&gt;1,"",IF(I502="SBJ","CB","?"))</f>
        <v> </v>
      </c>
      <c r="I502" s="25" t="str">
        <f>IF(OR(E502="",E502="!!!",F502="NEW"),"",INDEX(B501:B$2,-1+SUMPRODUCT(MAX(ROW(E501:E$2)*(E502=E501:E$2)))))</f>
        <v> </v>
      </c>
      <c r="J502" s="25" t="str">
        <f>IF(OR(E502="",E502="!!!",F502="NEW"),"",COUNTBLANK(OFFSET(A$1,,,SUMPRODUCT(MAX(ROW(E$2:E502)*(E502=E$2:E502)))))-COUNTBLANK(OFFSET(A$1,,,SUMPRODUCT(MAX(ROW(E$1:E501)*(E2=E$1:E501))))))</f>
        <v> </v>
      </c>
      <c r="K502" s="25" t="str">
        <f>IF(OR(E502="",E502="!!!",F502="NEW"),"",INDEX(J$1:J501,SUMPRODUCT(MAX(ROW(E$1:E501)*(E502=E$1:E501)))))</f>
        <v> </v>
      </c>
      <c r="L502" s="26"/>
    </row>
    <row r="503" spans="1:12">
      <c r="A503" s="20"/>
    </row>
    <row r="504" spans="1:12">
      <c r="A504" s="20" t="s">
        <v>500</v>
      </c>
      <c r="E504" s="21">
        <f>IF(D504="?OLD","!!!","")</f>
        <v/>
      </c>
      <c r="F504" s="22" t="str">
        <f>IF(OR(E504="",E504="!!!"),"",IF(NOT(ISNA(VLOOKUP(E504,E$1:E503,1,FALSE()))),"OLD",IF(AND(E504&lt;&gt;"",E504&lt;&gt;"!!!"),"NEW","")))</f>
        <v> </v>
      </c>
      <c r="G504" s="23" t="str">
        <f>IF(OR(E504="",E504="!!!"),"",IF(OR(J504=0,AND(J504=1,K504=1),AND(J504=1,I504="SBJ"),AND(J504=1,I504=0)),"?IN_FOCUS",IF(J504&lt;=2,"?ACTIVATED",IF(J504&lt;&gt;"","?FAMILIAR",IF(F504="NEW",IF(ISNA(VLOOKUP(E504,#REF!,1,FALSE())),"?TYPE_IDENTIFIABLE","?REFERENTIAL"),"_")))))</f>
        <v> </v>
      </c>
      <c r="H504" s="24" t="str">
        <f>IF(J504&lt;&gt;1,"",IF(I504="SBJ","CB","?"))</f>
        <v> </v>
      </c>
      <c r="I504" s="25" t="str">
        <f>IF(OR(E504="",E504="!!!",F504="NEW"),"",INDEX(B503:B$2,-1+SUMPRODUCT(MAX(ROW(E503:E$2)*(E504=E503:E$2)))))</f>
        <v> </v>
      </c>
      <c r="J504" s="25" t="str">
        <f>IF(OR(E504="",E504="!!!",F504="NEW"),"",COUNTBLANK(OFFSET(A$1,,,SUMPRODUCT(MAX(ROW(E$2:E504)*(E504=E$2:E504)))))-COUNTBLANK(OFFSET(A$1,,,SUMPRODUCT(MAX(ROW(E$1:E503)*(E2=E$1:E503))))))</f>
        <v> </v>
      </c>
      <c r="K504" s="25" t="str">
        <f>IF(OR(E504="",E504="!!!",F504="NEW"),"",INDEX(J$1:J503,SUMPRODUCT(MAX(ROW(E$1:E503)*(E504=E$1:E503)))))</f>
        <v> </v>
      </c>
      <c r="L504" s="26"/>
    </row>
    <row r="505" spans="1:12">
      <c r="A505" s="20" t="s">
        <v>748</v>
      </c>
    </row>
    <row r="506" spans="1:12">
      <c r="A506" s="20" t="s">
        <v>686</v>
      </c>
      <c r="E506" s="21">
        <f>IF(D506="?OLD","!!!","")</f>
        <v/>
      </c>
      <c r="F506" s="22" t="str">
        <f>IF(OR(E506="",E506="!!!"),"",IF(NOT(ISNA(VLOOKUP(E506,E$1:E505,1,FALSE()))),"OLD",IF(AND(E506&lt;&gt;"",E506&lt;&gt;"!!!"),"NEW","")))</f>
        <v> </v>
      </c>
      <c r="G506" s="23" t="str">
        <f>IF(OR(E506="",E506="!!!"),"",IF(OR(J506=0,AND(J506=1,K506=1),AND(J506=1,I506="SBJ"),AND(J506=1,I506=0)),"?IN_FOCUS",IF(J506&lt;=2,"?ACTIVATED",IF(J506&lt;&gt;"","?FAMILIAR",IF(F506="NEW",IF(ISNA(VLOOKUP(E506,#REF!,1,FALSE())),"?TYPE_IDENTIFIABLE","?REFERENTIAL"),"_")))))</f>
        <v> </v>
      </c>
      <c r="H506" s="24" t="str">
        <f>IF(J506&lt;&gt;1,"",IF(I506="SBJ","CB","?"))</f>
        <v> </v>
      </c>
      <c r="I506" s="25" t="str">
        <f>IF(OR(E506="",E506="!!!",F506="NEW"),"",INDEX(B505:B$2,-1+SUMPRODUCT(MAX(ROW(E505:E$2)*(E506=E505:E$2)))))</f>
        <v> </v>
      </c>
      <c r="J506" s="25" t="str">
        <f>IF(OR(E506="",E506="!!!",F506="NEW"),"",COUNTBLANK(OFFSET(A$1,,,SUMPRODUCT(MAX(ROW(E$2:E506)*(E506=E$2:E506)))))-COUNTBLANK(OFFSET(A$1,,,SUMPRODUCT(MAX(ROW(E$1:E505)*(E2=E$1:E505))))))</f>
        <v> </v>
      </c>
      <c r="K506" s="25" t="str">
        <f>IF(OR(E506="",E506="!!!",F506="NEW"),"",INDEX(J$1:J505,SUMPRODUCT(MAX(ROW(E$1:E505)*(E506=E$1:E505)))))</f>
        <v> </v>
      </c>
      <c r="L506" s="26"/>
    </row>
    <row r="507" spans="1:12">
      <c r="A507" s="20" t="s">
        <v>749</v>
      </c>
      <c r="E507" s="21">
        <f>IF(D507="?OLD","!!!","")</f>
        <v/>
      </c>
      <c r="F507" s="22" t="str">
        <f>IF(OR(E507="",E507="!!!"),"",IF(NOT(ISNA(VLOOKUP(E507,E$1:E506,1,FALSE()))),"OLD",IF(AND(E507&lt;&gt;"",E507&lt;&gt;"!!!"),"NEW","")))</f>
        <v> </v>
      </c>
      <c r="G507" s="23" t="str">
        <f>IF(OR(E507="",E507="!!!"),"",IF(OR(J507=0,AND(J507=1,K507=1),AND(J507=1,I507="SBJ"),AND(J507=1,I507=0)),"?IN_FOCUS",IF(J507&lt;=2,"?ACTIVATED",IF(J507&lt;&gt;"","?FAMILIAR",IF(F507="NEW",IF(ISNA(VLOOKUP(E507,#REF!,1,FALSE())),"?TYPE_IDENTIFIABLE","?REFERENTIAL"),"_")))))</f>
        <v> </v>
      </c>
      <c r="H507" s="24" t="str">
        <f>IF(J507&lt;&gt;1,"",IF(I507="SBJ","CB","?"))</f>
        <v> </v>
      </c>
      <c r="I507" s="25" t="str">
        <f>IF(OR(E507="",E507="!!!",F507="NEW"),"",INDEX(B506:B$2,-1+SUMPRODUCT(MAX(ROW(E506:E$2)*(E507=E506:E$2)))))</f>
        <v> </v>
      </c>
      <c r="J507" s="25" t="str">
        <f>IF(OR(E507="",E507="!!!",F507="NEW"),"",COUNTBLANK(OFFSET(A$1,,,SUMPRODUCT(MAX(ROW(E$2:E507)*(E507=E$2:E507)))))-COUNTBLANK(OFFSET(A$1,,,SUMPRODUCT(MAX(ROW(E$1:E506)*(E2=E$1:E506))))))</f>
        <v> </v>
      </c>
      <c r="K507" s="25" t="str">
        <f>IF(OR(E507="",E507="!!!",F507="NEW"),"",INDEX(J$1:J506,SUMPRODUCT(MAX(ROW(E$1:E506)*(E507=E$1:E506)))))</f>
        <v> </v>
      </c>
      <c r="L507" s="26"/>
    </row>
    <row r="508" spans="1:12">
      <c r="A508" s="20" t="s">
        <v>750</v>
      </c>
      <c r="E508" s="21">
        <f>IF(D508="?OLD","!!!","")</f>
        <v/>
      </c>
      <c r="F508" s="22" t="str">
        <f>IF(OR(E508="",E508="!!!"),"",IF(NOT(ISNA(VLOOKUP(E508,E$1:E507,1,FALSE()))),"OLD",IF(AND(E508&lt;&gt;"",E508&lt;&gt;"!!!"),"NEW","")))</f>
        <v> </v>
      </c>
      <c r="G508" s="23" t="str">
        <f>IF(OR(E508="",E508="!!!"),"",IF(OR(J508=0,AND(J508=1,K508=1),AND(J508=1,I508="SBJ"),AND(J508=1,I508=0)),"?IN_FOCUS",IF(J508&lt;=2,"?ACTIVATED",IF(J508&lt;&gt;"","?FAMILIAR",IF(F508="NEW",IF(ISNA(VLOOKUP(E508,#REF!,1,FALSE())),"?TYPE_IDENTIFIABLE","?REFERENTIAL"),"_")))))</f>
        <v> </v>
      </c>
      <c r="H508" s="24" t="str">
        <f>IF(J508&lt;&gt;1,"",IF(I508="SBJ","CB","?"))</f>
        <v> </v>
      </c>
      <c r="I508" s="25" t="str">
        <f>IF(OR(E508="",E508="!!!",F508="NEW"),"",INDEX(B507:B$2,-1+SUMPRODUCT(MAX(ROW(E507:E$2)*(E508=E507:E$2)))))</f>
        <v> </v>
      </c>
      <c r="J508" s="25" t="str">
        <f>IF(OR(E508="",E508="!!!",F508="NEW"),"",COUNTBLANK(OFFSET(A$1,,,SUMPRODUCT(MAX(ROW(E$2:E508)*(E508=E$2:E508)))))-COUNTBLANK(OFFSET(A$1,,,SUMPRODUCT(MAX(ROW(E$1:E507)*(E2=E$1:E507))))))</f>
        <v> </v>
      </c>
      <c r="K508" s="25" t="str">
        <f>IF(OR(E508="",E508="!!!",F508="NEW"),"",INDEX(J$1:J507,SUMPRODUCT(MAX(ROW(E$1:E507)*(E508=E$1:E507)))))</f>
        <v> </v>
      </c>
      <c r="L508" s="26"/>
    </row>
    <row r="509" spans="1:12">
      <c r="A509" s="20" t="s">
        <v>688</v>
      </c>
      <c r="E509" s="21">
        <f>IF(D509="?OLD","!!!","")</f>
        <v/>
      </c>
      <c r="F509" s="22" t="str">
        <f>IF(OR(E509="",E509="!!!"),"",IF(NOT(ISNA(VLOOKUP(E509,E$1:E508,1,FALSE()))),"OLD",IF(AND(E509&lt;&gt;"",E509&lt;&gt;"!!!"),"NEW","")))</f>
        <v> </v>
      </c>
      <c r="G509" s="23" t="str">
        <f>IF(OR(E509="",E509="!!!"),"",IF(OR(J509=0,AND(J509=1,K509=1),AND(J509=1,I509="SBJ"),AND(J509=1,I509=0)),"?IN_FOCUS",IF(J509&lt;=2,"?ACTIVATED",IF(J509&lt;&gt;"","?FAMILIAR",IF(F509="NEW",IF(ISNA(VLOOKUP(E509,#REF!,1,FALSE())),"?TYPE_IDENTIFIABLE","?REFERENTIAL"),"_")))))</f>
        <v> </v>
      </c>
      <c r="H509" s="24" t="str">
        <f>IF(J509&lt;&gt;1,"",IF(I509="SBJ","CB","?"))</f>
        <v> </v>
      </c>
      <c r="I509" s="25" t="str">
        <f>IF(OR(E509="",E509="!!!",F509="NEW"),"",INDEX(B508:B$2,-1+SUMPRODUCT(MAX(ROW(E508:E$2)*(E509=E508:E$2)))))</f>
        <v> </v>
      </c>
      <c r="J509" s="25" t="str">
        <f>IF(OR(E509="",E509="!!!",F509="NEW"),"",COUNTBLANK(OFFSET(A$1,,,SUMPRODUCT(MAX(ROW(E$2:E509)*(E509=E$2:E509)))))-COUNTBLANK(OFFSET(A$1,,,SUMPRODUCT(MAX(ROW(E$1:E508)*(E2=E$1:E508))))))</f>
        <v> </v>
      </c>
      <c r="K509" s="25" t="str">
        <f>IF(OR(E509="",E509="!!!",F509="NEW"),"",INDEX(J$1:J508,SUMPRODUCT(MAX(ROW(E$1:E508)*(E509=E$1:E508)))))</f>
        <v> </v>
      </c>
      <c r="L509" s="26"/>
    </row>
    <row r="510" spans="1:12">
      <c r="A510" s="20" t="s">
        <v>504</v>
      </c>
      <c r="E510" s="21">
        <f>IF(D510="?OLD","!!!","")</f>
        <v/>
      </c>
      <c r="F510" s="22" t="str">
        <f>IF(OR(E510="",E510="!!!"),"",IF(NOT(ISNA(VLOOKUP(E510,E$1:E509,1,FALSE()))),"OLD",IF(AND(E510&lt;&gt;"",E510&lt;&gt;"!!!"),"NEW","")))</f>
        <v> </v>
      </c>
      <c r="G510" s="23" t="str">
        <f>IF(OR(E510="",E510="!!!"),"",IF(OR(J510=0,AND(J510=1,K510=1),AND(J510=1,I510="SBJ"),AND(J510=1,I510=0)),"?IN_FOCUS",IF(J510&lt;=2,"?ACTIVATED",IF(J510&lt;&gt;"","?FAMILIAR",IF(F510="NEW",IF(ISNA(VLOOKUP(E510,#REF!,1,FALSE())),"?TYPE_IDENTIFIABLE","?REFERENTIAL"),"_")))))</f>
        <v> </v>
      </c>
      <c r="H510" s="24" t="str">
        <f>IF(J510&lt;&gt;1,"",IF(I510="SBJ","CB","?"))</f>
        <v> </v>
      </c>
      <c r="I510" s="25" t="str">
        <f>IF(OR(E510="",E510="!!!",F510="NEW"),"",INDEX(B509:B$2,-1+SUMPRODUCT(MAX(ROW(E509:E$2)*(E510=E509:E$2)))))</f>
        <v> </v>
      </c>
      <c r="J510" s="25" t="str">
        <f>IF(OR(E510="",E510="!!!",F510="NEW"),"",COUNTBLANK(OFFSET(A$1,,,SUMPRODUCT(MAX(ROW(E$2:E510)*(E510=E$2:E510)))))-COUNTBLANK(OFFSET(A$1,,,SUMPRODUCT(MAX(ROW(E$1:E509)*(E2=E$1:E509))))))</f>
        <v> </v>
      </c>
      <c r="K510" s="25" t="str">
        <f>IF(OR(E510="",E510="!!!",F510="NEW"),"",INDEX(J$1:J509,SUMPRODUCT(MAX(ROW(E$1:E509)*(E510=E$1:E509)))))</f>
        <v> </v>
      </c>
      <c r="L510" s="26"/>
    </row>
    <row r="511" spans="1:12">
      <c r="A511" s="20" t="s">
        <v>505</v>
      </c>
      <c r="E511" s="21">
        <f>IF(D511="?OLD","!!!","")</f>
        <v/>
      </c>
      <c r="F511" s="22" t="str">
        <f>IF(OR(E511="",E511="!!!"),"",IF(NOT(ISNA(VLOOKUP(E511,E$1:E510,1,FALSE()))),"OLD",IF(AND(E511&lt;&gt;"",E511&lt;&gt;"!!!"),"NEW","")))</f>
        <v> </v>
      </c>
      <c r="G511" s="23" t="str">
        <f>IF(OR(E511="",E511="!!!"),"",IF(OR(J511=0,AND(J511=1,K511=1),AND(J511=1,I511="SBJ"),AND(J511=1,I511=0)),"?IN_FOCUS",IF(J511&lt;=2,"?ACTIVATED",IF(J511&lt;&gt;"","?FAMILIAR",IF(F511="NEW",IF(ISNA(VLOOKUP(E511,#REF!,1,FALSE())),"?TYPE_IDENTIFIABLE","?REFERENTIAL"),"_")))))</f>
        <v> </v>
      </c>
      <c r="H511" s="24" t="str">
        <f>IF(J511&lt;&gt;1,"",IF(I511="SBJ","CB","?"))</f>
        <v> </v>
      </c>
      <c r="I511" s="25" t="str">
        <f>IF(OR(E511="",E511="!!!",F511="NEW"),"",INDEX(B510:B$2,-1+SUMPRODUCT(MAX(ROW(E510:E$2)*(E511=E510:E$2)))))</f>
        <v> </v>
      </c>
      <c r="J511" s="25" t="str">
        <f>IF(OR(E511="",E511="!!!",F511="NEW"),"",COUNTBLANK(OFFSET(A$1,,,SUMPRODUCT(MAX(ROW(E$2:E511)*(E511=E$2:E511)))))-COUNTBLANK(OFFSET(A$1,,,SUMPRODUCT(MAX(ROW(E$1:E510)*(E2=E$1:E510))))))</f>
        <v> </v>
      </c>
      <c r="K511" s="25" t="str">
        <f>IF(OR(E511="",E511="!!!",F511="NEW"),"",INDEX(J$1:J510,SUMPRODUCT(MAX(ROW(E$1:E510)*(E511=E$1:E510)))))</f>
        <v> </v>
      </c>
      <c r="L511" s="26"/>
    </row>
    <row r="512" spans="1:12">
      <c r="A512" s="20" t="s">
        <v>751</v>
      </c>
      <c r="E512" s="21">
        <f>IF(D512="?OLD","!!!","")</f>
        <v/>
      </c>
      <c r="F512" s="22" t="str">
        <f>IF(OR(E512="",E512="!!!"),"",IF(NOT(ISNA(VLOOKUP(E512,E$1:E511,1,FALSE()))),"OLD",IF(AND(E512&lt;&gt;"",E512&lt;&gt;"!!!"),"NEW","")))</f>
        <v> </v>
      </c>
      <c r="G512" s="23" t="str">
        <f>IF(OR(E512="",E512="!!!"),"",IF(OR(J512=0,AND(J512=1,K512=1),AND(J512=1,I512="SBJ"),AND(J512=1,I512=0)),"?IN_FOCUS",IF(J512&lt;=2,"?ACTIVATED",IF(J512&lt;&gt;"","?FAMILIAR",IF(F512="NEW",IF(ISNA(VLOOKUP(E512,#REF!,1,FALSE())),"?TYPE_IDENTIFIABLE","?REFERENTIAL"),"_")))))</f>
        <v> </v>
      </c>
      <c r="H512" s="24" t="str">
        <f>IF(J512&lt;&gt;1,"",IF(I512="SBJ","CB","?"))</f>
        <v> </v>
      </c>
      <c r="I512" s="25" t="str">
        <f>IF(OR(E512="",E512="!!!",F512="NEW"),"",INDEX(B511:B$2,-1+SUMPRODUCT(MAX(ROW(E511:E$2)*(E512=E511:E$2)))))</f>
        <v> </v>
      </c>
      <c r="J512" s="25" t="str">
        <f>IF(OR(E512="",E512="!!!",F512="NEW"),"",COUNTBLANK(OFFSET(A$1,,,SUMPRODUCT(MAX(ROW(E$2:E512)*(E512=E$2:E512)))))-COUNTBLANK(OFFSET(A$1,,,SUMPRODUCT(MAX(ROW(E$1:E511)*(E2=E$1:E511))))))</f>
        <v> </v>
      </c>
      <c r="K512" s="25" t="str">
        <f>IF(OR(E512="",E512="!!!",F512="NEW"),"",INDEX(J$1:J511,SUMPRODUCT(MAX(ROW(E$1:E511)*(E512=E$1:E511)))))</f>
        <v> </v>
      </c>
      <c r="L512" s="26"/>
    </row>
    <row r="513" spans="1:12">
      <c r="A513" s="20" t="s">
        <v>505</v>
      </c>
      <c r="E513" s="21">
        <f>IF(D513="?OLD","!!!","")</f>
        <v/>
      </c>
      <c r="F513" s="22" t="str">
        <f>IF(OR(E513="",E513="!!!"),"",IF(NOT(ISNA(VLOOKUP(E513,E$1:E512,1,FALSE()))),"OLD",IF(AND(E513&lt;&gt;"",E513&lt;&gt;"!!!"),"NEW","")))</f>
        <v> </v>
      </c>
      <c r="G513" s="23" t="str">
        <f>IF(OR(E513="",E513="!!!"),"",IF(OR(J513=0,AND(J513=1,K513=1),AND(J513=1,I513="SBJ"),AND(J513=1,I513=0)),"?IN_FOCUS",IF(J513&lt;=2,"?ACTIVATED",IF(J513&lt;&gt;"","?FAMILIAR",IF(F513="NEW",IF(ISNA(VLOOKUP(E513,#REF!,1,FALSE())),"?TYPE_IDENTIFIABLE","?REFERENTIAL"),"_")))))</f>
        <v> </v>
      </c>
      <c r="H513" s="24" t="str">
        <f>IF(J513&lt;&gt;1,"",IF(I513="SBJ","CB","?"))</f>
        <v> </v>
      </c>
      <c r="I513" s="25" t="str">
        <f>IF(OR(E513="",E513="!!!",F513="NEW"),"",INDEX(B512:B$2,-1+SUMPRODUCT(MAX(ROW(E512:E$2)*(E513=E512:E$2)))))</f>
        <v> </v>
      </c>
      <c r="J513" s="25" t="str">
        <f>IF(OR(E513="",E513="!!!",F513="NEW"),"",COUNTBLANK(OFFSET(A$1,,,SUMPRODUCT(MAX(ROW(E$2:E513)*(E513=E$2:E513)))))-COUNTBLANK(OFFSET(A$1,,,SUMPRODUCT(MAX(ROW(E$1:E512)*(E2=E$1:E512))))))</f>
        <v> </v>
      </c>
      <c r="K513" s="25" t="str">
        <f>IF(OR(E513="",E513="!!!",F513="NEW"),"",INDEX(J$1:J512,SUMPRODUCT(MAX(ROW(E$1:E512)*(E513=E$1:E512)))))</f>
        <v> </v>
      </c>
      <c r="L513" s="26"/>
    </row>
    <row r="514" spans="1:12">
      <c r="A514" s="20" t="s">
        <v>253</v>
      </c>
      <c r="E514" s="21">
        <f>IF(D514="?OLD","!!!","")</f>
        <v/>
      </c>
      <c r="F514" s="22" t="str">
        <f>IF(OR(E514="",E514="!!!"),"",IF(NOT(ISNA(VLOOKUP(E514,E$1:E513,1,FALSE()))),"OLD",IF(AND(E514&lt;&gt;"",E514&lt;&gt;"!!!"),"NEW","")))</f>
        <v> </v>
      </c>
      <c r="G514" s="23" t="str">
        <f>IF(OR(E514="",E514="!!!"),"",IF(OR(J514=0,AND(J514=1,K514=1),AND(J514=1,I514="SBJ"),AND(J514=1,I514=0)),"?IN_FOCUS",IF(J514&lt;=2,"?ACTIVATED",IF(J514&lt;&gt;"","?FAMILIAR",IF(F514="NEW",IF(ISNA(VLOOKUP(E514,#REF!,1,FALSE())),"?TYPE_IDENTIFIABLE","?REFERENTIAL"),"_")))))</f>
        <v> </v>
      </c>
      <c r="H514" s="24" t="str">
        <f>IF(J514&lt;&gt;1,"",IF(I514="SBJ","CB","?"))</f>
        <v> </v>
      </c>
      <c r="I514" s="25" t="str">
        <f>IF(OR(E514="",E514="!!!",F514="NEW"),"",INDEX(B513:B$2,-1+SUMPRODUCT(MAX(ROW(E513:E$2)*(E514=E513:E$2)))))</f>
        <v> </v>
      </c>
      <c r="J514" s="25" t="str">
        <f>IF(OR(E514="",E514="!!!",F514="NEW"),"",COUNTBLANK(OFFSET(A$1,,,SUMPRODUCT(MAX(ROW(E$2:E514)*(E514=E$2:E514)))))-COUNTBLANK(OFFSET(A$1,,,SUMPRODUCT(MAX(ROW(E$1:E513)*(E2=E$1:E513))))))</f>
        <v> </v>
      </c>
      <c r="K514" s="25" t="str">
        <f>IF(OR(E514="",E514="!!!",F514="NEW"),"",INDEX(J$1:J513,SUMPRODUCT(MAX(ROW(E$1:E513)*(E514=E$1:E513)))))</f>
        <v> </v>
      </c>
      <c r="L514" s="26"/>
    </row>
    <row r="515" spans="1:12">
      <c r="A515" s="20"/>
    </row>
    <row r="516" spans="1:12">
      <c r="A516" s="20" t="s">
        <v>752</v>
      </c>
    </row>
    <row r="517" spans="1:12">
      <c r="A517" s="20" t="s">
        <v>753</v>
      </c>
      <c r="E517" s="21">
        <f>IF(D517="?OLD","!!!","")</f>
        <v/>
      </c>
      <c r="F517" s="22" t="str">
        <f>IF(OR(E517="",E517="!!!"),"",IF(NOT(ISNA(VLOOKUP(E517,E$1:E516,1,FALSE()))),"OLD",IF(AND(E517&lt;&gt;"",E517&lt;&gt;"!!!"),"NEW","")))</f>
        <v> </v>
      </c>
      <c r="G517" s="23" t="str">
        <f>IF(OR(E517="",E517="!!!"),"",IF(OR(J517=0,AND(J517=1,K517=1),AND(J517=1,I517="SBJ"),AND(J517=1,I517=0)),"?IN_FOCUS",IF(J517&lt;=2,"?ACTIVATED",IF(J517&lt;&gt;"","?FAMILIAR",IF(F517="NEW",IF(ISNA(VLOOKUP(E517,#REF!,1,FALSE())),"?TYPE_IDENTIFIABLE","?REFERENTIAL"),"_")))))</f>
        <v> </v>
      </c>
      <c r="H517" s="24" t="str">
        <f>IF(J517&lt;&gt;1,"",IF(I517="SBJ","CB","?"))</f>
        <v> </v>
      </c>
      <c r="I517" s="25" t="str">
        <f>IF(OR(E517="",E517="!!!",F517="NEW"),"",INDEX(B516:B$2,-1+SUMPRODUCT(MAX(ROW(E516:E$2)*(E517=E516:E$2)))))</f>
        <v> </v>
      </c>
      <c r="J517" s="25" t="str">
        <f>IF(OR(E517="",E517="!!!",F517="NEW"),"",COUNTBLANK(OFFSET(A$1,,,SUMPRODUCT(MAX(ROW(E$2:E517)*(E517=E$2:E517)))))-COUNTBLANK(OFFSET(A$1,,,SUMPRODUCT(MAX(ROW(E$1:E516)*(E2=E$1:E516))))))</f>
        <v> </v>
      </c>
      <c r="K517" s="25" t="str">
        <f>IF(OR(E517="",E517="!!!",F517="NEW"),"",INDEX(J$1:J516,SUMPRODUCT(MAX(ROW(E$1:E516)*(E517=E$1:E516)))))</f>
        <v> </v>
      </c>
      <c r="L517" s="26"/>
    </row>
    <row r="518" spans="1:12">
      <c r="A518" s="20" t="s">
        <v>482</v>
      </c>
      <c r="E518" s="21">
        <f>IF(D518="?OLD","!!!","")</f>
        <v/>
      </c>
      <c r="F518" s="22" t="str">
        <f>IF(OR(E518="",E518="!!!"),"",IF(NOT(ISNA(VLOOKUP(E518,E$1:E517,1,FALSE()))),"OLD",IF(AND(E518&lt;&gt;"",E518&lt;&gt;"!!!"),"NEW","")))</f>
        <v> </v>
      </c>
      <c r="G518" s="23" t="str">
        <f>IF(OR(E518="",E518="!!!"),"",IF(OR(J518=0,AND(J518=1,K518=1),AND(J518=1,I518="SBJ"),AND(J518=1,I518=0)),"?IN_FOCUS",IF(J518&lt;=2,"?ACTIVATED",IF(J518&lt;&gt;"","?FAMILIAR",IF(F518="NEW",IF(ISNA(VLOOKUP(E518,#REF!,1,FALSE())),"?TYPE_IDENTIFIABLE","?REFERENTIAL"),"_")))))</f>
        <v> </v>
      </c>
      <c r="H518" s="24" t="str">
        <f>IF(J518&lt;&gt;1,"",IF(I518="SBJ","CB","?"))</f>
        <v> </v>
      </c>
      <c r="I518" s="25" t="str">
        <f>IF(OR(E518="",E518="!!!",F518="NEW"),"",INDEX(B517:B$2,-1+SUMPRODUCT(MAX(ROW(E517:E$2)*(E518=E517:E$2)))))</f>
        <v> </v>
      </c>
      <c r="J518" s="25" t="str">
        <f>IF(OR(E518="",E518="!!!",F518="NEW"),"",COUNTBLANK(OFFSET(A$1,,,SUMPRODUCT(MAX(ROW(E$2:E518)*(E518=E$2:E518)))))-COUNTBLANK(OFFSET(A$1,,,SUMPRODUCT(MAX(ROW(E$1:E517)*(E2=E$1:E517))))))</f>
        <v> </v>
      </c>
      <c r="K518" s="25" t="str">
        <f>IF(OR(E518="",E518="!!!",F518="NEW"),"",INDEX(J$1:J517,SUMPRODUCT(MAX(ROW(E$1:E517)*(E518=E$1:E517)))))</f>
        <v> </v>
      </c>
      <c r="L518" s="26"/>
    </row>
    <row r="519" spans="1:12">
      <c r="A519" s="20" t="s">
        <v>754</v>
      </c>
      <c r="E519" s="21">
        <f>IF(D519="?OLD","!!!","")</f>
        <v/>
      </c>
      <c r="F519" s="22" t="str">
        <f>IF(OR(E519="",E519="!!!"),"",IF(NOT(ISNA(VLOOKUP(E519,E$1:E518,1,FALSE()))),"OLD",IF(AND(E519&lt;&gt;"",E519&lt;&gt;"!!!"),"NEW","")))</f>
        <v> </v>
      </c>
      <c r="G519" s="23" t="str">
        <f>IF(OR(E519="",E519="!!!"),"",IF(OR(J519=0,AND(J519=1,K519=1),AND(J519=1,I519="SBJ"),AND(J519=1,I519=0)),"?IN_FOCUS",IF(J519&lt;=2,"?ACTIVATED",IF(J519&lt;&gt;"","?FAMILIAR",IF(F519="NEW",IF(ISNA(VLOOKUP(E519,#REF!,1,FALSE())),"?TYPE_IDENTIFIABLE","?REFERENTIAL"),"_")))))</f>
        <v> </v>
      </c>
      <c r="H519" s="24" t="str">
        <f>IF(J519&lt;&gt;1,"",IF(I519="SBJ","CB","?"))</f>
        <v> </v>
      </c>
      <c r="I519" s="25" t="str">
        <f>IF(OR(E519="",E519="!!!",F519="NEW"),"",INDEX(B518:B$2,-1+SUMPRODUCT(MAX(ROW(E518:E$2)*(E519=E518:E$2)))))</f>
        <v> </v>
      </c>
      <c r="J519" s="25" t="str">
        <f>IF(OR(E519="",E519="!!!",F519="NEW"),"",COUNTBLANK(OFFSET(A$1,,,SUMPRODUCT(MAX(ROW(E$2:E519)*(E519=E$2:E519)))))-COUNTBLANK(OFFSET(A$1,,,SUMPRODUCT(MAX(ROW(E$1:E518)*(E2=E$1:E518))))))</f>
        <v> </v>
      </c>
      <c r="K519" s="25" t="str">
        <f>IF(OR(E519="",E519="!!!",F519="NEW"),"",INDEX(J$1:J518,SUMPRODUCT(MAX(ROW(E$1:E518)*(E519=E$1:E518)))))</f>
        <v> </v>
      </c>
      <c r="L519" s="26"/>
    </row>
    <row r="520" spans="1:12">
      <c r="A520" s="20" t="s">
        <v>721</v>
      </c>
      <c r="E520" s="21">
        <f>IF(D520="?OLD","!!!","")</f>
        <v/>
      </c>
      <c r="F520" s="22" t="str">
        <f>IF(OR(E520="",E520="!!!"),"",IF(NOT(ISNA(VLOOKUP(E520,E$1:E519,1,FALSE()))),"OLD",IF(AND(E520&lt;&gt;"",E520&lt;&gt;"!!!"),"NEW","")))</f>
        <v> </v>
      </c>
      <c r="G520" s="23" t="str">
        <f>IF(OR(E520="",E520="!!!"),"",IF(OR(J520=0,AND(J520=1,K520=1),AND(J520=1,I520="SBJ"),AND(J520=1,I520=0)),"?IN_FOCUS",IF(J520&lt;=2,"?ACTIVATED",IF(J520&lt;&gt;"","?FAMILIAR",IF(F520="NEW",IF(ISNA(VLOOKUP(E520,#REF!,1,FALSE())),"?TYPE_IDENTIFIABLE","?REFERENTIAL"),"_")))))</f>
        <v> </v>
      </c>
      <c r="H520" s="24" t="str">
        <f>IF(J520&lt;&gt;1,"",IF(I520="SBJ","CB","?"))</f>
        <v> </v>
      </c>
      <c r="I520" s="25" t="str">
        <f>IF(OR(E520="",E520="!!!",F520="NEW"),"",INDEX(B519:B$2,-1+SUMPRODUCT(MAX(ROW(E519:E$2)*(E520=E519:E$2)))))</f>
        <v> </v>
      </c>
      <c r="J520" s="25" t="str">
        <f>IF(OR(E520="",E520="!!!",F520="NEW"),"",COUNTBLANK(OFFSET(A$1,,,SUMPRODUCT(MAX(ROW(E$2:E520)*(E520=E$2:E520)))))-COUNTBLANK(OFFSET(A$1,,,SUMPRODUCT(MAX(ROW(E$1:E519)*(E2=E$1:E519))))))</f>
        <v> </v>
      </c>
      <c r="K520" s="25" t="str">
        <f>IF(OR(E520="",E520="!!!",F520="NEW"),"",INDEX(J$1:J519,SUMPRODUCT(MAX(ROW(E$1:E519)*(E520=E$1:E519)))))</f>
        <v> </v>
      </c>
      <c r="L520" s="26"/>
    </row>
    <row r="521" spans="1:12">
      <c r="A521" s="20" t="s">
        <v>755</v>
      </c>
      <c r="B521" s="27" t="s">
        <v>473</v>
      </c>
      <c r="C521" s="27" t="s">
        <v>484</v>
      </c>
      <c r="E521" s="21">
        <f>IF(D521="?OLD","!!!","")</f>
        <v/>
      </c>
      <c r="F521" s="22" t="str">
        <f>IF(OR(E521="",E521="!!!"),"",IF(NOT(ISNA(VLOOKUP(E521,E$1:E520,1,FALSE()))),"OLD",IF(AND(E521&lt;&gt;"",E521&lt;&gt;"!!!"),"NEW","")))</f>
        <v> </v>
      </c>
      <c r="G521" s="23" t="str">
        <f>IF(OR(E521="",E521="!!!"),"",IF(OR(J521=0,AND(J521=1,K521=1),AND(J521=1,I521="SBJ"),AND(J521=1,I521=0)),"?IN_FOCUS",IF(J521&lt;=2,"?ACTIVATED",IF(J521&lt;&gt;"","?FAMILIAR",IF(F521="NEW",IF(ISNA(VLOOKUP(E521,#REF!,1,FALSE())),"?TYPE_IDENTIFIABLE","?REFERENTIAL"),"_")))))</f>
        <v> </v>
      </c>
      <c r="H521" s="24" t="str">
        <f>IF(J521&lt;&gt;1,"",IF(I521="SBJ","CB","?"))</f>
        <v> </v>
      </c>
      <c r="I521" s="25" t="str">
        <f>IF(OR(E521="",E521="!!!",F521="NEW"),"",INDEX(B520:B$2,-1+SUMPRODUCT(MAX(ROW(E520:E$2)*(E521=E520:E$2)))))</f>
        <v> </v>
      </c>
      <c r="J521" s="25" t="str">
        <f>IF(OR(E521="",E521="!!!",F521="NEW"),"",COUNTBLANK(OFFSET(A$1,,,SUMPRODUCT(MAX(ROW(E$2:E521)*(E521=E$2:E521)))))-COUNTBLANK(OFFSET(A$1,,,SUMPRODUCT(MAX(ROW(E$1:E520)*(E2=E$1:E520))))))</f>
        <v> </v>
      </c>
      <c r="K521" s="25" t="str">
        <f>IF(OR(E521="",E521="!!!",F521="NEW"),"",INDEX(J$1:J520,SUMPRODUCT(MAX(ROW(E$1:E520)*(E521=E$1:E520)))))</f>
        <v> </v>
      </c>
      <c r="L521" s="26"/>
    </row>
    <row r="522" spans="1:12">
      <c r="A522" s="20" t="s">
        <v>493</v>
      </c>
      <c r="E522" s="21">
        <f>IF(D522="?OLD","!!!","")</f>
        <v/>
      </c>
      <c r="F522" s="22" t="str">
        <f>IF(OR(E522="",E522="!!!"),"",IF(NOT(ISNA(VLOOKUP(E522,E$1:E521,1,FALSE()))),"OLD",IF(AND(E522&lt;&gt;"",E522&lt;&gt;"!!!"),"NEW","")))</f>
        <v> </v>
      </c>
      <c r="G522" s="23" t="str">
        <f>IF(OR(E522="",E522="!!!"),"",IF(OR(J522=0,AND(J522=1,K522=1),AND(J522=1,I522="SBJ"),AND(J522=1,I522=0)),"?IN_FOCUS",IF(J522&lt;=2,"?ACTIVATED",IF(J522&lt;&gt;"","?FAMILIAR",IF(F522="NEW",IF(ISNA(VLOOKUP(E522,#REF!,1,FALSE())),"?TYPE_IDENTIFIABLE","?REFERENTIAL"),"_")))))</f>
        <v> </v>
      </c>
      <c r="H522" s="24" t="str">
        <f>IF(J522&lt;&gt;1,"",IF(I522="SBJ","CB","?"))</f>
        <v> </v>
      </c>
      <c r="I522" s="25" t="str">
        <f>IF(OR(E522="",E522="!!!",F522="NEW"),"",INDEX(B521:B$2,-1+SUMPRODUCT(MAX(ROW(E521:E$2)*(E522=E521:E$2)))))</f>
        <v> </v>
      </c>
      <c r="J522" s="25" t="str">
        <f>IF(OR(E522="",E522="!!!",F522="NEW"),"",COUNTBLANK(OFFSET(A$1,,,SUMPRODUCT(MAX(ROW(E$2:E522)*(E522=E$2:E522)))))-COUNTBLANK(OFFSET(A$1,,,SUMPRODUCT(MAX(ROW(E$1:E521)*(E2=E$1:E521))))))</f>
        <v> </v>
      </c>
      <c r="K522" s="25" t="str">
        <f>IF(OR(E522="",E522="!!!",F522="NEW"),"",INDEX(J$1:J521,SUMPRODUCT(MAX(ROW(E$1:E521)*(E522=E$1:E521)))))</f>
        <v> </v>
      </c>
      <c r="L522" s="26"/>
    </row>
    <row r="523" spans="1:12">
      <c r="A523" s="20" t="s">
        <v>756</v>
      </c>
      <c r="E523" s="21">
        <f>IF(D523="?OLD","!!!","")</f>
        <v/>
      </c>
      <c r="F523" s="22" t="str">
        <f>IF(OR(E523="",E523="!!!"),"",IF(NOT(ISNA(VLOOKUP(E523,E$1:E522,1,FALSE()))),"OLD",IF(AND(E523&lt;&gt;"",E523&lt;&gt;"!!!"),"NEW","")))</f>
        <v> </v>
      </c>
      <c r="G523" s="23" t="str">
        <f>IF(OR(E523="",E523="!!!"),"",IF(OR(J523=0,AND(J523=1,K523=1),AND(J523=1,I523="SBJ"),AND(J523=1,I523=0)),"?IN_FOCUS",IF(J523&lt;=2,"?ACTIVATED",IF(J523&lt;&gt;"","?FAMILIAR",IF(F523="NEW",IF(ISNA(VLOOKUP(E523,#REF!,1,FALSE())),"?TYPE_IDENTIFIABLE","?REFERENTIAL"),"_")))))</f>
        <v> </v>
      </c>
      <c r="H523" s="24" t="str">
        <f>IF(J523&lt;&gt;1,"",IF(I523="SBJ","CB","?"))</f>
        <v> </v>
      </c>
      <c r="I523" s="25" t="str">
        <f>IF(OR(E523="",E523="!!!",F523="NEW"),"",INDEX(B522:B$2,-1+SUMPRODUCT(MAX(ROW(E522:E$2)*(E523=E522:E$2)))))</f>
        <v> </v>
      </c>
      <c r="J523" s="25" t="str">
        <f>IF(OR(E523="",E523="!!!",F523="NEW"),"",COUNTBLANK(OFFSET(A$1,,,SUMPRODUCT(MAX(ROW(E$2:E523)*(E523=E$2:E523)))))-COUNTBLANK(OFFSET(A$1,,,SUMPRODUCT(MAX(ROW(E$1:E522)*(E2=E$1:E522))))))</f>
        <v> </v>
      </c>
      <c r="K523" s="25" t="str">
        <f>IF(OR(E523="",E523="!!!",F523="NEW"),"",INDEX(J$1:J522,SUMPRODUCT(MAX(ROW(E$1:E522)*(E523=E$1:E522)))))</f>
        <v> </v>
      </c>
      <c r="L523" s="26"/>
    </row>
    <row r="524" spans="1:12">
      <c r="A524" s="20" t="s">
        <v>757</v>
      </c>
      <c r="B524" s="27" t="s">
        <v>476</v>
      </c>
      <c r="E524" s="21">
        <f>IF(D524="?OLD","!!!","")</f>
        <v/>
      </c>
      <c r="F524" s="22" t="str">
        <f>IF(OR(E524="",E524="!!!"),"",IF(NOT(ISNA(VLOOKUP(E524,E$1:E523,1,FALSE()))),"OLD",IF(AND(E524&lt;&gt;"",E524&lt;&gt;"!!!"),"NEW","")))</f>
        <v> </v>
      </c>
      <c r="G524" s="23" t="str">
        <f>IF(OR(E524="",E524="!!!"),"",IF(OR(J524=0,AND(J524=1,K524=1),AND(J524=1,I524="SBJ"),AND(J524=1,I524=0)),"?IN_FOCUS",IF(J524&lt;=2,"?ACTIVATED",IF(J524&lt;&gt;"","?FAMILIAR",IF(F524="NEW",IF(ISNA(VLOOKUP(E524,#REF!,1,FALSE())),"?TYPE_IDENTIFIABLE","?REFERENTIAL"),"_")))))</f>
        <v> </v>
      </c>
      <c r="H524" s="24" t="str">
        <f>IF(J524&lt;&gt;1,"",IF(I524="SBJ","CB","?"))</f>
        <v> </v>
      </c>
      <c r="I524" s="25" t="str">
        <f>IF(OR(E524="",E524="!!!",F524="NEW"),"",INDEX(B523:B$2,-1+SUMPRODUCT(MAX(ROW(E523:E$2)*(E524=E523:E$2)))))</f>
        <v> </v>
      </c>
      <c r="J524" s="25" t="str">
        <f>IF(OR(E524="",E524="!!!",F524="NEW"),"",COUNTBLANK(OFFSET(A$1,,,SUMPRODUCT(MAX(ROW(E$2:E524)*(E524=E$2:E524)))))-COUNTBLANK(OFFSET(A$1,,,SUMPRODUCT(MAX(ROW(E$1:E523)*(E2=E$1:E523))))))</f>
        <v> </v>
      </c>
      <c r="K524" s="25" t="str">
        <f>IF(OR(E524="",E524="!!!",F524="NEW"),"",INDEX(J$1:J523,SUMPRODUCT(MAX(ROW(E$1:E523)*(E524=E$1:E523)))))</f>
        <v> </v>
      </c>
      <c r="L524" s="26"/>
    </row>
    <row r="525" spans="1:12">
      <c r="A525" s="20" t="s">
        <v>253</v>
      </c>
      <c r="E525" s="21">
        <f>IF(D525="?OLD","!!!","")</f>
        <v/>
      </c>
      <c r="F525" s="22" t="str">
        <f>IF(OR(E525="",E525="!!!"),"",IF(NOT(ISNA(VLOOKUP(E525,E$1:E524,1,FALSE()))),"OLD",IF(AND(E525&lt;&gt;"",E525&lt;&gt;"!!!"),"NEW","")))</f>
        <v> </v>
      </c>
      <c r="G525" s="23" t="str">
        <f>IF(OR(E525="",E525="!!!"),"",IF(OR(J525=0,AND(J525=1,K525=1),AND(J525=1,I525="SBJ"),AND(J525=1,I525=0)),"?IN_FOCUS",IF(J525&lt;=2,"?ACTIVATED",IF(J525&lt;&gt;"","?FAMILIAR",IF(F525="NEW",IF(ISNA(VLOOKUP(E525,#REF!,1,FALSE())),"?TYPE_IDENTIFIABLE","?REFERENTIAL"),"_")))))</f>
        <v> </v>
      </c>
      <c r="H525" s="24" t="str">
        <f>IF(J525&lt;&gt;1,"",IF(I525="SBJ","CB","?"))</f>
        <v> </v>
      </c>
      <c r="I525" s="25" t="str">
        <f>IF(OR(E525="",E525="!!!",F525="NEW"),"",INDEX(B524:B$2,-1+SUMPRODUCT(MAX(ROW(E524:E$2)*(E525=E524:E$2)))))</f>
        <v> </v>
      </c>
      <c r="J525" s="25" t="str">
        <f>IF(OR(E525="",E525="!!!",F525="NEW"),"",COUNTBLANK(OFFSET(A$1,,,SUMPRODUCT(MAX(ROW(E$2:E525)*(E525=E$2:E525)))))-COUNTBLANK(OFFSET(A$1,,,SUMPRODUCT(MAX(ROW(E$1:E524)*(E2=E$1:E524))))))</f>
        <v> </v>
      </c>
      <c r="K525" s="25" t="str">
        <f>IF(OR(E525="",E525="!!!",F525="NEW"),"",INDEX(J$1:J524,SUMPRODUCT(MAX(ROW(E$1:E524)*(E525=E$1:E524)))))</f>
        <v> </v>
      </c>
      <c r="L525" s="26"/>
    </row>
    <row r="526" spans="1:12">
      <c r="A526" s="20"/>
    </row>
    <row r="527" spans="1:12">
      <c r="A527" s="20" t="s">
        <v>758</v>
      </c>
    </row>
    <row r="528" spans="1:12">
      <c r="A528" s="20" t="s">
        <v>686</v>
      </c>
      <c r="E528" s="21">
        <f>IF(D528="?OLD","!!!","")</f>
        <v/>
      </c>
      <c r="F528" s="22" t="str">
        <f>IF(OR(E528="",E528="!!!"),"",IF(NOT(ISNA(VLOOKUP(E528,E$1:E527,1,FALSE()))),"OLD",IF(AND(E528&lt;&gt;"",E528&lt;&gt;"!!!"),"NEW","")))</f>
        <v> </v>
      </c>
      <c r="G528" s="23" t="str">
        <f>IF(OR(E528="",E528="!!!"),"",IF(OR(J528=0,AND(J528=1,K528=1),AND(J528=1,I528="SBJ"),AND(J528=1,I528=0)),"?IN_FOCUS",IF(J528&lt;=2,"?ACTIVATED",IF(J528&lt;&gt;"","?FAMILIAR",IF(F528="NEW",IF(ISNA(VLOOKUP(E528,#REF!,1,FALSE())),"?TYPE_IDENTIFIABLE","?REFERENTIAL"),"_")))))</f>
        <v> </v>
      </c>
      <c r="H528" s="24" t="str">
        <f>IF(J528&lt;&gt;1,"",IF(I528="SBJ","CB","?"))</f>
        <v> </v>
      </c>
      <c r="I528" s="25" t="str">
        <f>IF(OR(E528="",E528="!!!",F528="NEW"),"",INDEX(B527:B$2,-1+SUMPRODUCT(MAX(ROW(E527:E$2)*(E528=E527:E$2)))))</f>
        <v> </v>
      </c>
      <c r="J528" s="25" t="str">
        <f>IF(OR(E528="",E528="!!!",F528="NEW"),"",COUNTBLANK(OFFSET(A$1,,,SUMPRODUCT(MAX(ROW(E$2:E528)*(E528=E$2:E528)))))-COUNTBLANK(OFFSET(A$1,,,SUMPRODUCT(MAX(ROW(E$1:E527)*(E2=E$1:E527))))))</f>
        <v> </v>
      </c>
      <c r="K528" s="25" t="str">
        <f>IF(OR(E528="",E528="!!!",F528="NEW"),"",INDEX(J$1:J527,SUMPRODUCT(MAX(ROW(E$1:E527)*(E528=E$1:E527)))))</f>
        <v> </v>
      </c>
      <c r="L528" s="26"/>
    </row>
    <row r="529" spans="1:12">
      <c r="A529" s="20" t="s">
        <v>759</v>
      </c>
      <c r="E529" s="21">
        <f>IF(D529="?OLD","!!!","")</f>
        <v/>
      </c>
      <c r="F529" s="22" t="str">
        <f>IF(OR(E529="",E529="!!!"),"",IF(NOT(ISNA(VLOOKUP(E529,E$1:E528,1,FALSE()))),"OLD",IF(AND(E529&lt;&gt;"",E529&lt;&gt;"!!!"),"NEW","")))</f>
        <v> </v>
      </c>
      <c r="G529" s="23" t="str">
        <f>IF(OR(E529="",E529="!!!"),"",IF(OR(J529=0,AND(J529=1,K529=1),AND(J529=1,I529="SBJ"),AND(J529=1,I529=0)),"?IN_FOCUS",IF(J529&lt;=2,"?ACTIVATED",IF(J529&lt;&gt;"","?FAMILIAR",IF(F529="NEW",IF(ISNA(VLOOKUP(E529,#REF!,1,FALSE())),"?TYPE_IDENTIFIABLE","?REFERENTIAL"),"_")))))</f>
        <v> </v>
      </c>
      <c r="H529" s="24" t="str">
        <f>IF(J529&lt;&gt;1,"",IF(I529="SBJ","CB","?"))</f>
        <v> </v>
      </c>
      <c r="I529" s="25" t="str">
        <f>IF(OR(E529="",E529="!!!",F529="NEW"),"",INDEX(B528:B$2,-1+SUMPRODUCT(MAX(ROW(E528:E$2)*(E529=E528:E$2)))))</f>
        <v> </v>
      </c>
      <c r="J529" s="25" t="str">
        <f>IF(OR(E529="",E529="!!!",F529="NEW"),"",COUNTBLANK(OFFSET(A$1,,,SUMPRODUCT(MAX(ROW(E$2:E529)*(E529=E$2:E529)))))-COUNTBLANK(OFFSET(A$1,,,SUMPRODUCT(MAX(ROW(E$1:E528)*(E2=E$1:E528))))))</f>
        <v> </v>
      </c>
      <c r="K529" s="25" t="str">
        <f>IF(OR(E529="",E529="!!!",F529="NEW"),"",INDEX(J$1:J528,SUMPRODUCT(MAX(ROW(E$1:E528)*(E529=E$1:E528)))))</f>
        <v> </v>
      </c>
      <c r="L529" s="26"/>
    </row>
    <row r="530" spans="1:12">
      <c r="A530" s="20" t="s">
        <v>688</v>
      </c>
      <c r="E530" s="21">
        <f>IF(D530="?OLD","!!!","")</f>
        <v/>
      </c>
      <c r="F530" s="22" t="str">
        <f>IF(OR(E530="",E530="!!!"),"",IF(NOT(ISNA(VLOOKUP(E530,E$1:E529,1,FALSE()))),"OLD",IF(AND(E530&lt;&gt;"",E530&lt;&gt;"!!!"),"NEW","")))</f>
        <v> </v>
      </c>
      <c r="G530" s="23" t="str">
        <f>IF(OR(E530="",E530="!!!"),"",IF(OR(J530=0,AND(J530=1,K530=1),AND(J530=1,I530="SBJ"),AND(J530=1,I530=0)),"?IN_FOCUS",IF(J530&lt;=2,"?ACTIVATED",IF(J530&lt;&gt;"","?FAMILIAR",IF(F530="NEW",IF(ISNA(VLOOKUP(E530,#REF!,1,FALSE())),"?TYPE_IDENTIFIABLE","?REFERENTIAL"),"_")))))</f>
        <v> </v>
      </c>
      <c r="H530" s="24" t="str">
        <f>IF(J530&lt;&gt;1,"",IF(I530="SBJ","CB","?"))</f>
        <v> </v>
      </c>
      <c r="I530" s="25" t="str">
        <f>IF(OR(E530="",E530="!!!",F530="NEW"),"",INDEX(B529:B$2,-1+SUMPRODUCT(MAX(ROW(E529:E$2)*(E530=E529:E$2)))))</f>
        <v> </v>
      </c>
      <c r="J530" s="25" t="str">
        <f>IF(OR(E530="",E530="!!!",F530="NEW"),"",COUNTBLANK(OFFSET(A$1,,,SUMPRODUCT(MAX(ROW(E$2:E530)*(E530=E$2:E530)))))-COUNTBLANK(OFFSET(A$1,,,SUMPRODUCT(MAX(ROW(E$1:E529)*(E2=E$1:E529))))))</f>
        <v> </v>
      </c>
      <c r="K530" s="25" t="str">
        <f>IF(OR(E530="",E530="!!!",F530="NEW"),"",INDEX(J$1:J529,SUMPRODUCT(MAX(ROW(E$1:E529)*(E530=E$1:E529)))))</f>
        <v> </v>
      </c>
      <c r="L530" s="26"/>
    </row>
    <row r="531" spans="1:12">
      <c r="A531" s="20" t="s">
        <v>614</v>
      </c>
      <c r="E531" s="21">
        <f>IF(D531="?OLD","!!!","")</f>
        <v/>
      </c>
      <c r="F531" s="22" t="str">
        <f>IF(OR(E531="",E531="!!!"),"",IF(NOT(ISNA(VLOOKUP(E531,E$1:E530,1,FALSE()))),"OLD",IF(AND(E531&lt;&gt;"",E531&lt;&gt;"!!!"),"NEW","")))</f>
        <v> </v>
      </c>
      <c r="G531" s="23" t="str">
        <f>IF(OR(E531="",E531="!!!"),"",IF(OR(J531=0,AND(J531=1,K531=1),AND(J531=1,I531="SBJ"),AND(J531=1,I531=0)),"?IN_FOCUS",IF(J531&lt;=2,"?ACTIVATED",IF(J531&lt;&gt;"","?FAMILIAR",IF(F531="NEW",IF(ISNA(VLOOKUP(E531,#REF!,1,FALSE())),"?TYPE_IDENTIFIABLE","?REFERENTIAL"),"_")))))</f>
        <v> </v>
      </c>
      <c r="H531" s="24" t="str">
        <f>IF(J531&lt;&gt;1,"",IF(I531="SBJ","CB","?"))</f>
        <v> </v>
      </c>
      <c r="I531" s="25" t="str">
        <f>IF(OR(E531="",E531="!!!",F531="NEW"),"",INDEX(B530:B$2,-1+SUMPRODUCT(MAX(ROW(E530:E$2)*(E531=E530:E$2)))))</f>
        <v> </v>
      </c>
      <c r="J531" s="25" t="str">
        <f>IF(OR(E531="",E531="!!!",F531="NEW"),"",COUNTBLANK(OFFSET(A$1,,,SUMPRODUCT(MAX(ROW(E$2:E531)*(E531=E$2:E531)))))-COUNTBLANK(OFFSET(A$1,,,SUMPRODUCT(MAX(ROW(E$1:E530)*(E2=E$1:E530))))))</f>
        <v> </v>
      </c>
      <c r="K531" s="25" t="str">
        <f>IF(OR(E531="",E531="!!!",F531="NEW"),"",INDEX(J$1:J530,SUMPRODUCT(MAX(ROW(E$1:E530)*(E531=E$1:E530)))))</f>
        <v> </v>
      </c>
      <c r="L531" s="26"/>
    </row>
    <row r="532" spans="1:12">
      <c r="A532" s="20" t="s">
        <v>482</v>
      </c>
      <c r="E532" s="21">
        <f>IF(D532="?OLD","!!!","")</f>
        <v/>
      </c>
      <c r="F532" s="22" t="str">
        <f>IF(OR(E532="",E532="!!!"),"",IF(NOT(ISNA(VLOOKUP(E532,E$1:E531,1,FALSE()))),"OLD",IF(AND(E532&lt;&gt;"",E532&lt;&gt;"!!!"),"NEW","")))</f>
        <v> </v>
      </c>
      <c r="G532" s="23" t="str">
        <f>IF(OR(E532="",E532="!!!"),"",IF(OR(J532=0,AND(J532=1,K532=1),AND(J532=1,I532="SBJ"),AND(J532=1,I532=0)),"?IN_FOCUS",IF(J532&lt;=2,"?ACTIVATED",IF(J532&lt;&gt;"","?FAMILIAR",IF(F532="NEW",IF(ISNA(VLOOKUP(E532,#REF!,1,FALSE())),"?TYPE_IDENTIFIABLE","?REFERENTIAL"),"_")))))</f>
        <v> </v>
      </c>
      <c r="H532" s="24" t="str">
        <f>IF(J532&lt;&gt;1,"",IF(I532="SBJ","CB","?"))</f>
        <v> </v>
      </c>
      <c r="I532" s="25" t="str">
        <f>IF(OR(E532="",E532="!!!",F532="NEW"),"",INDEX(B531:B$2,-1+SUMPRODUCT(MAX(ROW(E531:E$2)*(E532=E531:E$2)))))</f>
        <v> </v>
      </c>
      <c r="J532" s="25" t="str">
        <f>IF(OR(E532="",E532="!!!",F532="NEW"),"",COUNTBLANK(OFFSET(A$1,,,SUMPRODUCT(MAX(ROW(E$2:E532)*(E532=E$2:E532)))))-COUNTBLANK(OFFSET(A$1,,,SUMPRODUCT(MAX(ROW(E$1:E531)*(E2=E$1:E531))))))</f>
        <v> </v>
      </c>
      <c r="K532" s="25" t="str">
        <f>IF(OR(E532="",E532="!!!",F532="NEW"),"",INDEX(J$1:J531,SUMPRODUCT(MAX(ROW(E$1:E531)*(E532=E$1:E531)))))</f>
        <v> </v>
      </c>
      <c r="L532" s="26"/>
    </row>
    <row r="533" spans="1:12">
      <c r="A533" s="20" t="s">
        <v>583</v>
      </c>
      <c r="B533" s="27" t="s">
        <v>476</v>
      </c>
      <c r="C533" s="27" t="s">
        <v>477</v>
      </c>
      <c r="D533" s="27" t="s">
        <v>478</v>
      </c>
      <c r="E533" s="21">
        <f>IF(D533="?OLD","!!!","")</f>
        <v/>
      </c>
      <c r="F533" s="22" t="str">
        <f>IF(OR(E533="",E533="!!!"),"",IF(NOT(ISNA(VLOOKUP(E533,E$1:E532,1,FALSE()))),"OLD",IF(AND(E533&lt;&gt;"",E533&lt;&gt;"!!!"),"NEW","")))</f>
        <v> </v>
      </c>
      <c r="G533" s="23" t="str">
        <f>IF(OR(E533="",E533="!!!"),"",IF(OR(J533=0,AND(J533=1,K533=1),AND(J533=1,I533="SBJ"),AND(J533=1,I533=0)),"?IN_FOCUS",IF(J533&lt;=2,"?ACTIVATED",IF(J533&lt;&gt;"","?FAMILIAR",IF(F533="NEW",IF(ISNA(VLOOKUP(E533,#REF!,1,FALSE())),"?TYPE_IDENTIFIABLE","?REFERENTIAL"),"_")))))</f>
        <v> </v>
      </c>
      <c r="H533" s="24" t="str">
        <f>IF(J533&lt;&gt;1,"",IF(I533="SBJ","CB","?"))</f>
        <v> </v>
      </c>
      <c r="I533" s="25" t="str">
        <f>IF(OR(E533="",E533="!!!",F533="NEW"),"",INDEX(B532:B$2,-1+SUMPRODUCT(MAX(ROW(E532:E$2)*(E533=E532:E$2)))))</f>
        <v> </v>
      </c>
      <c r="J533" s="25" t="str">
        <f>IF(OR(E533="",E533="!!!",F533="NEW"),"",COUNTBLANK(OFFSET(A$1,,,SUMPRODUCT(MAX(ROW(E$2:E533)*(E533=E$2:E533)))))-COUNTBLANK(OFFSET(A$1,,,SUMPRODUCT(MAX(ROW(E$1:E532)*(E2=E$1:E532))))))</f>
        <v> </v>
      </c>
      <c r="K533" s="25" t="str">
        <f>IF(OR(E533="",E533="!!!",F533="NEW"),"",INDEX(J$1:J532,SUMPRODUCT(MAX(ROW(E$1:E532)*(E533=E$1:E532)))))</f>
        <v> </v>
      </c>
      <c r="L533" s="26"/>
    </row>
    <row r="534" spans="1:12">
      <c r="A534" s="20" t="s">
        <v>760</v>
      </c>
      <c r="E534" s="21">
        <f>IF(D534="?OLD","!!!","")</f>
        <v/>
      </c>
      <c r="F534" s="22" t="str">
        <f>IF(OR(E534="",E534="!!!"),"",IF(NOT(ISNA(VLOOKUP(E534,E$1:E533,1,FALSE()))),"OLD",IF(AND(E534&lt;&gt;"",E534&lt;&gt;"!!!"),"NEW","")))</f>
        <v> </v>
      </c>
      <c r="G534" s="23" t="str">
        <f>IF(OR(E534="",E534="!!!"),"",IF(OR(J534=0,AND(J534=1,K534=1),AND(J534=1,I534="SBJ"),AND(J534=1,I534=0)),"?IN_FOCUS",IF(J534&lt;=2,"?ACTIVATED",IF(J534&lt;&gt;"","?FAMILIAR",IF(F534="NEW",IF(ISNA(VLOOKUP(E534,#REF!,1,FALSE())),"?TYPE_IDENTIFIABLE","?REFERENTIAL"),"_")))))</f>
        <v> </v>
      </c>
      <c r="H534" s="24" t="str">
        <f>IF(J534&lt;&gt;1,"",IF(I534="SBJ","CB","?"))</f>
        <v> </v>
      </c>
      <c r="I534" s="25" t="str">
        <f>IF(OR(E534="",E534="!!!",F534="NEW"),"",INDEX(B533:B$2,-1+SUMPRODUCT(MAX(ROW(E533:E$2)*(E534=E533:E$2)))))</f>
        <v> </v>
      </c>
      <c r="J534" s="25" t="str">
        <f>IF(OR(E534="",E534="!!!",F534="NEW"),"",COUNTBLANK(OFFSET(A$1,,,SUMPRODUCT(MAX(ROW(E$2:E534)*(E534=E$2:E534)))))-COUNTBLANK(OFFSET(A$1,,,SUMPRODUCT(MAX(ROW(E$1:E533)*(E2=E$1:E533))))))</f>
        <v> </v>
      </c>
      <c r="K534" s="25" t="str">
        <f>IF(OR(E534="",E534="!!!",F534="NEW"),"",INDEX(J$1:J533,SUMPRODUCT(MAX(ROW(E$1:E533)*(E534=E$1:E533)))))</f>
        <v> </v>
      </c>
      <c r="L534" s="26"/>
    </row>
    <row r="535" spans="1:12">
      <c r="A535" s="20" t="s">
        <v>380</v>
      </c>
      <c r="E535" s="21">
        <f>IF(D535="?OLD","!!!","")</f>
        <v/>
      </c>
      <c r="F535" s="22" t="str">
        <f>IF(OR(E535="",E535="!!!"),"",IF(NOT(ISNA(VLOOKUP(E535,E$1:E534,1,FALSE()))),"OLD",IF(AND(E535&lt;&gt;"",E535&lt;&gt;"!!!"),"NEW","")))</f>
        <v> </v>
      </c>
      <c r="G535" s="23" t="str">
        <f>IF(OR(E535="",E535="!!!"),"",IF(OR(J535=0,AND(J535=1,K535=1),AND(J535=1,I535="SBJ"),AND(J535=1,I535=0)),"?IN_FOCUS",IF(J535&lt;=2,"?ACTIVATED",IF(J535&lt;&gt;"","?FAMILIAR",IF(F535="NEW",IF(ISNA(VLOOKUP(E535,#REF!,1,FALSE())),"?TYPE_IDENTIFIABLE","?REFERENTIAL"),"_")))))</f>
        <v> </v>
      </c>
      <c r="H535" s="24" t="str">
        <f>IF(J535&lt;&gt;1,"",IF(I535="SBJ","CB","?"))</f>
        <v> </v>
      </c>
      <c r="I535" s="25" t="str">
        <f>IF(OR(E535="",E535="!!!",F535="NEW"),"",INDEX(B534:B$2,-1+SUMPRODUCT(MAX(ROW(E534:E$2)*(E535=E534:E$2)))))</f>
        <v> </v>
      </c>
      <c r="J535" s="25" t="str">
        <f>IF(OR(E535="",E535="!!!",F535="NEW"),"",COUNTBLANK(OFFSET(A$1,,,SUMPRODUCT(MAX(ROW(E$2:E535)*(E535=E$2:E535)))))-COUNTBLANK(OFFSET(A$1,,,SUMPRODUCT(MAX(ROW(E$1:E534)*(E2=E$1:E534))))))</f>
        <v> </v>
      </c>
      <c r="K535" s="25" t="str">
        <f>IF(OR(E535="",E535="!!!",F535="NEW"),"",INDEX(J$1:J534,SUMPRODUCT(MAX(ROW(E$1:E534)*(E535=E$1:E534)))))</f>
        <v> </v>
      </c>
      <c r="L535" s="26"/>
    </row>
    <row r="536" spans="1:12">
      <c r="A536" s="20" t="s">
        <v>761</v>
      </c>
      <c r="E536" s="21">
        <f>IF(D536="?OLD","!!!","")</f>
        <v/>
      </c>
      <c r="F536" s="22" t="str">
        <f>IF(OR(E536="",E536="!!!"),"",IF(NOT(ISNA(VLOOKUP(E536,E$1:E535,1,FALSE()))),"OLD",IF(AND(E536&lt;&gt;"",E536&lt;&gt;"!!!"),"NEW","")))</f>
        <v> </v>
      </c>
      <c r="G536" s="23" t="str">
        <f>IF(OR(E536="",E536="!!!"),"",IF(OR(J536=0,AND(J536=1,K536=1),AND(J536=1,I536="SBJ"),AND(J536=1,I536=0)),"?IN_FOCUS",IF(J536&lt;=2,"?ACTIVATED",IF(J536&lt;&gt;"","?FAMILIAR",IF(F536="NEW",IF(ISNA(VLOOKUP(E536,#REF!,1,FALSE())),"?TYPE_IDENTIFIABLE","?REFERENTIAL"),"_")))))</f>
        <v> </v>
      </c>
      <c r="H536" s="24" t="str">
        <f>IF(J536&lt;&gt;1,"",IF(I536="SBJ","CB","?"))</f>
        <v> </v>
      </c>
      <c r="I536" s="25" t="str">
        <f>IF(OR(E536="",E536="!!!",F536="NEW"),"",INDEX(B535:B$2,-1+SUMPRODUCT(MAX(ROW(E535:E$2)*(E536=E535:E$2)))))</f>
        <v> </v>
      </c>
      <c r="J536" s="25" t="str">
        <f>IF(OR(E536="",E536="!!!",F536="NEW"),"",COUNTBLANK(OFFSET(A$1,,,SUMPRODUCT(MAX(ROW(E$2:E536)*(E536=E$2:E536)))))-COUNTBLANK(OFFSET(A$1,,,SUMPRODUCT(MAX(ROW(E$1:E535)*(E2=E$1:E535))))))</f>
        <v> </v>
      </c>
      <c r="K536" s="25" t="str">
        <f>IF(OR(E536="",E536="!!!",F536="NEW"),"",INDEX(J$1:J535,SUMPRODUCT(MAX(ROW(E$1:E535)*(E536=E$1:E535)))))</f>
        <v> </v>
      </c>
      <c r="L536" s="26"/>
    </row>
    <row r="537" spans="1:12">
      <c r="A537" s="20" t="s">
        <v>762</v>
      </c>
      <c r="B537" s="27" t="s">
        <v>473</v>
      </c>
      <c r="C537" s="27" t="s">
        <v>497</v>
      </c>
      <c r="E537" s="21">
        <f>IF(D537="?OLD","!!!","")</f>
        <v/>
      </c>
      <c r="F537" s="22" t="str">
        <f>IF(OR(E537="",E537="!!!"),"",IF(NOT(ISNA(VLOOKUP(E537,E$1:E536,1,FALSE()))),"OLD",IF(AND(E537&lt;&gt;"",E537&lt;&gt;"!!!"),"NEW","")))</f>
        <v> </v>
      </c>
      <c r="G537" s="23" t="str">
        <f>IF(OR(E537="",E537="!!!"),"",IF(OR(J537=0,AND(J537=1,K537=1),AND(J537=1,I537="SBJ"),AND(J537=1,I537=0)),"?IN_FOCUS",IF(J537&lt;=2,"?ACTIVATED",IF(J537&lt;&gt;"","?FAMILIAR",IF(F537="NEW",IF(ISNA(VLOOKUP(E537,#REF!,1,FALSE())),"?TYPE_IDENTIFIABLE","?REFERENTIAL"),"_")))))</f>
        <v> </v>
      </c>
      <c r="H537" s="24" t="str">
        <f>IF(J537&lt;&gt;1,"",IF(I537="SBJ","CB","?"))</f>
        <v> </v>
      </c>
      <c r="I537" s="25" t="str">
        <f>IF(OR(E537="",E537="!!!",F537="NEW"),"",INDEX(B536:B$2,-1+SUMPRODUCT(MAX(ROW(E536:E$2)*(E537=E536:E$2)))))</f>
        <v> </v>
      </c>
      <c r="J537" s="25" t="str">
        <f>IF(OR(E537="",E537="!!!",F537="NEW"),"",COUNTBLANK(OFFSET(A$1,,,SUMPRODUCT(MAX(ROW(E$2:E537)*(E537=E$2:E537)))))-COUNTBLANK(OFFSET(A$1,,,SUMPRODUCT(MAX(ROW(E$1:E536)*(E2=E$1:E536))))))</f>
        <v> </v>
      </c>
      <c r="K537" s="25" t="str">
        <f>IF(OR(E537="",E537="!!!",F537="NEW"),"",INDEX(J$1:J536,SUMPRODUCT(MAX(ROW(E$1:E536)*(E537=E$1:E536)))))</f>
        <v> </v>
      </c>
      <c r="L537" s="26"/>
    </row>
    <row r="538" spans="1:12">
      <c r="A538" s="20" t="s">
        <v>253</v>
      </c>
      <c r="E538" s="21">
        <f>IF(D538="?OLD","!!!","")</f>
        <v/>
      </c>
      <c r="F538" s="22" t="str">
        <f>IF(OR(E538="",E538="!!!"),"",IF(NOT(ISNA(VLOOKUP(E538,E$1:E537,1,FALSE()))),"OLD",IF(AND(E538&lt;&gt;"",E538&lt;&gt;"!!!"),"NEW","")))</f>
        <v> </v>
      </c>
      <c r="G538" s="23" t="str">
        <f>IF(OR(E538="",E538="!!!"),"",IF(OR(J538=0,AND(J538=1,K538=1),AND(J538=1,I538="SBJ"),AND(J538=1,I538=0)),"?IN_FOCUS",IF(J538&lt;=2,"?ACTIVATED",IF(J538&lt;&gt;"","?FAMILIAR",IF(F538="NEW",IF(ISNA(VLOOKUP(E538,#REF!,1,FALSE())),"?TYPE_IDENTIFIABLE","?REFERENTIAL"),"_")))))</f>
        <v> </v>
      </c>
      <c r="H538" s="24" t="str">
        <f>IF(J538&lt;&gt;1,"",IF(I538="SBJ","CB","?"))</f>
        <v> </v>
      </c>
      <c r="I538" s="25" t="str">
        <f>IF(OR(E538="",E538="!!!",F538="NEW"),"",INDEX(B537:B$2,-1+SUMPRODUCT(MAX(ROW(E537:E$2)*(E538=E537:E$2)))))</f>
        <v> </v>
      </c>
      <c r="J538" s="25" t="str">
        <f>IF(OR(E538="",E538="!!!",F538="NEW"),"",COUNTBLANK(OFFSET(A$1,,,SUMPRODUCT(MAX(ROW(E$2:E538)*(E538=E$2:E538)))))-COUNTBLANK(OFFSET(A$1,,,SUMPRODUCT(MAX(ROW(E$1:E537)*(E2=E$1:E537))))))</f>
        <v> </v>
      </c>
      <c r="K538" s="25" t="str">
        <f>IF(OR(E538="",E538="!!!",F538="NEW"),"",INDEX(J$1:J537,SUMPRODUCT(MAX(ROW(E$1:E537)*(E538=E$1:E537)))))</f>
        <v> </v>
      </c>
      <c r="L538" s="26"/>
    </row>
    <row r="539" spans="1:12">
      <c r="A539" s="20"/>
    </row>
    <row r="540" spans="1:12">
      <c r="A540" s="20" t="s">
        <v>763</v>
      </c>
    </row>
    <row r="541" spans="1:12">
      <c r="A541" s="20" t="s">
        <v>764</v>
      </c>
      <c r="E541" s="21">
        <f>IF(D541="?OLD","!!!","")</f>
        <v/>
      </c>
      <c r="F541" s="22" t="str">
        <f>IF(OR(E541="",E541="!!!"),"",IF(NOT(ISNA(VLOOKUP(E541,E$1:E540,1,FALSE()))),"OLD",IF(AND(E541&lt;&gt;"",E541&lt;&gt;"!!!"),"NEW","")))</f>
        <v> </v>
      </c>
      <c r="G541" s="23" t="str">
        <f>IF(OR(E541="",E541="!!!"),"",IF(OR(J541=0,AND(J541=1,K541=1),AND(J541=1,I541="SBJ"),AND(J541=1,I541=0)),"?IN_FOCUS",IF(J541&lt;=2,"?ACTIVATED",IF(J541&lt;&gt;"","?FAMILIAR",IF(F541="NEW",IF(ISNA(VLOOKUP(E541,#REF!,1,FALSE())),"?TYPE_IDENTIFIABLE","?REFERENTIAL"),"_")))))</f>
        <v> </v>
      </c>
      <c r="H541" s="24" t="str">
        <f>IF(J541&lt;&gt;1,"",IF(I541="SBJ","CB","?"))</f>
        <v> </v>
      </c>
      <c r="I541" s="25" t="str">
        <f>IF(OR(E541="",E541="!!!",F541="NEW"),"",INDEX(B540:B$2,-1+SUMPRODUCT(MAX(ROW(E540:E$2)*(E541=E540:E$2)))))</f>
        <v> </v>
      </c>
      <c r="J541" s="25" t="str">
        <f>IF(OR(E541="",E541="!!!",F541="NEW"),"",COUNTBLANK(OFFSET(A$1,,,SUMPRODUCT(MAX(ROW(E$2:E541)*(E541=E$2:E541)))))-COUNTBLANK(OFFSET(A$1,,,SUMPRODUCT(MAX(ROW(E$1:E540)*(E2=E$1:E540))))))</f>
        <v> </v>
      </c>
      <c r="K541" s="25" t="str">
        <f>IF(OR(E541="",E541="!!!",F541="NEW"),"",INDEX(J$1:J540,SUMPRODUCT(MAX(ROW(E$1:E540)*(E541=E$1:E540)))))</f>
        <v> </v>
      </c>
      <c r="L541" s="26"/>
    </row>
    <row r="542" spans="1:12">
      <c r="A542" s="20" t="s">
        <v>475</v>
      </c>
      <c r="B542" s="27" t="s">
        <v>483</v>
      </c>
      <c r="C542" s="27" t="s">
        <v>477</v>
      </c>
      <c r="D542" s="27" t="s">
        <v>478</v>
      </c>
      <c r="E542" s="21">
        <f>IF(D542="?OLD","!!!","")</f>
        <v/>
      </c>
      <c r="F542" s="22" t="str">
        <f>IF(OR(E542="",E542="!!!"),"",IF(NOT(ISNA(VLOOKUP(E542,E$1:E541,1,FALSE()))),"OLD",IF(AND(E542&lt;&gt;"",E542&lt;&gt;"!!!"),"NEW","")))</f>
        <v> </v>
      </c>
      <c r="G542" s="23" t="str">
        <f>IF(OR(E542="",E542="!!!"),"",IF(OR(J542=0,AND(J542=1,K542=1),AND(J542=1,I542="SBJ"),AND(J542=1,I542=0)),"?IN_FOCUS",IF(J542&lt;=2,"?ACTIVATED",IF(J542&lt;&gt;"","?FAMILIAR",IF(F542="NEW",IF(ISNA(VLOOKUP(E542,#REF!,1,FALSE())),"?TYPE_IDENTIFIABLE","?REFERENTIAL"),"_")))))</f>
        <v> </v>
      </c>
      <c r="H542" s="24" t="str">
        <f>IF(J542&lt;&gt;1,"",IF(I542="SBJ","CB","?"))</f>
        <v> </v>
      </c>
      <c r="I542" s="25" t="str">
        <f>IF(OR(E542="",E542="!!!",F542="NEW"),"",INDEX(B541:B$2,-1+SUMPRODUCT(MAX(ROW(E541:E$2)*(E542=E541:E$2)))))</f>
        <v> </v>
      </c>
      <c r="J542" s="25" t="str">
        <f>IF(OR(E542="",E542="!!!",F542="NEW"),"",COUNTBLANK(OFFSET(A$1,,,SUMPRODUCT(MAX(ROW(E$2:E542)*(E542=E$2:E542)))))-COUNTBLANK(OFFSET(A$1,,,SUMPRODUCT(MAX(ROW(E$1:E541)*(E2=E$1:E541))))))</f>
        <v> </v>
      </c>
      <c r="K542" s="25" t="str">
        <f>IF(OR(E542="",E542="!!!",F542="NEW"),"",INDEX(J$1:J541,SUMPRODUCT(MAX(ROW(E$1:E541)*(E542=E$1:E541)))))</f>
        <v> </v>
      </c>
      <c r="L542" s="26"/>
    </row>
    <row r="543" spans="1:12">
      <c r="A543" s="20" t="s">
        <v>765</v>
      </c>
      <c r="E543" s="21">
        <f>IF(D543="?OLD","!!!","")</f>
        <v/>
      </c>
      <c r="F543" s="22" t="str">
        <f>IF(OR(E543="",E543="!!!"),"",IF(NOT(ISNA(VLOOKUP(E543,E$1:E542,1,FALSE()))),"OLD",IF(AND(E543&lt;&gt;"",E543&lt;&gt;"!!!"),"NEW","")))</f>
        <v> </v>
      </c>
      <c r="G543" s="23" t="str">
        <f>IF(OR(E543="",E543="!!!"),"",IF(OR(J543=0,AND(J543=1,K543=1),AND(J543=1,I543="SBJ"),AND(J543=1,I543=0)),"?IN_FOCUS",IF(J543&lt;=2,"?ACTIVATED",IF(J543&lt;&gt;"","?FAMILIAR",IF(F543="NEW",IF(ISNA(VLOOKUP(E543,#REF!,1,FALSE())),"?TYPE_IDENTIFIABLE","?REFERENTIAL"),"_")))))</f>
        <v> </v>
      </c>
      <c r="H543" s="24" t="str">
        <f>IF(J543&lt;&gt;1,"",IF(I543="SBJ","CB","?"))</f>
        <v> </v>
      </c>
      <c r="I543" s="25" t="str">
        <f>IF(OR(E543="",E543="!!!",F543="NEW"),"",INDEX(B542:B$2,-1+SUMPRODUCT(MAX(ROW(E542:E$2)*(E543=E542:E$2)))))</f>
        <v> </v>
      </c>
      <c r="J543" s="25" t="str">
        <f>IF(OR(E543="",E543="!!!",F543="NEW"),"",COUNTBLANK(OFFSET(A$1,,,SUMPRODUCT(MAX(ROW(E$2:E543)*(E543=E$2:E543)))))-COUNTBLANK(OFFSET(A$1,,,SUMPRODUCT(MAX(ROW(E$1:E542)*(E2=E$1:E542))))))</f>
        <v> </v>
      </c>
      <c r="K543" s="25" t="str">
        <f>IF(OR(E543="",E543="!!!",F543="NEW"),"",INDEX(J$1:J542,SUMPRODUCT(MAX(ROW(E$1:E542)*(E543=E$1:E542)))))</f>
        <v> </v>
      </c>
      <c r="L543" s="26"/>
    </row>
    <row r="544" spans="1:12">
      <c r="A544" s="20" t="s">
        <v>482</v>
      </c>
      <c r="E544" s="21">
        <f>IF(D544="?OLD","!!!","")</f>
        <v/>
      </c>
      <c r="F544" s="22" t="str">
        <f>IF(OR(E544="",E544="!!!"),"",IF(NOT(ISNA(VLOOKUP(E544,E$1:E543,1,FALSE()))),"OLD",IF(AND(E544&lt;&gt;"",E544&lt;&gt;"!!!"),"NEW","")))</f>
        <v> </v>
      </c>
      <c r="G544" s="23" t="str">
        <f>IF(OR(E544="",E544="!!!"),"",IF(OR(J544=0,AND(J544=1,K544=1),AND(J544=1,I544="SBJ"),AND(J544=1,I544=0)),"?IN_FOCUS",IF(J544&lt;=2,"?ACTIVATED",IF(J544&lt;&gt;"","?FAMILIAR",IF(F544="NEW",IF(ISNA(VLOOKUP(E544,#REF!,1,FALSE())),"?TYPE_IDENTIFIABLE","?REFERENTIAL"),"_")))))</f>
        <v> </v>
      </c>
      <c r="H544" s="24" t="str">
        <f>IF(J544&lt;&gt;1,"",IF(I544="SBJ","CB","?"))</f>
        <v> </v>
      </c>
      <c r="I544" s="25" t="str">
        <f>IF(OR(E544="",E544="!!!",F544="NEW"),"",INDEX(B543:B$2,-1+SUMPRODUCT(MAX(ROW(E543:E$2)*(E544=E543:E$2)))))</f>
        <v> </v>
      </c>
      <c r="J544" s="25" t="str">
        <f>IF(OR(E544="",E544="!!!",F544="NEW"),"",COUNTBLANK(OFFSET(A$1,,,SUMPRODUCT(MAX(ROW(E$2:E544)*(E544=E$2:E544)))))-COUNTBLANK(OFFSET(A$1,,,SUMPRODUCT(MAX(ROW(E$1:E543)*(E2=E$1:E543))))))</f>
        <v> </v>
      </c>
      <c r="K544" s="25" t="str">
        <f>IF(OR(E544="",E544="!!!",F544="NEW"),"",INDEX(J$1:J543,SUMPRODUCT(MAX(ROW(E$1:E543)*(E544=E$1:E543)))))</f>
        <v> </v>
      </c>
      <c r="L544" s="26"/>
    </row>
    <row r="545" spans="1:12">
      <c r="A545" s="20" t="s">
        <v>658</v>
      </c>
      <c r="B545" s="27" t="s">
        <v>711</v>
      </c>
      <c r="C545" s="27" t="s">
        <v>620</v>
      </c>
      <c r="D545" s="27" t="s">
        <v>478</v>
      </c>
      <c r="E545" s="21">
        <f>IF(D545="?OLD","!!!","")</f>
        <v/>
      </c>
      <c r="F545" s="22" t="str">
        <f>IF(OR(E545="",E545="!!!"),"",IF(NOT(ISNA(VLOOKUP(E545,E$1:E544,1,FALSE()))),"OLD",IF(AND(E545&lt;&gt;"",E545&lt;&gt;"!!!"),"NEW","")))</f>
        <v> </v>
      </c>
      <c r="G545" s="23" t="str">
        <f>IF(OR(E545="",E545="!!!"),"",IF(OR(J545=0,AND(J545=1,K545=1),AND(J545=1,I545="SBJ"),AND(J545=1,I545=0)),"?IN_FOCUS",IF(J545&lt;=2,"?ACTIVATED",IF(J545&lt;&gt;"","?FAMILIAR",IF(F545="NEW",IF(ISNA(VLOOKUP(E545,#REF!,1,FALSE())),"?TYPE_IDENTIFIABLE","?REFERENTIAL"),"_")))))</f>
        <v> </v>
      </c>
      <c r="H545" s="24" t="str">
        <f>IF(J545&lt;&gt;1,"",IF(I545="SBJ","CB","?"))</f>
        <v> </v>
      </c>
      <c r="I545" s="25" t="str">
        <f>IF(OR(E545="",E545="!!!",F545="NEW"),"",INDEX(B544:B$2,-1+SUMPRODUCT(MAX(ROW(E544:E$2)*(E545=E544:E$2)))))</f>
        <v> </v>
      </c>
      <c r="J545" s="25" t="str">
        <f>IF(OR(E545="",E545="!!!",F545="NEW"),"",COUNTBLANK(OFFSET(A$1,,,SUMPRODUCT(MAX(ROW(E$2:E545)*(E545=E$2:E545)))))-COUNTBLANK(OFFSET(A$1,,,SUMPRODUCT(MAX(ROW(E$1:E544)*(E2=E$1:E544))))))</f>
        <v> </v>
      </c>
      <c r="K545" s="25" t="str">
        <f>IF(OR(E545="",E545="!!!",F545="NEW"),"",INDEX(J$1:J544,SUMPRODUCT(MAX(ROW(E$1:E544)*(E545=E$1:E544)))))</f>
        <v> </v>
      </c>
      <c r="L545" s="26"/>
    </row>
    <row r="546" spans="1:12">
      <c r="A546" s="20" t="s">
        <v>743</v>
      </c>
      <c r="B546" s="27" t="s">
        <v>476</v>
      </c>
      <c r="E546" s="21">
        <f>IF(D546="?OLD","!!!","")</f>
        <v/>
      </c>
      <c r="F546" s="22" t="str">
        <f>IF(OR(E546="",E546="!!!"),"",IF(NOT(ISNA(VLOOKUP(E546,E$1:E545,1,FALSE()))),"OLD",IF(AND(E546&lt;&gt;"",E546&lt;&gt;"!!!"),"NEW","")))</f>
        <v> </v>
      </c>
      <c r="G546" s="23" t="str">
        <f>IF(OR(E546="",E546="!!!"),"",IF(OR(J546=0,AND(J546=1,K546=1),AND(J546=1,I546="SBJ"),AND(J546=1,I546=0)),"?IN_FOCUS",IF(J546&lt;=2,"?ACTIVATED",IF(J546&lt;&gt;"","?FAMILIAR",IF(F546="NEW",IF(ISNA(VLOOKUP(E546,#REF!,1,FALSE())),"?TYPE_IDENTIFIABLE","?REFERENTIAL"),"_")))))</f>
        <v> </v>
      </c>
      <c r="H546" s="24" t="str">
        <f>IF(J546&lt;&gt;1,"",IF(I546="SBJ","CB","?"))</f>
        <v> </v>
      </c>
      <c r="I546" s="25" t="str">
        <f>IF(OR(E546="",E546="!!!",F546="NEW"),"",INDEX(B545:B$2,-1+SUMPRODUCT(MAX(ROW(E545:E$2)*(E546=E545:E$2)))))</f>
        <v> </v>
      </c>
      <c r="J546" s="25" t="str">
        <f>IF(OR(E546="",E546="!!!",F546="NEW"),"",COUNTBLANK(OFFSET(A$1,,,SUMPRODUCT(MAX(ROW(E$2:E546)*(E546=E$2:E546)))))-COUNTBLANK(OFFSET(A$1,,,SUMPRODUCT(MAX(ROW(E$1:E545)*(E2=E$1:E545))))))</f>
        <v> </v>
      </c>
      <c r="K546" s="25" t="str">
        <f>IF(OR(E546="",E546="!!!",F546="NEW"),"",INDEX(J$1:J545,SUMPRODUCT(MAX(ROW(E$1:E545)*(E546=E$1:E545)))))</f>
        <v> </v>
      </c>
      <c r="L546" s="26"/>
    </row>
    <row r="547" spans="1:12">
      <c r="A547" s="20" t="s">
        <v>766</v>
      </c>
      <c r="E547" s="21">
        <f>IF(D547="?OLD","!!!","")</f>
        <v/>
      </c>
      <c r="F547" s="22" t="str">
        <f>IF(OR(E547="",E547="!!!"),"",IF(NOT(ISNA(VLOOKUP(E547,E$1:E546,1,FALSE()))),"OLD",IF(AND(E547&lt;&gt;"",E547&lt;&gt;"!!!"),"NEW","")))</f>
        <v> </v>
      </c>
      <c r="G547" s="23" t="str">
        <f>IF(OR(E547="",E547="!!!"),"",IF(OR(J547=0,AND(J547=1,K547=1),AND(J547=1,I547="SBJ"),AND(J547=1,I547=0)),"?IN_FOCUS",IF(J547&lt;=2,"?ACTIVATED",IF(J547&lt;&gt;"","?FAMILIAR",IF(F547="NEW",IF(ISNA(VLOOKUP(E547,#REF!,1,FALSE())),"?TYPE_IDENTIFIABLE","?REFERENTIAL"),"_")))))</f>
        <v> </v>
      </c>
      <c r="H547" s="24" t="str">
        <f>IF(J547&lt;&gt;1,"",IF(I547="SBJ","CB","?"))</f>
        <v> </v>
      </c>
      <c r="I547" s="25" t="str">
        <f>IF(OR(E547="",E547="!!!",F547="NEW"),"",INDEX(B546:B$2,-1+SUMPRODUCT(MAX(ROW(E546:E$2)*(E547=E546:E$2)))))</f>
        <v> </v>
      </c>
      <c r="J547" s="25" t="str">
        <f>IF(OR(E547="",E547="!!!",F547="NEW"),"",COUNTBLANK(OFFSET(A$1,,,SUMPRODUCT(MAX(ROW(E$2:E547)*(E547=E$2:E547)))))-COUNTBLANK(OFFSET(A$1,,,SUMPRODUCT(MAX(ROW(E$1:E546)*(E2=E$1:E546))))))</f>
        <v> </v>
      </c>
      <c r="K547" s="25" t="str">
        <f>IF(OR(E547="",E547="!!!",F547="NEW"),"",INDEX(J$1:J546,SUMPRODUCT(MAX(ROW(E$1:E546)*(E547=E$1:E546)))))</f>
        <v> </v>
      </c>
      <c r="L547" s="26"/>
    </row>
    <row r="548" spans="1:12">
      <c r="A548" s="20" t="s">
        <v>253</v>
      </c>
      <c r="E548" s="21">
        <f>IF(D548="?OLD","!!!","")</f>
        <v/>
      </c>
      <c r="F548" s="22" t="str">
        <f>IF(OR(E548="",E548="!!!"),"",IF(NOT(ISNA(VLOOKUP(E548,E$1:E547,1,FALSE()))),"OLD",IF(AND(E548&lt;&gt;"",E548&lt;&gt;"!!!"),"NEW","")))</f>
        <v> </v>
      </c>
      <c r="G548" s="23" t="str">
        <f>IF(OR(E548="",E548="!!!"),"",IF(OR(J548=0,AND(J548=1,K548=1),AND(J548=1,I548="SBJ"),AND(J548=1,I548=0)),"?IN_FOCUS",IF(J548&lt;=2,"?ACTIVATED",IF(J548&lt;&gt;"","?FAMILIAR",IF(F548="NEW",IF(ISNA(VLOOKUP(E548,#REF!,1,FALSE())),"?TYPE_IDENTIFIABLE","?REFERENTIAL"),"_")))))</f>
        <v> </v>
      </c>
      <c r="H548" s="24" t="str">
        <f>IF(J548&lt;&gt;1,"",IF(I548="SBJ","CB","?"))</f>
        <v> </v>
      </c>
      <c r="I548" s="25" t="str">
        <f>IF(OR(E548="",E548="!!!",F548="NEW"),"",INDEX(B547:B$2,-1+SUMPRODUCT(MAX(ROW(E547:E$2)*(E548=E547:E$2)))))</f>
        <v> </v>
      </c>
      <c r="J548" s="25" t="str">
        <f>IF(OR(E548="",E548="!!!",F548="NEW"),"",COUNTBLANK(OFFSET(A$1,,,SUMPRODUCT(MAX(ROW(E$2:E548)*(E548=E$2:E548)))))-COUNTBLANK(OFFSET(A$1,,,SUMPRODUCT(MAX(ROW(E$1:E547)*(E2=E$1:E547))))))</f>
        <v> </v>
      </c>
      <c r="K548" s="25" t="str">
        <f>IF(OR(E548="",E548="!!!",F548="NEW"),"",INDEX(J$1:J547,SUMPRODUCT(MAX(ROW(E$1:E547)*(E548=E$1:E547)))))</f>
        <v> </v>
      </c>
      <c r="L548" s="26"/>
    </row>
    <row r="549" spans="1:12">
      <c r="A549" s="20"/>
    </row>
    <row r="550" spans="1:12">
      <c r="A550" s="20" t="s">
        <v>767</v>
      </c>
    </row>
    <row r="551" spans="1:12">
      <c r="A551" s="20" t="s">
        <v>581</v>
      </c>
      <c r="E551" s="21">
        <f>IF(D551="?OLD","!!!","")</f>
        <v/>
      </c>
      <c r="F551" s="22" t="str">
        <f>IF(OR(E551="",E551="!!!"),"",IF(NOT(ISNA(VLOOKUP(E551,E$1:E550,1,FALSE()))),"OLD",IF(AND(E551&lt;&gt;"",E551&lt;&gt;"!!!"),"NEW","")))</f>
        <v> </v>
      </c>
      <c r="G551" s="23" t="str">
        <f>IF(OR(E551="",E551="!!!"),"",IF(OR(J551=0,AND(J551=1,K551=1),AND(J551=1,I551="SBJ"),AND(J551=1,I551=0)),"?IN_FOCUS",IF(J551&lt;=2,"?ACTIVATED",IF(J551&lt;&gt;"","?FAMILIAR",IF(F551="NEW",IF(ISNA(VLOOKUP(E551,#REF!,1,FALSE())),"?TYPE_IDENTIFIABLE","?REFERENTIAL"),"_")))))</f>
        <v> </v>
      </c>
      <c r="H551" s="24" t="str">
        <f>IF(J551&lt;&gt;1,"",IF(I551="SBJ","CB","?"))</f>
        <v> </v>
      </c>
      <c r="I551" s="25" t="str">
        <f>IF(OR(E551="",E551="!!!",F551="NEW"),"",INDEX(B550:B$2,-1+SUMPRODUCT(MAX(ROW(E550:E$2)*(E551=E550:E$2)))))</f>
        <v> </v>
      </c>
      <c r="J551" s="25" t="str">
        <f>IF(OR(E551="",E551="!!!",F551="NEW"),"",COUNTBLANK(OFFSET(A$1,,,SUMPRODUCT(MAX(ROW(E$2:E551)*(E551=E$2:E551)))))-COUNTBLANK(OFFSET(A$1,,,SUMPRODUCT(MAX(ROW(E$1:E550)*(E2=E$1:E550))))))</f>
        <v> </v>
      </c>
      <c r="K551" s="25" t="str">
        <f>IF(OR(E551="",E551="!!!",F551="NEW"),"",INDEX(J$1:J550,SUMPRODUCT(MAX(ROW(E$1:E550)*(E551=E$1:E550)))))</f>
        <v> </v>
      </c>
      <c r="L551" s="26"/>
    </row>
    <row r="552" spans="1:12">
      <c r="A552" s="20" t="s">
        <v>569</v>
      </c>
      <c r="B552" s="27" t="s">
        <v>476</v>
      </c>
      <c r="C552" s="27" t="s">
        <v>477</v>
      </c>
      <c r="D552" s="27" t="s">
        <v>478</v>
      </c>
      <c r="E552" s="21">
        <f>IF(D552="?OLD","!!!","")</f>
        <v/>
      </c>
      <c r="F552" s="22" t="str">
        <f>IF(OR(E552="",E552="!!!"),"",IF(NOT(ISNA(VLOOKUP(E552,E$1:E551,1,FALSE()))),"OLD",IF(AND(E552&lt;&gt;"",E552&lt;&gt;"!!!"),"NEW","")))</f>
        <v> </v>
      </c>
      <c r="G552" s="23" t="str">
        <f>IF(OR(E552="",E552="!!!"),"",IF(OR(J552=0,AND(J552=1,K552=1),AND(J552=1,I552="SBJ"),AND(J552=1,I552=0)),"?IN_FOCUS",IF(J552&lt;=2,"?ACTIVATED",IF(J552&lt;&gt;"","?FAMILIAR",IF(F552="NEW",IF(ISNA(VLOOKUP(E552,#REF!,1,FALSE())),"?TYPE_IDENTIFIABLE","?REFERENTIAL"),"_")))))</f>
        <v> </v>
      </c>
      <c r="H552" s="24" t="str">
        <f>IF(J552&lt;&gt;1,"",IF(I552="SBJ","CB","?"))</f>
        <v> </v>
      </c>
      <c r="I552" s="25" t="str">
        <f>IF(OR(E552="",E552="!!!",F552="NEW"),"",INDEX(B551:B$2,-1+SUMPRODUCT(MAX(ROW(E551:E$2)*(E552=E551:E$2)))))</f>
        <v> </v>
      </c>
      <c r="J552" s="25" t="str">
        <f>IF(OR(E552="",E552="!!!",F552="NEW"),"",COUNTBLANK(OFFSET(A$1,,,SUMPRODUCT(MAX(ROW(E$2:E552)*(E552=E$2:E552)))))-COUNTBLANK(OFFSET(A$1,,,SUMPRODUCT(MAX(ROW(E$1:E551)*(E2=E$1:E551))))))</f>
        <v> </v>
      </c>
      <c r="K552" s="25" t="str">
        <f>IF(OR(E552="",E552="!!!",F552="NEW"),"",INDEX(J$1:J551,SUMPRODUCT(MAX(ROW(E$1:E551)*(E552=E$1:E551)))))</f>
        <v> </v>
      </c>
      <c r="L552" s="26"/>
    </row>
    <row r="553" spans="1:12">
      <c r="A553" s="20" t="s">
        <v>768</v>
      </c>
      <c r="E553" s="21">
        <f>IF(D553="?OLD","!!!","")</f>
        <v/>
      </c>
      <c r="F553" s="22" t="str">
        <f>IF(OR(E553="",E553="!!!"),"",IF(NOT(ISNA(VLOOKUP(E553,E$1:E552,1,FALSE()))),"OLD",IF(AND(E553&lt;&gt;"",E553&lt;&gt;"!!!"),"NEW","")))</f>
        <v> </v>
      </c>
      <c r="G553" s="23" t="str">
        <f>IF(OR(E553="",E553="!!!"),"",IF(OR(J553=0,AND(J553=1,K553=1),AND(J553=1,I553="SBJ"),AND(J553=1,I553=0)),"?IN_FOCUS",IF(J553&lt;=2,"?ACTIVATED",IF(J553&lt;&gt;"","?FAMILIAR",IF(F553="NEW",IF(ISNA(VLOOKUP(E553,#REF!,1,FALSE())),"?TYPE_IDENTIFIABLE","?REFERENTIAL"),"_")))))</f>
        <v> </v>
      </c>
      <c r="H553" s="24" t="str">
        <f>IF(J553&lt;&gt;1,"",IF(I553="SBJ","CB","?"))</f>
        <v> </v>
      </c>
      <c r="I553" s="25" t="str">
        <f>IF(OR(E553="",E553="!!!",F553="NEW"),"",INDEX(B552:B$2,-1+SUMPRODUCT(MAX(ROW(E552:E$2)*(E553=E552:E$2)))))</f>
        <v> </v>
      </c>
      <c r="J553" s="25" t="str">
        <f>IF(OR(E553="",E553="!!!",F553="NEW"),"",COUNTBLANK(OFFSET(A$1,,,SUMPRODUCT(MAX(ROW(E$2:E553)*(E553=E$2:E553)))))-COUNTBLANK(OFFSET(A$1,,,SUMPRODUCT(MAX(ROW(E$1:E552)*(E2=E$1:E552))))))</f>
        <v> </v>
      </c>
      <c r="K553" s="25" t="str">
        <f>IF(OR(E553="",E553="!!!",F553="NEW"),"",INDEX(J$1:J552,SUMPRODUCT(MAX(ROW(E$1:E552)*(E553=E$1:E552)))))</f>
        <v> </v>
      </c>
      <c r="L553" s="26"/>
    </row>
    <row r="554" spans="1:12">
      <c r="A554" s="20" t="s">
        <v>769</v>
      </c>
      <c r="E554" s="21">
        <f>IF(D554="?OLD","!!!","")</f>
        <v/>
      </c>
      <c r="F554" s="22" t="str">
        <f>IF(OR(E554="",E554="!!!"),"",IF(NOT(ISNA(VLOOKUP(E554,E$1:E553,1,FALSE()))),"OLD",IF(AND(E554&lt;&gt;"",E554&lt;&gt;"!!!"),"NEW","")))</f>
        <v> </v>
      </c>
      <c r="G554" s="23" t="str">
        <f>IF(OR(E554="",E554="!!!"),"",IF(OR(J554=0,AND(J554=1,K554=1),AND(J554=1,I554="SBJ"),AND(J554=1,I554=0)),"?IN_FOCUS",IF(J554&lt;=2,"?ACTIVATED",IF(J554&lt;&gt;"","?FAMILIAR",IF(F554="NEW",IF(ISNA(VLOOKUP(E554,#REF!,1,FALSE())),"?TYPE_IDENTIFIABLE","?REFERENTIAL"),"_")))))</f>
        <v> </v>
      </c>
      <c r="H554" s="24" t="str">
        <f>IF(J554&lt;&gt;1,"",IF(I554="SBJ","CB","?"))</f>
        <v> </v>
      </c>
      <c r="I554" s="25" t="str">
        <f>IF(OR(E554="",E554="!!!",F554="NEW"),"",INDEX(B553:B$2,-1+SUMPRODUCT(MAX(ROW(E553:E$2)*(E554=E553:E$2)))))</f>
        <v> </v>
      </c>
      <c r="J554" s="25" t="str">
        <f>IF(OR(E554="",E554="!!!",F554="NEW"),"",COUNTBLANK(OFFSET(A$1,,,SUMPRODUCT(MAX(ROW(E$2:E554)*(E554=E$2:E554)))))-COUNTBLANK(OFFSET(A$1,,,SUMPRODUCT(MAX(ROW(E$1:E553)*(E2=E$1:E553))))))</f>
        <v> </v>
      </c>
      <c r="K554" s="25" t="str">
        <f>IF(OR(E554="",E554="!!!",F554="NEW"),"",INDEX(J$1:J553,SUMPRODUCT(MAX(ROW(E$1:E553)*(E554=E$1:E553)))))</f>
        <v> </v>
      </c>
      <c r="L554" s="26"/>
    </row>
    <row r="555" spans="1:12">
      <c r="A555" s="20" t="s">
        <v>770</v>
      </c>
      <c r="E555" s="21">
        <f>IF(D555="?OLD","!!!","")</f>
        <v/>
      </c>
      <c r="F555" s="22" t="str">
        <f>IF(OR(E555="",E555="!!!"),"",IF(NOT(ISNA(VLOOKUP(E555,E$1:E554,1,FALSE()))),"OLD",IF(AND(E555&lt;&gt;"",E555&lt;&gt;"!!!"),"NEW","")))</f>
        <v> </v>
      </c>
      <c r="G555" s="23" t="str">
        <f>IF(OR(E555="",E555="!!!"),"",IF(OR(J555=0,AND(J555=1,K555=1),AND(J555=1,I555="SBJ"),AND(J555=1,I555=0)),"?IN_FOCUS",IF(J555&lt;=2,"?ACTIVATED",IF(J555&lt;&gt;"","?FAMILIAR",IF(F555="NEW",IF(ISNA(VLOOKUP(E555,#REF!,1,FALSE())),"?TYPE_IDENTIFIABLE","?REFERENTIAL"),"_")))))</f>
        <v> </v>
      </c>
      <c r="H555" s="24" t="str">
        <f>IF(J555&lt;&gt;1,"",IF(I555="SBJ","CB","?"))</f>
        <v> </v>
      </c>
      <c r="I555" s="25" t="str">
        <f>IF(OR(E555="",E555="!!!",F555="NEW"),"",INDEX(B554:B$2,-1+SUMPRODUCT(MAX(ROW(E554:E$2)*(E555=E554:E$2)))))</f>
        <v> </v>
      </c>
      <c r="J555" s="25" t="str">
        <f>IF(OR(E555="",E555="!!!",F555="NEW"),"",COUNTBLANK(OFFSET(A$1,,,SUMPRODUCT(MAX(ROW(E$2:E555)*(E555=E$2:E555)))))-COUNTBLANK(OFFSET(A$1,,,SUMPRODUCT(MAX(ROW(E$1:E554)*(E2=E$1:E554))))))</f>
        <v> </v>
      </c>
      <c r="K555" s="25" t="str">
        <f>IF(OR(E555="",E555="!!!",F555="NEW"),"",INDEX(J$1:J554,SUMPRODUCT(MAX(ROW(E$1:E554)*(E555=E$1:E554)))))</f>
        <v> </v>
      </c>
      <c r="L555" s="26"/>
    </row>
    <row r="556" spans="1:12">
      <c r="A556" s="20" t="s">
        <v>771</v>
      </c>
      <c r="E556" s="21">
        <f>IF(D556="?OLD","!!!","")</f>
        <v/>
      </c>
      <c r="F556" s="22" t="str">
        <f>IF(OR(E556="",E556="!!!"),"",IF(NOT(ISNA(VLOOKUP(E556,E$1:E555,1,FALSE()))),"OLD",IF(AND(E556&lt;&gt;"",E556&lt;&gt;"!!!"),"NEW","")))</f>
        <v> </v>
      </c>
      <c r="G556" s="23" t="str">
        <f>IF(OR(E556="",E556="!!!"),"",IF(OR(J556=0,AND(J556=1,K556=1),AND(J556=1,I556="SBJ"),AND(J556=1,I556=0)),"?IN_FOCUS",IF(J556&lt;=2,"?ACTIVATED",IF(J556&lt;&gt;"","?FAMILIAR",IF(F556="NEW",IF(ISNA(VLOOKUP(E556,#REF!,1,FALSE())),"?TYPE_IDENTIFIABLE","?REFERENTIAL"),"_")))))</f>
        <v> </v>
      </c>
      <c r="H556" s="24" t="str">
        <f>IF(J556&lt;&gt;1,"",IF(I556="SBJ","CB","?"))</f>
        <v> </v>
      </c>
      <c r="I556" s="25" t="str">
        <f>IF(OR(E556="",E556="!!!",F556="NEW"),"",INDEX(B555:B$2,-1+SUMPRODUCT(MAX(ROW(E555:E$2)*(E556=E555:E$2)))))</f>
        <v> </v>
      </c>
      <c r="J556" s="25" t="str">
        <f>IF(OR(E556="",E556="!!!",F556="NEW"),"",COUNTBLANK(OFFSET(A$1,,,SUMPRODUCT(MAX(ROW(E$2:E556)*(E556=E$2:E556)))))-COUNTBLANK(OFFSET(A$1,,,SUMPRODUCT(MAX(ROW(E$1:E555)*(E2=E$1:E555))))))</f>
        <v> </v>
      </c>
      <c r="K556" s="25" t="str">
        <f>IF(OR(E556="",E556="!!!",F556="NEW"),"",INDEX(J$1:J555,SUMPRODUCT(MAX(ROW(E$1:E555)*(E556=E$1:E555)))))</f>
        <v> </v>
      </c>
      <c r="L556" s="26"/>
    </row>
    <row r="557" spans="1:12">
      <c r="A557" s="20" t="s">
        <v>772</v>
      </c>
      <c r="B557" s="27" t="s">
        <v>711</v>
      </c>
      <c r="C557" s="27" t="s">
        <v>497</v>
      </c>
      <c r="D557" s="27" t="s">
        <v>478</v>
      </c>
      <c r="E557" s="21">
        <f>IF(D557="?OLD","!!!","")</f>
        <v/>
      </c>
      <c r="F557" s="22" t="str">
        <f>IF(OR(E557="",E557="!!!"),"",IF(NOT(ISNA(VLOOKUP(E557,E$1:E556,1,FALSE()))),"OLD",IF(AND(E557&lt;&gt;"",E557&lt;&gt;"!!!"),"NEW","")))</f>
        <v> </v>
      </c>
      <c r="G557" s="23" t="str">
        <f>IF(OR(E557="",E557="!!!"),"",IF(OR(J557=0,AND(J557=1,K557=1),AND(J557=1,I557="SBJ"),AND(J557=1,I557=0)),"?IN_FOCUS",IF(J557&lt;=2,"?ACTIVATED",IF(J557&lt;&gt;"","?FAMILIAR",IF(F557="NEW",IF(ISNA(VLOOKUP(E557,#REF!,1,FALSE())),"?TYPE_IDENTIFIABLE","?REFERENTIAL"),"_")))))</f>
        <v> </v>
      </c>
      <c r="H557" s="24" t="str">
        <f>IF(J557&lt;&gt;1,"",IF(I557="SBJ","CB","?"))</f>
        <v> </v>
      </c>
      <c r="I557" s="25" t="str">
        <f>IF(OR(E557="",E557="!!!",F557="NEW"),"",INDEX(B556:B$2,-1+SUMPRODUCT(MAX(ROW(E556:E$2)*(E557=E556:E$2)))))</f>
        <v> </v>
      </c>
      <c r="J557" s="25" t="str">
        <f>IF(OR(E557="",E557="!!!",F557="NEW"),"",COUNTBLANK(OFFSET(A$1,,,SUMPRODUCT(MAX(ROW(E$2:E557)*(E557=E$2:E557)))))-COUNTBLANK(OFFSET(A$1,,,SUMPRODUCT(MAX(ROW(E$1:E556)*(E2=E$1:E556))))))</f>
        <v> </v>
      </c>
      <c r="K557" s="25" t="str">
        <f>IF(OR(E557="",E557="!!!",F557="NEW"),"",INDEX(J$1:J556,SUMPRODUCT(MAX(ROW(E$1:E556)*(E557=E$1:E556)))))</f>
        <v> </v>
      </c>
      <c r="L557" s="26"/>
    </row>
    <row r="558" spans="1:12">
      <c r="A558" s="20" t="s">
        <v>482</v>
      </c>
      <c r="E558" s="21">
        <f>IF(D558="?OLD","!!!","")</f>
        <v/>
      </c>
      <c r="F558" s="22" t="str">
        <f>IF(OR(E558="",E558="!!!"),"",IF(NOT(ISNA(VLOOKUP(E558,E$1:E557,1,FALSE()))),"OLD",IF(AND(E558&lt;&gt;"",E558&lt;&gt;"!!!"),"NEW","")))</f>
        <v> </v>
      </c>
      <c r="G558" s="23" t="str">
        <f>IF(OR(E558="",E558="!!!"),"",IF(OR(J558=0,AND(J558=1,K558=1),AND(J558=1,I558="SBJ"),AND(J558=1,I558=0)),"?IN_FOCUS",IF(J558&lt;=2,"?ACTIVATED",IF(J558&lt;&gt;"","?FAMILIAR",IF(F558="NEW",IF(ISNA(VLOOKUP(E558,#REF!,1,FALSE())),"?TYPE_IDENTIFIABLE","?REFERENTIAL"),"_")))))</f>
        <v> </v>
      </c>
      <c r="H558" s="24" t="str">
        <f>IF(J558&lt;&gt;1,"",IF(I558="SBJ","CB","?"))</f>
        <v> </v>
      </c>
      <c r="I558" s="25" t="str">
        <f>IF(OR(E558="",E558="!!!",F558="NEW"),"",INDEX(B557:B$2,-1+SUMPRODUCT(MAX(ROW(E557:E$2)*(E558=E557:E$2)))))</f>
        <v> </v>
      </c>
      <c r="J558" s="25" t="str">
        <f>IF(OR(E558="",E558="!!!",F558="NEW"),"",COUNTBLANK(OFFSET(A$1,,,SUMPRODUCT(MAX(ROW(E$2:E558)*(E558=E$2:E558)))))-COUNTBLANK(OFFSET(A$1,,,SUMPRODUCT(MAX(ROW(E$1:E557)*(E2=E$1:E557))))))</f>
        <v> </v>
      </c>
      <c r="K558" s="25" t="str">
        <f>IF(OR(E558="",E558="!!!",F558="NEW"),"",INDEX(J$1:J557,SUMPRODUCT(MAX(ROW(E$1:E557)*(E558=E$1:E557)))))</f>
        <v> </v>
      </c>
      <c r="L558" s="26"/>
    </row>
    <row r="559" spans="1:12">
      <c r="A559" s="20" t="s">
        <v>611</v>
      </c>
      <c r="E559" s="21">
        <f>IF(D559="?OLD","!!!","")</f>
        <v/>
      </c>
      <c r="F559" s="22" t="str">
        <f>IF(OR(E559="",E559="!!!"),"",IF(NOT(ISNA(VLOOKUP(E559,E$1:E558,1,FALSE()))),"OLD",IF(AND(E559&lt;&gt;"",E559&lt;&gt;"!!!"),"NEW","")))</f>
        <v> </v>
      </c>
      <c r="G559" s="23" t="str">
        <f>IF(OR(E559="",E559="!!!"),"",IF(OR(J559=0,AND(J559=1,K559=1),AND(J559=1,I559="SBJ"),AND(J559=1,I559=0)),"?IN_FOCUS",IF(J559&lt;=2,"?ACTIVATED",IF(J559&lt;&gt;"","?FAMILIAR",IF(F559="NEW",IF(ISNA(VLOOKUP(E559,#REF!,1,FALSE())),"?TYPE_IDENTIFIABLE","?REFERENTIAL"),"_")))))</f>
        <v> </v>
      </c>
      <c r="H559" s="24" t="str">
        <f>IF(J559&lt;&gt;1,"",IF(I559="SBJ","CB","?"))</f>
        <v> </v>
      </c>
      <c r="I559" s="25" t="str">
        <f>IF(OR(E559="",E559="!!!",F559="NEW"),"",INDEX(B558:B$2,-1+SUMPRODUCT(MAX(ROW(E558:E$2)*(E559=E558:E$2)))))</f>
        <v> </v>
      </c>
      <c r="J559" s="25" t="str">
        <f>IF(OR(E559="",E559="!!!",F559="NEW"),"",COUNTBLANK(OFFSET(A$1,,,SUMPRODUCT(MAX(ROW(E$2:E559)*(E559=E$2:E559)))))-COUNTBLANK(OFFSET(A$1,,,SUMPRODUCT(MAX(ROW(E$1:E558)*(E2=E$1:E558))))))</f>
        <v> </v>
      </c>
      <c r="K559" s="25" t="str">
        <f>IF(OR(E559="",E559="!!!",F559="NEW"),"",INDEX(J$1:J558,SUMPRODUCT(MAX(ROW(E$1:E558)*(E559=E$1:E558)))))</f>
        <v> </v>
      </c>
      <c r="L559" s="26"/>
    </row>
    <row r="560" spans="1:12">
      <c r="A560" s="20" t="s">
        <v>773</v>
      </c>
      <c r="E560" s="21">
        <f>IF(D560="?OLD","!!!","")</f>
        <v/>
      </c>
      <c r="F560" s="22" t="str">
        <f>IF(OR(E560="",E560="!!!"),"",IF(NOT(ISNA(VLOOKUP(E560,E$1:E559,1,FALSE()))),"OLD",IF(AND(E560&lt;&gt;"",E560&lt;&gt;"!!!"),"NEW","")))</f>
        <v> </v>
      </c>
      <c r="G560" s="23" t="str">
        <f>IF(OR(E560="",E560="!!!"),"",IF(OR(J560=0,AND(J560=1,K560=1),AND(J560=1,I560="SBJ"),AND(J560=1,I560=0)),"?IN_FOCUS",IF(J560&lt;=2,"?ACTIVATED",IF(J560&lt;&gt;"","?FAMILIAR",IF(F560="NEW",IF(ISNA(VLOOKUP(E560,#REF!,1,FALSE())),"?TYPE_IDENTIFIABLE","?REFERENTIAL"),"_")))))</f>
        <v> </v>
      </c>
      <c r="H560" s="24" t="str">
        <f>IF(J560&lt;&gt;1,"",IF(I560="SBJ","CB","?"))</f>
        <v> </v>
      </c>
      <c r="I560" s="25" t="str">
        <f>IF(OR(E560="",E560="!!!",F560="NEW"),"",INDEX(B559:B$2,-1+SUMPRODUCT(MAX(ROW(E559:E$2)*(E560=E559:E$2)))))</f>
        <v> </v>
      </c>
      <c r="J560" s="25" t="str">
        <f>IF(OR(E560="",E560="!!!",F560="NEW"),"",COUNTBLANK(OFFSET(A$1,,,SUMPRODUCT(MAX(ROW(E$2:E560)*(E560=E$2:E560)))))-COUNTBLANK(OFFSET(A$1,,,SUMPRODUCT(MAX(ROW(E$1:E559)*(E2=E$1:E559))))))</f>
        <v> </v>
      </c>
      <c r="K560" s="25" t="str">
        <f>IF(OR(E560="",E560="!!!",F560="NEW"),"",INDEX(J$1:J559,SUMPRODUCT(MAX(ROW(E$1:E559)*(E560=E$1:E559)))))</f>
        <v> </v>
      </c>
      <c r="L560" s="26"/>
    </row>
    <row r="561" spans="1:12">
      <c r="A561" s="20" t="s">
        <v>728</v>
      </c>
      <c r="B561" s="27" t="s">
        <v>632</v>
      </c>
      <c r="C561" s="27" t="s">
        <v>497</v>
      </c>
      <c r="D561" s="27" t="s">
        <v>478</v>
      </c>
      <c r="E561" s="21">
        <f>IF(D561="?OLD","!!!","")</f>
        <v/>
      </c>
      <c r="F561" s="22" t="str">
        <f>IF(OR(E561="",E561="!!!"),"",IF(NOT(ISNA(VLOOKUP(E561,E$1:E560,1,FALSE()))),"OLD",IF(AND(E561&lt;&gt;"",E561&lt;&gt;"!!!"),"NEW","")))</f>
        <v> </v>
      </c>
      <c r="G561" s="23" t="str">
        <f>IF(OR(E561="",E561="!!!"),"",IF(OR(J561=0,AND(J561=1,K561=1),AND(J561=1,I561="SBJ"),AND(J561=1,I561=0)),"?IN_FOCUS",IF(J561&lt;=2,"?ACTIVATED",IF(J561&lt;&gt;"","?FAMILIAR",IF(F561="NEW",IF(ISNA(VLOOKUP(E561,#REF!,1,FALSE())),"?TYPE_IDENTIFIABLE","?REFERENTIAL"),"_")))))</f>
        <v> </v>
      </c>
      <c r="H561" s="24" t="str">
        <f>IF(J561&lt;&gt;1,"",IF(I561="SBJ","CB","?"))</f>
        <v> </v>
      </c>
      <c r="I561" s="25" t="str">
        <f>IF(OR(E561="",E561="!!!",F561="NEW"),"",INDEX(B560:B$2,-1+SUMPRODUCT(MAX(ROW(E560:E$2)*(E561=E560:E$2)))))</f>
        <v> </v>
      </c>
      <c r="J561" s="25" t="str">
        <f>IF(OR(E561="",E561="!!!",F561="NEW"),"",COUNTBLANK(OFFSET(A$1,,,SUMPRODUCT(MAX(ROW(E$2:E561)*(E561=E$2:E561)))))-COUNTBLANK(OFFSET(A$1,,,SUMPRODUCT(MAX(ROW(E$1:E560)*(E2=E$1:E560))))))</f>
        <v> </v>
      </c>
      <c r="K561" s="25" t="str">
        <f>IF(OR(E561="",E561="!!!",F561="NEW"),"",INDEX(J$1:J560,SUMPRODUCT(MAX(ROW(E$1:E560)*(E561=E$1:E560)))))</f>
        <v> </v>
      </c>
      <c r="L561" s="26"/>
    </row>
    <row r="562" spans="1:12">
      <c r="A562" s="20" t="s">
        <v>774</v>
      </c>
      <c r="E562" s="21">
        <f>IF(D562="?OLD","!!!","")</f>
        <v/>
      </c>
      <c r="F562" s="22" t="str">
        <f>IF(OR(E562="",E562="!!!"),"",IF(NOT(ISNA(VLOOKUP(E562,E$1:E561,1,FALSE()))),"OLD",IF(AND(E562&lt;&gt;"",E562&lt;&gt;"!!!"),"NEW","")))</f>
        <v> </v>
      </c>
      <c r="G562" s="23" t="str">
        <f>IF(OR(E562="",E562="!!!"),"",IF(OR(J562=0,AND(J562=1,K562=1),AND(J562=1,I562="SBJ"),AND(J562=1,I562=0)),"?IN_FOCUS",IF(J562&lt;=2,"?ACTIVATED",IF(J562&lt;&gt;"","?FAMILIAR",IF(F562="NEW",IF(ISNA(VLOOKUP(E562,#REF!,1,FALSE())),"?TYPE_IDENTIFIABLE","?REFERENTIAL"),"_")))))</f>
        <v> </v>
      </c>
      <c r="H562" s="24" t="str">
        <f>IF(J562&lt;&gt;1,"",IF(I562="SBJ","CB","?"))</f>
        <v> </v>
      </c>
      <c r="I562" s="25" t="str">
        <f>IF(OR(E562="",E562="!!!",F562="NEW"),"",INDEX(B561:B$2,-1+SUMPRODUCT(MAX(ROW(E561:E$2)*(E562=E561:E$2)))))</f>
        <v> </v>
      </c>
      <c r="J562" s="25" t="str">
        <f>IF(OR(E562="",E562="!!!",F562="NEW"),"",COUNTBLANK(OFFSET(A$1,,,SUMPRODUCT(MAX(ROW(E$2:E562)*(E562=E$2:E562)))))-COUNTBLANK(OFFSET(A$1,,,SUMPRODUCT(MAX(ROW(E$1:E561)*(E2=E$1:E561))))))</f>
        <v> </v>
      </c>
      <c r="K562" s="25" t="str">
        <f>IF(OR(E562="",E562="!!!",F562="NEW"),"",INDEX(J$1:J561,SUMPRODUCT(MAX(ROW(E$1:E561)*(E562=E$1:E561)))))</f>
        <v> </v>
      </c>
      <c r="L562" s="26"/>
    </row>
    <row r="563" spans="1:12">
      <c r="A563" s="20" t="s">
        <v>482</v>
      </c>
      <c r="E563" s="21">
        <f>IF(D563="?OLD","!!!","")</f>
        <v/>
      </c>
      <c r="F563" s="22" t="str">
        <f>IF(OR(E563="",E563="!!!"),"",IF(NOT(ISNA(VLOOKUP(E563,E$1:E562,1,FALSE()))),"OLD",IF(AND(E563&lt;&gt;"",E563&lt;&gt;"!!!"),"NEW","")))</f>
        <v> </v>
      </c>
      <c r="G563" s="23" t="str">
        <f>IF(OR(E563="",E563="!!!"),"",IF(OR(J563=0,AND(J563=1,K563=1),AND(J563=1,I563="SBJ"),AND(J563=1,I563=0)),"?IN_FOCUS",IF(J563&lt;=2,"?ACTIVATED",IF(J563&lt;&gt;"","?FAMILIAR",IF(F563="NEW",IF(ISNA(VLOOKUP(E563,#REF!,1,FALSE())),"?TYPE_IDENTIFIABLE","?REFERENTIAL"),"_")))))</f>
        <v> </v>
      </c>
      <c r="H563" s="24" t="str">
        <f>IF(J563&lt;&gt;1,"",IF(I563="SBJ","CB","?"))</f>
        <v> </v>
      </c>
      <c r="I563" s="25" t="str">
        <f>IF(OR(E563="",E563="!!!",F563="NEW"),"",INDEX(B562:B$2,-1+SUMPRODUCT(MAX(ROW(E562:E$2)*(E563=E562:E$2)))))</f>
        <v> </v>
      </c>
      <c r="J563" s="25" t="str">
        <f>IF(OR(E563="",E563="!!!",F563="NEW"),"",COUNTBLANK(OFFSET(A$1,,,SUMPRODUCT(MAX(ROW(E$2:E563)*(E563=E$2:E563)))))-COUNTBLANK(OFFSET(A$1,,,SUMPRODUCT(MAX(ROW(E$1:E562)*(E2=E$1:E562))))))</f>
        <v> </v>
      </c>
      <c r="K563" s="25" t="str">
        <f>IF(OR(E563="",E563="!!!",F563="NEW"),"",INDEX(J$1:J562,SUMPRODUCT(MAX(ROW(E$1:E562)*(E563=E$1:E562)))))</f>
        <v> </v>
      </c>
      <c r="L563" s="26"/>
    </row>
    <row r="564" spans="1:12">
      <c r="A564" s="20" t="s">
        <v>611</v>
      </c>
      <c r="E564" s="21">
        <f>IF(D564="?OLD","!!!","")</f>
        <v/>
      </c>
      <c r="F564" s="22" t="str">
        <f>IF(OR(E564="",E564="!!!"),"",IF(NOT(ISNA(VLOOKUP(E564,E$1:E563,1,FALSE()))),"OLD",IF(AND(E564&lt;&gt;"",E564&lt;&gt;"!!!"),"NEW","")))</f>
        <v> </v>
      </c>
      <c r="G564" s="23" t="str">
        <f>IF(OR(E564="",E564="!!!"),"",IF(OR(J564=0,AND(J564=1,K564=1),AND(J564=1,I564="SBJ"),AND(J564=1,I564=0)),"?IN_FOCUS",IF(J564&lt;=2,"?ACTIVATED",IF(J564&lt;&gt;"","?FAMILIAR",IF(F564="NEW",IF(ISNA(VLOOKUP(E564,#REF!,1,FALSE())),"?TYPE_IDENTIFIABLE","?REFERENTIAL"),"_")))))</f>
        <v> </v>
      </c>
      <c r="H564" s="24" t="str">
        <f>IF(J564&lt;&gt;1,"",IF(I564="SBJ","CB","?"))</f>
        <v> </v>
      </c>
      <c r="I564" s="25" t="str">
        <f>IF(OR(E564="",E564="!!!",F564="NEW"),"",INDEX(B563:B$2,-1+SUMPRODUCT(MAX(ROW(E563:E$2)*(E564=E563:E$2)))))</f>
        <v> </v>
      </c>
      <c r="J564" s="25" t="str">
        <f>IF(OR(E564="",E564="!!!",F564="NEW"),"",COUNTBLANK(OFFSET(A$1,,,SUMPRODUCT(MAX(ROW(E$2:E564)*(E564=E$2:E564)))))-COUNTBLANK(OFFSET(A$1,,,SUMPRODUCT(MAX(ROW(E$1:E563)*(E2=E$1:E563))))))</f>
        <v> </v>
      </c>
      <c r="K564" s="25" t="str">
        <f>IF(OR(E564="",E564="!!!",F564="NEW"),"",INDEX(J$1:J563,SUMPRODUCT(MAX(ROW(E$1:E563)*(E564=E$1:E563)))))</f>
        <v> </v>
      </c>
      <c r="L564" s="26"/>
    </row>
    <row r="565" spans="1:12">
      <c r="A565" s="20" t="s">
        <v>299</v>
      </c>
      <c r="B565" s="27" t="s">
        <v>704</v>
      </c>
      <c r="C565" s="27" t="s">
        <v>477</v>
      </c>
      <c r="D565" s="27" t="s">
        <v>478</v>
      </c>
      <c r="E565" s="21">
        <f>IF(D565="?OLD","!!!","")</f>
        <v/>
      </c>
      <c r="F565" s="22" t="str">
        <f>IF(OR(E565="",E565="!!!"),"",IF(NOT(ISNA(VLOOKUP(E565,E$1:E564,1,FALSE()))),"OLD",IF(AND(E565&lt;&gt;"",E565&lt;&gt;"!!!"),"NEW","")))</f>
        <v> </v>
      </c>
      <c r="G565" s="23" t="str">
        <f>IF(OR(E565="",E565="!!!"),"",IF(OR(J565=0,AND(J565=1,K565=1),AND(J565=1,I565="SBJ"),AND(J565=1,I565=0)),"?IN_FOCUS",IF(J565&lt;=2,"?ACTIVATED",IF(J565&lt;&gt;"","?FAMILIAR",IF(F565="NEW",IF(ISNA(VLOOKUP(E565,#REF!,1,FALSE())),"?TYPE_IDENTIFIABLE","?REFERENTIAL"),"_")))))</f>
        <v> </v>
      </c>
      <c r="H565" s="24" t="str">
        <f>IF(J565&lt;&gt;1,"",IF(I565="SBJ","CB","?"))</f>
        <v> </v>
      </c>
      <c r="I565" s="25" t="str">
        <f>IF(OR(E565="",E565="!!!",F565="NEW"),"",INDEX(B564:B$2,-1+SUMPRODUCT(MAX(ROW(E564:E$2)*(E565=E564:E$2)))))</f>
        <v> </v>
      </c>
      <c r="J565" s="25" t="str">
        <f>IF(OR(E565="",E565="!!!",F565="NEW"),"",COUNTBLANK(OFFSET(A$1,,,SUMPRODUCT(MAX(ROW(E$2:E565)*(E565=E$2:E565)))))-COUNTBLANK(OFFSET(A$1,,,SUMPRODUCT(MAX(ROW(E$1:E564)*(E2=E$1:E564))))))</f>
        <v> </v>
      </c>
      <c r="K565" s="25" t="str">
        <f>IF(OR(E565="",E565="!!!",F565="NEW"),"",INDEX(J$1:J564,SUMPRODUCT(MAX(ROW(E$1:E564)*(E565=E$1:E564)))))</f>
        <v> </v>
      </c>
      <c r="L565" s="26"/>
    </row>
    <row r="566" spans="1:12">
      <c r="A566" s="20" t="s">
        <v>493</v>
      </c>
      <c r="E566" s="21">
        <f>IF(D566="?OLD","!!!","")</f>
        <v/>
      </c>
      <c r="F566" s="22" t="str">
        <f>IF(OR(E566="",E566="!!!"),"",IF(NOT(ISNA(VLOOKUP(E566,E$1:E565,1,FALSE()))),"OLD",IF(AND(E566&lt;&gt;"",E566&lt;&gt;"!!!"),"NEW","")))</f>
        <v> </v>
      </c>
      <c r="G566" s="23" t="str">
        <f>IF(OR(E566="",E566="!!!"),"",IF(OR(J566=0,AND(J566=1,K566=1),AND(J566=1,I566="SBJ"),AND(J566=1,I566=0)),"?IN_FOCUS",IF(J566&lt;=2,"?ACTIVATED",IF(J566&lt;&gt;"","?FAMILIAR",IF(F566="NEW",IF(ISNA(VLOOKUP(E566,#REF!,1,FALSE())),"?TYPE_IDENTIFIABLE","?REFERENTIAL"),"_")))))</f>
        <v> </v>
      </c>
      <c r="H566" s="24" t="str">
        <f>IF(J566&lt;&gt;1,"",IF(I566="SBJ","CB","?"))</f>
        <v> </v>
      </c>
      <c r="I566" s="25" t="str">
        <f>IF(OR(E566="",E566="!!!",F566="NEW"),"",INDEX(B565:B$2,-1+SUMPRODUCT(MAX(ROW(E565:E$2)*(E566=E565:E$2)))))</f>
        <v> </v>
      </c>
      <c r="J566" s="25" t="str">
        <f>IF(OR(E566="",E566="!!!",F566="NEW"),"",COUNTBLANK(OFFSET(A$1,,,SUMPRODUCT(MAX(ROW(E$2:E566)*(E566=E$2:E566)))))-COUNTBLANK(OFFSET(A$1,,,SUMPRODUCT(MAX(ROW(E$1:E565)*(E2=E$1:E565))))))</f>
        <v> </v>
      </c>
      <c r="K566" s="25" t="str">
        <f>IF(OR(E566="",E566="!!!",F566="NEW"),"",INDEX(J$1:J565,SUMPRODUCT(MAX(ROW(E$1:E565)*(E566=E$1:E565)))))</f>
        <v> </v>
      </c>
      <c r="L566" s="26"/>
    </row>
    <row r="567" spans="1:12">
      <c r="A567" s="20" t="s">
        <v>775</v>
      </c>
      <c r="E567" s="21">
        <f>IF(D567="?OLD","!!!","")</f>
        <v/>
      </c>
      <c r="F567" s="22" t="str">
        <f>IF(OR(E567="",E567="!!!"),"",IF(NOT(ISNA(VLOOKUP(E567,E$1:E566,1,FALSE()))),"OLD",IF(AND(E567&lt;&gt;"",E567&lt;&gt;"!!!"),"NEW","")))</f>
        <v> </v>
      </c>
      <c r="G567" s="23" t="str">
        <f>IF(OR(E567="",E567="!!!"),"",IF(OR(J567=0,AND(J567=1,K567=1),AND(J567=1,I567="SBJ"),AND(J567=1,I567=0)),"?IN_FOCUS",IF(J567&lt;=2,"?ACTIVATED",IF(J567&lt;&gt;"","?FAMILIAR",IF(F567="NEW",IF(ISNA(VLOOKUP(E567,#REF!,1,FALSE())),"?TYPE_IDENTIFIABLE","?REFERENTIAL"),"_")))))</f>
        <v> </v>
      </c>
      <c r="H567" s="24" t="str">
        <f>IF(J567&lt;&gt;1,"",IF(I567="SBJ","CB","?"))</f>
        <v> </v>
      </c>
      <c r="I567" s="25" t="str">
        <f>IF(OR(E567="",E567="!!!",F567="NEW"),"",INDEX(B566:B$2,-1+SUMPRODUCT(MAX(ROW(E566:E$2)*(E567=E566:E$2)))))</f>
        <v> </v>
      </c>
      <c r="J567" s="25" t="str">
        <f>IF(OR(E567="",E567="!!!",F567="NEW"),"",COUNTBLANK(OFFSET(A$1,,,SUMPRODUCT(MAX(ROW(E$2:E567)*(E567=E$2:E567)))))-COUNTBLANK(OFFSET(A$1,,,SUMPRODUCT(MAX(ROW(E$1:E566)*(E2=E$1:E566))))))</f>
        <v> </v>
      </c>
      <c r="K567" s="25" t="str">
        <f>IF(OR(E567="",E567="!!!",F567="NEW"),"",INDEX(J$1:J566,SUMPRODUCT(MAX(ROW(E$1:E566)*(E567=E$1:E566)))))</f>
        <v> </v>
      </c>
      <c r="L567" s="26"/>
    </row>
    <row r="568" spans="1:12">
      <c r="A568" s="20" t="s">
        <v>482</v>
      </c>
      <c r="E568" s="21">
        <f>IF(D568="?OLD","!!!","")</f>
        <v/>
      </c>
      <c r="F568" s="22" t="str">
        <f>IF(OR(E568="",E568="!!!"),"",IF(NOT(ISNA(VLOOKUP(E568,E$1:E567,1,FALSE()))),"OLD",IF(AND(E568&lt;&gt;"",E568&lt;&gt;"!!!"),"NEW","")))</f>
        <v> </v>
      </c>
      <c r="G568" s="23" t="str">
        <f>IF(OR(E568="",E568="!!!"),"",IF(OR(J568=0,AND(J568=1,K568=1),AND(J568=1,I568="SBJ"),AND(J568=1,I568=0)),"?IN_FOCUS",IF(J568&lt;=2,"?ACTIVATED",IF(J568&lt;&gt;"","?FAMILIAR",IF(F568="NEW",IF(ISNA(VLOOKUP(E568,#REF!,1,FALSE())),"?TYPE_IDENTIFIABLE","?REFERENTIAL"),"_")))))</f>
        <v> </v>
      </c>
      <c r="H568" s="24" t="str">
        <f>IF(J568&lt;&gt;1,"",IF(I568="SBJ","CB","?"))</f>
        <v> </v>
      </c>
      <c r="I568" s="25" t="str">
        <f>IF(OR(E568="",E568="!!!",F568="NEW"),"",INDEX(B567:B$2,-1+SUMPRODUCT(MAX(ROW(E567:E$2)*(E568=E567:E$2)))))</f>
        <v> </v>
      </c>
      <c r="J568" s="25" t="str">
        <f>IF(OR(E568="",E568="!!!",F568="NEW"),"",COUNTBLANK(OFFSET(A$1,,,SUMPRODUCT(MAX(ROW(E$2:E568)*(E568=E$2:E568)))))-COUNTBLANK(OFFSET(A$1,,,SUMPRODUCT(MAX(ROW(E$1:E567)*(E2=E$1:E567))))))</f>
        <v> </v>
      </c>
      <c r="K568" s="25" t="str">
        <f>IF(OR(E568="",E568="!!!",F568="NEW"),"",INDEX(J$1:J567,SUMPRODUCT(MAX(ROW(E$1:E567)*(E568=E$1:E567)))))</f>
        <v> </v>
      </c>
      <c r="L568" s="26"/>
    </row>
    <row r="569" spans="1:12">
      <c r="A569" s="20" t="s">
        <v>218</v>
      </c>
      <c r="E569" s="21">
        <f>IF(D569="?OLD","!!!","")</f>
        <v/>
      </c>
      <c r="F569" s="22" t="str">
        <f>IF(OR(E569="",E569="!!!"),"",IF(NOT(ISNA(VLOOKUP(E569,E$1:E568,1,FALSE()))),"OLD",IF(AND(E569&lt;&gt;"",E569&lt;&gt;"!!!"),"NEW","")))</f>
        <v> </v>
      </c>
      <c r="G569" s="23" t="str">
        <f>IF(OR(E569="",E569="!!!"),"",IF(OR(J569=0,AND(J569=1,K569=1),AND(J569=1,I569="SBJ"),AND(J569=1,I569=0)),"?IN_FOCUS",IF(J569&lt;=2,"?ACTIVATED",IF(J569&lt;&gt;"","?FAMILIAR",IF(F569="NEW",IF(ISNA(VLOOKUP(E569,#REF!,1,FALSE())),"?TYPE_IDENTIFIABLE","?REFERENTIAL"),"_")))))</f>
        <v> </v>
      </c>
      <c r="H569" s="24" t="str">
        <f>IF(J569&lt;&gt;1,"",IF(I569="SBJ","CB","?"))</f>
        <v> </v>
      </c>
      <c r="I569" s="25" t="str">
        <f>IF(OR(E569="",E569="!!!",F569="NEW"),"",INDEX(B568:B$2,-1+SUMPRODUCT(MAX(ROW(E568:E$2)*(E569=E568:E$2)))))</f>
        <v> </v>
      </c>
      <c r="J569" s="25" t="str">
        <f>IF(OR(E569="",E569="!!!",F569="NEW"),"",COUNTBLANK(OFFSET(A$1,,,SUMPRODUCT(MAX(ROW(E$2:E569)*(E569=E$2:E569)))))-COUNTBLANK(OFFSET(A$1,,,SUMPRODUCT(MAX(ROW(E$1:E568)*(E2=E$1:E568))))))</f>
        <v> </v>
      </c>
      <c r="K569" s="25" t="str">
        <f>IF(OR(E569="",E569="!!!",F569="NEW"),"",INDEX(J$1:J568,SUMPRODUCT(MAX(ROW(E$1:E568)*(E569=E$1:E568)))))</f>
        <v> </v>
      </c>
      <c r="L569" s="26"/>
    </row>
    <row r="570" spans="1:12">
      <c r="A570" s="20" t="s">
        <v>637</v>
      </c>
      <c r="E570" s="21">
        <f>IF(D570="?OLD","!!!","")</f>
        <v/>
      </c>
      <c r="F570" s="22" t="str">
        <f>IF(OR(E570="",E570="!!!"),"",IF(NOT(ISNA(VLOOKUP(E570,E$1:E569,1,FALSE()))),"OLD",IF(AND(E570&lt;&gt;"",E570&lt;&gt;"!!!"),"NEW","")))</f>
        <v> </v>
      </c>
      <c r="G570" s="23" t="str">
        <f>IF(OR(E570="",E570="!!!"),"",IF(OR(J570=0,AND(J570=1,K570=1),AND(J570=1,I570="SBJ"),AND(J570=1,I570=0)),"?IN_FOCUS",IF(J570&lt;=2,"?ACTIVATED",IF(J570&lt;&gt;"","?FAMILIAR",IF(F570="NEW",IF(ISNA(VLOOKUP(E570,#REF!,1,FALSE())),"?TYPE_IDENTIFIABLE","?REFERENTIAL"),"_")))))</f>
        <v> </v>
      </c>
      <c r="H570" s="24" t="str">
        <f>IF(J570&lt;&gt;1,"",IF(I570="SBJ","CB","?"))</f>
        <v> </v>
      </c>
      <c r="I570" s="25" t="str">
        <f>IF(OR(E570="",E570="!!!",F570="NEW"),"",INDEX(B569:B$2,-1+SUMPRODUCT(MAX(ROW(E569:E$2)*(E570=E569:E$2)))))</f>
        <v> </v>
      </c>
      <c r="J570" s="25" t="str">
        <f>IF(OR(E570="",E570="!!!",F570="NEW"),"",COUNTBLANK(OFFSET(A$1,,,SUMPRODUCT(MAX(ROW(E$2:E570)*(E570=E$2:E570)))))-COUNTBLANK(OFFSET(A$1,,,SUMPRODUCT(MAX(ROW(E$1:E569)*(E2=E$1:E569))))))</f>
        <v> </v>
      </c>
      <c r="K570" s="25" t="str">
        <f>IF(OR(E570="",E570="!!!",F570="NEW"),"",INDEX(J$1:J569,SUMPRODUCT(MAX(ROW(E$1:E569)*(E570=E$1:E569)))))</f>
        <v> </v>
      </c>
      <c r="L570" s="26"/>
    </row>
    <row r="571" spans="1:12">
      <c r="A571" s="20" t="s">
        <v>776</v>
      </c>
      <c r="E571" s="21">
        <f>IF(D571="?OLD","!!!","")</f>
        <v/>
      </c>
      <c r="F571" s="22" t="str">
        <f>IF(OR(E571="",E571="!!!"),"",IF(NOT(ISNA(VLOOKUP(E571,E$1:E570,1,FALSE()))),"OLD",IF(AND(E571&lt;&gt;"",E571&lt;&gt;"!!!"),"NEW","")))</f>
        <v> </v>
      </c>
      <c r="G571" s="23" t="str">
        <f>IF(OR(E571="",E571="!!!"),"",IF(OR(J571=0,AND(J571=1,K571=1),AND(J571=1,I571="SBJ"),AND(J571=1,I571=0)),"?IN_FOCUS",IF(J571&lt;=2,"?ACTIVATED",IF(J571&lt;&gt;"","?FAMILIAR",IF(F571="NEW",IF(ISNA(VLOOKUP(E571,#REF!,1,FALSE())),"?TYPE_IDENTIFIABLE","?REFERENTIAL"),"_")))))</f>
        <v> </v>
      </c>
      <c r="H571" s="24" t="str">
        <f>IF(J571&lt;&gt;1,"",IF(I571="SBJ","CB","?"))</f>
        <v> </v>
      </c>
      <c r="I571" s="25" t="str">
        <f>IF(OR(E571="",E571="!!!",F571="NEW"),"",INDEX(B570:B$2,-1+SUMPRODUCT(MAX(ROW(E570:E$2)*(E571=E570:E$2)))))</f>
        <v> </v>
      </c>
      <c r="J571" s="25" t="str">
        <f>IF(OR(E571="",E571="!!!",F571="NEW"),"",COUNTBLANK(OFFSET(A$1,,,SUMPRODUCT(MAX(ROW(E$2:E571)*(E571=E$2:E571)))))-COUNTBLANK(OFFSET(A$1,,,SUMPRODUCT(MAX(ROW(E$1:E570)*(E2=E$1:E570))))))</f>
        <v> </v>
      </c>
      <c r="K571" s="25" t="str">
        <f>IF(OR(E571="",E571="!!!",F571="NEW"),"",INDEX(J$1:J570,SUMPRODUCT(MAX(ROW(E$1:E570)*(E571=E$1:E570)))))</f>
        <v> </v>
      </c>
      <c r="L571" s="26"/>
    </row>
    <row r="572" spans="1:12">
      <c r="A572" s="20" t="s">
        <v>777</v>
      </c>
      <c r="E572" s="21">
        <f>IF(D572="?OLD","!!!","")</f>
        <v/>
      </c>
      <c r="F572" s="22" t="str">
        <f>IF(OR(E572="",E572="!!!"),"",IF(NOT(ISNA(VLOOKUP(E572,E$1:E571,1,FALSE()))),"OLD",IF(AND(E572&lt;&gt;"",E572&lt;&gt;"!!!"),"NEW","")))</f>
        <v> </v>
      </c>
      <c r="G572" s="23" t="str">
        <f>IF(OR(E572="",E572="!!!"),"",IF(OR(J572=0,AND(J572=1,K572=1),AND(J572=1,I572="SBJ"),AND(J572=1,I572=0)),"?IN_FOCUS",IF(J572&lt;=2,"?ACTIVATED",IF(J572&lt;&gt;"","?FAMILIAR",IF(F572="NEW",IF(ISNA(VLOOKUP(E572,#REF!,1,FALSE())),"?TYPE_IDENTIFIABLE","?REFERENTIAL"),"_")))))</f>
        <v> </v>
      </c>
      <c r="H572" s="24" t="str">
        <f>IF(J572&lt;&gt;1,"",IF(I572="SBJ","CB","?"))</f>
        <v> </v>
      </c>
      <c r="I572" s="25" t="str">
        <f>IF(OR(E572="",E572="!!!",F572="NEW"),"",INDEX(B571:B$2,-1+SUMPRODUCT(MAX(ROW(E571:E$2)*(E572=E571:E$2)))))</f>
        <v> </v>
      </c>
      <c r="J572" s="25" t="str">
        <f>IF(OR(E572="",E572="!!!",F572="NEW"),"",COUNTBLANK(OFFSET(A$1,,,SUMPRODUCT(MAX(ROW(E$2:E572)*(E572=E$2:E572)))))-COUNTBLANK(OFFSET(A$1,,,SUMPRODUCT(MAX(ROW(E$1:E571)*(E2=E$1:E571))))))</f>
        <v> </v>
      </c>
      <c r="K572" s="25" t="str">
        <f>IF(OR(E572="",E572="!!!",F572="NEW"),"",INDEX(J$1:J571,SUMPRODUCT(MAX(ROW(E$1:E571)*(E572=E$1:E571)))))</f>
        <v> </v>
      </c>
      <c r="L572" s="26"/>
    </row>
    <row r="573" spans="1:12">
      <c r="A573" s="20" t="s">
        <v>778</v>
      </c>
      <c r="B573" s="27" t="s">
        <v>723</v>
      </c>
      <c r="C573" s="27" t="s">
        <v>779</v>
      </c>
      <c r="E573" s="21">
        <f>IF(D573="?OLD","!!!","")</f>
        <v/>
      </c>
      <c r="F573" s="22" t="str">
        <f>IF(OR(E573="",E573="!!!"),"",IF(NOT(ISNA(VLOOKUP(E573,E$1:E572,1,FALSE()))),"OLD",IF(AND(E573&lt;&gt;"",E573&lt;&gt;"!!!"),"NEW","")))</f>
        <v> </v>
      </c>
      <c r="G573" s="23" t="str">
        <f>IF(OR(E573="",E573="!!!"),"",IF(OR(J573=0,AND(J573=1,K573=1),AND(J573=1,I573="SBJ"),AND(J573=1,I573=0)),"?IN_FOCUS",IF(J573&lt;=2,"?ACTIVATED",IF(J573&lt;&gt;"","?FAMILIAR",IF(F573="NEW",IF(ISNA(VLOOKUP(E573,#REF!,1,FALSE())),"?TYPE_IDENTIFIABLE","?REFERENTIAL"),"_")))))</f>
        <v> </v>
      </c>
      <c r="H573" s="24" t="str">
        <f>IF(J573&lt;&gt;1,"",IF(I573="SBJ","CB","?"))</f>
        <v> </v>
      </c>
      <c r="I573" s="25" t="str">
        <f>IF(OR(E573="",E573="!!!",F573="NEW"),"",INDEX(B572:B$2,-1+SUMPRODUCT(MAX(ROW(E572:E$2)*(E573=E572:E$2)))))</f>
        <v> </v>
      </c>
      <c r="J573" s="25" t="str">
        <f>IF(OR(E573="",E573="!!!",F573="NEW"),"",COUNTBLANK(OFFSET(A$1,,,SUMPRODUCT(MAX(ROW(E$2:E573)*(E573=E$2:E573)))))-COUNTBLANK(OFFSET(A$1,,,SUMPRODUCT(MAX(ROW(E$1:E572)*(E2=E$1:E572))))))</f>
        <v> </v>
      </c>
      <c r="K573" s="25" t="str">
        <f>IF(OR(E573="",E573="!!!",F573="NEW"),"",INDEX(J$1:J572,SUMPRODUCT(MAX(ROW(E$1:E572)*(E573=E$1:E572)))))</f>
        <v> </v>
      </c>
      <c r="L573" s="26"/>
    </row>
    <row r="574" spans="1:12">
      <c r="A574" s="20" t="s">
        <v>482</v>
      </c>
      <c r="E574" s="21">
        <f>IF(D574="?OLD","!!!","")</f>
        <v/>
      </c>
      <c r="F574" s="22" t="str">
        <f>IF(OR(E574="",E574="!!!"),"",IF(NOT(ISNA(VLOOKUP(E574,E$1:E573,1,FALSE()))),"OLD",IF(AND(E574&lt;&gt;"",E574&lt;&gt;"!!!"),"NEW","")))</f>
        <v> </v>
      </c>
      <c r="G574" s="23" t="str">
        <f>IF(OR(E574="",E574="!!!"),"",IF(OR(J574=0,AND(J574=1,K574=1),AND(J574=1,I574="SBJ"),AND(J574=1,I574=0)),"?IN_FOCUS",IF(J574&lt;=2,"?ACTIVATED",IF(J574&lt;&gt;"","?FAMILIAR",IF(F574="NEW",IF(ISNA(VLOOKUP(E574,#REF!,1,FALSE())),"?TYPE_IDENTIFIABLE","?REFERENTIAL"),"_")))))</f>
        <v> </v>
      </c>
      <c r="H574" s="24" t="str">
        <f>IF(J574&lt;&gt;1,"",IF(I574="SBJ","CB","?"))</f>
        <v> </v>
      </c>
      <c r="I574" s="25" t="str">
        <f>IF(OR(E574="",E574="!!!",F574="NEW"),"",INDEX(B573:B$2,-1+SUMPRODUCT(MAX(ROW(E573:E$2)*(E574=E573:E$2)))))</f>
        <v> </v>
      </c>
      <c r="J574" s="25" t="str">
        <f>IF(OR(E574="",E574="!!!",F574="NEW"),"",COUNTBLANK(OFFSET(A$1,,,SUMPRODUCT(MAX(ROW(E$2:E574)*(E574=E$2:E574)))))-COUNTBLANK(OFFSET(A$1,,,SUMPRODUCT(MAX(ROW(E$1:E573)*(E2=E$1:E573))))))</f>
        <v> </v>
      </c>
      <c r="K574" s="25" t="str">
        <f>IF(OR(E574="",E574="!!!",F574="NEW"),"",INDEX(J$1:J573,SUMPRODUCT(MAX(ROW(E$1:E573)*(E574=E$1:E573)))))</f>
        <v> </v>
      </c>
      <c r="L574" s="26"/>
    </row>
    <row r="575" spans="1:12">
      <c r="A575" s="20" t="s">
        <v>530</v>
      </c>
      <c r="E575" s="21">
        <f>IF(D575="?OLD","!!!","")</f>
        <v/>
      </c>
      <c r="F575" s="22" t="str">
        <f>IF(OR(E575="",E575="!!!"),"",IF(NOT(ISNA(VLOOKUP(E575,E$1:E574,1,FALSE()))),"OLD",IF(AND(E575&lt;&gt;"",E575&lt;&gt;"!!!"),"NEW","")))</f>
        <v> </v>
      </c>
      <c r="G575" s="23" t="str">
        <f>IF(OR(E575="",E575="!!!"),"",IF(OR(J575=0,AND(J575=1,K575=1),AND(J575=1,I575="SBJ"),AND(J575=1,I575=0)),"?IN_FOCUS",IF(J575&lt;=2,"?ACTIVATED",IF(J575&lt;&gt;"","?FAMILIAR",IF(F575="NEW",IF(ISNA(VLOOKUP(E575,#REF!,1,FALSE())),"?TYPE_IDENTIFIABLE","?REFERENTIAL"),"_")))))</f>
        <v> </v>
      </c>
      <c r="H575" s="24" t="str">
        <f>IF(J575&lt;&gt;1,"",IF(I575="SBJ","CB","?"))</f>
        <v> </v>
      </c>
      <c r="I575" s="25" t="str">
        <f>IF(OR(E575="",E575="!!!",F575="NEW"),"",INDEX(B574:B$2,-1+SUMPRODUCT(MAX(ROW(E574:E$2)*(E575=E574:E$2)))))</f>
        <v> </v>
      </c>
      <c r="J575" s="25" t="str">
        <f>IF(OR(E575="",E575="!!!",F575="NEW"),"",COUNTBLANK(OFFSET(A$1,,,SUMPRODUCT(MAX(ROW(E$2:E575)*(E575=E$2:E575)))))-COUNTBLANK(OFFSET(A$1,,,SUMPRODUCT(MAX(ROW(E$1:E574)*(E2=E$1:E574))))))</f>
        <v> </v>
      </c>
      <c r="K575" s="25" t="str">
        <f>IF(OR(E575="",E575="!!!",F575="NEW"),"",INDEX(J$1:J574,SUMPRODUCT(MAX(ROW(E$1:E574)*(E575=E$1:E574)))))</f>
        <v> </v>
      </c>
      <c r="L575" s="26"/>
    </row>
    <row r="576" spans="1:12">
      <c r="A576" s="20" t="s">
        <v>218</v>
      </c>
      <c r="E576" s="21">
        <f>IF(D576="?OLD","!!!","")</f>
        <v/>
      </c>
      <c r="F576" s="22" t="str">
        <f>IF(OR(E576="",E576="!!!"),"",IF(NOT(ISNA(VLOOKUP(E576,E$1:E575,1,FALSE()))),"OLD",IF(AND(E576&lt;&gt;"",E576&lt;&gt;"!!!"),"NEW","")))</f>
        <v> </v>
      </c>
      <c r="G576" s="23" t="str">
        <f>IF(OR(E576="",E576="!!!"),"",IF(OR(J576=0,AND(J576=1,K576=1),AND(J576=1,I576="SBJ"),AND(J576=1,I576=0)),"?IN_FOCUS",IF(J576&lt;=2,"?ACTIVATED",IF(J576&lt;&gt;"","?FAMILIAR",IF(F576="NEW",IF(ISNA(VLOOKUP(E576,#REF!,1,FALSE())),"?TYPE_IDENTIFIABLE","?REFERENTIAL"),"_")))))</f>
        <v> </v>
      </c>
      <c r="H576" s="24" t="str">
        <f>IF(J576&lt;&gt;1,"",IF(I576="SBJ","CB","?"))</f>
        <v> </v>
      </c>
      <c r="I576" s="25" t="str">
        <f>IF(OR(E576="",E576="!!!",F576="NEW"),"",INDEX(B575:B$2,-1+SUMPRODUCT(MAX(ROW(E575:E$2)*(E576=E575:E$2)))))</f>
        <v> </v>
      </c>
      <c r="J576" s="25" t="str">
        <f>IF(OR(E576="",E576="!!!",F576="NEW"),"",COUNTBLANK(OFFSET(A$1,,,SUMPRODUCT(MAX(ROW(E$2:E576)*(E576=E$2:E576)))))-COUNTBLANK(OFFSET(A$1,,,SUMPRODUCT(MAX(ROW(E$1:E575)*(E2=E$1:E575))))))</f>
        <v> </v>
      </c>
      <c r="K576" s="25" t="str">
        <f>IF(OR(E576="",E576="!!!",F576="NEW"),"",INDEX(J$1:J575,SUMPRODUCT(MAX(ROW(E$1:E575)*(E576=E$1:E575)))))</f>
        <v> </v>
      </c>
      <c r="L576" s="26"/>
    </row>
    <row r="577" spans="1:12">
      <c r="A577" s="20" t="s">
        <v>780</v>
      </c>
      <c r="B577" s="27" t="s">
        <v>723</v>
      </c>
      <c r="E577" s="21">
        <f>IF(D577="?OLD","!!!","")</f>
        <v/>
      </c>
      <c r="F577" s="22" t="str">
        <f>IF(OR(E577="",E577="!!!"),"",IF(NOT(ISNA(VLOOKUP(E577,E$1:E576,1,FALSE()))),"OLD",IF(AND(E577&lt;&gt;"",E577&lt;&gt;"!!!"),"NEW","")))</f>
        <v> </v>
      </c>
      <c r="G577" s="23" t="str">
        <f>IF(OR(E577="",E577="!!!"),"",IF(OR(J577=0,AND(J577=1,K577=1),AND(J577=1,I577="SBJ"),AND(J577=1,I577=0)),"?IN_FOCUS",IF(J577&lt;=2,"?ACTIVATED",IF(J577&lt;&gt;"","?FAMILIAR",IF(F577="NEW",IF(ISNA(VLOOKUP(E577,#REF!,1,FALSE())),"?TYPE_IDENTIFIABLE","?REFERENTIAL"),"_")))))</f>
        <v> </v>
      </c>
      <c r="H577" s="24" t="str">
        <f>IF(J577&lt;&gt;1,"",IF(I577="SBJ","CB","?"))</f>
        <v> </v>
      </c>
      <c r="I577" s="25" t="str">
        <f>IF(OR(E577="",E577="!!!",F577="NEW"),"",INDEX(B576:B$2,-1+SUMPRODUCT(MAX(ROW(E576:E$2)*(E577=E576:E$2)))))</f>
        <v> </v>
      </c>
      <c r="J577" s="25" t="str">
        <f>IF(OR(E577="",E577="!!!",F577="NEW"),"",COUNTBLANK(OFFSET(A$1,,,SUMPRODUCT(MAX(ROW(E$2:E577)*(E577=E$2:E577)))))-COUNTBLANK(OFFSET(A$1,,,SUMPRODUCT(MAX(ROW(E$1:E576)*(E2=E$1:E576))))))</f>
        <v> </v>
      </c>
      <c r="K577" s="25" t="str">
        <f>IF(OR(E577="",E577="!!!",F577="NEW"),"",INDEX(J$1:J576,SUMPRODUCT(MAX(ROW(E$1:E576)*(E577=E$1:E576)))))</f>
        <v> </v>
      </c>
      <c r="L577" s="26"/>
    </row>
    <row r="578" spans="1:12">
      <c r="A578" s="20" t="s">
        <v>482</v>
      </c>
      <c r="E578" s="21">
        <f>IF(D578="?OLD","!!!","")</f>
        <v/>
      </c>
      <c r="F578" s="22" t="str">
        <f>IF(OR(E578="",E578="!!!"),"",IF(NOT(ISNA(VLOOKUP(E578,E$1:E577,1,FALSE()))),"OLD",IF(AND(E578&lt;&gt;"",E578&lt;&gt;"!!!"),"NEW","")))</f>
        <v> </v>
      </c>
      <c r="G578" s="23" t="str">
        <f>IF(OR(E578="",E578="!!!"),"",IF(OR(J578=0,AND(J578=1,K578=1),AND(J578=1,I578="SBJ"),AND(J578=1,I578=0)),"?IN_FOCUS",IF(J578&lt;=2,"?ACTIVATED",IF(J578&lt;&gt;"","?FAMILIAR",IF(F578="NEW",IF(ISNA(VLOOKUP(E578,#REF!,1,FALSE())),"?TYPE_IDENTIFIABLE","?REFERENTIAL"),"_")))))</f>
        <v> </v>
      </c>
      <c r="H578" s="24" t="str">
        <f>IF(J578&lt;&gt;1,"",IF(I578="SBJ","CB","?"))</f>
        <v> </v>
      </c>
      <c r="I578" s="25" t="str">
        <f>IF(OR(E578="",E578="!!!",F578="NEW"),"",INDEX(B577:B$2,-1+SUMPRODUCT(MAX(ROW(E577:E$2)*(E578=E577:E$2)))))</f>
        <v> </v>
      </c>
      <c r="J578" s="25" t="str">
        <f>IF(OR(E578="",E578="!!!",F578="NEW"),"",COUNTBLANK(OFFSET(A$1,,,SUMPRODUCT(MAX(ROW(E$2:E578)*(E578=E$2:E578)))))-COUNTBLANK(OFFSET(A$1,,,SUMPRODUCT(MAX(ROW(E$1:E577)*(E2=E$1:E577))))))</f>
        <v> </v>
      </c>
      <c r="K578" s="25" t="str">
        <f>IF(OR(E578="",E578="!!!",F578="NEW"),"",INDEX(J$1:J577,SUMPRODUCT(MAX(ROW(E$1:E577)*(E578=E$1:E577)))))</f>
        <v> </v>
      </c>
      <c r="L578" s="26"/>
    </row>
    <row r="579" spans="1:12">
      <c r="A579" s="20" t="s">
        <v>781</v>
      </c>
      <c r="E579" s="21">
        <f>IF(D579="?OLD","!!!","")</f>
        <v/>
      </c>
      <c r="F579" s="22" t="str">
        <f>IF(OR(E579="",E579="!!!"),"",IF(NOT(ISNA(VLOOKUP(E579,E$1:E578,1,FALSE()))),"OLD",IF(AND(E579&lt;&gt;"",E579&lt;&gt;"!!!"),"NEW","")))</f>
        <v> </v>
      </c>
      <c r="G579" s="23" t="str">
        <f>IF(OR(E579="",E579="!!!"),"",IF(OR(J579=0,AND(J579=1,K579=1),AND(J579=1,I579="SBJ"),AND(J579=1,I579=0)),"?IN_FOCUS",IF(J579&lt;=2,"?ACTIVATED",IF(J579&lt;&gt;"","?FAMILIAR",IF(F579="NEW",IF(ISNA(VLOOKUP(E579,#REF!,1,FALSE())),"?TYPE_IDENTIFIABLE","?REFERENTIAL"),"_")))))</f>
        <v> </v>
      </c>
      <c r="H579" s="24" t="str">
        <f>IF(J579&lt;&gt;1,"",IF(I579="SBJ","CB","?"))</f>
        <v> </v>
      </c>
      <c r="I579" s="25" t="str">
        <f>IF(OR(E579="",E579="!!!",F579="NEW"),"",INDEX(B578:B$2,-1+SUMPRODUCT(MAX(ROW(E578:E$2)*(E579=E578:E$2)))))</f>
        <v> </v>
      </c>
      <c r="J579" s="25" t="str">
        <f>IF(OR(E579="",E579="!!!",F579="NEW"),"",COUNTBLANK(OFFSET(A$1,,,SUMPRODUCT(MAX(ROW(E$2:E579)*(E579=E$2:E579)))))-COUNTBLANK(OFFSET(A$1,,,SUMPRODUCT(MAX(ROW(E$1:E578)*(E2=E$1:E578))))))</f>
        <v> </v>
      </c>
      <c r="K579" s="25" t="str">
        <f>IF(OR(E579="",E579="!!!",F579="NEW"),"",INDEX(J$1:J578,SUMPRODUCT(MAX(ROW(E$1:E578)*(E579=E$1:E578)))))</f>
        <v> </v>
      </c>
      <c r="L579" s="26"/>
    </row>
    <row r="580" spans="1:12">
      <c r="A580" s="20" t="s">
        <v>782</v>
      </c>
      <c r="B580" s="27" t="s">
        <v>783</v>
      </c>
      <c r="E580" s="21">
        <f>IF(D580="?OLD","!!!","")</f>
        <v/>
      </c>
      <c r="F580" s="22" t="str">
        <f>IF(OR(E580="",E580="!!!"),"",IF(NOT(ISNA(VLOOKUP(E580,E$1:E579,1,FALSE()))),"OLD",IF(AND(E580&lt;&gt;"",E580&lt;&gt;"!!!"),"NEW","")))</f>
        <v> </v>
      </c>
      <c r="G580" s="23" t="str">
        <f>IF(OR(E580="",E580="!!!"),"",IF(OR(J580=0,AND(J580=1,K580=1),AND(J580=1,I580="SBJ"),AND(J580=1,I580=0)),"?IN_FOCUS",IF(J580&lt;=2,"?ACTIVATED",IF(J580&lt;&gt;"","?FAMILIAR",IF(F580="NEW",IF(ISNA(VLOOKUP(E580,#REF!,1,FALSE())),"?TYPE_IDENTIFIABLE","?REFERENTIAL"),"_")))))</f>
        <v> </v>
      </c>
      <c r="H580" s="24" t="str">
        <f>IF(J580&lt;&gt;1,"",IF(I580="SBJ","CB","?"))</f>
        <v> </v>
      </c>
      <c r="I580" s="25" t="str">
        <f>IF(OR(E580="",E580="!!!",F580="NEW"),"",INDEX(B579:B$2,-1+SUMPRODUCT(MAX(ROW(E579:E$2)*(E580=E579:E$2)))))</f>
        <v> </v>
      </c>
      <c r="J580" s="25" t="str">
        <f>IF(OR(E580="",E580="!!!",F580="NEW"),"",COUNTBLANK(OFFSET(A$1,,,SUMPRODUCT(MAX(ROW(E$2:E580)*(E580=E$2:E580)))))-COUNTBLANK(OFFSET(A$1,,,SUMPRODUCT(MAX(ROW(E$1:E579)*(E2=E$1:E579))))))</f>
        <v> </v>
      </c>
      <c r="K580" s="25" t="str">
        <f>IF(OR(E580="",E580="!!!",F580="NEW"),"",INDEX(J$1:J579,SUMPRODUCT(MAX(ROW(E$1:E579)*(E580=E$1:E579)))))</f>
        <v> </v>
      </c>
      <c r="L580" s="26"/>
    </row>
    <row r="581" spans="1:12">
      <c r="A581" s="20" t="s">
        <v>482</v>
      </c>
      <c r="E581" s="21">
        <f>IF(D581="?OLD","!!!","")</f>
        <v/>
      </c>
      <c r="F581" s="22" t="str">
        <f>IF(OR(E581="",E581="!!!"),"",IF(NOT(ISNA(VLOOKUP(E581,E$1:E580,1,FALSE()))),"OLD",IF(AND(E581&lt;&gt;"",E581&lt;&gt;"!!!"),"NEW","")))</f>
        <v> </v>
      </c>
      <c r="G581" s="23" t="str">
        <f>IF(OR(E581="",E581="!!!"),"",IF(OR(J581=0,AND(J581=1,K581=1),AND(J581=1,I581="SBJ"),AND(J581=1,I581=0)),"?IN_FOCUS",IF(J581&lt;=2,"?ACTIVATED",IF(J581&lt;&gt;"","?FAMILIAR",IF(F581="NEW",IF(ISNA(VLOOKUP(E581,#REF!,1,FALSE())),"?TYPE_IDENTIFIABLE","?REFERENTIAL"),"_")))))</f>
        <v> </v>
      </c>
      <c r="H581" s="24" t="str">
        <f>IF(J581&lt;&gt;1,"",IF(I581="SBJ","CB","?"))</f>
        <v> </v>
      </c>
      <c r="I581" s="25" t="str">
        <f>IF(OR(E581="",E581="!!!",F581="NEW"),"",INDEX(B580:B$2,-1+SUMPRODUCT(MAX(ROW(E580:E$2)*(E581=E580:E$2)))))</f>
        <v> </v>
      </c>
      <c r="J581" s="25" t="str">
        <f>IF(OR(E581="",E581="!!!",F581="NEW"),"",COUNTBLANK(OFFSET(A$1,,,SUMPRODUCT(MAX(ROW(E$2:E581)*(E581=E$2:E581)))))-COUNTBLANK(OFFSET(A$1,,,SUMPRODUCT(MAX(ROW(E$1:E580)*(E2=E$1:E580))))))</f>
        <v> </v>
      </c>
      <c r="K581" s="25" t="str">
        <f>IF(OR(E581="",E581="!!!",F581="NEW"),"",INDEX(J$1:J580,SUMPRODUCT(MAX(ROW(E$1:E580)*(E581=E$1:E580)))))</f>
        <v> </v>
      </c>
      <c r="L581" s="26"/>
    </row>
    <row r="582" spans="1:12">
      <c r="A582" s="20" t="s">
        <v>493</v>
      </c>
      <c r="E582" s="21">
        <f>IF(D582="?OLD","!!!","")</f>
        <v/>
      </c>
      <c r="F582" s="22" t="str">
        <f>IF(OR(E582="",E582="!!!"),"",IF(NOT(ISNA(VLOOKUP(E582,E$1:E581,1,FALSE()))),"OLD",IF(AND(E582&lt;&gt;"",E582&lt;&gt;"!!!"),"NEW","")))</f>
        <v> </v>
      </c>
      <c r="G582" s="23" t="str">
        <f>IF(OR(E582="",E582="!!!"),"",IF(OR(J582=0,AND(J582=1,K582=1),AND(J582=1,I582="SBJ"),AND(J582=1,I582=0)),"?IN_FOCUS",IF(J582&lt;=2,"?ACTIVATED",IF(J582&lt;&gt;"","?FAMILIAR",IF(F582="NEW",IF(ISNA(VLOOKUP(E582,#REF!,1,FALSE())),"?TYPE_IDENTIFIABLE","?REFERENTIAL"),"_")))))</f>
        <v> </v>
      </c>
      <c r="H582" s="24" t="str">
        <f>IF(J582&lt;&gt;1,"",IF(I582="SBJ","CB","?"))</f>
        <v> </v>
      </c>
      <c r="I582" s="25" t="str">
        <f>IF(OR(E582="",E582="!!!",F582="NEW"),"",INDEX(B581:B$2,-1+SUMPRODUCT(MAX(ROW(E581:E$2)*(E582=E581:E$2)))))</f>
        <v> </v>
      </c>
      <c r="J582" s="25" t="str">
        <f>IF(OR(E582="",E582="!!!",F582="NEW"),"",COUNTBLANK(OFFSET(A$1,,,SUMPRODUCT(MAX(ROW(E$2:E582)*(E582=E$2:E582)))))-COUNTBLANK(OFFSET(A$1,,,SUMPRODUCT(MAX(ROW(E$1:E581)*(E2=E$1:E581))))))</f>
        <v> </v>
      </c>
      <c r="K582" s="25" t="str">
        <f>IF(OR(E582="",E582="!!!",F582="NEW"),"",INDEX(J$1:J581,SUMPRODUCT(MAX(ROW(E$1:E581)*(E582=E$1:E581)))))</f>
        <v> </v>
      </c>
      <c r="L582" s="26"/>
    </row>
    <row r="583" spans="1:12">
      <c r="A583" s="20" t="s">
        <v>784</v>
      </c>
      <c r="E583" s="21">
        <f>IF(D583="?OLD","!!!","")</f>
        <v/>
      </c>
      <c r="F583" s="22" t="str">
        <f>IF(OR(E583="",E583="!!!"),"",IF(NOT(ISNA(VLOOKUP(E583,E$1:E582,1,FALSE()))),"OLD",IF(AND(E583&lt;&gt;"",E583&lt;&gt;"!!!"),"NEW","")))</f>
        <v> </v>
      </c>
      <c r="G583" s="23" t="str">
        <f>IF(OR(E583="",E583="!!!"),"",IF(OR(J583=0,AND(J583=1,K583=1),AND(J583=1,I583="SBJ"),AND(J583=1,I583=0)),"?IN_FOCUS",IF(J583&lt;=2,"?ACTIVATED",IF(J583&lt;&gt;"","?FAMILIAR",IF(F583="NEW",IF(ISNA(VLOOKUP(E583,#REF!,1,FALSE())),"?TYPE_IDENTIFIABLE","?REFERENTIAL"),"_")))))</f>
        <v> </v>
      </c>
      <c r="H583" s="24" t="str">
        <f>IF(J583&lt;&gt;1,"",IF(I583="SBJ","CB","?"))</f>
        <v> </v>
      </c>
      <c r="I583" s="25" t="str">
        <f>IF(OR(E583="",E583="!!!",F583="NEW"),"",INDEX(B582:B$2,-1+SUMPRODUCT(MAX(ROW(E582:E$2)*(E583=E582:E$2)))))</f>
        <v> </v>
      </c>
      <c r="J583" s="25" t="str">
        <f>IF(OR(E583="",E583="!!!",F583="NEW"),"",COUNTBLANK(OFFSET(A$1,,,SUMPRODUCT(MAX(ROW(E$2:E583)*(E583=E$2:E583)))))-COUNTBLANK(OFFSET(A$1,,,SUMPRODUCT(MAX(ROW(E$1:E582)*(E2=E$1:E582))))))</f>
        <v> </v>
      </c>
      <c r="K583" s="25" t="str">
        <f>IF(OR(E583="",E583="!!!",F583="NEW"),"",INDEX(J$1:J582,SUMPRODUCT(MAX(ROW(E$1:E582)*(E583=E$1:E582)))))</f>
        <v> </v>
      </c>
      <c r="L583" s="26"/>
    </row>
    <row r="584" spans="1:12">
      <c r="A584" s="20" t="s">
        <v>785</v>
      </c>
      <c r="B584" s="27" t="s">
        <v>786</v>
      </c>
      <c r="E584" s="21">
        <f>IF(D584="?OLD","!!!","")</f>
        <v/>
      </c>
      <c r="F584" s="22" t="str">
        <f>IF(OR(E584="",E584="!!!"),"",IF(NOT(ISNA(VLOOKUP(E584,E$1:E583,1,FALSE()))),"OLD",IF(AND(E584&lt;&gt;"",E584&lt;&gt;"!!!"),"NEW","")))</f>
        <v> </v>
      </c>
      <c r="G584" s="23" t="str">
        <f>IF(OR(E584="",E584="!!!"),"",IF(OR(J584=0,AND(J584=1,K584=1),AND(J584=1,I584="SBJ"),AND(J584=1,I584=0)),"?IN_FOCUS",IF(J584&lt;=2,"?ACTIVATED",IF(J584&lt;&gt;"","?FAMILIAR",IF(F584="NEW",IF(ISNA(VLOOKUP(E584,#REF!,1,FALSE())),"?TYPE_IDENTIFIABLE","?REFERENTIAL"),"_")))))</f>
        <v> </v>
      </c>
      <c r="H584" s="24" t="str">
        <f>IF(J584&lt;&gt;1,"",IF(I584="SBJ","CB","?"))</f>
        <v> </v>
      </c>
      <c r="I584" s="25" t="str">
        <f>IF(OR(E584="",E584="!!!",F584="NEW"),"",INDEX(B583:B$2,-1+SUMPRODUCT(MAX(ROW(E583:E$2)*(E584=E583:E$2)))))</f>
        <v> </v>
      </c>
      <c r="J584" s="25" t="str">
        <f>IF(OR(E584="",E584="!!!",F584="NEW"),"",COUNTBLANK(OFFSET(A$1,,,SUMPRODUCT(MAX(ROW(E$2:E584)*(E584=E$2:E584)))))-COUNTBLANK(OFFSET(A$1,,,SUMPRODUCT(MAX(ROW(E$1:E583)*(E2=E$1:E583))))))</f>
        <v> </v>
      </c>
      <c r="K584" s="25" t="str">
        <f>IF(OR(E584="",E584="!!!",F584="NEW"),"",INDEX(J$1:J583,SUMPRODUCT(MAX(ROW(E$1:E583)*(E584=E$1:E583)))))</f>
        <v> </v>
      </c>
      <c r="L584" s="26"/>
    </row>
    <row r="585" spans="1:12">
      <c r="A585" s="20" t="s">
        <v>253</v>
      </c>
      <c r="E585" s="21">
        <f>IF(D585="?OLD","!!!","")</f>
        <v/>
      </c>
      <c r="F585" s="22" t="str">
        <f>IF(OR(E585="",E585="!!!"),"",IF(NOT(ISNA(VLOOKUP(E585,E$1:E584,1,FALSE()))),"OLD",IF(AND(E585&lt;&gt;"",E585&lt;&gt;"!!!"),"NEW","")))</f>
        <v> </v>
      </c>
      <c r="G585" s="23" t="str">
        <f>IF(OR(E585="",E585="!!!"),"",IF(OR(J585=0,AND(J585=1,K585=1),AND(J585=1,I585="SBJ"),AND(J585=1,I585=0)),"?IN_FOCUS",IF(J585&lt;=2,"?ACTIVATED",IF(J585&lt;&gt;"","?FAMILIAR",IF(F585="NEW",IF(ISNA(VLOOKUP(E585,#REF!,1,FALSE())),"?TYPE_IDENTIFIABLE","?REFERENTIAL"),"_")))))</f>
        <v> </v>
      </c>
      <c r="H585" s="24" t="str">
        <f>IF(J585&lt;&gt;1,"",IF(I585="SBJ","CB","?"))</f>
        <v> </v>
      </c>
      <c r="I585" s="25" t="str">
        <f>IF(OR(E585="",E585="!!!",F585="NEW"),"",INDEX(B584:B$2,-1+SUMPRODUCT(MAX(ROW(E584:E$2)*(E585=E584:E$2)))))</f>
        <v> </v>
      </c>
      <c r="J585" s="25" t="str">
        <f>IF(OR(E585="",E585="!!!",F585="NEW"),"",COUNTBLANK(OFFSET(A$1,,,SUMPRODUCT(MAX(ROW(E$2:E585)*(E585=E$2:E585)))))-COUNTBLANK(OFFSET(A$1,,,SUMPRODUCT(MAX(ROW(E$1:E584)*(E2=E$1:E584))))))</f>
        <v> </v>
      </c>
      <c r="K585" s="25" t="str">
        <f>IF(OR(E585="",E585="!!!",F585="NEW"),"",INDEX(J$1:J584,SUMPRODUCT(MAX(ROW(E$1:E584)*(E585=E$1:E584)))))</f>
        <v> </v>
      </c>
      <c r="L585" s="26"/>
    </row>
    <row r="586" spans="1:12">
      <c r="A586" s="20"/>
    </row>
    <row r="587" spans="1:12">
      <c r="A587" s="20" t="s">
        <v>787</v>
      </c>
    </row>
    <row r="588" spans="1:12">
      <c r="A588" s="20" t="s">
        <v>788</v>
      </c>
      <c r="B588" s="27" t="s">
        <v>476</v>
      </c>
      <c r="C588" s="27" t="s">
        <v>477</v>
      </c>
      <c r="D588" s="27" t="s">
        <v>478</v>
      </c>
      <c r="E588" s="21">
        <f>IF(D588="?OLD","!!!","")</f>
        <v/>
      </c>
      <c r="F588" s="22" t="str">
        <f>IF(OR(E588="",E588="!!!"),"",IF(NOT(ISNA(VLOOKUP(E588,E$1:E587,1,FALSE()))),"OLD",IF(AND(E588&lt;&gt;"",E588&lt;&gt;"!!!"),"NEW","")))</f>
        <v> </v>
      </c>
      <c r="G588" s="23" t="str">
        <f>IF(OR(E588="",E588="!!!"),"",IF(OR(J588=0,AND(J588=1,K588=1),AND(J588=1,I588="SBJ"),AND(J588=1,I588=0)),"?IN_FOCUS",IF(J588&lt;=2,"?ACTIVATED",IF(J588&lt;&gt;"","?FAMILIAR",IF(F588="NEW",IF(ISNA(VLOOKUP(E588,#REF!,1,FALSE())),"?TYPE_IDENTIFIABLE","?REFERENTIAL"),"_")))))</f>
        <v> </v>
      </c>
      <c r="H588" s="24" t="str">
        <f>IF(J588&lt;&gt;1,"",IF(I588="SBJ","CB","?"))</f>
        <v> </v>
      </c>
      <c r="I588" s="25" t="str">
        <f>IF(OR(E588="",E588="!!!",F588="NEW"),"",INDEX(B587:B$2,-1+SUMPRODUCT(MAX(ROW(E587:E$2)*(E588=E587:E$2)))))</f>
        <v> </v>
      </c>
      <c r="J588" s="25" t="str">
        <f>IF(OR(E588="",E588="!!!",F588="NEW"),"",COUNTBLANK(OFFSET(A$1,,,SUMPRODUCT(MAX(ROW(E$2:E588)*(E588=E$2:E588)))))-COUNTBLANK(OFFSET(A$1,,,SUMPRODUCT(MAX(ROW(E$1:E587)*(E2=E$1:E587))))))</f>
        <v> </v>
      </c>
      <c r="K588" s="25" t="str">
        <f>IF(OR(E588="",E588="!!!",F588="NEW"),"",INDEX(J$1:J587,SUMPRODUCT(MAX(ROW(E$1:E587)*(E588=E$1:E587)))))</f>
        <v> </v>
      </c>
      <c r="L588" s="26"/>
    </row>
    <row r="589" spans="1:12">
      <c r="A589" s="20" t="s">
        <v>789</v>
      </c>
      <c r="B589" s="27" t="s">
        <v>521</v>
      </c>
      <c r="C589" s="27" t="s">
        <v>477</v>
      </c>
      <c r="D589" s="27" t="s">
        <v>478</v>
      </c>
      <c r="E589" s="21">
        <f>IF(D589="?OLD","!!!","")</f>
        <v/>
      </c>
      <c r="F589" s="22" t="str">
        <f>IF(OR(E589="",E589="!!!"),"",IF(NOT(ISNA(VLOOKUP(E589,E$1:E588,1,FALSE()))),"OLD",IF(AND(E589&lt;&gt;"",E589&lt;&gt;"!!!"),"NEW","")))</f>
        <v> </v>
      </c>
      <c r="G589" s="23" t="str">
        <f>IF(OR(E589="",E589="!!!"),"",IF(OR(J589=0,AND(J589=1,K589=1),AND(J589=1,I589="SBJ"),AND(J589=1,I589=0)),"?IN_FOCUS",IF(J589&lt;=2,"?ACTIVATED",IF(J589&lt;&gt;"","?FAMILIAR",IF(F589="NEW",IF(ISNA(VLOOKUP(E589,#REF!,1,FALSE())),"?TYPE_IDENTIFIABLE","?REFERENTIAL"),"_")))))</f>
        <v> </v>
      </c>
      <c r="H589" s="24" t="str">
        <f>IF(J589&lt;&gt;1,"",IF(I589="SBJ","CB","?"))</f>
        <v> </v>
      </c>
      <c r="I589" s="25" t="str">
        <f>IF(OR(E589="",E589="!!!",F589="NEW"),"",INDEX(B588:B$2,-1+SUMPRODUCT(MAX(ROW(E588:E$2)*(E589=E588:E$2)))))</f>
        <v> </v>
      </c>
      <c r="J589" s="25" t="str">
        <f>IF(OR(E589="",E589="!!!",F589="NEW"),"",COUNTBLANK(OFFSET(A$1,,,SUMPRODUCT(MAX(ROW(E$2:E589)*(E589=E$2:E589)))))-COUNTBLANK(OFFSET(A$1,,,SUMPRODUCT(MAX(ROW(E$1:E588)*(E2=E$1:E588))))))</f>
        <v> </v>
      </c>
      <c r="K589" s="25" t="str">
        <f>IF(OR(E589="",E589="!!!",F589="NEW"),"",INDEX(J$1:J588,SUMPRODUCT(MAX(ROW(E$1:E588)*(E589=E$1:E588)))))</f>
        <v> </v>
      </c>
      <c r="L589" s="26"/>
    </row>
    <row r="590" spans="1:12">
      <c r="A590" s="20" t="s">
        <v>790</v>
      </c>
      <c r="E590" s="21">
        <f>IF(D590="?OLD","!!!","")</f>
        <v/>
      </c>
      <c r="F590" s="22" t="str">
        <f>IF(OR(E590="",E590="!!!"),"",IF(NOT(ISNA(VLOOKUP(E590,E$1:E589,1,FALSE()))),"OLD",IF(AND(E590&lt;&gt;"",E590&lt;&gt;"!!!"),"NEW","")))</f>
        <v> </v>
      </c>
      <c r="G590" s="23" t="str">
        <f>IF(OR(E590="",E590="!!!"),"",IF(OR(J590=0,AND(J590=1,K590=1),AND(J590=1,I590="SBJ"),AND(J590=1,I590=0)),"?IN_FOCUS",IF(J590&lt;=2,"?ACTIVATED",IF(J590&lt;&gt;"","?FAMILIAR",IF(F590="NEW",IF(ISNA(VLOOKUP(E590,#REF!,1,FALSE())),"?TYPE_IDENTIFIABLE","?REFERENTIAL"),"_")))))</f>
        <v> </v>
      </c>
      <c r="H590" s="24" t="str">
        <f>IF(J590&lt;&gt;1,"",IF(I590="SBJ","CB","?"))</f>
        <v> </v>
      </c>
      <c r="I590" s="25" t="str">
        <f>IF(OR(E590="",E590="!!!",F590="NEW"),"",INDEX(B589:B$2,-1+SUMPRODUCT(MAX(ROW(E589:E$2)*(E590=E589:E$2)))))</f>
        <v> </v>
      </c>
      <c r="J590" s="25" t="str">
        <f>IF(OR(E590="",E590="!!!",F590="NEW"),"",COUNTBLANK(OFFSET(A$1,,,SUMPRODUCT(MAX(ROW(E$2:E590)*(E590=E$2:E590)))))-COUNTBLANK(OFFSET(A$1,,,SUMPRODUCT(MAX(ROW(E$1:E589)*(E2=E$1:E589))))))</f>
        <v> </v>
      </c>
      <c r="K590" s="25" t="str">
        <f>IF(OR(E590="",E590="!!!",F590="NEW"),"",INDEX(J$1:J589,SUMPRODUCT(MAX(ROW(E$1:E589)*(E590=E$1:E589)))))</f>
        <v> </v>
      </c>
      <c r="L590" s="26"/>
    </row>
    <row r="591" spans="1:12">
      <c r="A591" s="20" t="s">
        <v>253</v>
      </c>
      <c r="E591" s="21">
        <f>IF(D591="?OLD","!!!","")</f>
        <v/>
      </c>
      <c r="F591" s="22" t="str">
        <f>IF(OR(E591="",E591="!!!"),"",IF(NOT(ISNA(VLOOKUP(E591,E$1:E590,1,FALSE()))),"OLD",IF(AND(E591&lt;&gt;"",E591&lt;&gt;"!!!"),"NEW","")))</f>
        <v> </v>
      </c>
      <c r="G591" s="23" t="str">
        <f>IF(OR(E591="",E591="!!!"),"",IF(OR(J591=0,AND(J591=1,K591=1),AND(J591=1,I591="SBJ"),AND(J591=1,I591=0)),"?IN_FOCUS",IF(J591&lt;=2,"?ACTIVATED",IF(J591&lt;&gt;"","?FAMILIAR",IF(F591="NEW",IF(ISNA(VLOOKUP(E591,#REF!,1,FALSE())),"?TYPE_IDENTIFIABLE","?REFERENTIAL"),"_")))))</f>
        <v> </v>
      </c>
      <c r="H591" s="24" t="str">
        <f>IF(J591&lt;&gt;1,"",IF(I591="SBJ","CB","?"))</f>
        <v> </v>
      </c>
      <c r="I591" s="25" t="str">
        <f>IF(OR(E591="",E591="!!!",F591="NEW"),"",INDEX(B590:B$2,-1+SUMPRODUCT(MAX(ROW(E590:E$2)*(E591=E590:E$2)))))</f>
        <v> </v>
      </c>
      <c r="J591" s="25" t="str">
        <f>IF(OR(E591="",E591="!!!",F591="NEW"),"",COUNTBLANK(OFFSET(A$1,,,SUMPRODUCT(MAX(ROW(E$2:E591)*(E591=E$2:E591)))))-COUNTBLANK(OFFSET(A$1,,,SUMPRODUCT(MAX(ROW(E$1:E590)*(E2=E$1:E590))))))</f>
        <v> </v>
      </c>
      <c r="K591" s="25" t="str">
        <f>IF(OR(E591="",E591="!!!",F591="NEW"),"",INDEX(J$1:J590,SUMPRODUCT(MAX(ROW(E$1:E590)*(E591=E$1:E590)))))</f>
        <v> </v>
      </c>
      <c r="L591" s="26"/>
    </row>
    <row r="592" spans="1:12">
      <c r="A592" s="20"/>
    </row>
    <row r="593" spans="1:12">
      <c r="A593" s="20" t="s">
        <v>791</v>
      </c>
    </row>
    <row r="594" spans="1:12">
      <c r="A594" s="20" t="s">
        <v>792</v>
      </c>
      <c r="E594" s="21">
        <f>IF(D594="?OLD","!!!","")</f>
        <v/>
      </c>
      <c r="F594" s="22" t="str">
        <f>IF(OR(E594="",E594="!!!"),"",IF(NOT(ISNA(VLOOKUP(E594,E$1:E593,1,FALSE()))),"OLD",IF(AND(E594&lt;&gt;"",E594&lt;&gt;"!!!"),"NEW","")))</f>
        <v> </v>
      </c>
      <c r="G594" s="23" t="str">
        <f>IF(OR(E594="",E594="!!!"),"",IF(OR(J594=0,AND(J594=1,K594=1),AND(J594=1,I594="SBJ"),AND(J594=1,I594=0)),"?IN_FOCUS",IF(J594&lt;=2,"?ACTIVATED",IF(J594&lt;&gt;"","?FAMILIAR",IF(F594="NEW",IF(ISNA(VLOOKUP(E594,#REF!,1,FALSE())),"?TYPE_IDENTIFIABLE","?REFERENTIAL"),"_")))))</f>
        <v> </v>
      </c>
      <c r="H594" s="24" t="str">
        <f>IF(J594&lt;&gt;1,"",IF(I594="SBJ","CB","?"))</f>
        <v> </v>
      </c>
      <c r="I594" s="25" t="str">
        <f>IF(OR(E594="",E594="!!!",F594="NEW"),"",INDEX(B593:B$2,-1+SUMPRODUCT(MAX(ROW(E593:E$2)*(E594=E593:E$2)))))</f>
        <v> </v>
      </c>
      <c r="J594" s="25" t="str">
        <f>IF(OR(E594="",E594="!!!",F594="NEW"),"",COUNTBLANK(OFFSET(A$1,,,SUMPRODUCT(MAX(ROW(E$2:E594)*(E594=E$2:E594)))))-COUNTBLANK(OFFSET(A$1,,,SUMPRODUCT(MAX(ROW(E$1:E593)*(E2=E$1:E593))))))</f>
        <v> </v>
      </c>
      <c r="K594" s="25" t="str">
        <f>IF(OR(E594="",E594="!!!",F594="NEW"),"",INDEX(J$1:J593,SUMPRODUCT(MAX(ROW(E$1:E593)*(E594=E$1:E593)))))</f>
        <v> </v>
      </c>
      <c r="L594" s="26"/>
    </row>
    <row r="595" spans="1:12">
      <c r="A595" s="20" t="s">
        <v>793</v>
      </c>
      <c r="E595" s="21">
        <f>IF(D595="?OLD","!!!","")</f>
        <v/>
      </c>
      <c r="F595" s="22" t="str">
        <f>IF(OR(E595="",E595="!!!"),"",IF(NOT(ISNA(VLOOKUP(E595,E$1:E594,1,FALSE()))),"OLD",IF(AND(E595&lt;&gt;"",E595&lt;&gt;"!!!"),"NEW","")))</f>
        <v> </v>
      </c>
      <c r="G595" s="23" t="str">
        <f>IF(OR(E595="",E595="!!!"),"",IF(OR(J595=0,AND(J595=1,K595=1),AND(J595=1,I595="SBJ"),AND(J595=1,I595=0)),"?IN_FOCUS",IF(J595&lt;=2,"?ACTIVATED",IF(J595&lt;&gt;"","?FAMILIAR",IF(F595="NEW",IF(ISNA(VLOOKUP(E595,#REF!,1,FALSE())),"?TYPE_IDENTIFIABLE","?REFERENTIAL"),"_")))))</f>
        <v> </v>
      </c>
      <c r="H595" s="24" t="str">
        <f>IF(J595&lt;&gt;1,"",IF(I595="SBJ","CB","?"))</f>
        <v> </v>
      </c>
      <c r="I595" s="25" t="str">
        <f>IF(OR(E595="",E595="!!!",F595="NEW"),"",INDEX(B594:B$2,-1+SUMPRODUCT(MAX(ROW(E594:E$2)*(E595=E594:E$2)))))</f>
        <v> </v>
      </c>
      <c r="J595" s="25" t="str">
        <f>IF(OR(E595="",E595="!!!",F595="NEW"),"",COUNTBLANK(OFFSET(A$1,,,SUMPRODUCT(MAX(ROW(E$2:E595)*(E595=E$2:E595)))))-COUNTBLANK(OFFSET(A$1,,,SUMPRODUCT(MAX(ROW(E$1:E594)*(E2=E$1:E594))))))</f>
        <v> </v>
      </c>
      <c r="K595" s="25" t="str">
        <f>IF(OR(E595="",E595="!!!",F595="NEW"),"",INDEX(J$1:J594,SUMPRODUCT(MAX(ROW(E$1:E594)*(E595=E$1:E594)))))</f>
        <v> </v>
      </c>
      <c r="L595" s="26"/>
    </row>
    <row r="596" spans="1:12">
      <c r="A596" s="20" t="s">
        <v>493</v>
      </c>
      <c r="E596" s="21">
        <f>IF(D596="?OLD","!!!","")</f>
        <v/>
      </c>
      <c r="F596" s="22" t="str">
        <f>IF(OR(E596="",E596="!!!"),"",IF(NOT(ISNA(VLOOKUP(E596,E$1:E595,1,FALSE()))),"OLD",IF(AND(E596&lt;&gt;"",E596&lt;&gt;"!!!"),"NEW","")))</f>
        <v> </v>
      </c>
      <c r="G596" s="23" t="str">
        <f>IF(OR(E596="",E596="!!!"),"",IF(OR(J596=0,AND(J596=1,K596=1),AND(J596=1,I596="SBJ"),AND(J596=1,I596=0)),"?IN_FOCUS",IF(J596&lt;=2,"?ACTIVATED",IF(J596&lt;&gt;"","?FAMILIAR",IF(F596="NEW",IF(ISNA(VLOOKUP(E596,#REF!,1,FALSE())),"?TYPE_IDENTIFIABLE","?REFERENTIAL"),"_")))))</f>
        <v> </v>
      </c>
      <c r="H596" s="24" t="str">
        <f>IF(J596&lt;&gt;1,"",IF(I596="SBJ","CB","?"))</f>
        <v> </v>
      </c>
      <c r="I596" s="25" t="str">
        <f>IF(OR(E596="",E596="!!!",F596="NEW"),"",INDEX(B595:B$2,-1+SUMPRODUCT(MAX(ROW(E595:E$2)*(E596=E595:E$2)))))</f>
        <v> </v>
      </c>
      <c r="J596" s="25" t="str">
        <f>IF(OR(E596="",E596="!!!",F596="NEW"),"",COUNTBLANK(OFFSET(A$1,,,SUMPRODUCT(MAX(ROW(E$2:E596)*(E596=E$2:E596)))))-COUNTBLANK(OFFSET(A$1,,,SUMPRODUCT(MAX(ROW(E$1:E595)*(E2=E$1:E595))))))</f>
        <v> </v>
      </c>
      <c r="K596" s="25" t="str">
        <f>IF(OR(E596="",E596="!!!",F596="NEW"),"",INDEX(J$1:J595,SUMPRODUCT(MAX(ROW(E$1:E595)*(E596=E$1:E595)))))</f>
        <v> </v>
      </c>
      <c r="L596" s="26"/>
    </row>
    <row r="597" spans="1:12">
      <c r="A597" s="20" t="s">
        <v>513</v>
      </c>
      <c r="E597" s="21">
        <f>IF(D597="?OLD","!!!","")</f>
        <v/>
      </c>
      <c r="F597" s="22" t="str">
        <f>IF(OR(E597="",E597="!!!"),"",IF(NOT(ISNA(VLOOKUP(E597,E$1:E596,1,FALSE()))),"OLD",IF(AND(E597&lt;&gt;"",E597&lt;&gt;"!!!"),"NEW","")))</f>
        <v> </v>
      </c>
      <c r="G597" s="23" t="str">
        <f>IF(OR(E597="",E597="!!!"),"",IF(OR(J597=0,AND(J597=1,K597=1),AND(J597=1,I597="SBJ"),AND(J597=1,I597=0)),"?IN_FOCUS",IF(J597&lt;=2,"?ACTIVATED",IF(J597&lt;&gt;"","?FAMILIAR",IF(F597="NEW",IF(ISNA(VLOOKUP(E597,#REF!,1,FALSE())),"?TYPE_IDENTIFIABLE","?REFERENTIAL"),"_")))))</f>
        <v> </v>
      </c>
      <c r="H597" s="24" t="str">
        <f>IF(J597&lt;&gt;1,"",IF(I597="SBJ","CB","?"))</f>
        <v> </v>
      </c>
      <c r="I597" s="25" t="str">
        <f>IF(OR(E597="",E597="!!!",F597="NEW"),"",INDEX(B596:B$2,-1+SUMPRODUCT(MAX(ROW(E596:E$2)*(E597=E596:E$2)))))</f>
        <v> </v>
      </c>
      <c r="J597" s="25" t="str">
        <f>IF(OR(E597="",E597="!!!",F597="NEW"),"",COUNTBLANK(OFFSET(A$1,,,SUMPRODUCT(MAX(ROW(E$2:E597)*(E597=E$2:E597)))))-COUNTBLANK(OFFSET(A$1,,,SUMPRODUCT(MAX(ROW(E$1:E596)*(E2=E$1:E596))))))</f>
        <v> </v>
      </c>
      <c r="K597" s="25" t="str">
        <f>IF(OR(E597="",E597="!!!",F597="NEW"),"",INDEX(J$1:J596,SUMPRODUCT(MAX(ROW(E$1:E596)*(E597=E$1:E596)))))</f>
        <v> </v>
      </c>
      <c r="L597" s="26"/>
    </row>
    <row r="598" spans="1:12">
      <c r="A598" s="20" t="s">
        <v>496</v>
      </c>
      <c r="B598" s="27" t="s">
        <v>473</v>
      </c>
      <c r="C598" s="27" t="s">
        <v>497</v>
      </c>
      <c r="D598" s="27" t="s">
        <v>478</v>
      </c>
      <c r="E598" s="21">
        <f>IF(D598="?OLD","!!!","")</f>
        <v/>
      </c>
      <c r="F598" s="22" t="str">
        <f>IF(OR(E598="",E598="!!!"),"",IF(NOT(ISNA(VLOOKUP(E598,E$1:E597,1,FALSE()))),"OLD",IF(AND(E598&lt;&gt;"",E598&lt;&gt;"!!!"),"NEW","")))</f>
        <v> </v>
      </c>
      <c r="G598" s="23" t="str">
        <f>IF(OR(E598="",E598="!!!"),"",IF(OR(J598=0,AND(J598=1,K598=1),AND(J598=1,I598="SBJ"),AND(J598=1,I598=0)),"?IN_FOCUS",IF(J598&lt;=2,"?ACTIVATED",IF(J598&lt;&gt;"","?FAMILIAR",IF(F598="NEW",IF(ISNA(VLOOKUP(E598,#REF!,1,FALSE())),"?TYPE_IDENTIFIABLE","?REFERENTIAL"),"_")))))</f>
        <v> </v>
      </c>
      <c r="H598" s="24" t="str">
        <f>IF(J598&lt;&gt;1,"",IF(I598="SBJ","CB","?"))</f>
        <v> </v>
      </c>
      <c r="I598" s="25" t="str">
        <f>IF(OR(E598="",E598="!!!",F598="NEW"),"",INDEX(B597:B$2,-1+SUMPRODUCT(MAX(ROW(E597:E$2)*(E598=E597:E$2)))))</f>
        <v> </v>
      </c>
      <c r="J598" s="25" t="str">
        <f>IF(OR(E598="",E598="!!!",F598="NEW"),"",COUNTBLANK(OFFSET(A$1,,,SUMPRODUCT(MAX(ROW(E$2:E598)*(E598=E$2:E598)))))-COUNTBLANK(OFFSET(A$1,,,SUMPRODUCT(MAX(ROW(E$1:E597)*(E2=E$1:E597))))))</f>
        <v> </v>
      </c>
      <c r="K598" s="25" t="str">
        <f>IF(OR(E598="",E598="!!!",F598="NEW"),"",INDEX(J$1:J597,SUMPRODUCT(MAX(ROW(E$1:E597)*(E598=E$1:E597)))))</f>
        <v> </v>
      </c>
      <c r="L598" s="26"/>
    </row>
    <row r="599" spans="1:12">
      <c r="A599" s="20" t="s">
        <v>794</v>
      </c>
      <c r="E599" s="21">
        <f>IF(D599="?OLD","!!!","")</f>
        <v/>
      </c>
      <c r="F599" s="22" t="str">
        <f>IF(OR(E599="",E599="!!!"),"",IF(NOT(ISNA(VLOOKUP(E599,E$1:E598,1,FALSE()))),"OLD",IF(AND(E599&lt;&gt;"",E599&lt;&gt;"!!!"),"NEW","")))</f>
        <v> </v>
      </c>
      <c r="G599" s="23" t="str">
        <f>IF(OR(E599="",E599="!!!"),"",IF(OR(J599=0,AND(J599=1,K599=1),AND(J599=1,I599="SBJ"),AND(J599=1,I599=0)),"?IN_FOCUS",IF(J599&lt;=2,"?ACTIVATED",IF(J599&lt;&gt;"","?FAMILIAR",IF(F599="NEW",IF(ISNA(VLOOKUP(E599,#REF!,1,FALSE())),"?TYPE_IDENTIFIABLE","?REFERENTIAL"),"_")))))</f>
        <v> </v>
      </c>
      <c r="H599" s="24" t="str">
        <f>IF(J599&lt;&gt;1,"",IF(I599="SBJ","CB","?"))</f>
        <v> </v>
      </c>
      <c r="I599" s="25" t="str">
        <f>IF(OR(E599="",E599="!!!",F599="NEW"),"",INDEX(B598:B$2,-1+SUMPRODUCT(MAX(ROW(E598:E$2)*(E599=E598:E$2)))))</f>
        <v> </v>
      </c>
      <c r="J599" s="25" t="str">
        <f>IF(OR(E599="",E599="!!!",F599="NEW"),"",COUNTBLANK(OFFSET(A$1,,,SUMPRODUCT(MAX(ROW(E$2:E599)*(E599=E$2:E599)))))-COUNTBLANK(OFFSET(A$1,,,SUMPRODUCT(MAX(ROW(E$1:E598)*(E2=E$1:E598))))))</f>
        <v> </v>
      </c>
      <c r="K599" s="25" t="str">
        <f>IF(OR(E599="",E599="!!!",F599="NEW"),"",INDEX(J$1:J598,SUMPRODUCT(MAX(ROW(E$1:E598)*(E599=E$1:E598)))))</f>
        <v> </v>
      </c>
      <c r="L599" s="26"/>
    </row>
    <row r="600" spans="1:12">
      <c r="A600" s="20" t="s">
        <v>482</v>
      </c>
      <c r="E600" s="21">
        <f>IF(D600="?OLD","!!!","")</f>
        <v/>
      </c>
      <c r="F600" s="22" t="str">
        <f>IF(OR(E600="",E600="!!!"),"",IF(NOT(ISNA(VLOOKUP(E600,E$1:E599,1,FALSE()))),"OLD",IF(AND(E600&lt;&gt;"",E600&lt;&gt;"!!!"),"NEW","")))</f>
        <v> </v>
      </c>
      <c r="G600" s="23" t="str">
        <f>IF(OR(E600="",E600="!!!"),"",IF(OR(J600=0,AND(J600=1,K600=1),AND(J600=1,I600="SBJ"),AND(J600=1,I600=0)),"?IN_FOCUS",IF(J600&lt;=2,"?ACTIVATED",IF(J600&lt;&gt;"","?FAMILIAR",IF(F600="NEW",IF(ISNA(VLOOKUP(E600,#REF!,1,FALSE())),"?TYPE_IDENTIFIABLE","?REFERENTIAL"),"_")))))</f>
        <v> </v>
      </c>
      <c r="H600" s="24" t="str">
        <f>IF(J600&lt;&gt;1,"",IF(I600="SBJ","CB","?"))</f>
        <v> </v>
      </c>
      <c r="I600" s="25" t="str">
        <f>IF(OR(E600="",E600="!!!",F600="NEW"),"",INDEX(B599:B$2,-1+SUMPRODUCT(MAX(ROW(E599:E$2)*(E600=E599:E$2)))))</f>
        <v> </v>
      </c>
      <c r="J600" s="25" t="str">
        <f>IF(OR(E600="",E600="!!!",F600="NEW"),"",COUNTBLANK(OFFSET(A$1,,,SUMPRODUCT(MAX(ROW(E$2:E600)*(E600=E$2:E600)))))-COUNTBLANK(OFFSET(A$1,,,SUMPRODUCT(MAX(ROW(E$1:E599)*(E2=E$1:E599))))))</f>
        <v> </v>
      </c>
      <c r="K600" s="25" t="str">
        <f>IF(OR(E600="",E600="!!!",F600="NEW"),"",INDEX(J$1:J599,SUMPRODUCT(MAX(ROW(E$1:E599)*(E600=E$1:E599)))))</f>
        <v> </v>
      </c>
      <c r="L600" s="26"/>
    </row>
    <row r="601" spans="1:12">
      <c r="A601" s="20" t="s">
        <v>493</v>
      </c>
      <c r="E601" s="21">
        <f>IF(D601="?OLD","!!!","")</f>
        <v/>
      </c>
      <c r="F601" s="22" t="str">
        <f>IF(OR(E601="",E601="!!!"),"",IF(NOT(ISNA(VLOOKUP(E601,E$1:E600,1,FALSE()))),"OLD",IF(AND(E601&lt;&gt;"",E601&lt;&gt;"!!!"),"NEW","")))</f>
        <v> </v>
      </c>
      <c r="G601" s="23" t="str">
        <f>IF(OR(E601="",E601="!!!"),"",IF(OR(J601=0,AND(J601=1,K601=1),AND(J601=1,I601="SBJ"),AND(J601=1,I601=0)),"?IN_FOCUS",IF(J601&lt;=2,"?ACTIVATED",IF(J601&lt;&gt;"","?FAMILIAR",IF(F601="NEW",IF(ISNA(VLOOKUP(E601,#REF!,1,FALSE())),"?TYPE_IDENTIFIABLE","?REFERENTIAL"),"_")))))</f>
        <v> </v>
      </c>
      <c r="H601" s="24" t="str">
        <f>IF(J601&lt;&gt;1,"",IF(I601="SBJ","CB","?"))</f>
        <v> </v>
      </c>
      <c r="I601" s="25" t="str">
        <f>IF(OR(E601="",E601="!!!",F601="NEW"),"",INDEX(B600:B$2,-1+SUMPRODUCT(MAX(ROW(E600:E$2)*(E601=E600:E$2)))))</f>
        <v> </v>
      </c>
      <c r="J601" s="25" t="str">
        <f>IF(OR(E601="",E601="!!!",F601="NEW"),"",COUNTBLANK(OFFSET(A$1,,,SUMPRODUCT(MAX(ROW(E$2:E601)*(E601=E$2:E601)))))-COUNTBLANK(OFFSET(A$1,,,SUMPRODUCT(MAX(ROW(E$1:E600)*(E2=E$1:E600))))))</f>
        <v> </v>
      </c>
      <c r="K601" s="25" t="str">
        <f>IF(OR(E601="",E601="!!!",F601="NEW"),"",INDEX(J$1:J600,SUMPRODUCT(MAX(ROW(E$1:E600)*(E601=E$1:E600)))))</f>
        <v> </v>
      </c>
      <c r="L601" s="26"/>
    </row>
    <row r="602" spans="1:12">
      <c r="A602" s="20" t="s">
        <v>164</v>
      </c>
      <c r="B602" s="27" t="s">
        <v>473</v>
      </c>
      <c r="C602" s="27" t="s">
        <v>795</v>
      </c>
      <c r="D602" s="27" t="s">
        <v>478</v>
      </c>
      <c r="E602" s="21">
        <f>IF(D602="?OLD","!!!","")</f>
        <v/>
      </c>
      <c r="F602" s="22" t="str">
        <f>IF(OR(E602="",E602="!!!"),"",IF(NOT(ISNA(VLOOKUP(E602,E$1:E601,1,FALSE()))),"OLD",IF(AND(E602&lt;&gt;"",E602&lt;&gt;"!!!"),"NEW","")))</f>
        <v> </v>
      </c>
      <c r="G602" s="23" t="str">
        <f>IF(OR(E602="",E602="!!!"),"",IF(OR(J602=0,AND(J602=1,K602=1),AND(J602=1,I602="SBJ"),AND(J602=1,I602=0)),"?IN_FOCUS",IF(J602&lt;=2,"?ACTIVATED",IF(J602&lt;&gt;"","?FAMILIAR",IF(F602="NEW",IF(ISNA(VLOOKUP(E602,#REF!,1,FALSE())),"?TYPE_IDENTIFIABLE","?REFERENTIAL"),"_")))))</f>
        <v> </v>
      </c>
      <c r="H602" s="24" t="str">
        <f>IF(J602&lt;&gt;1,"",IF(I602="SBJ","CB","?"))</f>
        <v> </v>
      </c>
      <c r="I602" s="25" t="str">
        <f>IF(OR(E602="",E602="!!!",F602="NEW"),"",INDEX(B601:B$2,-1+SUMPRODUCT(MAX(ROW(E601:E$2)*(E602=E601:E$2)))))</f>
        <v> </v>
      </c>
      <c r="J602" s="25" t="str">
        <f>IF(OR(E602="",E602="!!!",F602="NEW"),"",COUNTBLANK(OFFSET(A$1,,,SUMPRODUCT(MAX(ROW(E$2:E602)*(E602=E$2:E602)))))-COUNTBLANK(OFFSET(A$1,,,SUMPRODUCT(MAX(ROW(E$1:E601)*(E2=E$1:E601))))))</f>
        <v> </v>
      </c>
      <c r="K602" s="25" t="str">
        <f>IF(OR(E602="",E602="!!!",F602="NEW"),"",INDEX(J$1:J601,SUMPRODUCT(MAX(ROW(E$1:E601)*(E602=E$1:E601)))))</f>
        <v> </v>
      </c>
      <c r="L602" s="26"/>
    </row>
    <row r="603" spans="1:12">
      <c r="A603" s="20" t="s">
        <v>796</v>
      </c>
      <c r="E603" s="21">
        <f>IF(D603="?OLD","!!!","")</f>
        <v/>
      </c>
      <c r="F603" s="22" t="str">
        <f>IF(OR(E603="",E603="!!!"),"",IF(NOT(ISNA(VLOOKUP(E603,E$1:E602,1,FALSE()))),"OLD",IF(AND(E603&lt;&gt;"",E603&lt;&gt;"!!!"),"NEW","")))</f>
        <v> </v>
      </c>
      <c r="G603" s="23" t="str">
        <f>IF(OR(E603="",E603="!!!"),"",IF(OR(J603=0,AND(J603=1,K603=1),AND(J603=1,I603="SBJ"),AND(J603=1,I603=0)),"?IN_FOCUS",IF(J603&lt;=2,"?ACTIVATED",IF(J603&lt;&gt;"","?FAMILIAR",IF(F603="NEW",IF(ISNA(VLOOKUP(E603,#REF!,1,FALSE())),"?TYPE_IDENTIFIABLE","?REFERENTIAL"),"_")))))</f>
        <v> </v>
      </c>
      <c r="H603" s="24" t="str">
        <f>IF(J603&lt;&gt;1,"",IF(I603="SBJ","CB","?"))</f>
        <v> </v>
      </c>
      <c r="I603" s="25" t="str">
        <f>IF(OR(E603="",E603="!!!",F603="NEW"),"",INDEX(B602:B$2,-1+SUMPRODUCT(MAX(ROW(E602:E$2)*(E603=E602:E$2)))))</f>
        <v> </v>
      </c>
      <c r="J603" s="25" t="str">
        <f>IF(OR(E603="",E603="!!!",F603="NEW"),"",COUNTBLANK(OFFSET(A$1,,,SUMPRODUCT(MAX(ROW(E$2:E603)*(E603=E$2:E603)))))-COUNTBLANK(OFFSET(A$1,,,SUMPRODUCT(MAX(ROW(E$1:E602)*(E2=E$1:E602))))))</f>
        <v> </v>
      </c>
      <c r="K603" s="25" t="str">
        <f>IF(OR(E603="",E603="!!!",F603="NEW"),"",INDEX(J$1:J602,SUMPRODUCT(MAX(ROW(E$1:E602)*(E603=E$1:E602)))))</f>
        <v> </v>
      </c>
      <c r="L603" s="26"/>
    </row>
    <row r="604" spans="1:12">
      <c r="A604" s="20" t="s">
        <v>515</v>
      </c>
      <c r="E604" s="21">
        <f>IF(D604="?OLD","!!!","")</f>
        <v/>
      </c>
      <c r="F604" s="22" t="str">
        <f>IF(OR(E604="",E604="!!!"),"",IF(NOT(ISNA(VLOOKUP(E604,E$1:E603,1,FALSE()))),"OLD",IF(AND(E604&lt;&gt;"",E604&lt;&gt;"!!!"),"NEW","")))</f>
        <v> </v>
      </c>
      <c r="G604" s="23" t="str">
        <f>IF(OR(E604="",E604="!!!"),"",IF(OR(J604=0,AND(J604=1,K604=1),AND(J604=1,I604="SBJ"),AND(J604=1,I604=0)),"?IN_FOCUS",IF(J604&lt;=2,"?ACTIVATED",IF(J604&lt;&gt;"","?FAMILIAR",IF(F604="NEW",IF(ISNA(VLOOKUP(E604,#REF!,1,FALSE())),"?TYPE_IDENTIFIABLE","?REFERENTIAL"),"_")))))</f>
        <v> </v>
      </c>
      <c r="H604" s="24" t="str">
        <f>IF(J604&lt;&gt;1,"",IF(I604="SBJ","CB","?"))</f>
        <v> </v>
      </c>
      <c r="I604" s="25" t="str">
        <f>IF(OR(E604="",E604="!!!",F604="NEW"),"",INDEX(B603:B$2,-1+SUMPRODUCT(MAX(ROW(E603:E$2)*(E604=E603:E$2)))))</f>
        <v> </v>
      </c>
      <c r="J604" s="25" t="str">
        <f>IF(OR(E604="",E604="!!!",F604="NEW"),"",COUNTBLANK(OFFSET(A$1,,,SUMPRODUCT(MAX(ROW(E$2:E604)*(E604=E$2:E604)))))-COUNTBLANK(OFFSET(A$1,,,SUMPRODUCT(MAX(ROW(E$1:E603)*(E2=E$1:E603))))))</f>
        <v> </v>
      </c>
      <c r="K604" s="25" t="str">
        <f>IF(OR(E604="",E604="!!!",F604="NEW"),"",INDEX(J$1:J603,SUMPRODUCT(MAX(ROW(E$1:E603)*(E604=E$1:E603)))))</f>
        <v> </v>
      </c>
      <c r="L604" s="26"/>
    </row>
    <row r="605" spans="1:12">
      <c r="A605" s="20"/>
    </row>
    <row r="606" spans="1:12">
      <c r="A606" s="20" t="s">
        <v>797</v>
      </c>
    </row>
    <row r="607" spans="1:12">
      <c r="A607" s="20" t="s">
        <v>581</v>
      </c>
      <c r="E607" s="21">
        <f>IF(D607="?OLD","!!!","")</f>
        <v/>
      </c>
      <c r="F607" s="22" t="str">
        <f>IF(OR(E607="",E607="!!!"),"",IF(NOT(ISNA(VLOOKUP(E607,E$1:E606,1,FALSE()))),"OLD",IF(AND(E607&lt;&gt;"",E607&lt;&gt;"!!!"),"NEW","")))</f>
        <v> </v>
      </c>
      <c r="G607" s="23" t="str">
        <f>IF(OR(E607="",E607="!!!"),"",IF(OR(J607=0,AND(J607=1,K607=1),AND(J607=1,I607="SBJ"),AND(J607=1,I607=0)),"?IN_FOCUS",IF(J607&lt;=2,"?ACTIVATED",IF(J607&lt;&gt;"","?FAMILIAR",IF(F607="NEW",IF(ISNA(VLOOKUP(E607,#REF!,1,FALSE())),"?TYPE_IDENTIFIABLE","?REFERENTIAL"),"_")))))</f>
        <v> </v>
      </c>
      <c r="H607" s="24" t="str">
        <f>IF(J607&lt;&gt;1,"",IF(I607="SBJ","CB","?"))</f>
        <v> </v>
      </c>
      <c r="I607" s="25" t="str">
        <f>IF(OR(E607="",E607="!!!",F607="NEW"),"",INDEX(B606:B$2,-1+SUMPRODUCT(MAX(ROW(E606:E$2)*(E607=E606:E$2)))))</f>
        <v> </v>
      </c>
      <c r="J607" s="25" t="str">
        <f>IF(OR(E607="",E607="!!!",F607="NEW"),"",COUNTBLANK(OFFSET(A$1,,,SUMPRODUCT(MAX(ROW(E$2:E607)*(E607=E$2:E607)))))-COUNTBLANK(OFFSET(A$1,,,SUMPRODUCT(MAX(ROW(E$1:E606)*(E2=E$1:E606))))))</f>
        <v> </v>
      </c>
      <c r="K607" s="25" t="str">
        <f>IF(OR(E607="",E607="!!!",F607="NEW"),"",INDEX(J$1:J606,SUMPRODUCT(MAX(ROW(E$1:E606)*(E607=E$1:E606)))))</f>
        <v> </v>
      </c>
      <c r="L607" s="26"/>
    </row>
    <row r="608" spans="1:12">
      <c r="A608" s="20" t="s">
        <v>608</v>
      </c>
      <c r="E608" s="21">
        <f>IF(D608="?OLD","!!!","")</f>
        <v/>
      </c>
      <c r="F608" s="22" t="str">
        <f>IF(OR(E608="",E608="!!!"),"",IF(NOT(ISNA(VLOOKUP(E608,E$1:E607,1,FALSE()))),"OLD",IF(AND(E608&lt;&gt;"",E608&lt;&gt;"!!!"),"NEW","")))</f>
        <v> </v>
      </c>
      <c r="G608" s="23" t="str">
        <f>IF(OR(E608="",E608="!!!"),"",IF(OR(J608=0,AND(J608=1,K608=1),AND(J608=1,I608="SBJ"),AND(J608=1,I608=0)),"?IN_FOCUS",IF(J608&lt;=2,"?ACTIVATED",IF(J608&lt;&gt;"","?FAMILIAR",IF(F608="NEW",IF(ISNA(VLOOKUP(E608,#REF!,1,FALSE())),"?TYPE_IDENTIFIABLE","?REFERENTIAL"),"_")))))</f>
        <v> </v>
      </c>
      <c r="H608" s="24" t="str">
        <f>IF(J608&lt;&gt;1,"",IF(I608="SBJ","CB","?"))</f>
        <v> </v>
      </c>
      <c r="I608" s="25" t="str">
        <f>IF(OR(E608="",E608="!!!",F608="NEW"),"",INDEX(B607:B$2,-1+SUMPRODUCT(MAX(ROW(E607:E$2)*(E608=E607:E$2)))))</f>
        <v> </v>
      </c>
      <c r="J608" s="25" t="str">
        <f>IF(OR(E608="",E608="!!!",F608="NEW"),"",COUNTBLANK(OFFSET(A$1,,,SUMPRODUCT(MAX(ROW(E$2:E608)*(E608=E$2:E608)))))-COUNTBLANK(OFFSET(A$1,,,SUMPRODUCT(MAX(ROW(E$1:E607)*(E2=E$1:E607))))))</f>
        <v> </v>
      </c>
      <c r="K608" s="25" t="str">
        <f>IF(OR(E608="",E608="!!!",F608="NEW"),"",INDEX(J$1:J607,SUMPRODUCT(MAX(ROW(E$1:E607)*(E608=E$1:E607)))))</f>
        <v> </v>
      </c>
      <c r="L608" s="26"/>
    </row>
    <row r="609" spans="1:12">
      <c r="A609" s="20" t="s">
        <v>475</v>
      </c>
      <c r="B609" s="27" t="s">
        <v>476</v>
      </c>
      <c r="C609" s="27" t="s">
        <v>477</v>
      </c>
      <c r="D609" s="27" t="s">
        <v>478</v>
      </c>
      <c r="E609" s="21">
        <f>IF(D609="?OLD","!!!","")</f>
        <v/>
      </c>
      <c r="F609" s="22" t="str">
        <f>IF(OR(E609="",E609="!!!"),"",IF(NOT(ISNA(VLOOKUP(E609,E$1:E608,1,FALSE()))),"OLD",IF(AND(E609&lt;&gt;"",E609&lt;&gt;"!!!"),"NEW","")))</f>
        <v> </v>
      </c>
      <c r="G609" s="23" t="str">
        <f>IF(OR(E609="",E609="!!!"),"",IF(OR(J609=0,AND(J609=1,K609=1),AND(J609=1,I609="SBJ"),AND(J609=1,I609=0)),"?IN_FOCUS",IF(J609&lt;=2,"?ACTIVATED",IF(J609&lt;&gt;"","?FAMILIAR",IF(F609="NEW",IF(ISNA(VLOOKUP(E609,#REF!,1,FALSE())),"?TYPE_IDENTIFIABLE","?REFERENTIAL"),"_")))))</f>
        <v> </v>
      </c>
      <c r="H609" s="24" t="str">
        <f>IF(J609&lt;&gt;1,"",IF(I609="SBJ","CB","?"))</f>
        <v> </v>
      </c>
      <c r="I609" s="25" t="str">
        <f>IF(OR(E609="",E609="!!!",F609="NEW"),"",INDEX(B608:B$2,-1+SUMPRODUCT(MAX(ROW(E608:E$2)*(E609=E608:E$2)))))</f>
        <v> </v>
      </c>
      <c r="J609" s="25" t="str">
        <f>IF(OR(E609="",E609="!!!",F609="NEW"),"",COUNTBLANK(OFFSET(A$1,,,SUMPRODUCT(MAX(ROW(E$2:E609)*(E609=E$2:E609)))))-COUNTBLANK(OFFSET(A$1,,,SUMPRODUCT(MAX(ROW(E$1:E608)*(E2=E$1:E608))))))</f>
        <v> </v>
      </c>
      <c r="K609" s="25" t="str">
        <f>IF(OR(E609="",E609="!!!",F609="NEW"),"",INDEX(J$1:J608,SUMPRODUCT(MAX(ROW(E$1:E608)*(E609=E$1:E608)))))</f>
        <v> </v>
      </c>
      <c r="L609" s="26"/>
    </row>
    <row r="610" spans="1:12">
      <c r="A610" s="20" t="s">
        <v>798</v>
      </c>
      <c r="E610" s="21">
        <f>IF(D610="?OLD","!!!","")</f>
        <v/>
      </c>
      <c r="F610" s="22" t="str">
        <f>IF(OR(E610="",E610="!!!"),"",IF(NOT(ISNA(VLOOKUP(E610,E$1:E609,1,FALSE()))),"OLD",IF(AND(E610&lt;&gt;"",E610&lt;&gt;"!!!"),"NEW","")))</f>
        <v> </v>
      </c>
      <c r="G610" s="23" t="str">
        <f>IF(OR(E610="",E610="!!!"),"",IF(OR(J610=0,AND(J610=1,K610=1),AND(J610=1,I610="SBJ"),AND(J610=1,I610=0)),"?IN_FOCUS",IF(J610&lt;=2,"?ACTIVATED",IF(J610&lt;&gt;"","?FAMILIAR",IF(F610="NEW",IF(ISNA(VLOOKUP(E610,#REF!,1,FALSE())),"?TYPE_IDENTIFIABLE","?REFERENTIAL"),"_")))))</f>
        <v> </v>
      </c>
      <c r="H610" s="24" t="str">
        <f>IF(J610&lt;&gt;1,"",IF(I610="SBJ","CB","?"))</f>
        <v> </v>
      </c>
      <c r="I610" s="25" t="str">
        <f>IF(OR(E610="",E610="!!!",F610="NEW"),"",INDEX(B609:B$2,-1+SUMPRODUCT(MAX(ROW(E609:E$2)*(E610=E609:E$2)))))</f>
        <v> </v>
      </c>
      <c r="J610" s="25" t="str">
        <f>IF(OR(E610="",E610="!!!",F610="NEW"),"",COUNTBLANK(OFFSET(A$1,,,SUMPRODUCT(MAX(ROW(E$2:E610)*(E610=E$2:E610)))))-COUNTBLANK(OFFSET(A$1,,,SUMPRODUCT(MAX(ROW(E$1:E609)*(E2=E$1:E609))))))</f>
        <v> </v>
      </c>
      <c r="K610" s="25" t="str">
        <f>IF(OR(E610="",E610="!!!",F610="NEW"),"",INDEX(J$1:J609,SUMPRODUCT(MAX(ROW(E$1:E609)*(E610=E$1:E609)))))</f>
        <v> </v>
      </c>
      <c r="L610" s="26"/>
    </row>
    <row r="611" spans="1:12">
      <c r="A611" s="20" t="s">
        <v>655</v>
      </c>
      <c r="B611" s="27" t="s">
        <v>521</v>
      </c>
      <c r="E611" s="21">
        <f>IF(D611="?OLD","!!!","")</f>
        <v/>
      </c>
      <c r="F611" s="22" t="str">
        <f>IF(OR(E611="",E611="!!!"),"",IF(NOT(ISNA(VLOOKUP(E611,E$1:E610,1,FALSE()))),"OLD",IF(AND(E611&lt;&gt;"",E611&lt;&gt;"!!!"),"NEW","")))</f>
        <v> </v>
      </c>
      <c r="G611" s="23" t="str">
        <f>IF(OR(E611="",E611="!!!"),"",IF(OR(J611=0,AND(J611=1,K611=1),AND(J611=1,I611="SBJ"),AND(J611=1,I611=0)),"?IN_FOCUS",IF(J611&lt;=2,"?ACTIVATED",IF(J611&lt;&gt;"","?FAMILIAR",IF(F611="NEW",IF(ISNA(VLOOKUP(E611,#REF!,1,FALSE())),"?TYPE_IDENTIFIABLE","?REFERENTIAL"),"_")))))</f>
        <v> </v>
      </c>
      <c r="H611" s="24" t="str">
        <f>IF(J611&lt;&gt;1,"",IF(I611="SBJ","CB","?"))</f>
        <v> </v>
      </c>
      <c r="I611" s="25" t="str">
        <f>IF(OR(E611="",E611="!!!",F611="NEW"),"",INDEX(B610:B$2,-1+SUMPRODUCT(MAX(ROW(E610:E$2)*(E611=E610:E$2)))))</f>
        <v> </v>
      </c>
      <c r="J611" s="25" t="str">
        <f>IF(OR(E611="",E611="!!!",F611="NEW"),"",COUNTBLANK(OFFSET(A$1,,,SUMPRODUCT(MAX(ROW(E$2:E611)*(E611=E$2:E611)))))-COUNTBLANK(OFFSET(A$1,,,SUMPRODUCT(MAX(ROW(E$1:E610)*(E2=E$1:E610))))))</f>
        <v> </v>
      </c>
      <c r="K611" s="25" t="str">
        <f>IF(OR(E611="",E611="!!!",F611="NEW"),"",INDEX(J$1:J610,SUMPRODUCT(MAX(ROW(E$1:E610)*(E611=E$1:E610)))))</f>
        <v> </v>
      </c>
      <c r="L611" s="26"/>
    </row>
    <row r="612" spans="1:12">
      <c r="A612" s="20" t="s">
        <v>253</v>
      </c>
      <c r="E612" s="21">
        <f>IF(D612="?OLD","!!!","")</f>
        <v/>
      </c>
      <c r="F612" s="22" t="str">
        <f>IF(OR(E612="",E612="!!!"),"",IF(NOT(ISNA(VLOOKUP(E612,E$1:E611,1,FALSE()))),"OLD",IF(AND(E612&lt;&gt;"",E612&lt;&gt;"!!!"),"NEW","")))</f>
        <v> </v>
      </c>
      <c r="G612" s="23" t="str">
        <f>IF(OR(E612="",E612="!!!"),"",IF(OR(J612=0,AND(J612=1,K612=1),AND(J612=1,I612="SBJ"),AND(J612=1,I612=0)),"?IN_FOCUS",IF(J612&lt;=2,"?ACTIVATED",IF(J612&lt;&gt;"","?FAMILIAR",IF(F612="NEW",IF(ISNA(VLOOKUP(E612,#REF!,1,FALSE())),"?TYPE_IDENTIFIABLE","?REFERENTIAL"),"_")))))</f>
        <v> </v>
      </c>
      <c r="H612" s="24" t="str">
        <f>IF(J612&lt;&gt;1,"",IF(I612="SBJ","CB","?"))</f>
        <v> </v>
      </c>
      <c r="I612" s="25" t="str">
        <f>IF(OR(E612="",E612="!!!",F612="NEW"),"",INDEX(B611:B$2,-1+SUMPRODUCT(MAX(ROW(E611:E$2)*(E612=E611:E$2)))))</f>
        <v> </v>
      </c>
      <c r="J612" s="25" t="str">
        <f>IF(OR(E612="",E612="!!!",F612="NEW"),"",COUNTBLANK(OFFSET(A$1,,,SUMPRODUCT(MAX(ROW(E$2:E612)*(E612=E$2:E612)))))-COUNTBLANK(OFFSET(A$1,,,SUMPRODUCT(MAX(ROW(E$1:E611)*(E2=E$1:E611))))))</f>
        <v> </v>
      </c>
      <c r="K612" s="25" t="str">
        <f>IF(OR(E612="",E612="!!!",F612="NEW"),"",INDEX(J$1:J611,SUMPRODUCT(MAX(ROW(E$1:E611)*(E612=E$1:E611)))))</f>
        <v> </v>
      </c>
      <c r="L612" s="26"/>
    </row>
    <row r="613" spans="1:12">
      <c r="A613" s="20"/>
    </row>
    <row r="614" spans="1:12">
      <c r="A614" s="20" t="s">
        <v>799</v>
      </c>
    </row>
    <row r="615" spans="1:12">
      <c r="A615" s="20" t="s">
        <v>639</v>
      </c>
      <c r="E615" s="21">
        <f>IF(D615="?OLD","!!!","")</f>
        <v/>
      </c>
      <c r="F615" s="22" t="str">
        <f>IF(OR(E615="",E615="!!!"),"",IF(NOT(ISNA(VLOOKUP(E615,E$1:E614,1,FALSE()))),"OLD",IF(AND(E615&lt;&gt;"",E615&lt;&gt;"!!!"),"NEW","")))</f>
        <v> </v>
      </c>
      <c r="G615" s="23" t="str">
        <f>IF(OR(E615="",E615="!!!"),"",IF(OR(J615=0,AND(J615=1,K615=1),AND(J615=1,I615="SBJ"),AND(J615=1,I615=0)),"?IN_FOCUS",IF(J615&lt;=2,"?ACTIVATED",IF(J615&lt;&gt;"","?FAMILIAR",IF(F615="NEW",IF(ISNA(VLOOKUP(E615,#REF!,1,FALSE())),"?TYPE_IDENTIFIABLE","?REFERENTIAL"),"_")))))</f>
        <v> </v>
      </c>
      <c r="H615" s="24" t="str">
        <f>IF(J615&lt;&gt;1,"",IF(I615="SBJ","CB","?"))</f>
        <v> </v>
      </c>
      <c r="I615" s="25" t="str">
        <f>IF(OR(E615="",E615="!!!",F615="NEW"),"",INDEX(B614:B$2,-1+SUMPRODUCT(MAX(ROW(E614:E$2)*(E615=E614:E$2)))))</f>
        <v> </v>
      </c>
      <c r="J615" s="25" t="str">
        <f>IF(OR(E615="",E615="!!!",F615="NEW"),"",COUNTBLANK(OFFSET(A$1,,,SUMPRODUCT(MAX(ROW(E$2:E615)*(E615=E$2:E615)))))-COUNTBLANK(OFFSET(A$1,,,SUMPRODUCT(MAX(ROW(E$1:E614)*(E2=E$1:E614))))))</f>
        <v> </v>
      </c>
      <c r="K615" s="25" t="str">
        <f>IF(OR(E615="",E615="!!!",F615="NEW"),"",INDEX(J$1:J614,SUMPRODUCT(MAX(ROW(E$1:E614)*(E615=E$1:E614)))))</f>
        <v> </v>
      </c>
      <c r="L615" s="26"/>
    </row>
    <row r="616" spans="1:12">
      <c r="A616" s="20" t="s">
        <v>640</v>
      </c>
      <c r="E616" s="21">
        <f>IF(D616="?OLD","!!!","")</f>
        <v/>
      </c>
      <c r="F616" s="22" t="str">
        <f>IF(OR(E616="",E616="!!!"),"",IF(NOT(ISNA(VLOOKUP(E616,E$1:E615,1,FALSE()))),"OLD",IF(AND(E616&lt;&gt;"",E616&lt;&gt;"!!!"),"NEW","")))</f>
        <v> </v>
      </c>
      <c r="G616" s="23" t="str">
        <f>IF(OR(E616="",E616="!!!"),"",IF(OR(J616=0,AND(J616=1,K616=1),AND(J616=1,I616="SBJ"),AND(J616=1,I616=0)),"?IN_FOCUS",IF(J616&lt;=2,"?ACTIVATED",IF(J616&lt;&gt;"","?FAMILIAR",IF(F616="NEW",IF(ISNA(VLOOKUP(E616,#REF!,1,FALSE())),"?TYPE_IDENTIFIABLE","?REFERENTIAL"),"_")))))</f>
        <v> </v>
      </c>
      <c r="H616" s="24" t="str">
        <f>IF(J616&lt;&gt;1,"",IF(I616="SBJ","CB","?"))</f>
        <v> </v>
      </c>
      <c r="I616" s="25" t="str">
        <f>IF(OR(E616="",E616="!!!",F616="NEW"),"",INDEX(B615:B$2,-1+SUMPRODUCT(MAX(ROW(E615:E$2)*(E616=E615:E$2)))))</f>
        <v> </v>
      </c>
      <c r="J616" s="25" t="str">
        <f>IF(OR(E616="",E616="!!!",F616="NEW"),"",COUNTBLANK(OFFSET(A$1,,,SUMPRODUCT(MAX(ROW(E$2:E616)*(E616=E$2:E616)))))-COUNTBLANK(OFFSET(A$1,,,SUMPRODUCT(MAX(ROW(E$1:E615)*(E2=E$1:E615))))))</f>
        <v> </v>
      </c>
      <c r="K616" s="25" t="str">
        <f>IF(OR(E616="",E616="!!!",F616="NEW"),"",INDEX(J$1:J615,SUMPRODUCT(MAX(ROW(E$1:E615)*(E616=E$1:E615)))))</f>
        <v> </v>
      </c>
      <c r="L616" s="26"/>
    </row>
    <row r="617" spans="1:12">
      <c r="A617" s="20" t="s">
        <v>482</v>
      </c>
      <c r="E617" s="21">
        <f>IF(D617="?OLD","!!!","")</f>
        <v/>
      </c>
      <c r="F617" s="22" t="str">
        <f>IF(OR(E617="",E617="!!!"),"",IF(NOT(ISNA(VLOOKUP(E617,E$1:E616,1,FALSE()))),"OLD",IF(AND(E617&lt;&gt;"",E617&lt;&gt;"!!!"),"NEW","")))</f>
        <v> </v>
      </c>
      <c r="G617" s="23" t="str">
        <f>IF(OR(E617="",E617="!!!"),"",IF(OR(J617=0,AND(J617=1,K617=1),AND(J617=1,I617="SBJ"),AND(J617=1,I617=0)),"?IN_FOCUS",IF(J617&lt;=2,"?ACTIVATED",IF(J617&lt;&gt;"","?FAMILIAR",IF(F617="NEW",IF(ISNA(VLOOKUP(E617,#REF!,1,FALSE())),"?TYPE_IDENTIFIABLE","?REFERENTIAL"),"_")))))</f>
        <v> </v>
      </c>
      <c r="H617" s="24" t="str">
        <f>IF(J617&lt;&gt;1,"",IF(I617="SBJ","CB","?"))</f>
        <v> </v>
      </c>
      <c r="I617" s="25" t="str">
        <f>IF(OR(E617="",E617="!!!",F617="NEW"),"",INDEX(B616:B$2,-1+SUMPRODUCT(MAX(ROW(E616:E$2)*(E617=E616:E$2)))))</f>
        <v> </v>
      </c>
      <c r="J617" s="25" t="str">
        <f>IF(OR(E617="",E617="!!!",F617="NEW"),"",COUNTBLANK(OFFSET(A$1,,,SUMPRODUCT(MAX(ROW(E$2:E617)*(E617=E$2:E617)))))-COUNTBLANK(OFFSET(A$1,,,SUMPRODUCT(MAX(ROW(E$1:E616)*(E2=E$1:E616))))))</f>
        <v> </v>
      </c>
      <c r="K617" s="25" t="str">
        <f>IF(OR(E617="",E617="!!!",F617="NEW"),"",INDEX(J$1:J616,SUMPRODUCT(MAX(ROW(E$1:E616)*(E617=E$1:E616)))))</f>
        <v> </v>
      </c>
      <c r="L617" s="26"/>
    </row>
    <row r="618" spans="1:12">
      <c r="A618" s="20" t="s">
        <v>583</v>
      </c>
      <c r="B618" s="27" t="s">
        <v>476</v>
      </c>
      <c r="C618" s="27" t="s">
        <v>477</v>
      </c>
      <c r="D618" s="27" t="s">
        <v>478</v>
      </c>
      <c r="E618" s="21">
        <f>IF(D618="?OLD","!!!","")</f>
        <v/>
      </c>
      <c r="F618" s="22" t="str">
        <f>IF(OR(E618="",E618="!!!"),"",IF(NOT(ISNA(VLOOKUP(E618,E$1:E617,1,FALSE()))),"OLD",IF(AND(E618&lt;&gt;"",E618&lt;&gt;"!!!"),"NEW","")))</f>
        <v> </v>
      </c>
      <c r="G618" s="23" t="str">
        <f>IF(OR(E618="",E618="!!!"),"",IF(OR(J618=0,AND(J618=1,K618=1),AND(J618=1,I618="SBJ"),AND(J618=1,I618=0)),"?IN_FOCUS",IF(J618&lt;=2,"?ACTIVATED",IF(J618&lt;&gt;"","?FAMILIAR",IF(F618="NEW",IF(ISNA(VLOOKUP(E618,#REF!,1,FALSE())),"?TYPE_IDENTIFIABLE","?REFERENTIAL"),"_")))))</f>
        <v> </v>
      </c>
      <c r="H618" s="24" t="str">
        <f>IF(J618&lt;&gt;1,"",IF(I618="SBJ","CB","?"))</f>
        <v> </v>
      </c>
      <c r="I618" s="25" t="str">
        <f>IF(OR(E618="",E618="!!!",F618="NEW"),"",INDEX(B617:B$2,-1+SUMPRODUCT(MAX(ROW(E617:E$2)*(E618=E617:E$2)))))</f>
        <v> </v>
      </c>
      <c r="J618" s="25" t="str">
        <f>IF(OR(E618="",E618="!!!",F618="NEW"),"",COUNTBLANK(OFFSET(A$1,,,SUMPRODUCT(MAX(ROW(E$2:E618)*(E618=E$2:E618)))))-COUNTBLANK(OFFSET(A$1,,,SUMPRODUCT(MAX(ROW(E$1:E617)*(E2=E$1:E617))))))</f>
        <v> </v>
      </c>
      <c r="K618" s="25" t="str">
        <f>IF(OR(E618="",E618="!!!",F618="NEW"),"",INDEX(J$1:J617,SUMPRODUCT(MAX(ROW(E$1:E617)*(E618=E$1:E617)))))</f>
        <v> </v>
      </c>
      <c r="L618" s="26"/>
    </row>
    <row r="619" spans="1:12">
      <c r="A619" s="20" t="s">
        <v>668</v>
      </c>
      <c r="E619" s="21">
        <f>IF(D619="?OLD","!!!","")</f>
        <v/>
      </c>
      <c r="F619" s="22" t="str">
        <f>IF(OR(E619="",E619="!!!"),"",IF(NOT(ISNA(VLOOKUP(E619,E$1:E618,1,FALSE()))),"OLD",IF(AND(E619&lt;&gt;"",E619&lt;&gt;"!!!"),"NEW","")))</f>
        <v> </v>
      </c>
      <c r="G619" s="23" t="str">
        <f>IF(OR(E619="",E619="!!!"),"",IF(OR(J619=0,AND(J619=1,K619=1),AND(J619=1,I619="SBJ"),AND(J619=1,I619=0)),"?IN_FOCUS",IF(J619&lt;=2,"?ACTIVATED",IF(J619&lt;&gt;"","?FAMILIAR",IF(F619="NEW",IF(ISNA(VLOOKUP(E619,#REF!,1,FALSE())),"?TYPE_IDENTIFIABLE","?REFERENTIAL"),"_")))))</f>
        <v> </v>
      </c>
      <c r="H619" s="24" t="str">
        <f>IF(J619&lt;&gt;1,"",IF(I619="SBJ","CB","?"))</f>
        <v> </v>
      </c>
      <c r="I619" s="25" t="str">
        <f>IF(OR(E619="",E619="!!!",F619="NEW"),"",INDEX(B618:B$2,-1+SUMPRODUCT(MAX(ROW(E618:E$2)*(E619=E618:E$2)))))</f>
        <v> </v>
      </c>
      <c r="J619" s="25" t="str">
        <f>IF(OR(E619="",E619="!!!",F619="NEW"),"",COUNTBLANK(OFFSET(A$1,,,SUMPRODUCT(MAX(ROW(E$2:E619)*(E619=E$2:E619)))))-COUNTBLANK(OFFSET(A$1,,,SUMPRODUCT(MAX(ROW(E$1:E618)*(E2=E$1:E618))))))</f>
        <v> </v>
      </c>
      <c r="K619" s="25" t="str">
        <f>IF(OR(E619="",E619="!!!",F619="NEW"),"",INDEX(J$1:J618,SUMPRODUCT(MAX(ROW(E$1:E618)*(E619=E$1:E618)))))</f>
        <v> </v>
      </c>
      <c r="L619" s="26"/>
    </row>
    <row r="620" spans="1:12">
      <c r="A620" s="20" t="s">
        <v>800</v>
      </c>
      <c r="E620" s="21">
        <f>IF(D620="?OLD","!!!","")</f>
        <v/>
      </c>
      <c r="F620" s="22" t="str">
        <f>IF(OR(E620="",E620="!!!"),"",IF(NOT(ISNA(VLOOKUP(E620,E$1:E619,1,FALSE()))),"OLD",IF(AND(E620&lt;&gt;"",E620&lt;&gt;"!!!"),"NEW","")))</f>
        <v> </v>
      </c>
      <c r="G620" s="23" t="str">
        <f>IF(OR(E620="",E620="!!!"),"",IF(OR(J620=0,AND(J620=1,K620=1),AND(J620=1,I620="SBJ"),AND(J620=1,I620=0)),"?IN_FOCUS",IF(J620&lt;=2,"?ACTIVATED",IF(J620&lt;&gt;"","?FAMILIAR",IF(F620="NEW",IF(ISNA(VLOOKUP(E620,#REF!,1,FALSE())),"?TYPE_IDENTIFIABLE","?REFERENTIAL"),"_")))))</f>
        <v> </v>
      </c>
      <c r="H620" s="24" t="str">
        <f>IF(J620&lt;&gt;1,"",IF(I620="SBJ","CB","?"))</f>
        <v> </v>
      </c>
      <c r="I620" s="25" t="str">
        <f>IF(OR(E620="",E620="!!!",F620="NEW"),"",INDEX(B619:B$2,-1+SUMPRODUCT(MAX(ROW(E619:E$2)*(E620=E619:E$2)))))</f>
        <v> </v>
      </c>
      <c r="J620" s="25" t="str">
        <f>IF(OR(E620="",E620="!!!",F620="NEW"),"",COUNTBLANK(OFFSET(A$1,,,SUMPRODUCT(MAX(ROW(E$2:E620)*(E620=E$2:E620)))))-COUNTBLANK(OFFSET(A$1,,,SUMPRODUCT(MAX(ROW(E$1:E619)*(E2=E$1:E619))))))</f>
        <v> </v>
      </c>
      <c r="K620" s="25" t="str">
        <f>IF(OR(E620="",E620="!!!",F620="NEW"),"",INDEX(J$1:J619,SUMPRODUCT(MAX(ROW(E$1:E619)*(E620=E$1:E619)))))</f>
        <v> </v>
      </c>
      <c r="L620" s="26"/>
    </row>
    <row r="621" spans="1:12">
      <c r="A621" s="20" t="s">
        <v>493</v>
      </c>
      <c r="E621" s="21">
        <f>IF(D621="?OLD","!!!","")</f>
        <v/>
      </c>
      <c r="F621" s="22" t="str">
        <f>IF(OR(E621="",E621="!!!"),"",IF(NOT(ISNA(VLOOKUP(E621,E$1:E620,1,FALSE()))),"OLD",IF(AND(E621&lt;&gt;"",E621&lt;&gt;"!!!"),"NEW","")))</f>
        <v> </v>
      </c>
      <c r="G621" s="23" t="str">
        <f>IF(OR(E621="",E621="!!!"),"",IF(OR(J621=0,AND(J621=1,K621=1),AND(J621=1,I621="SBJ"),AND(J621=1,I621=0)),"?IN_FOCUS",IF(J621&lt;=2,"?ACTIVATED",IF(J621&lt;&gt;"","?FAMILIAR",IF(F621="NEW",IF(ISNA(VLOOKUP(E621,#REF!,1,FALSE())),"?TYPE_IDENTIFIABLE","?REFERENTIAL"),"_")))))</f>
        <v> </v>
      </c>
      <c r="H621" s="24" t="str">
        <f>IF(J621&lt;&gt;1,"",IF(I621="SBJ","CB","?"))</f>
        <v> </v>
      </c>
      <c r="I621" s="25" t="str">
        <f>IF(OR(E621="",E621="!!!",F621="NEW"),"",INDEX(B620:B$2,-1+SUMPRODUCT(MAX(ROW(E620:E$2)*(E621=E620:E$2)))))</f>
        <v> </v>
      </c>
      <c r="J621" s="25" t="str">
        <f>IF(OR(E621="",E621="!!!",F621="NEW"),"",COUNTBLANK(OFFSET(A$1,,,SUMPRODUCT(MAX(ROW(E$2:E621)*(E621=E$2:E621)))))-COUNTBLANK(OFFSET(A$1,,,SUMPRODUCT(MAX(ROW(E$1:E620)*(E2=E$1:E620))))))</f>
        <v> </v>
      </c>
      <c r="K621" s="25" t="str">
        <f>IF(OR(E621="",E621="!!!",F621="NEW"),"",INDEX(J$1:J620,SUMPRODUCT(MAX(ROW(E$1:E620)*(E621=E$1:E620)))))</f>
        <v> </v>
      </c>
      <c r="L621" s="26"/>
    </row>
    <row r="622" spans="1:12">
      <c r="A622" s="20" t="s">
        <v>801</v>
      </c>
      <c r="E622" s="21">
        <f>IF(D622="?OLD","!!!","")</f>
        <v/>
      </c>
      <c r="F622" s="22" t="str">
        <f>IF(OR(E622="",E622="!!!"),"",IF(NOT(ISNA(VLOOKUP(E622,E$1:E621,1,FALSE()))),"OLD",IF(AND(E622&lt;&gt;"",E622&lt;&gt;"!!!"),"NEW","")))</f>
        <v> </v>
      </c>
      <c r="G622" s="23" t="str">
        <f>IF(OR(E622="",E622="!!!"),"",IF(OR(J622=0,AND(J622=1,K622=1),AND(J622=1,I622="SBJ"),AND(J622=1,I622=0)),"?IN_FOCUS",IF(J622&lt;=2,"?ACTIVATED",IF(J622&lt;&gt;"","?FAMILIAR",IF(F622="NEW",IF(ISNA(VLOOKUP(E622,#REF!,1,FALSE())),"?TYPE_IDENTIFIABLE","?REFERENTIAL"),"_")))))</f>
        <v> </v>
      </c>
      <c r="H622" s="24" t="str">
        <f>IF(J622&lt;&gt;1,"",IF(I622="SBJ","CB","?"))</f>
        <v> </v>
      </c>
      <c r="I622" s="25" t="str">
        <f>IF(OR(E622="",E622="!!!",F622="NEW"),"",INDEX(B621:B$2,-1+SUMPRODUCT(MAX(ROW(E621:E$2)*(E622=E621:E$2)))))</f>
        <v> </v>
      </c>
      <c r="J622" s="25" t="str">
        <f>IF(OR(E622="",E622="!!!",F622="NEW"),"",COUNTBLANK(OFFSET(A$1,,,SUMPRODUCT(MAX(ROW(E$2:E622)*(E622=E$2:E622)))))-COUNTBLANK(OFFSET(A$1,,,SUMPRODUCT(MAX(ROW(E$1:E621)*(E2=E$1:E621))))))</f>
        <v> </v>
      </c>
      <c r="K622" s="25" t="str">
        <f>IF(OR(E622="",E622="!!!",F622="NEW"),"",INDEX(J$1:J621,SUMPRODUCT(MAX(ROW(E$1:E621)*(E622=E$1:E621)))))</f>
        <v> </v>
      </c>
      <c r="L622" s="26"/>
    </row>
    <row r="623" spans="1:12">
      <c r="A623" s="20" t="s">
        <v>802</v>
      </c>
      <c r="E623" s="21">
        <f>IF(D623="?OLD","!!!","")</f>
        <v/>
      </c>
      <c r="F623" s="22" t="str">
        <f>IF(OR(E623="",E623="!!!"),"",IF(NOT(ISNA(VLOOKUP(E623,E$1:E622,1,FALSE()))),"OLD",IF(AND(E623&lt;&gt;"",E623&lt;&gt;"!!!"),"NEW","")))</f>
        <v> </v>
      </c>
      <c r="G623" s="23" t="str">
        <f>IF(OR(E623="",E623="!!!"),"",IF(OR(J623=0,AND(J623=1,K623=1),AND(J623=1,I623="SBJ"),AND(J623=1,I623=0)),"?IN_FOCUS",IF(J623&lt;=2,"?ACTIVATED",IF(J623&lt;&gt;"","?FAMILIAR",IF(F623="NEW",IF(ISNA(VLOOKUP(E623,#REF!,1,FALSE())),"?TYPE_IDENTIFIABLE","?REFERENTIAL"),"_")))))</f>
        <v> </v>
      </c>
      <c r="H623" s="24" t="str">
        <f>IF(J623&lt;&gt;1,"",IF(I623="SBJ","CB","?"))</f>
        <v> </v>
      </c>
      <c r="I623" s="25" t="str">
        <f>IF(OR(E623="",E623="!!!",F623="NEW"),"",INDEX(B622:B$2,-1+SUMPRODUCT(MAX(ROW(E622:E$2)*(E623=E622:E$2)))))</f>
        <v> </v>
      </c>
      <c r="J623" s="25" t="str">
        <f>IF(OR(E623="",E623="!!!",F623="NEW"),"",COUNTBLANK(OFFSET(A$1,,,SUMPRODUCT(MAX(ROW(E$2:E623)*(E623=E$2:E623)))))-COUNTBLANK(OFFSET(A$1,,,SUMPRODUCT(MAX(ROW(E$1:E622)*(E2=E$1:E622))))))</f>
        <v> </v>
      </c>
      <c r="K623" s="25" t="str">
        <f>IF(OR(E623="",E623="!!!",F623="NEW"),"",INDEX(J$1:J622,SUMPRODUCT(MAX(ROW(E$1:E622)*(E623=E$1:E622)))))</f>
        <v> </v>
      </c>
      <c r="L623" s="26"/>
    </row>
    <row r="624" spans="1:12">
      <c r="A624" s="20" t="s">
        <v>482</v>
      </c>
      <c r="E624" s="21">
        <f>IF(D624="?OLD","!!!","")</f>
        <v/>
      </c>
      <c r="F624" s="22" t="str">
        <f>IF(OR(E624="",E624="!!!"),"",IF(NOT(ISNA(VLOOKUP(E624,E$1:E623,1,FALSE()))),"OLD",IF(AND(E624&lt;&gt;"",E624&lt;&gt;"!!!"),"NEW","")))</f>
        <v> </v>
      </c>
      <c r="G624" s="23" t="str">
        <f>IF(OR(E624="",E624="!!!"),"",IF(OR(J624=0,AND(J624=1,K624=1),AND(J624=1,I624="SBJ"),AND(J624=1,I624=0)),"?IN_FOCUS",IF(J624&lt;=2,"?ACTIVATED",IF(J624&lt;&gt;"","?FAMILIAR",IF(F624="NEW",IF(ISNA(VLOOKUP(E624,#REF!,1,FALSE())),"?TYPE_IDENTIFIABLE","?REFERENTIAL"),"_")))))</f>
        <v> </v>
      </c>
      <c r="H624" s="24" t="str">
        <f>IF(J624&lt;&gt;1,"",IF(I624="SBJ","CB","?"))</f>
        <v> </v>
      </c>
      <c r="I624" s="25" t="str">
        <f>IF(OR(E624="",E624="!!!",F624="NEW"),"",INDEX(B623:B$2,-1+SUMPRODUCT(MAX(ROW(E623:E$2)*(E624=E623:E$2)))))</f>
        <v> </v>
      </c>
      <c r="J624" s="25" t="str">
        <f>IF(OR(E624="",E624="!!!",F624="NEW"),"",COUNTBLANK(OFFSET(A$1,,,SUMPRODUCT(MAX(ROW(E$2:E624)*(E624=E$2:E624)))))-COUNTBLANK(OFFSET(A$1,,,SUMPRODUCT(MAX(ROW(E$1:E623)*(E2=E$1:E623))))))</f>
        <v> </v>
      </c>
      <c r="K624" s="25" t="str">
        <f>IF(OR(E624="",E624="!!!",F624="NEW"),"",INDEX(J$1:J623,SUMPRODUCT(MAX(ROW(E$1:E623)*(E624=E$1:E623)))))</f>
        <v> </v>
      </c>
      <c r="L624" s="26"/>
    </row>
    <row r="625" spans="1:12">
      <c r="A625" s="20" t="s">
        <v>22</v>
      </c>
      <c r="E625" s="21">
        <f>IF(D625="?OLD","!!!","")</f>
        <v/>
      </c>
      <c r="F625" s="22" t="str">
        <f>IF(OR(E625="",E625="!!!"),"",IF(NOT(ISNA(VLOOKUP(E625,E$1:E624,1,FALSE()))),"OLD",IF(AND(E625&lt;&gt;"",E625&lt;&gt;"!!!"),"NEW","")))</f>
        <v> </v>
      </c>
      <c r="G625" s="23" t="str">
        <f>IF(OR(E625="",E625="!!!"),"",IF(OR(J625=0,AND(J625=1,K625=1),AND(J625=1,I625="SBJ"),AND(J625=1,I625=0)),"?IN_FOCUS",IF(J625&lt;=2,"?ACTIVATED",IF(J625&lt;&gt;"","?FAMILIAR",IF(F625="NEW",IF(ISNA(VLOOKUP(E625,#REF!,1,FALSE())),"?TYPE_IDENTIFIABLE","?REFERENTIAL"),"_")))))</f>
        <v> </v>
      </c>
      <c r="H625" s="24" t="str">
        <f>IF(J625&lt;&gt;1,"",IF(I625="SBJ","CB","?"))</f>
        <v> </v>
      </c>
      <c r="I625" s="25" t="str">
        <f>IF(OR(E625="",E625="!!!",F625="NEW"),"",INDEX(B624:B$2,-1+SUMPRODUCT(MAX(ROW(E624:E$2)*(E625=E624:E$2)))))</f>
        <v> </v>
      </c>
      <c r="J625" s="25" t="str">
        <f>IF(OR(E625="",E625="!!!",F625="NEW"),"",COUNTBLANK(OFFSET(A$1,,,SUMPRODUCT(MAX(ROW(E$2:E625)*(E625=E$2:E625)))))-COUNTBLANK(OFFSET(A$1,,,SUMPRODUCT(MAX(ROW(E$1:E624)*(E2=E$1:E624))))))</f>
        <v> </v>
      </c>
      <c r="K625" s="25" t="str">
        <f>IF(OR(E625="",E625="!!!",F625="NEW"),"",INDEX(J$1:J624,SUMPRODUCT(MAX(ROW(E$1:E624)*(E625=E$1:E624)))))</f>
        <v> </v>
      </c>
      <c r="L625" s="26"/>
    </row>
    <row r="626" spans="1:12">
      <c r="A626" s="20" t="s">
        <v>803</v>
      </c>
      <c r="E626" s="21">
        <f>IF(D626="?OLD","!!!","")</f>
        <v/>
      </c>
      <c r="F626" s="22" t="str">
        <f>IF(OR(E626="",E626="!!!"),"",IF(NOT(ISNA(VLOOKUP(E626,E$1:E625,1,FALSE()))),"OLD",IF(AND(E626&lt;&gt;"",E626&lt;&gt;"!!!"),"NEW","")))</f>
        <v> </v>
      </c>
      <c r="G626" s="23" t="str">
        <f>IF(OR(E626="",E626="!!!"),"",IF(OR(J626=0,AND(J626=1,K626=1),AND(J626=1,I626="SBJ"),AND(J626=1,I626=0)),"?IN_FOCUS",IF(J626&lt;=2,"?ACTIVATED",IF(J626&lt;&gt;"","?FAMILIAR",IF(F626="NEW",IF(ISNA(VLOOKUP(E626,#REF!,1,FALSE())),"?TYPE_IDENTIFIABLE","?REFERENTIAL"),"_")))))</f>
        <v> </v>
      </c>
      <c r="H626" s="24" t="str">
        <f>IF(J626&lt;&gt;1,"",IF(I626="SBJ","CB","?"))</f>
        <v> </v>
      </c>
      <c r="I626" s="25" t="str">
        <f>IF(OR(E626="",E626="!!!",F626="NEW"),"",INDEX(B625:B$2,-1+SUMPRODUCT(MAX(ROW(E625:E$2)*(E626=E625:E$2)))))</f>
        <v> </v>
      </c>
      <c r="J626" s="25" t="str">
        <f>IF(OR(E626="",E626="!!!",F626="NEW"),"",COUNTBLANK(OFFSET(A$1,,,SUMPRODUCT(MAX(ROW(E$2:E626)*(E626=E$2:E626)))))-COUNTBLANK(OFFSET(A$1,,,SUMPRODUCT(MAX(ROW(E$1:E625)*(E2=E$1:E625))))))</f>
        <v> </v>
      </c>
      <c r="K626" s="25" t="str">
        <f>IF(OR(E626="",E626="!!!",F626="NEW"),"",INDEX(J$1:J625,SUMPRODUCT(MAX(ROW(E$1:E625)*(E626=E$1:E625)))))</f>
        <v> </v>
      </c>
      <c r="L626" s="26"/>
    </row>
    <row r="627" spans="1:12">
      <c r="A627" s="20" t="s">
        <v>804</v>
      </c>
      <c r="E627" s="21">
        <f>IF(D627="?OLD","!!!","")</f>
        <v/>
      </c>
      <c r="F627" s="22" t="str">
        <f>IF(OR(E627="",E627="!!!"),"",IF(NOT(ISNA(VLOOKUP(E627,E$1:E626,1,FALSE()))),"OLD",IF(AND(E627&lt;&gt;"",E627&lt;&gt;"!!!"),"NEW","")))</f>
        <v> </v>
      </c>
      <c r="G627" s="23" t="str">
        <f>IF(OR(E627="",E627="!!!"),"",IF(OR(J627=0,AND(J627=1,K627=1),AND(J627=1,I627="SBJ"),AND(J627=1,I627=0)),"?IN_FOCUS",IF(J627&lt;=2,"?ACTIVATED",IF(J627&lt;&gt;"","?FAMILIAR",IF(F627="NEW",IF(ISNA(VLOOKUP(E627,#REF!,1,FALSE())),"?TYPE_IDENTIFIABLE","?REFERENTIAL"),"_")))))</f>
        <v> </v>
      </c>
      <c r="H627" s="24" t="str">
        <f>IF(J627&lt;&gt;1,"",IF(I627="SBJ","CB","?"))</f>
        <v> </v>
      </c>
      <c r="I627" s="25" t="str">
        <f>IF(OR(E627="",E627="!!!",F627="NEW"),"",INDEX(B626:B$2,-1+SUMPRODUCT(MAX(ROW(E626:E$2)*(E627=E626:E$2)))))</f>
        <v> </v>
      </c>
      <c r="J627" s="25" t="str">
        <f>IF(OR(E627="",E627="!!!",F627="NEW"),"",COUNTBLANK(OFFSET(A$1,,,SUMPRODUCT(MAX(ROW(E$2:E627)*(E627=E$2:E627)))))-COUNTBLANK(OFFSET(A$1,,,SUMPRODUCT(MAX(ROW(E$1:E626)*(E2=E$1:E626))))))</f>
        <v> </v>
      </c>
      <c r="K627" s="25" t="str">
        <f>IF(OR(E627="",E627="!!!",F627="NEW"),"",INDEX(J$1:J626,SUMPRODUCT(MAX(ROW(E$1:E626)*(E627=E$1:E626)))))</f>
        <v> </v>
      </c>
      <c r="L627" s="26"/>
    </row>
    <row r="628" spans="1:12">
      <c r="A628" s="20" t="s">
        <v>805</v>
      </c>
      <c r="E628" s="21">
        <f>IF(D628="?OLD","!!!","")</f>
        <v/>
      </c>
      <c r="F628" s="22" t="str">
        <f>IF(OR(E628="",E628="!!!"),"",IF(NOT(ISNA(VLOOKUP(E628,E$1:E627,1,FALSE()))),"OLD",IF(AND(E628&lt;&gt;"",E628&lt;&gt;"!!!"),"NEW","")))</f>
        <v> </v>
      </c>
      <c r="G628" s="23" t="str">
        <f>IF(OR(E628="",E628="!!!"),"",IF(OR(J628=0,AND(J628=1,K628=1),AND(J628=1,I628="SBJ"),AND(J628=1,I628=0)),"?IN_FOCUS",IF(J628&lt;=2,"?ACTIVATED",IF(J628&lt;&gt;"","?FAMILIAR",IF(F628="NEW",IF(ISNA(VLOOKUP(E628,#REF!,1,FALSE())),"?TYPE_IDENTIFIABLE","?REFERENTIAL"),"_")))))</f>
        <v> </v>
      </c>
      <c r="H628" s="24" t="str">
        <f>IF(J628&lt;&gt;1,"",IF(I628="SBJ","CB","?"))</f>
        <v> </v>
      </c>
      <c r="I628" s="25" t="str">
        <f>IF(OR(E628="",E628="!!!",F628="NEW"),"",INDEX(B627:B$2,-1+SUMPRODUCT(MAX(ROW(E627:E$2)*(E628=E627:E$2)))))</f>
        <v> </v>
      </c>
      <c r="J628" s="25" t="str">
        <f>IF(OR(E628="",E628="!!!",F628="NEW"),"",COUNTBLANK(OFFSET(A$1,,,SUMPRODUCT(MAX(ROW(E$2:E628)*(E628=E$2:E628)))))-COUNTBLANK(OFFSET(A$1,,,SUMPRODUCT(MAX(ROW(E$1:E627)*(E2=E$1:E627))))))</f>
        <v> </v>
      </c>
      <c r="K628" s="25" t="str">
        <f>IF(OR(E628="",E628="!!!",F628="NEW"),"",INDEX(J$1:J627,SUMPRODUCT(MAX(ROW(E$1:E627)*(E628=E$1:E627)))))</f>
        <v> </v>
      </c>
      <c r="L628" s="26"/>
    </row>
    <row r="629" spans="1:12">
      <c r="A629" s="20" t="s">
        <v>534</v>
      </c>
      <c r="E629" s="21">
        <f>IF(D629="?OLD","!!!","")</f>
        <v/>
      </c>
      <c r="F629" s="22" t="str">
        <f>IF(OR(E629="",E629="!!!"),"",IF(NOT(ISNA(VLOOKUP(E629,E$1:E628,1,FALSE()))),"OLD",IF(AND(E629&lt;&gt;"",E629&lt;&gt;"!!!"),"NEW","")))</f>
        <v> </v>
      </c>
      <c r="G629" s="23" t="str">
        <f>IF(OR(E629="",E629="!!!"),"",IF(OR(J629=0,AND(J629=1,K629=1),AND(J629=1,I629="SBJ"),AND(J629=1,I629=0)),"?IN_FOCUS",IF(J629&lt;=2,"?ACTIVATED",IF(J629&lt;&gt;"","?FAMILIAR",IF(F629="NEW",IF(ISNA(VLOOKUP(E629,#REF!,1,FALSE())),"?TYPE_IDENTIFIABLE","?REFERENTIAL"),"_")))))</f>
        <v> </v>
      </c>
      <c r="H629" s="24" t="str">
        <f>IF(J629&lt;&gt;1,"",IF(I629="SBJ","CB","?"))</f>
        <v> </v>
      </c>
      <c r="I629" s="25" t="str">
        <f>IF(OR(E629="",E629="!!!",F629="NEW"),"",INDEX(B628:B$2,-1+SUMPRODUCT(MAX(ROW(E628:E$2)*(E629=E628:E$2)))))</f>
        <v> </v>
      </c>
      <c r="J629" s="25" t="str">
        <f>IF(OR(E629="",E629="!!!",F629="NEW"),"",COUNTBLANK(OFFSET(A$1,,,SUMPRODUCT(MAX(ROW(E$2:E629)*(E629=E$2:E629)))))-COUNTBLANK(OFFSET(A$1,,,SUMPRODUCT(MAX(ROW(E$1:E628)*(E2=E$1:E628))))))</f>
        <v> </v>
      </c>
      <c r="K629" s="25" t="str">
        <f>IF(OR(E629="",E629="!!!",F629="NEW"),"",INDEX(J$1:J628,SUMPRODUCT(MAX(ROW(E$1:E628)*(E629=E$1:E628)))))</f>
        <v> </v>
      </c>
      <c r="L629" s="26"/>
    </row>
    <row r="630" spans="1:12">
      <c r="A630" s="20" t="s">
        <v>806</v>
      </c>
      <c r="E630" s="21">
        <f>IF(D630="?OLD","!!!","")</f>
        <v/>
      </c>
      <c r="F630" s="22" t="str">
        <f>IF(OR(E630="",E630="!!!"),"",IF(NOT(ISNA(VLOOKUP(E630,E$1:E629,1,FALSE()))),"OLD",IF(AND(E630&lt;&gt;"",E630&lt;&gt;"!!!"),"NEW","")))</f>
        <v> </v>
      </c>
      <c r="G630" s="23" t="str">
        <f>IF(OR(E630="",E630="!!!"),"",IF(OR(J630=0,AND(J630=1,K630=1),AND(J630=1,I630="SBJ"),AND(J630=1,I630=0)),"?IN_FOCUS",IF(J630&lt;=2,"?ACTIVATED",IF(J630&lt;&gt;"","?FAMILIAR",IF(F630="NEW",IF(ISNA(VLOOKUP(E630,#REF!,1,FALSE())),"?TYPE_IDENTIFIABLE","?REFERENTIAL"),"_")))))</f>
        <v> </v>
      </c>
      <c r="H630" s="24" t="str">
        <f>IF(J630&lt;&gt;1,"",IF(I630="SBJ","CB","?"))</f>
        <v> </v>
      </c>
      <c r="I630" s="25" t="str">
        <f>IF(OR(E630="",E630="!!!",F630="NEW"),"",INDEX(B629:B$2,-1+SUMPRODUCT(MAX(ROW(E629:E$2)*(E630=E629:E$2)))))</f>
        <v> </v>
      </c>
      <c r="J630" s="25" t="str">
        <f>IF(OR(E630="",E630="!!!",F630="NEW"),"",COUNTBLANK(OFFSET(A$1,,,SUMPRODUCT(MAX(ROW(E$2:E630)*(E630=E$2:E630)))))-COUNTBLANK(OFFSET(A$1,,,SUMPRODUCT(MAX(ROW(E$1:E629)*(E2=E$1:E629))))))</f>
        <v> </v>
      </c>
      <c r="K630" s="25" t="str">
        <f>IF(OR(E630="",E630="!!!",F630="NEW"),"",INDEX(J$1:J629,SUMPRODUCT(MAX(ROW(E$1:E629)*(E630=E$1:E629)))))</f>
        <v> </v>
      </c>
      <c r="L630" s="26"/>
    </row>
    <row r="631" spans="1:12">
      <c r="A631" s="20" t="s">
        <v>807</v>
      </c>
      <c r="E631" s="21">
        <f>IF(D631="?OLD","!!!","")</f>
        <v/>
      </c>
      <c r="F631" s="22" t="str">
        <f>IF(OR(E631="",E631="!!!"),"",IF(NOT(ISNA(VLOOKUP(E631,E$1:E630,1,FALSE()))),"OLD",IF(AND(E631&lt;&gt;"",E631&lt;&gt;"!!!"),"NEW","")))</f>
        <v> </v>
      </c>
      <c r="G631" s="23" t="str">
        <f>IF(OR(E631="",E631="!!!"),"",IF(OR(J631=0,AND(J631=1,K631=1),AND(J631=1,I631="SBJ"),AND(J631=1,I631=0)),"?IN_FOCUS",IF(J631&lt;=2,"?ACTIVATED",IF(J631&lt;&gt;"","?FAMILIAR",IF(F631="NEW",IF(ISNA(VLOOKUP(E631,#REF!,1,FALSE())),"?TYPE_IDENTIFIABLE","?REFERENTIAL"),"_")))))</f>
        <v> </v>
      </c>
      <c r="H631" s="24" t="str">
        <f>IF(J631&lt;&gt;1,"",IF(I631="SBJ","CB","?"))</f>
        <v> </v>
      </c>
      <c r="I631" s="25" t="str">
        <f>IF(OR(E631="",E631="!!!",F631="NEW"),"",INDEX(B630:B$2,-1+SUMPRODUCT(MAX(ROW(E630:E$2)*(E631=E630:E$2)))))</f>
        <v> </v>
      </c>
      <c r="J631" s="25" t="str">
        <f>IF(OR(E631="",E631="!!!",F631="NEW"),"",COUNTBLANK(OFFSET(A$1,,,SUMPRODUCT(MAX(ROW(E$2:E631)*(E631=E$2:E631)))))-COUNTBLANK(OFFSET(A$1,,,SUMPRODUCT(MAX(ROW(E$1:E630)*(E2=E$1:E630))))))</f>
        <v> </v>
      </c>
      <c r="K631" s="25" t="str">
        <f>IF(OR(E631="",E631="!!!",F631="NEW"),"",INDEX(J$1:J630,SUMPRODUCT(MAX(ROW(E$1:E630)*(E631=E$1:E630)))))</f>
        <v> </v>
      </c>
      <c r="L631" s="26"/>
    </row>
    <row r="632" spans="1:12">
      <c r="A632" s="20" t="s">
        <v>778</v>
      </c>
      <c r="E632" s="21">
        <f>IF(D632="?OLD","!!!","")</f>
        <v/>
      </c>
      <c r="F632" s="22" t="str">
        <f>IF(OR(E632="",E632="!!!"),"",IF(NOT(ISNA(VLOOKUP(E632,E$1:E631,1,FALSE()))),"OLD",IF(AND(E632&lt;&gt;"",E632&lt;&gt;"!!!"),"NEW","")))</f>
        <v> </v>
      </c>
      <c r="G632" s="23" t="str">
        <f>IF(OR(E632="",E632="!!!"),"",IF(OR(J632=0,AND(J632=1,K632=1),AND(J632=1,I632="SBJ"),AND(J632=1,I632=0)),"?IN_FOCUS",IF(J632&lt;=2,"?ACTIVATED",IF(J632&lt;&gt;"","?FAMILIAR",IF(F632="NEW",IF(ISNA(VLOOKUP(E632,#REF!,1,FALSE())),"?TYPE_IDENTIFIABLE","?REFERENTIAL"),"_")))))</f>
        <v> </v>
      </c>
      <c r="H632" s="24" t="str">
        <f>IF(J632&lt;&gt;1,"",IF(I632="SBJ","CB","?"))</f>
        <v> </v>
      </c>
      <c r="I632" s="25" t="str">
        <f>IF(OR(E632="",E632="!!!",F632="NEW"),"",INDEX(B631:B$2,-1+SUMPRODUCT(MAX(ROW(E631:E$2)*(E632=E631:E$2)))))</f>
        <v> </v>
      </c>
      <c r="J632" s="25" t="str">
        <f>IF(OR(E632="",E632="!!!",F632="NEW"),"",COUNTBLANK(OFFSET(A$1,,,SUMPRODUCT(MAX(ROW(E$2:E632)*(E632=E$2:E632)))))-COUNTBLANK(OFFSET(A$1,,,SUMPRODUCT(MAX(ROW(E$1:E631)*(E2=E$1:E631))))))</f>
        <v> </v>
      </c>
      <c r="K632" s="25" t="str">
        <f>IF(OR(E632="",E632="!!!",F632="NEW"),"",INDEX(J$1:J631,SUMPRODUCT(MAX(ROW(E$1:E631)*(E632=E$1:E631)))))</f>
        <v> </v>
      </c>
      <c r="L632" s="26"/>
    </row>
    <row r="633" spans="1:12">
      <c r="A633" s="20" t="s">
        <v>253</v>
      </c>
      <c r="E633" s="21">
        <f>IF(D633="?OLD","!!!","")</f>
        <v/>
      </c>
      <c r="F633" s="22" t="str">
        <f>IF(OR(E633="",E633="!!!"),"",IF(NOT(ISNA(VLOOKUP(E633,E$1:E632,1,FALSE()))),"OLD",IF(AND(E633&lt;&gt;"",E633&lt;&gt;"!!!"),"NEW","")))</f>
        <v> </v>
      </c>
      <c r="G633" s="23" t="str">
        <f>IF(OR(E633="",E633="!!!"),"",IF(OR(J633=0,AND(J633=1,K633=1),AND(J633=1,I633="SBJ"),AND(J633=1,I633=0)),"?IN_FOCUS",IF(J633&lt;=2,"?ACTIVATED",IF(J633&lt;&gt;"","?FAMILIAR",IF(F633="NEW",IF(ISNA(VLOOKUP(E633,#REF!,1,FALSE())),"?TYPE_IDENTIFIABLE","?REFERENTIAL"),"_")))))</f>
        <v> </v>
      </c>
      <c r="H633" s="24" t="str">
        <f>IF(J633&lt;&gt;1,"",IF(I633="SBJ","CB","?"))</f>
        <v> </v>
      </c>
      <c r="I633" s="25" t="str">
        <f>IF(OR(E633="",E633="!!!",F633="NEW"),"",INDEX(B632:B$2,-1+SUMPRODUCT(MAX(ROW(E632:E$2)*(E633=E632:E$2)))))</f>
        <v> </v>
      </c>
      <c r="J633" s="25" t="str">
        <f>IF(OR(E633="",E633="!!!",F633="NEW"),"",COUNTBLANK(OFFSET(A$1,,,SUMPRODUCT(MAX(ROW(E$2:E633)*(E633=E$2:E633)))))-COUNTBLANK(OFFSET(A$1,,,SUMPRODUCT(MAX(ROW(E$1:E632)*(E2=E$1:E632))))))</f>
        <v> </v>
      </c>
      <c r="K633" s="25" t="str">
        <f>IF(OR(E633="",E633="!!!",F633="NEW"),"",INDEX(J$1:J632,SUMPRODUCT(MAX(ROW(E$1:E632)*(E633=E$1:E632)))))</f>
        <v> </v>
      </c>
      <c r="L633" s="26"/>
    </row>
    <row r="634" spans="1:12">
      <c r="A634" s="20"/>
    </row>
    <row r="635" spans="1:12">
      <c r="A635" s="20" t="s">
        <v>808</v>
      </c>
    </row>
    <row r="636" spans="1:12">
      <c r="A636" s="20" t="s">
        <v>581</v>
      </c>
      <c r="E636" s="21">
        <f>IF(D636="?OLD","!!!","")</f>
        <v/>
      </c>
      <c r="F636" s="22" t="str">
        <f>IF(OR(E636="",E636="!!!"),"",IF(NOT(ISNA(VLOOKUP(E636,E$1:E635,1,FALSE()))),"OLD",IF(AND(E636&lt;&gt;"",E636&lt;&gt;"!!!"),"NEW","")))</f>
        <v> </v>
      </c>
      <c r="G636" s="23" t="str">
        <f>IF(OR(E636="",E636="!!!"),"",IF(OR(J636=0,AND(J636=1,K636=1),AND(J636=1,I636="SBJ"),AND(J636=1,I636=0)),"?IN_FOCUS",IF(J636&lt;=2,"?ACTIVATED",IF(J636&lt;&gt;"","?FAMILIAR",IF(F636="NEW",IF(ISNA(VLOOKUP(E636,#REF!,1,FALSE())),"?TYPE_IDENTIFIABLE","?REFERENTIAL"),"_")))))</f>
        <v> </v>
      </c>
      <c r="H636" s="24" t="str">
        <f>IF(J636&lt;&gt;1,"",IF(I636="SBJ","CB","?"))</f>
        <v> </v>
      </c>
      <c r="I636" s="25" t="str">
        <f>IF(OR(E636="",E636="!!!",F636="NEW"),"",INDEX(B635:B$2,-1+SUMPRODUCT(MAX(ROW(E635:E$2)*(E636=E635:E$2)))))</f>
        <v> </v>
      </c>
      <c r="J636" s="25" t="str">
        <f>IF(OR(E636="",E636="!!!",F636="NEW"),"",COUNTBLANK(OFFSET(A$1,,,SUMPRODUCT(MAX(ROW(E$2:E636)*(E636=E$2:E636)))))-COUNTBLANK(OFFSET(A$1,,,SUMPRODUCT(MAX(ROW(E$1:E635)*(E2=E$1:E635))))))</f>
        <v> </v>
      </c>
      <c r="K636" s="25" t="str">
        <f>IF(OR(E636="",E636="!!!",F636="NEW"),"",INDEX(J$1:J635,SUMPRODUCT(MAX(ROW(E$1:E635)*(E636=E$1:E635)))))</f>
        <v> </v>
      </c>
      <c r="L636" s="26"/>
    </row>
    <row r="637" spans="1:12">
      <c r="A637" s="20" t="s">
        <v>608</v>
      </c>
      <c r="E637" s="21">
        <f>IF(D637="?OLD","!!!","")</f>
        <v/>
      </c>
      <c r="F637" s="22" t="str">
        <f>IF(OR(E637="",E637="!!!"),"",IF(NOT(ISNA(VLOOKUP(E637,E$1:E636,1,FALSE()))),"OLD",IF(AND(E637&lt;&gt;"",E637&lt;&gt;"!!!"),"NEW","")))</f>
        <v> </v>
      </c>
      <c r="G637" s="23" t="str">
        <f>IF(OR(E637="",E637="!!!"),"",IF(OR(J637=0,AND(J637=1,K637=1),AND(J637=1,I637="SBJ"),AND(J637=1,I637=0)),"?IN_FOCUS",IF(J637&lt;=2,"?ACTIVATED",IF(J637&lt;&gt;"","?FAMILIAR",IF(F637="NEW",IF(ISNA(VLOOKUP(E637,#REF!,1,FALSE())),"?TYPE_IDENTIFIABLE","?REFERENTIAL"),"_")))))</f>
        <v> </v>
      </c>
      <c r="H637" s="24" t="str">
        <f>IF(J637&lt;&gt;1,"",IF(I637="SBJ","CB","?"))</f>
        <v> </v>
      </c>
      <c r="I637" s="25" t="str">
        <f>IF(OR(E637="",E637="!!!",F637="NEW"),"",INDEX(B636:B$2,-1+SUMPRODUCT(MAX(ROW(E636:E$2)*(E637=E636:E$2)))))</f>
        <v> </v>
      </c>
      <c r="J637" s="25" t="str">
        <f>IF(OR(E637="",E637="!!!",F637="NEW"),"",COUNTBLANK(OFFSET(A$1,,,SUMPRODUCT(MAX(ROW(E$2:E637)*(E637=E$2:E637)))))-COUNTBLANK(OFFSET(A$1,,,SUMPRODUCT(MAX(ROW(E$1:E636)*(E2=E$1:E636))))))</f>
        <v> </v>
      </c>
      <c r="K637" s="25" t="str">
        <f>IF(OR(E637="",E637="!!!",F637="NEW"),"",INDEX(J$1:J636,SUMPRODUCT(MAX(ROW(E$1:E636)*(E637=E$1:E636)))))</f>
        <v> </v>
      </c>
      <c r="L637" s="26"/>
    </row>
    <row r="638" spans="1:12">
      <c r="A638" s="20" t="s">
        <v>482</v>
      </c>
      <c r="E638" s="21">
        <f>IF(D638="?OLD","!!!","")</f>
        <v/>
      </c>
      <c r="F638" s="22" t="str">
        <f>IF(OR(E638="",E638="!!!"),"",IF(NOT(ISNA(VLOOKUP(E638,E$1:E637,1,FALSE()))),"OLD",IF(AND(E638&lt;&gt;"",E638&lt;&gt;"!!!"),"NEW","")))</f>
        <v> </v>
      </c>
      <c r="G638" s="23" t="str">
        <f>IF(OR(E638="",E638="!!!"),"",IF(OR(J638=0,AND(J638=1,K638=1),AND(J638=1,I638="SBJ"),AND(J638=1,I638=0)),"?IN_FOCUS",IF(J638&lt;=2,"?ACTIVATED",IF(J638&lt;&gt;"","?FAMILIAR",IF(F638="NEW",IF(ISNA(VLOOKUP(E638,#REF!,1,FALSE())),"?TYPE_IDENTIFIABLE","?REFERENTIAL"),"_")))))</f>
        <v> </v>
      </c>
      <c r="H638" s="24" t="str">
        <f>IF(J638&lt;&gt;1,"",IF(I638="SBJ","CB","?"))</f>
        <v> </v>
      </c>
      <c r="I638" s="25" t="str">
        <f>IF(OR(E638="",E638="!!!",F638="NEW"),"",INDEX(B637:B$2,-1+SUMPRODUCT(MAX(ROW(E637:E$2)*(E638=E637:E$2)))))</f>
        <v> </v>
      </c>
      <c r="J638" s="25" t="str">
        <f>IF(OR(E638="",E638="!!!",F638="NEW"),"",COUNTBLANK(OFFSET(A$1,,,SUMPRODUCT(MAX(ROW(E$2:E638)*(E638=E$2:E638)))))-COUNTBLANK(OFFSET(A$1,,,SUMPRODUCT(MAX(ROW(E$1:E637)*(E2=E$1:E637))))))</f>
        <v> </v>
      </c>
      <c r="K638" s="25" t="str">
        <f>IF(OR(E638="",E638="!!!",F638="NEW"),"",INDEX(J$1:J637,SUMPRODUCT(MAX(ROW(E$1:E637)*(E638=E$1:E637)))))</f>
        <v> </v>
      </c>
      <c r="L638" s="26"/>
    </row>
    <row r="639" spans="1:12">
      <c r="A639" s="20" t="s">
        <v>761</v>
      </c>
      <c r="E639" s="21">
        <f>IF(D639="?OLD","!!!","")</f>
        <v/>
      </c>
      <c r="F639" s="22" t="str">
        <f>IF(OR(E639="",E639="!!!"),"",IF(NOT(ISNA(VLOOKUP(E639,E$1:E638,1,FALSE()))),"OLD",IF(AND(E639&lt;&gt;"",E639&lt;&gt;"!!!"),"NEW","")))</f>
        <v> </v>
      </c>
      <c r="G639" s="23" t="str">
        <f>IF(OR(E639="",E639="!!!"),"",IF(OR(J639=0,AND(J639=1,K639=1),AND(J639=1,I639="SBJ"),AND(J639=1,I639=0)),"?IN_FOCUS",IF(J639&lt;=2,"?ACTIVATED",IF(J639&lt;&gt;"","?FAMILIAR",IF(F639="NEW",IF(ISNA(VLOOKUP(E639,#REF!,1,FALSE())),"?TYPE_IDENTIFIABLE","?REFERENTIAL"),"_")))))</f>
        <v> </v>
      </c>
      <c r="H639" s="24" t="str">
        <f>IF(J639&lt;&gt;1,"",IF(I639="SBJ","CB","?"))</f>
        <v> </v>
      </c>
      <c r="I639" s="25" t="str">
        <f>IF(OR(E639="",E639="!!!",F639="NEW"),"",INDEX(B638:B$2,-1+SUMPRODUCT(MAX(ROW(E638:E$2)*(E639=E638:E$2)))))</f>
        <v> </v>
      </c>
      <c r="J639" s="25" t="str">
        <f>IF(OR(E639="",E639="!!!",F639="NEW"),"",COUNTBLANK(OFFSET(A$1,,,SUMPRODUCT(MAX(ROW(E$2:E639)*(E639=E$2:E639)))))-COUNTBLANK(OFFSET(A$1,,,SUMPRODUCT(MAX(ROW(E$1:E638)*(E2=E$1:E638))))))</f>
        <v> </v>
      </c>
      <c r="K639" s="25" t="str">
        <f>IF(OR(E639="",E639="!!!",F639="NEW"),"",INDEX(J$1:J638,SUMPRODUCT(MAX(ROW(E$1:E638)*(E639=E$1:E638)))))</f>
        <v> </v>
      </c>
      <c r="L639" s="26"/>
    </row>
    <row r="640" spans="1:12">
      <c r="A640" s="20" t="s">
        <v>773</v>
      </c>
      <c r="E640" s="21">
        <f>IF(D640="?OLD","!!!","")</f>
        <v/>
      </c>
      <c r="F640" s="22" t="str">
        <f>IF(OR(E640="",E640="!!!"),"",IF(NOT(ISNA(VLOOKUP(E640,E$1:E639,1,FALSE()))),"OLD",IF(AND(E640&lt;&gt;"",E640&lt;&gt;"!!!"),"NEW","")))</f>
        <v> </v>
      </c>
      <c r="G640" s="23" t="str">
        <f>IF(OR(E640="",E640="!!!"),"",IF(OR(J640=0,AND(J640=1,K640=1),AND(J640=1,I640="SBJ"),AND(J640=1,I640=0)),"?IN_FOCUS",IF(J640&lt;=2,"?ACTIVATED",IF(J640&lt;&gt;"","?FAMILIAR",IF(F640="NEW",IF(ISNA(VLOOKUP(E640,#REF!,1,FALSE())),"?TYPE_IDENTIFIABLE","?REFERENTIAL"),"_")))))</f>
        <v> </v>
      </c>
      <c r="H640" s="24" t="str">
        <f>IF(J640&lt;&gt;1,"",IF(I640="SBJ","CB","?"))</f>
        <v> </v>
      </c>
      <c r="I640" s="25" t="str">
        <f>IF(OR(E640="",E640="!!!",F640="NEW"),"",INDEX(B639:B$2,-1+SUMPRODUCT(MAX(ROW(E639:E$2)*(E640=E639:E$2)))))</f>
        <v> </v>
      </c>
      <c r="J640" s="25" t="str">
        <f>IF(OR(E640="",E640="!!!",F640="NEW"),"",COUNTBLANK(OFFSET(A$1,,,SUMPRODUCT(MAX(ROW(E$2:E640)*(E640=E$2:E640)))))-COUNTBLANK(OFFSET(A$1,,,SUMPRODUCT(MAX(ROW(E$1:E639)*(E2=E$1:E639))))))</f>
        <v> </v>
      </c>
      <c r="K640" s="25" t="str">
        <f>IF(OR(E640="",E640="!!!",F640="NEW"),"",INDEX(J$1:J639,SUMPRODUCT(MAX(ROW(E$1:E639)*(E640=E$1:E639)))))</f>
        <v> </v>
      </c>
      <c r="L640" s="26"/>
    </row>
    <row r="641" spans="1:12">
      <c r="A641" s="20" t="s">
        <v>762</v>
      </c>
      <c r="B641" s="27" t="s">
        <v>473</v>
      </c>
      <c r="C641" s="27" t="s">
        <v>497</v>
      </c>
      <c r="E641" s="21">
        <f>IF(D641="?OLD","!!!","")</f>
        <v/>
      </c>
      <c r="F641" s="22" t="str">
        <f>IF(OR(E641="",E641="!!!"),"",IF(NOT(ISNA(VLOOKUP(E641,E$1:E640,1,FALSE()))),"OLD",IF(AND(E641&lt;&gt;"",E641&lt;&gt;"!!!"),"NEW","")))</f>
        <v> </v>
      </c>
      <c r="G641" s="23" t="str">
        <f>IF(OR(E641="",E641="!!!"),"",IF(OR(J641=0,AND(J641=1,K641=1),AND(J641=1,I641="SBJ"),AND(J641=1,I641=0)),"?IN_FOCUS",IF(J641&lt;=2,"?ACTIVATED",IF(J641&lt;&gt;"","?FAMILIAR",IF(F641="NEW",IF(ISNA(VLOOKUP(E641,#REF!,1,FALSE())),"?TYPE_IDENTIFIABLE","?REFERENTIAL"),"_")))))</f>
        <v> </v>
      </c>
      <c r="H641" s="24" t="str">
        <f>IF(J641&lt;&gt;1,"",IF(I641="SBJ","CB","?"))</f>
        <v> </v>
      </c>
      <c r="I641" s="25" t="str">
        <f>IF(OR(E641="",E641="!!!",F641="NEW"),"",INDEX(B640:B$2,-1+SUMPRODUCT(MAX(ROW(E640:E$2)*(E641=E640:E$2)))))</f>
        <v> </v>
      </c>
      <c r="J641" s="25" t="str">
        <f>IF(OR(E641="",E641="!!!",F641="NEW"),"",COUNTBLANK(OFFSET(A$1,,,SUMPRODUCT(MAX(ROW(E$2:E641)*(E641=E$2:E641)))))-COUNTBLANK(OFFSET(A$1,,,SUMPRODUCT(MAX(ROW(E$1:E640)*(E2=E$1:E640))))))</f>
        <v> </v>
      </c>
      <c r="K641" s="25" t="str">
        <f>IF(OR(E641="",E641="!!!",F641="NEW"),"",INDEX(J$1:J640,SUMPRODUCT(MAX(ROW(E$1:E640)*(E641=E$1:E640)))))</f>
        <v> </v>
      </c>
      <c r="L641" s="26"/>
    </row>
    <row r="642" spans="1:12">
      <c r="A642" s="20" t="s">
        <v>482</v>
      </c>
      <c r="E642" s="21">
        <f>IF(D642="?OLD","!!!","")</f>
        <v/>
      </c>
      <c r="F642" s="22" t="str">
        <f>IF(OR(E642="",E642="!!!"),"",IF(NOT(ISNA(VLOOKUP(E642,E$1:E641,1,FALSE()))),"OLD",IF(AND(E642&lt;&gt;"",E642&lt;&gt;"!!!"),"NEW","")))</f>
        <v> </v>
      </c>
      <c r="G642" s="23" t="str">
        <f>IF(OR(E642="",E642="!!!"),"",IF(OR(J642=0,AND(J642=1,K642=1),AND(J642=1,I642="SBJ"),AND(J642=1,I642=0)),"?IN_FOCUS",IF(J642&lt;=2,"?ACTIVATED",IF(J642&lt;&gt;"","?FAMILIAR",IF(F642="NEW",IF(ISNA(VLOOKUP(E642,#REF!,1,FALSE())),"?TYPE_IDENTIFIABLE","?REFERENTIAL"),"_")))))</f>
        <v> </v>
      </c>
      <c r="H642" s="24" t="str">
        <f>IF(J642&lt;&gt;1,"",IF(I642="SBJ","CB","?"))</f>
        <v> </v>
      </c>
      <c r="I642" s="25" t="str">
        <f>IF(OR(E642="",E642="!!!",F642="NEW"),"",INDEX(B641:B$2,-1+SUMPRODUCT(MAX(ROW(E641:E$2)*(E642=E641:E$2)))))</f>
        <v> </v>
      </c>
      <c r="J642" s="25" t="str">
        <f>IF(OR(E642="",E642="!!!",F642="NEW"),"",COUNTBLANK(OFFSET(A$1,,,SUMPRODUCT(MAX(ROW(E$2:E642)*(E642=E$2:E642)))))-COUNTBLANK(OFFSET(A$1,,,SUMPRODUCT(MAX(ROW(E$1:E641)*(E2=E$1:E641))))))</f>
        <v> </v>
      </c>
      <c r="K642" s="25" t="str">
        <f>IF(OR(E642="",E642="!!!",F642="NEW"),"",INDEX(J$1:J641,SUMPRODUCT(MAX(ROW(E$1:E641)*(E642=E$1:E641)))))</f>
        <v> </v>
      </c>
      <c r="L642" s="26"/>
    </row>
    <row r="643" spans="1:12">
      <c r="A643" s="20" t="s">
        <v>809</v>
      </c>
      <c r="E643" s="21">
        <f>IF(D643="?OLD","!!!","")</f>
        <v/>
      </c>
      <c r="F643" s="22" t="str">
        <f>IF(OR(E643="",E643="!!!"),"",IF(NOT(ISNA(VLOOKUP(E643,E$1:E642,1,FALSE()))),"OLD",IF(AND(E643&lt;&gt;"",E643&lt;&gt;"!!!"),"NEW","")))</f>
        <v> </v>
      </c>
      <c r="G643" s="23" t="str">
        <f>IF(OR(E643="",E643="!!!"),"",IF(OR(J643=0,AND(J643=1,K643=1),AND(J643=1,I643="SBJ"),AND(J643=1,I643=0)),"?IN_FOCUS",IF(J643&lt;=2,"?ACTIVATED",IF(J643&lt;&gt;"","?FAMILIAR",IF(F643="NEW",IF(ISNA(VLOOKUP(E643,#REF!,1,FALSE())),"?TYPE_IDENTIFIABLE","?REFERENTIAL"),"_")))))</f>
        <v> </v>
      </c>
      <c r="H643" s="24" t="str">
        <f>IF(J643&lt;&gt;1,"",IF(I643="SBJ","CB","?"))</f>
        <v> </v>
      </c>
      <c r="I643" s="25" t="str">
        <f>IF(OR(E643="",E643="!!!",F643="NEW"),"",INDEX(B642:B$2,-1+SUMPRODUCT(MAX(ROW(E642:E$2)*(E643=E642:E$2)))))</f>
        <v> </v>
      </c>
      <c r="J643" s="25" t="str">
        <f>IF(OR(E643="",E643="!!!",F643="NEW"),"",COUNTBLANK(OFFSET(A$1,,,SUMPRODUCT(MAX(ROW(E$2:E643)*(E643=E$2:E643)))))-COUNTBLANK(OFFSET(A$1,,,SUMPRODUCT(MAX(ROW(E$1:E642)*(E2=E$1:E642))))))</f>
        <v> </v>
      </c>
      <c r="K643" s="25" t="str">
        <f>IF(OR(E643="",E643="!!!",F643="NEW"),"",INDEX(J$1:J642,SUMPRODUCT(MAX(ROW(E$1:E642)*(E643=E$1:E642)))))</f>
        <v> </v>
      </c>
      <c r="L643" s="26"/>
    </row>
    <row r="644" spans="1:12">
      <c r="A644" s="20" t="s">
        <v>810</v>
      </c>
      <c r="E644" s="21">
        <f>IF(D644="?OLD","!!!","")</f>
        <v/>
      </c>
      <c r="F644" s="22" t="str">
        <f>IF(OR(E644="",E644="!!!"),"",IF(NOT(ISNA(VLOOKUP(E644,E$1:E643,1,FALSE()))),"OLD",IF(AND(E644&lt;&gt;"",E644&lt;&gt;"!!!"),"NEW","")))</f>
        <v> </v>
      </c>
      <c r="G644" s="23" t="str">
        <f>IF(OR(E644="",E644="!!!"),"",IF(OR(J644=0,AND(J644=1,K644=1),AND(J644=1,I644="SBJ"),AND(J644=1,I644=0)),"?IN_FOCUS",IF(J644&lt;=2,"?ACTIVATED",IF(J644&lt;&gt;"","?FAMILIAR",IF(F644="NEW",IF(ISNA(VLOOKUP(E644,#REF!,1,FALSE())),"?TYPE_IDENTIFIABLE","?REFERENTIAL"),"_")))))</f>
        <v> </v>
      </c>
      <c r="H644" s="24" t="str">
        <f>IF(J644&lt;&gt;1,"",IF(I644="SBJ","CB","?"))</f>
        <v> </v>
      </c>
      <c r="I644" s="25" t="str">
        <f>IF(OR(E644="",E644="!!!",F644="NEW"),"",INDEX(B643:B$2,-1+SUMPRODUCT(MAX(ROW(E643:E$2)*(E644=E643:E$2)))))</f>
        <v> </v>
      </c>
      <c r="J644" s="25" t="str">
        <f>IF(OR(E644="",E644="!!!",F644="NEW"),"",COUNTBLANK(OFFSET(A$1,,,SUMPRODUCT(MAX(ROW(E$2:E644)*(E644=E$2:E644)))))-COUNTBLANK(OFFSET(A$1,,,SUMPRODUCT(MAX(ROW(E$1:E643)*(E2=E$1:E643))))))</f>
        <v> </v>
      </c>
      <c r="K644" s="25" t="str">
        <f>IF(OR(E644="",E644="!!!",F644="NEW"),"",INDEX(J$1:J643,SUMPRODUCT(MAX(ROW(E$1:E643)*(E644=E$1:E643)))))</f>
        <v> </v>
      </c>
      <c r="L644" s="26"/>
    </row>
    <row r="645" spans="1:12">
      <c r="A645" s="20" t="s">
        <v>482</v>
      </c>
      <c r="E645" s="21">
        <f>IF(D645="?OLD","!!!","")</f>
        <v/>
      </c>
      <c r="F645" s="22" t="str">
        <f>IF(OR(E645="",E645="!!!"),"",IF(NOT(ISNA(VLOOKUP(E645,E$1:E644,1,FALSE()))),"OLD",IF(AND(E645&lt;&gt;"",E645&lt;&gt;"!!!"),"NEW","")))</f>
        <v> </v>
      </c>
      <c r="G645" s="23" t="str">
        <f>IF(OR(E645="",E645="!!!"),"",IF(OR(J645=0,AND(J645=1,K645=1),AND(J645=1,I645="SBJ"),AND(J645=1,I645=0)),"?IN_FOCUS",IF(J645&lt;=2,"?ACTIVATED",IF(J645&lt;&gt;"","?FAMILIAR",IF(F645="NEW",IF(ISNA(VLOOKUP(E645,#REF!,1,FALSE())),"?TYPE_IDENTIFIABLE","?REFERENTIAL"),"_")))))</f>
        <v> </v>
      </c>
      <c r="H645" s="24" t="str">
        <f>IF(J645&lt;&gt;1,"",IF(I645="SBJ","CB","?"))</f>
        <v> </v>
      </c>
      <c r="I645" s="25" t="str">
        <f>IF(OR(E645="",E645="!!!",F645="NEW"),"",INDEX(B644:B$2,-1+SUMPRODUCT(MAX(ROW(E644:E$2)*(E645=E644:E$2)))))</f>
        <v> </v>
      </c>
      <c r="J645" s="25" t="str">
        <f>IF(OR(E645="",E645="!!!",F645="NEW"),"",COUNTBLANK(OFFSET(A$1,,,SUMPRODUCT(MAX(ROW(E$2:E645)*(E645=E$2:E645)))))-COUNTBLANK(OFFSET(A$1,,,SUMPRODUCT(MAX(ROW(E$1:E644)*(E2=E$1:E644))))))</f>
        <v> </v>
      </c>
      <c r="K645" s="25" t="str">
        <f>IF(OR(E645="",E645="!!!",F645="NEW"),"",INDEX(J$1:J644,SUMPRODUCT(MAX(ROW(E$1:E644)*(E645=E$1:E644)))))</f>
        <v> </v>
      </c>
      <c r="L645" s="26"/>
    </row>
    <row r="646" spans="1:12">
      <c r="A646" s="20" t="s">
        <v>475</v>
      </c>
      <c r="B646" s="27" t="s">
        <v>476</v>
      </c>
      <c r="C646" s="27" t="s">
        <v>477</v>
      </c>
      <c r="D646" s="27" t="s">
        <v>478</v>
      </c>
      <c r="E646" s="21">
        <f>IF(D646="?OLD","!!!","")</f>
        <v/>
      </c>
      <c r="F646" s="22" t="str">
        <f>IF(OR(E646="",E646="!!!"),"",IF(NOT(ISNA(VLOOKUP(E646,E$1:E645,1,FALSE()))),"OLD",IF(AND(E646&lt;&gt;"",E646&lt;&gt;"!!!"),"NEW","")))</f>
        <v> </v>
      </c>
      <c r="G646" s="23" t="str">
        <f>IF(OR(E646="",E646="!!!"),"",IF(OR(J646=0,AND(J646=1,K646=1),AND(J646=1,I646="SBJ"),AND(J646=1,I646=0)),"?IN_FOCUS",IF(J646&lt;=2,"?ACTIVATED",IF(J646&lt;&gt;"","?FAMILIAR",IF(F646="NEW",IF(ISNA(VLOOKUP(E646,#REF!,1,FALSE())),"?TYPE_IDENTIFIABLE","?REFERENTIAL"),"_")))))</f>
        <v> </v>
      </c>
      <c r="H646" s="24" t="str">
        <f>IF(J646&lt;&gt;1,"",IF(I646="SBJ","CB","?"))</f>
        <v> </v>
      </c>
      <c r="I646" s="25" t="str">
        <f>IF(OR(E646="",E646="!!!",F646="NEW"),"",INDEX(B645:B$2,-1+SUMPRODUCT(MAX(ROW(E645:E$2)*(E646=E645:E$2)))))</f>
        <v> </v>
      </c>
      <c r="J646" s="25" t="str">
        <f>IF(OR(E646="",E646="!!!",F646="NEW"),"",COUNTBLANK(OFFSET(A$1,,,SUMPRODUCT(MAX(ROW(E$2:E646)*(E646=E$2:E646)))))-COUNTBLANK(OFFSET(A$1,,,SUMPRODUCT(MAX(ROW(E$1:E645)*(E2=E$1:E645))))))</f>
        <v> </v>
      </c>
      <c r="K646" s="25" t="str">
        <f>IF(OR(E646="",E646="!!!",F646="NEW"),"",INDEX(J$1:J645,SUMPRODUCT(MAX(ROW(E$1:E645)*(E646=E$1:E645)))))</f>
        <v> </v>
      </c>
      <c r="L646" s="26"/>
    </row>
    <row r="647" spans="1:12">
      <c r="A647" s="20" t="s">
        <v>811</v>
      </c>
      <c r="E647" s="21">
        <f>IF(D647="?OLD","!!!","")</f>
        <v/>
      </c>
      <c r="F647" s="22" t="str">
        <f>IF(OR(E647="",E647="!!!"),"",IF(NOT(ISNA(VLOOKUP(E647,E$1:E646,1,FALSE()))),"OLD",IF(AND(E647&lt;&gt;"",E647&lt;&gt;"!!!"),"NEW","")))</f>
        <v> </v>
      </c>
      <c r="G647" s="23" t="str">
        <f>IF(OR(E647="",E647="!!!"),"",IF(OR(J647=0,AND(J647=1,K647=1),AND(J647=1,I647="SBJ"),AND(J647=1,I647=0)),"?IN_FOCUS",IF(J647&lt;=2,"?ACTIVATED",IF(J647&lt;&gt;"","?FAMILIAR",IF(F647="NEW",IF(ISNA(VLOOKUP(E647,#REF!,1,FALSE())),"?TYPE_IDENTIFIABLE","?REFERENTIAL"),"_")))))</f>
        <v> </v>
      </c>
      <c r="H647" s="24" t="str">
        <f>IF(J647&lt;&gt;1,"",IF(I647="SBJ","CB","?"))</f>
        <v> </v>
      </c>
      <c r="I647" s="25" t="str">
        <f>IF(OR(E647="",E647="!!!",F647="NEW"),"",INDEX(B646:B$2,-1+SUMPRODUCT(MAX(ROW(E646:E$2)*(E647=E646:E$2)))))</f>
        <v> </v>
      </c>
      <c r="J647" s="25" t="str">
        <f>IF(OR(E647="",E647="!!!",F647="NEW"),"",COUNTBLANK(OFFSET(A$1,,,SUMPRODUCT(MAX(ROW(E$2:E647)*(E647=E$2:E647)))))-COUNTBLANK(OFFSET(A$1,,,SUMPRODUCT(MAX(ROW(E$1:E646)*(E2=E$1:E646))))))</f>
        <v> </v>
      </c>
      <c r="K647" s="25" t="str">
        <f>IF(OR(E647="",E647="!!!",F647="NEW"),"",INDEX(J$1:J646,SUMPRODUCT(MAX(ROW(E$1:E646)*(E647=E$1:E646)))))</f>
        <v> </v>
      </c>
      <c r="L647" s="26"/>
    </row>
    <row r="648" spans="1:12">
      <c r="A648" s="20" t="s">
        <v>812</v>
      </c>
      <c r="E648" s="21">
        <f>IF(D648="?OLD","!!!","")</f>
        <v/>
      </c>
      <c r="F648" s="22" t="str">
        <f>IF(OR(E648="",E648="!!!"),"",IF(NOT(ISNA(VLOOKUP(E648,E$1:E647,1,FALSE()))),"OLD",IF(AND(E648&lt;&gt;"",E648&lt;&gt;"!!!"),"NEW","")))</f>
        <v> </v>
      </c>
      <c r="G648" s="23" t="str">
        <f>IF(OR(E648="",E648="!!!"),"",IF(OR(J648=0,AND(J648=1,K648=1),AND(J648=1,I648="SBJ"),AND(J648=1,I648=0)),"?IN_FOCUS",IF(J648&lt;=2,"?ACTIVATED",IF(J648&lt;&gt;"","?FAMILIAR",IF(F648="NEW",IF(ISNA(VLOOKUP(E648,#REF!,1,FALSE())),"?TYPE_IDENTIFIABLE","?REFERENTIAL"),"_")))))</f>
        <v> </v>
      </c>
      <c r="H648" s="24" t="str">
        <f>IF(J648&lt;&gt;1,"",IF(I648="SBJ","CB","?"))</f>
        <v> </v>
      </c>
      <c r="I648" s="25" t="str">
        <f>IF(OR(E648="",E648="!!!",F648="NEW"),"",INDEX(B647:B$2,-1+SUMPRODUCT(MAX(ROW(E647:E$2)*(E648=E647:E$2)))))</f>
        <v> </v>
      </c>
      <c r="J648" s="25" t="str">
        <f>IF(OR(E648="",E648="!!!",F648="NEW"),"",COUNTBLANK(OFFSET(A$1,,,SUMPRODUCT(MAX(ROW(E$2:E648)*(E648=E$2:E648)))))-COUNTBLANK(OFFSET(A$1,,,SUMPRODUCT(MAX(ROW(E$1:E647)*(E2=E$1:E647))))))</f>
        <v> </v>
      </c>
      <c r="K648" s="25" t="str">
        <f>IF(OR(E648="",E648="!!!",F648="NEW"),"",INDEX(J$1:J647,SUMPRODUCT(MAX(ROW(E$1:E647)*(E648=E$1:E647)))))</f>
        <v> </v>
      </c>
      <c r="L648" s="26"/>
    </row>
    <row r="649" spans="1:12">
      <c r="A649" s="20" t="s">
        <v>813</v>
      </c>
      <c r="B649" s="27" t="s">
        <v>521</v>
      </c>
      <c r="E649" s="21">
        <f>IF(D649="?OLD","!!!","")</f>
        <v/>
      </c>
      <c r="F649" s="22" t="str">
        <f>IF(OR(E649="",E649="!!!"),"",IF(NOT(ISNA(VLOOKUP(E649,E$1:E648,1,FALSE()))),"OLD",IF(AND(E649&lt;&gt;"",E649&lt;&gt;"!!!"),"NEW","")))</f>
        <v> </v>
      </c>
      <c r="G649" s="23" t="str">
        <f>IF(OR(E649="",E649="!!!"),"",IF(OR(J649=0,AND(J649=1,K649=1),AND(J649=1,I649="SBJ"),AND(J649=1,I649=0)),"?IN_FOCUS",IF(J649&lt;=2,"?ACTIVATED",IF(J649&lt;&gt;"","?FAMILIAR",IF(F649="NEW",IF(ISNA(VLOOKUP(E649,#REF!,1,FALSE())),"?TYPE_IDENTIFIABLE","?REFERENTIAL"),"_")))))</f>
        <v> </v>
      </c>
      <c r="H649" s="24" t="str">
        <f>IF(J649&lt;&gt;1,"",IF(I649="SBJ","CB","?"))</f>
        <v> </v>
      </c>
      <c r="I649" s="25" t="str">
        <f>IF(OR(E649="",E649="!!!",F649="NEW"),"",INDEX(B648:B$2,-1+SUMPRODUCT(MAX(ROW(E648:E$2)*(E649=E648:E$2)))))</f>
        <v> </v>
      </c>
      <c r="J649" s="25" t="str">
        <f>IF(OR(E649="",E649="!!!",F649="NEW"),"",COUNTBLANK(OFFSET(A$1,,,SUMPRODUCT(MAX(ROW(E$2:E649)*(E649=E$2:E649)))))-COUNTBLANK(OFFSET(A$1,,,SUMPRODUCT(MAX(ROW(E$1:E648)*(E2=E$1:E648))))))</f>
        <v> </v>
      </c>
      <c r="K649" s="25" t="str">
        <f>IF(OR(E649="",E649="!!!",F649="NEW"),"",INDEX(J$1:J648,SUMPRODUCT(MAX(ROW(E$1:E648)*(E649=E$1:E648)))))</f>
        <v> </v>
      </c>
      <c r="L649" s="26"/>
    </row>
    <row r="650" spans="1:12">
      <c r="A650" s="20" t="s">
        <v>814</v>
      </c>
      <c r="B650" s="27" t="s">
        <v>511</v>
      </c>
      <c r="C650" s="27" t="s">
        <v>620</v>
      </c>
      <c r="D650" s="27" t="s">
        <v>478</v>
      </c>
      <c r="E650" s="21">
        <f>IF(D650="?OLD","!!!","")</f>
        <v/>
      </c>
      <c r="F650" s="22" t="str">
        <f>IF(OR(E650="",E650="!!!"),"",IF(NOT(ISNA(VLOOKUP(E650,E$1:E649,1,FALSE()))),"OLD",IF(AND(E650&lt;&gt;"",E650&lt;&gt;"!!!"),"NEW","")))</f>
        <v> </v>
      </c>
      <c r="G650" s="23" t="str">
        <f>IF(OR(E650="",E650="!!!"),"",IF(OR(J650=0,AND(J650=1,K650=1),AND(J650=1,I650="SBJ"),AND(J650=1,I650=0)),"?IN_FOCUS",IF(J650&lt;=2,"?ACTIVATED",IF(J650&lt;&gt;"","?FAMILIAR",IF(F650="NEW",IF(ISNA(VLOOKUP(E650,#REF!,1,FALSE())),"?TYPE_IDENTIFIABLE","?REFERENTIAL"),"_")))))</f>
        <v> </v>
      </c>
      <c r="H650" s="24" t="str">
        <f>IF(J650&lt;&gt;1,"",IF(I650="SBJ","CB","?"))</f>
        <v> </v>
      </c>
      <c r="I650" s="25" t="str">
        <f>IF(OR(E650="",E650="!!!",F650="NEW"),"",INDEX(B649:B$2,-1+SUMPRODUCT(MAX(ROW(E649:E$2)*(E650=E649:E$2)))))</f>
        <v> </v>
      </c>
      <c r="J650" s="25" t="str">
        <f>IF(OR(E650="",E650="!!!",F650="NEW"),"",COUNTBLANK(OFFSET(A$1,,,SUMPRODUCT(MAX(ROW(E$2:E650)*(E650=E$2:E650)))))-COUNTBLANK(OFFSET(A$1,,,SUMPRODUCT(MAX(ROW(E$1:E649)*(E2=E$1:E649))))))</f>
        <v> </v>
      </c>
      <c r="K650" s="25" t="str">
        <f>IF(OR(E650="",E650="!!!",F650="NEW"),"",INDEX(J$1:J649,SUMPRODUCT(MAX(ROW(E$1:E649)*(E650=E$1:E649)))))</f>
        <v> </v>
      </c>
      <c r="L650" s="26"/>
    </row>
    <row r="651" spans="1:12">
      <c r="A651" s="20" t="s">
        <v>778</v>
      </c>
      <c r="E651" s="21">
        <f>IF(D651="?OLD","!!!","")</f>
        <v/>
      </c>
      <c r="F651" s="22" t="str">
        <f>IF(OR(E651="",E651="!!!"),"",IF(NOT(ISNA(VLOOKUP(E651,E$1:E650,1,FALSE()))),"OLD",IF(AND(E651&lt;&gt;"",E651&lt;&gt;"!!!"),"NEW","")))</f>
        <v> </v>
      </c>
      <c r="G651" s="23" t="str">
        <f>IF(OR(E651="",E651="!!!"),"",IF(OR(J651=0,AND(J651=1,K651=1),AND(J651=1,I651="SBJ"),AND(J651=1,I651=0)),"?IN_FOCUS",IF(J651&lt;=2,"?ACTIVATED",IF(J651&lt;&gt;"","?FAMILIAR",IF(F651="NEW",IF(ISNA(VLOOKUP(E651,#REF!,1,FALSE())),"?TYPE_IDENTIFIABLE","?REFERENTIAL"),"_")))))</f>
        <v> </v>
      </c>
      <c r="H651" s="24" t="str">
        <f>IF(J651&lt;&gt;1,"",IF(I651="SBJ","CB","?"))</f>
        <v> </v>
      </c>
      <c r="I651" s="25" t="str">
        <f>IF(OR(E651="",E651="!!!",F651="NEW"),"",INDEX(B650:B$2,-1+SUMPRODUCT(MAX(ROW(E650:E$2)*(E651=E650:E$2)))))</f>
        <v> </v>
      </c>
      <c r="J651" s="25" t="str">
        <f>IF(OR(E651="",E651="!!!",F651="NEW"),"",COUNTBLANK(OFFSET(A$1,,,SUMPRODUCT(MAX(ROW(E$2:E651)*(E651=E$2:E651)))))-COUNTBLANK(OFFSET(A$1,,,SUMPRODUCT(MAX(ROW(E$1:E650)*(E2=E$1:E650))))))</f>
        <v> </v>
      </c>
      <c r="K651" s="25" t="str">
        <f>IF(OR(E651="",E651="!!!",F651="NEW"),"",INDEX(J$1:J650,SUMPRODUCT(MAX(ROW(E$1:E650)*(E651=E$1:E650)))))</f>
        <v> </v>
      </c>
      <c r="L651" s="26"/>
    </row>
    <row r="652" spans="1:12">
      <c r="A652" s="20" t="s">
        <v>253</v>
      </c>
      <c r="E652" s="21">
        <f>IF(D652="?OLD","!!!","")</f>
        <v/>
      </c>
      <c r="F652" s="22" t="str">
        <f>IF(OR(E652="",E652="!!!"),"",IF(NOT(ISNA(VLOOKUP(E652,E$1:E651,1,FALSE()))),"OLD",IF(AND(E652&lt;&gt;"",E652&lt;&gt;"!!!"),"NEW","")))</f>
        <v> </v>
      </c>
      <c r="G652" s="23" t="str">
        <f>IF(OR(E652="",E652="!!!"),"",IF(OR(J652=0,AND(J652=1,K652=1),AND(J652=1,I652="SBJ"),AND(J652=1,I652=0)),"?IN_FOCUS",IF(J652&lt;=2,"?ACTIVATED",IF(J652&lt;&gt;"","?FAMILIAR",IF(F652="NEW",IF(ISNA(VLOOKUP(E652,#REF!,1,FALSE())),"?TYPE_IDENTIFIABLE","?REFERENTIAL"),"_")))))</f>
        <v> </v>
      </c>
      <c r="H652" s="24" t="str">
        <f>IF(J652&lt;&gt;1,"",IF(I652="SBJ","CB","?"))</f>
        <v> </v>
      </c>
      <c r="I652" s="25" t="str">
        <f>IF(OR(E652="",E652="!!!",F652="NEW"),"",INDEX(B651:B$2,-1+SUMPRODUCT(MAX(ROW(E651:E$2)*(E652=E651:E$2)))))</f>
        <v> </v>
      </c>
      <c r="J652" s="25" t="str">
        <f>IF(OR(E652="",E652="!!!",F652="NEW"),"",COUNTBLANK(OFFSET(A$1,,,SUMPRODUCT(MAX(ROW(E$2:E652)*(E652=E$2:E652)))))-COUNTBLANK(OFFSET(A$1,,,SUMPRODUCT(MAX(ROW(E$1:E651)*(E2=E$1:E651))))))</f>
        <v> </v>
      </c>
      <c r="K652" s="25" t="str">
        <f>IF(OR(E652="",E652="!!!",F652="NEW"),"",INDEX(J$1:J651,SUMPRODUCT(MAX(ROW(E$1:E651)*(E652=E$1:E651)))))</f>
        <v> </v>
      </c>
      <c r="L652" s="26"/>
    </row>
    <row r="653" spans="1:12">
      <c r="A653" s="20"/>
    </row>
    <row r="654" spans="1:12">
      <c r="A654" s="20" t="s">
        <v>815</v>
      </c>
    </row>
    <row r="655" spans="1:12">
      <c r="A655" s="20" t="s">
        <v>606</v>
      </c>
      <c r="B655" s="27" t="s">
        <v>476</v>
      </c>
      <c r="C655" s="27" t="s">
        <v>477</v>
      </c>
      <c r="D655" s="27" t="s">
        <v>478</v>
      </c>
      <c r="E655" s="21">
        <f>IF(D655="?OLD","!!!","")</f>
        <v/>
      </c>
      <c r="F655" s="22" t="str">
        <f>IF(OR(E655="",E655="!!!"),"",IF(NOT(ISNA(VLOOKUP(E655,E$1:E654,1,FALSE()))),"OLD",IF(AND(E655&lt;&gt;"",E655&lt;&gt;"!!!"),"NEW","")))</f>
        <v> </v>
      </c>
      <c r="G655" s="23" t="str">
        <f>IF(OR(E655="",E655="!!!"),"",IF(OR(J655=0,AND(J655=1,K655=1),AND(J655=1,I655="SBJ"),AND(J655=1,I655=0)),"?IN_FOCUS",IF(J655&lt;=2,"?ACTIVATED",IF(J655&lt;&gt;"","?FAMILIAR",IF(F655="NEW",IF(ISNA(VLOOKUP(E655,#REF!,1,FALSE())),"?TYPE_IDENTIFIABLE","?REFERENTIAL"),"_")))))</f>
        <v> </v>
      </c>
      <c r="H655" s="24" t="str">
        <f>IF(J655&lt;&gt;1,"",IF(I655="SBJ","CB","?"))</f>
        <v> </v>
      </c>
      <c r="I655" s="25" t="str">
        <f>IF(OR(E655="",E655="!!!",F655="NEW"),"",INDEX(B654:B$2,-1+SUMPRODUCT(MAX(ROW(E654:E$2)*(E655=E654:E$2)))))</f>
        <v> </v>
      </c>
      <c r="J655" s="25" t="str">
        <f>IF(OR(E655="",E655="!!!",F655="NEW"),"",COUNTBLANK(OFFSET(A$1,,,SUMPRODUCT(MAX(ROW(E$2:E655)*(E655=E$2:E655)))))-COUNTBLANK(OFFSET(A$1,,,SUMPRODUCT(MAX(ROW(E$1:E654)*(E2=E$1:E654))))))</f>
        <v> </v>
      </c>
      <c r="K655" s="25" t="str">
        <f>IF(OR(E655="",E655="!!!",F655="NEW"),"",INDEX(J$1:J654,SUMPRODUCT(MAX(ROW(E$1:E654)*(E655=E$1:E654)))))</f>
        <v> </v>
      </c>
      <c r="L655" s="26"/>
    </row>
    <row r="656" spans="1:12">
      <c r="A656" s="20" t="s">
        <v>816</v>
      </c>
      <c r="E656" s="21">
        <f>IF(D656="?OLD","!!!","")</f>
        <v/>
      </c>
      <c r="F656" s="22" t="str">
        <f>IF(OR(E656="",E656="!!!"),"",IF(NOT(ISNA(VLOOKUP(E656,E$1:E655,1,FALSE()))),"OLD",IF(AND(E656&lt;&gt;"",E656&lt;&gt;"!!!"),"NEW","")))</f>
        <v> </v>
      </c>
      <c r="G656" s="23" t="str">
        <f>IF(OR(E656="",E656="!!!"),"",IF(OR(J656=0,AND(J656=1,K656=1),AND(J656=1,I656="SBJ"),AND(J656=1,I656=0)),"?IN_FOCUS",IF(J656&lt;=2,"?ACTIVATED",IF(J656&lt;&gt;"","?FAMILIAR",IF(F656="NEW",IF(ISNA(VLOOKUP(E656,#REF!,1,FALSE())),"?TYPE_IDENTIFIABLE","?REFERENTIAL"),"_")))))</f>
        <v> </v>
      </c>
      <c r="H656" s="24" t="str">
        <f>IF(J656&lt;&gt;1,"",IF(I656="SBJ","CB","?"))</f>
        <v> </v>
      </c>
      <c r="I656" s="25" t="str">
        <f>IF(OR(E656="",E656="!!!",F656="NEW"),"",INDEX(B655:B$2,-1+SUMPRODUCT(MAX(ROW(E655:E$2)*(E656=E655:E$2)))))</f>
        <v> </v>
      </c>
      <c r="J656" s="25" t="str">
        <f>IF(OR(E656="",E656="!!!",F656="NEW"),"",COUNTBLANK(OFFSET(A$1,,,SUMPRODUCT(MAX(ROW(E$2:E656)*(E656=E$2:E656)))))-COUNTBLANK(OFFSET(A$1,,,SUMPRODUCT(MAX(ROW(E$1:E655)*(E2=E$1:E655))))))</f>
        <v> </v>
      </c>
      <c r="K656" s="25" t="str">
        <f>IF(OR(E656="",E656="!!!",F656="NEW"),"",INDEX(J$1:J655,SUMPRODUCT(MAX(ROW(E$1:E655)*(E656=E$1:E655)))))</f>
        <v> </v>
      </c>
      <c r="L656" s="26"/>
    </row>
    <row r="657" spans="1:12">
      <c r="A657" s="20" t="s">
        <v>817</v>
      </c>
      <c r="E657" s="21">
        <f>IF(D657="?OLD","!!!","")</f>
        <v/>
      </c>
      <c r="F657" s="22" t="str">
        <f>IF(OR(E657="",E657="!!!"),"",IF(NOT(ISNA(VLOOKUP(E657,E$1:E656,1,FALSE()))),"OLD",IF(AND(E657&lt;&gt;"",E657&lt;&gt;"!!!"),"NEW","")))</f>
        <v> </v>
      </c>
      <c r="G657" s="23" t="str">
        <f>IF(OR(E657="",E657="!!!"),"",IF(OR(J657=0,AND(J657=1,K657=1),AND(J657=1,I657="SBJ"),AND(J657=1,I657=0)),"?IN_FOCUS",IF(J657&lt;=2,"?ACTIVATED",IF(J657&lt;&gt;"","?FAMILIAR",IF(F657="NEW",IF(ISNA(VLOOKUP(E657,#REF!,1,FALSE())),"?TYPE_IDENTIFIABLE","?REFERENTIAL"),"_")))))</f>
        <v> </v>
      </c>
      <c r="H657" s="24" t="str">
        <f>IF(J657&lt;&gt;1,"",IF(I657="SBJ","CB","?"))</f>
        <v> </v>
      </c>
      <c r="I657" s="25" t="str">
        <f>IF(OR(E657="",E657="!!!",F657="NEW"),"",INDEX(B656:B$2,-1+SUMPRODUCT(MAX(ROW(E656:E$2)*(E657=E656:E$2)))))</f>
        <v> </v>
      </c>
      <c r="J657" s="25" t="str">
        <f>IF(OR(E657="",E657="!!!",F657="NEW"),"",COUNTBLANK(OFFSET(A$1,,,SUMPRODUCT(MAX(ROW(E$2:E657)*(E657=E$2:E657)))))-COUNTBLANK(OFFSET(A$1,,,SUMPRODUCT(MAX(ROW(E$1:E656)*(E2=E$1:E656))))))</f>
        <v> </v>
      </c>
      <c r="K657" s="25" t="str">
        <f>IF(OR(E657="",E657="!!!",F657="NEW"),"",INDEX(J$1:J656,SUMPRODUCT(MAX(ROW(E$1:E656)*(E657=E$1:E656)))))</f>
        <v> </v>
      </c>
      <c r="L657" s="26"/>
    </row>
    <row r="658" spans="1:12">
      <c r="A658" s="20" t="s">
        <v>655</v>
      </c>
      <c r="B658" s="27" t="s">
        <v>521</v>
      </c>
      <c r="C658" s="27" t="s">
        <v>690</v>
      </c>
      <c r="D658" s="27" t="s">
        <v>478</v>
      </c>
      <c r="E658" s="21">
        <f>IF(D658="?OLD","!!!","")</f>
        <v/>
      </c>
      <c r="F658" s="22" t="str">
        <f>IF(OR(E658="",E658="!!!"),"",IF(NOT(ISNA(VLOOKUP(E658,E$1:E657,1,FALSE()))),"OLD",IF(AND(E658&lt;&gt;"",E658&lt;&gt;"!!!"),"NEW","")))</f>
        <v> </v>
      </c>
      <c r="G658" s="23" t="str">
        <f>IF(OR(E658="",E658="!!!"),"",IF(OR(J658=0,AND(J658=1,K658=1),AND(J658=1,I658="SBJ"),AND(J658=1,I658=0)),"?IN_FOCUS",IF(J658&lt;=2,"?ACTIVATED",IF(J658&lt;&gt;"","?FAMILIAR",IF(F658="NEW",IF(ISNA(VLOOKUP(E658,#REF!,1,FALSE())),"?TYPE_IDENTIFIABLE","?REFERENTIAL"),"_")))))</f>
        <v> </v>
      </c>
      <c r="H658" s="24" t="str">
        <f>IF(J658&lt;&gt;1,"",IF(I658="SBJ","CB","?"))</f>
        <v> </v>
      </c>
      <c r="I658" s="25" t="str">
        <f>IF(OR(E658="",E658="!!!",F658="NEW"),"",INDEX(B657:B$2,-1+SUMPRODUCT(MAX(ROW(E657:E$2)*(E658=E657:E$2)))))</f>
        <v> </v>
      </c>
      <c r="J658" s="25" t="str">
        <f>IF(OR(E658="",E658="!!!",F658="NEW"),"",COUNTBLANK(OFFSET(A$1,,,SUMPRODUCT(MAX(ROW(E$2:E658)*(E658=E$2:E658)))))-COUNTBLANK(OFFSET(A$1,,,SUMPRODUCT(MAX(ROW(E$1:E657)*(E2=E$1:E657))))))</f>
        <v> </v>
      </c>
      <c r="K658" s="25" t="str">
        <f>IF(OR(E658="",E658="!!!",F658="NEW"),"",INDEX(J$1:J657,SUMPRODUCT(MAX(ROW(E$1:E657)*(E658=E$1:E657)))))</f>
        <v> </v>
      </c>
      <c r="L658" s="26"/>
    </row>
    <row r="659" spans="1:12">
      <c r="A659" s="20" t="s">
        <v>253</v>
      </c>
      <c r="E659" s="21">
        <f>IF(D659="?OLD","!!!","")</f>
        <v/>
      </c>
      <c r="F659" s="22" t="str">
        <f>IF(OR(E659="",E659="!!!"),"",IF(NOT(ISNA(VLOOKUP(E659,E$1:E658,1,FALSE()))),"OLD",IF(AND(E659&lt;&gt;"",E659&lt;&gt;"!!!"),"NEW","")))</f>
        <v> </v>
      </c>
      <c r="G659" s="23" t="str">
        <f>IF(OR(E659="",E659="!!!"),"",IF(OR(J659=0,AND(J659=1,K659=1),AND(J659=1,I659="SBJ"),AND(J659=1,I659=0)),"?IN_FOCUS",IF(J659&lt;=2,"?ACTIVATED",IF(J659&lt;&gt;"","?FAMILIAR",IF(F659="NEW",IF(ISNA(VLOOKUP(E659,#REF!,1,FALSE())),"?TYPE_IDENTIFIABLE","?REFERENTIAL"),"_")))))</f>
        <v> </v>
      </c>
      <c r="H659" s="24" t="str">
        <f>IF(J659&lt;&gt;1,"",IF(I659="SBJ","CB","?"))</f>
        <v> </v>
      </c>
      <c r="I659" s="25" t="str">
        <f>IF(OR(E659="",E659="!!!",F659="NEW"),"",INDEX(B658:B$2,-1+SUMPRODUCT(MAX(ROW(E658:E$2)*(E659=E658:E$2)))))</f>
        <v> </v>
      </c>
      <c r="J659" s="25" t="str">
        <f>IF(OR(E659="",E659="!!!",F659="NEW"),"",COUNTBLANK(OFFSET(A$1,,,SUMPRODUCT(MAX(ROW(E$2:E659)*(E659=E$2:E659)))))-COUNTBLANK(OFFSET(A$1,,,SUMPRODUCT(MAX(ROW(E$1:E658)*(E2=E$1:E658))))))</f>
        <v> </v>
      </c>
      <c r="K659" s="25" t="str">
        <f>IF(OR(E659="",E659="!!!",F659="NEW"),"",INDEX(J$1:J658,SUMPRODUCT(MAX(ROW(E$1:E658)*(E659=E$1:E658)))))</f>
        <v> </v>
      </c>
      <c r="L659" s="26"/>
    </row>
    <row r="660" spans="1:12">
      <c r="A660" s="20"/>
    </row>
    <row r="661" spans="1:12">
      <c r="A661" s="20" t="s">
        <v>818</v>
      </c>
    </row>
    <row r="662" spans="1:12">
      <c r="A662" s="20" t="s">
        <v>678</v>
      </c>
      <c r="B662" s="27" t="s">
        <v>476</v>
      </c>
      <c r="C662" s="27" t="s">
        <v>477</v>
      </c>
      <c r="D662" s="27" t="s">
        <v>478</v>
      </c>
      <c r="E662" s="21">
        <f>IF(D662="?OLD","!!!","")</f>
        <v/>
      </c>
      <c r="F662" s="22" t="str">
        <f>IF(OR(E662="",E662="!!!"),"",IF(NOT(ISNA(VLOOKUP(E662,E$1:E661,1,FALSE()))),"OLD",IF(AND(E662&lt;&gt;"",E662&lt;&gt;"!!!"),"NEW","")))</f>
        <v> </v>
      </c>
      <c r="G662" s="23" t="str">
        <f>IF(OR(E662="",E662="!!!"),"",IF(OR(J662=0,AND(J662=1,K662=1),AND(J662=1,I662="SBJ"),AND(J662=1,I662=0)),"?IN_FOCUS",IF(J662&lt;=2,"?ACTIVATED",IF(J662&lt;&gt;"","?FAMILIAR",IF(F662="NEW",IF(ISNA(VLOOKUP(E662,#REF!,1,FALSE())),"?TYPE_IDENTIFIABLE","?REFERENTIAL"),"_")))))</f>
        <v> </v>
      </c>
      <c r="H662" s="24" t="str">
        <f>IF(J662&lt;&gt;1,"",IF(I662="SBJ","CB","?"))</f>
        <v> </v>
      </c>
      <c r="I662" s="25" t="str">
        <f>IF(OR(E662="",E662="!!!",F662="NEW"),"",INDEX(B661:B$2,-1+SUMPRODUCT(MAX(ROW(E661:E$2)*(E662=E661:E$2)))))</f>
        <v> </v>
      </c>
      <c r="J662" s="25" t="str">
        <f>IF(OR(E662="",E662="!!!",F662="NEW"),"",COUNTBLANK(OFFSET(A$1,,,SUMPRODUCT(MAX(ROW(E$2:E662)*(E662=E$2:E662)))))-COUNTBLANK(OFFSET(A$1,,,SUMPRODUCT(MAX(ROW(E$1:E661)*(E2=E$1:E661))))))</f>
        <v> </v>
      </c>
      <c r="K662" s="25" t="str">
        <f>IF(OR(E662="",E662="!!!",F662="NEW"),"",INDEX(J$1:J661,SUMPRODUCT(MAX(ROW(E$1:E661)*(E662=E$1:E661)))))</f>
        <v> </v>
      </c>
      <c r="L662" s="26"/>
    </row>
    <row r="663" spans="1:12">
      <c r="A663" s="20" t="s">
        <v>640</v>
      </c>
      <c r="E663" s="21">
        <f>IF(D663="?OLD","!!!","")</f>
        <v/>
      </c>
      <c r="F663" s="22" t="str">
        <f>IF(OR(E663="",E663="!!!"),"",IF(NOT(ISNA(VLOOKUP(E663,E$1:E662,1,FALSE()))),"OLD",IF(AND(E663&lt;&gt;"",E663&lt;&gt;"!!!"),"NEW","")))</f>
        <v> </v>
      </c>
      <c r="G663" s="23" t="str">
        <f>IF(OR(E663="",E663="!!!"),"",IF(OR(J663=0,AND(J663=1,K663=1),AND(J663=1,I663="SBJ"),AND(J663=1,I663=0)),"?IN_FOCUS",IF(J663&lt;=2,"?ACTIVATED",IF(J663&lt;&gt;"","?FAMILIAR",IF(F663="NEW",IF(ISNA(VLOOKUP(E663,#REF!,1,FALSE())),"?TYPE_IDENTIFIABLE","?REFERENTIAL"),"_")))))</f>
        <v> </v>
      </c>
      <c r="H663" s="24" t="str">
        <f>IF(J663&lt;&gt;1,"",IF(I663="SBJ","CB","?"))</f>
        <v> </v>
      </c>
      <c r="I663" s="25" t="str">
        <f>IF(OR(E663="",E663="!!!",F663="NEW"),"",INDEX(B662:B$2,-1+SUMPRODUCT(MAX(ROW(E662:E$2)*(E663=E662:E$2)))))</f>
        <v> </v>
      </c>
      <c r="J663" s="25" t="str">
        <f>IF(OR(E663="",E663="!!!",F663="NEW"),"",COUNTBLANK(OFFSET(A$1,,,SUMPRODUCT(MAX(ROW(E$2:E663)*(E663=E$2:E663)))))-COUNTBLANK(OFFSET(A$1,,,SUMPRODUCT(MAX(ROW(E$1:E662)*(E2=E$1:E662))))))</f>
        <v> </v>
      </c>
      <c r="K663" s="25" t="str">
        <f>IF(OR(E663="",E663="!!!",F663="NEW"),"",INDEX(J$1:J662,SUMPRODUCT(MAX(ROW(E$1:E662)*(E663=E$1:E662)))))</f>
        <v> </v>
      </c>
      <c r="L663" s="26"/>
    </row>
    <row r="664" spans="1:12">
      <c r="A664" s="20" t="s">
        <v>618</v>
      </c>
      <c r="B664" s="27" t="s">
        <v>521</v>
      </c>
      <c r="E664" s="21">
        <f>IF(D664="?OLD","!!!","")</f>
        <v/>
      </c>
      <c r="F664" s="22" t="str">
        <f>IF(OR(E664="",E664="!!!"),"",IF(NOT(ISNA(VLOOKUP(E664,E$1:E663,1,FALSE()))),"OLD",IF(AND(E664&lt;&gt;"",E664&lt;&gt;"!!!"),"NEW","")))</f>
        <v> </v>
      </c>
      <c r="G664" s="23" t="str">
        <f>IF(OR(E664="",E664="!!!"),"",IF(OR(J664=0,AND(J664=1,K664=1),AND(J664=1,I664="SBJ"),AND(J664=1,I664=0)),"?IN_FOCUS",IF(J664&lt;=2,"?ACTIVATED",IF(J664&lt;&gt;"","?FAMILIAR",IF(F664="NEW",IF(ISNA(VLOOKUP(E664,#REF!,1,FALSE())),"?TYPE_IDENTIFIABLE","?REFERENTIAL"),"_")))))</f>
        <v> </v>
      </c>
      <c r="H664" s="24" t="str">
        <f>IF(J664&lt;&gt;1,"",IF(I664="SBJ","CB","?"))</f>
        <v> </v>
      </c>
      <c r="I664" s="25" t="str">
        <f>IF(OR(E664="",E664="!!!",F664="NEW"),"",INDEX(B663:B$2,-1+SUMPRODUCT(MAX(ROW(E663:E$2)*(E664=E663:E$2)))))</f>
        <v> </v>
      </c>
      <c r="J664" s="25" t="str">
        <f>IF(OR(E664="",E664="!!!",F664="NEW"),"",COUNTBLANK(OFFSET(A$1,,,SUMPRODUCT(MAX(ROW(E$2:E664)*(E664=E$2:E664)))))-COUNTBLANK(OFFSET(A$1,,,SUMPRODUCT(MAX(ROW(E$1:E663)*(E2=E$1:E663))))))</f>
        <v> </v>
      </c>
      <c r="K664" s="25" t="str">
        <f>IF(OR(E664="",E664="!!!",F664="NEW"),"",INDEX(J$1:J663,SUMPRODUCT(MAX(ROW(E$1:E663)*(E664=E$1:E663)))))</f>
        <v> </v>
      </c>
      <c r="L664" s="26"/>
    </row>
    <row r="665" spans="1:12">
      <c r="A665" s="20" t="s">
        <v>253</v>
      </c>
      <c r="E665" s="21">
        <f>IF(D665="?OLD","!!!","")</f>
        <v/>
      </c>
      <c r="F665" s="22" t="str">
        <f>IF(OR(E665="",E665="!!!"),"",IF(NOT(ISNA(VLOOKUP(E665,E$1:E664,1,FALSE()))),"OLD",IF(AND(E665&lt;&gt;"",E665&lt;&gt;"!!!"),"NEW","")))</f>
        <v> </v>
      </c>
      <c r="G665" s="23" t="str">
        <f>IF(OR(E665="",E665="!!!"),"",IF(OR(J665=0,AND(J665=1,K665=1),AND(J665=1,I665="SBJ"),AND(J665=1,I665=0)),"?IN_FOCUS",IF(J665&lt;=2,"?ACTIVATED",IF(J665&lt;&gt;"","?FAMILIAR",IF(F665="NEW",IF(ISNA(VLOOKUP(E665,#REF!,1,FALSE())),"?TYPE_IDENTIFIABLE","?REFERENTIAL"),"_")))))</f>
        <v> </v>
      </c>
      <c r="H665" s="24" t="str">
        <f>IF(J665&lt;&gt;1,"",IF(I665="SBJ","CB","?"))</f>
        <v> </v>
      </c>
      <c r="I665" s="25" t="str">
        <f>IF(OR(E665="",E665="!!!",F665="NEW"),"",INDEX(B664:B$2,-1+SUMPRODUCT(MAX(ROW(E664:E$2)*(E665=E664:E$2)))))</f>
        <v> </v>
      </c>
      <c r="J665" s="25" t="str">
        <f>IF(OR(E665="",E665="!!!",F665="NEW"),"",COUNTBLANK(OFFSET(A$1,,,SUMPRODUCT(MAX(ROW(E$2:E665)*(E665=E$2:E665)))))-COUNTBLANK(OFFSET(A$1,,,SUMPRODUCT(MAX(ROW(E$1:E664)*(E2=E$1:E664))))))</f>
        <v> </v>
      </c>
      <c r="K665" s="25" t="str">
        <f>IF(OR(E665="",E665="!!!",F665="NEW"),"",INDEX(J$1:J664,SUMPRODUCT(MAX(ROW(E$1:E664)*(E665=E$1:E664)))))</f>
        <v> </v>
      </c>
      <c r="L665" s="26"/>
    </row>
    <row r="666" spans="1:12">
      <c r="A666" s="20"/>
    </row>
    <row r="667" spans="1:12">
      <c r="A667" s="20" t="s">
        <v>819</v>
      </c>
    </row>
    <row r="668" spans="1:12">
      <c r="A668" s="20" t="s">
        <v>678</v>
      </c>
      <c r="B668" s="27" t="s">
        <v>476</v>
      </c>
      <c r="C668" s="27" t="s">
        <v>477</v>
      </c>
      <c r="D668" s="27" t="s">
        <v>478</v>
      </c>
      <c r="E668" s="21">
        <f>IF(D668="?OLD","!!!","")</f>
        <v/>
      </c>
      <c r="F668" s="22" t="str">
        <f>IF(OR(E668="",E668="!!!"),"",IF(NOT(ISNA(VLOOKUP(E668,E$1:E667,1,FALSE()))),"OLD",IF(AND(E668&lt;&gt;"",E668&lt;&gt;"!!!"),"NEW","")))</f>
        <v> </v>
      </c>
      <c r="G668" s="23" t="str">
        <f>IF(OR(E668="",E668="!!!"),"",IF(OR(J668=0,AND(J668=1,K668=1),AND(J668=1,I668="SBJ"),AND(J668=1,I668=0)),"?IN_FOCUS",IF(J668&lt;=2,"?ACTIVATED",IF(J668&lt;&gt;"","?FAMILIAR",IF(F668="NEW",IF(ISNA(VLOOKUP(E668,#REF!,1,FALSE())),"?TYPE_IDENTIFIABLE","?REFERENTIAL"),"_")))))</f>
        <v> </v>
      </c>
      <c r="H668" s="24" t="str">
        <f>IF(J668&lt;&gt;1,"",IF(I668="SBJ","CB","?"))</f>
        <v> </v>
      </c>
      <c r="I668" s="25" t="str">
        <f>IF(OR(E668="",E668="!!!",F668="NEW"),"",INDEX(B667:B$2,-1+SUMPRODUCT(MAX(ROW(E667:E$2)*(E668=E667:E$2)))))</f>
        <v> </v>
      </c>
      <c r="J668" s="25" t="str">
        <f>IF(OR(E668="",E668="!!!",F668="NEW"),"",COUNTBLANK(OFFSET(A$1,,,SUMPRODUCT(MAX(ROW(E$2:E668)*(E668=E$2:E668)))))-COUNTBLANK(OFFSET(A$1,,,SUMPRODUCT(MAX(ROW(E$1:E667)*(E2=E$1:E667))))))</f>
        <v> </v>
      </c>
      <c r="K668" s="25" t="str">
        <f>IF(OR(E668="",E668="!!!",F668="NEW"),"",INDEX(J$1:J667,SUMPRODUCT(MAX(ROW(E$1:E667)*(E668=E$1:E667)))))</f>
        <v> </v>
      </c>
      <c r="L668" s="26"/>
    </row>
    <row r="669" spans="1:12">
      <c r="A669" s="20" t="s">
        <v>679</v>
      </c>
      <c r="E669" s="21">
        <f>IF(D669="?OLD","!!!","")</f>
        <v/>
      </c>
      <c r="F669" s="22" t="str">
        <f>IF(OR(E669="",E669="!!!"),"",IF(NOT(ISNA(VLOOKUP(E669,E$1:E668,1,FALSE()))),"OLD",IF(AND(E669&lt;&gt;"",E669&lt;&gt;"!!!"),"NEW","")))</f>
        <v> </v>
      </c>
      <c r="G669" s="23" t="str">
        <f>IF(OR(E669="",E669="!!!"),"",IF(OR(J669=0,AND(J669=1,K669=1),AND(J669=1,I669="SBJ"),AND(J669=1,I669=0)),"?IN_FOCUS",IF(J669&lt;=2,"?ACTIVATED",IF(J669&lt;&gt;"","?FAMILIAR",IF(F669="NEW",IF(ISNA(VLOOKUP(E669,#REF!,1,FALSE())),"?TYPE_IDENTIFIABLE","?REFERENTIAL"),"_")))))</f>
        <v> </v>
      </c>
      <c r="H669" s="24" t="str">
        <f>IF(J669&lt;&gt;1,"",IF(I669="SBJ","CB","?"))</f>
        <v> </v>
      </c>
      <c r="I669" s="25" t="str">
        <f>IF(OR(E669="",E669="!!!",F669="NEW"),"",INDEX(B668:B$2,-1+SUMPRODUCT(MAX(ROW(E668:E$2)*(E669=E668:E$2)))))</f>
        <v> </v>
      </c>
      <c r="J669" s="25" t="str">
        <f>IF(OR(E669="",E669="!!!",F669="NEW"),"",COUNTBLANK(OFFSET(A$1,,,SUMPRODUCT(MAX(ROW(E$2:E669)*(E669=E$2:E669)))))-COUNTBLANK(OFFSET(A$1,,,SUMPRODUCT(MAX(ROW(E$1:E668)*(E2=E$1:E668))))))</f>
        <v> </v>
      </c>
      <c r="K669" s="25" t="str">
        <f>IF(OR(E669="",E669="!!!",F669="NEW"),"",INDEX(J$1:J668,SUMPRODUCT(MAX(ROW(E$1:E668)*(E669=E$1:E668)))))</f>
        <v> </v>
      </c>
      <c r="L669" s="26"/>
    </row>
    <row r="670" spans="1:12">
      <c r="A670" s="20" t="s">
        <v>44</v>
      </c>
      <c r="E670" s="21">
        <f>IF(D670="?OLD","!!!","")</f>
        <v/>
      </c>
      <c r="F670" s="22" t="str">
        <f>IF(OR(E670="",E670="!!!"),"",IF(NOT(ISNA(VLOOKUP(E670,E$1:E669,1,FALSE()))),"OLD",IF(AND(E670&lt;&gt;"",E670&lt;&gt;"!!!"),"NEW","")))</f>
        <v> </v>
      </c>
      <c r="G670" s="23" t="str">
        <f>IF(OR(E670="",E670="!!!"),"",IF(OR(J670=0,AND(J670=1,K670=1),AND(J670=1,I670="SBJ"),AND(J670=1,I670=0)),"?IN_FOCUS",IF(J670&lt;=2,"?ACTIVATED",IF(J670&lt;&gt;"","?FAMILIAR",IF(F670="NEW",IF(ISNA(VLOOKUP(E670,#REF!,1,FALSE())),"?TYPE_IDENTIFIABLE","?REFERENTIAL"),"_")))))</f>
        <v> </v>
      </c>
      <c r="H670" s="24" t="str">
        <f>IF(J670&lt;&gt;1,"",IF(I670="SBJ","CB","?"))</f>
        <v> </v>
      </c>
      <c r="I670" s="25" t="str">
        <f>IF(OR(E670="",E670="!!!",F670="NEW"),"",INDEX(B669:B$2,-1+SUMPRODUCT(MAX(ROW(E669:E$2)*(E670=E669:E$2)))))</f>
        <v> </v>
      </c>
      <c r="J670" s="25" t="str">
        <f>IF(OR(E670="",E670="!!!",F670="NEW"),"",COUNTBLANK(OFFSET(A$1,,,SUMPRODUCT(MAX(ROW(E$2:E670)*(E670=E$2:E670)))))-COUNTBLANK(OFFSET(A$1,,,SUMPRODUCT(MAX(ROW(E$1:E669)*(E2=E$1:E669))))))</f>
        <v> </v>
      </c>
      <c r="K670" s="25" t="str">
        <f>IF(OR(E670="",E670="!!!",F670="NEW"),"",INDEX(J$1:J669,SUMPRODUCT(MAX(ROW(E$1:E669)*(E670=E$1:E669)))))</f>
        <v> </v>
      </c>
      <c r="L670" s="26"/>
    </row>
    <row r="671" spans="1:12">
      <c r="A671" s="20" t="s">
        <v>689</v>
      </c>
      <c r="E671" s="21">
        <f>IF(D671="?OLD","!!!","")</f>
        <v/>
      </c>
      <c r="F671" s="22" t="str">
        <f>IF(OR(E671="",E671="!!!"),"",IF(NOT(ISNA(VLOOKUP(E671,E$1:E670,1,FALSE()))),"OLD",IF(AND(E671&lt;&gt;"",E671&lt;&gt;"!!!"),"NEW","")))</f>
        <v> </v>
      </c>
      <c r="G671" s="23" t="str">
        <f>IF(OR(E671="",E671="!!!"),"",IF(OR(J671=0,AND(J671=1,K671=1),AND(J671=1,I671="SBJ"),AND(J671=1,I671=0)),"?IN_FOCUS",IF(J671&lt;=2,"?ACTIVATED",IF(J671&lt;&gt;"","?FAMILIAR",IF(F671="NEW",IF(ISNA(VLOOKUP(E671,#REF!,1,FALSE())),"?TYPE_IDENTIFIABLE","?REFERENTIAL"),"_")))))</f>
        <v> </v>
      </c>
      <c r="H671" s="24" t="str">
        <f>IF(J671&lt;&gt;1,"",IF(I671="SBJ","CB","?"))</f>
        <v> </v>
      </c>
      <c r="I671" s="25" t="str">
        <f>IF(OR(E671="",E671="!!!",F671="NEW"),"",INDEX(B670:B$2,-1+SUMPRODUCT(MAX(ROW(E670:E$2)*(E671=E670:E$2)))))</f>
        <v> </v>
      </c>
      <c r="J671" s="25" t="str">
        <f>IF(OR(E671="",E671="!!!",F671="NEW"),"",COUNTBLANK(OFFSET(A$1,,,SUMPRODUCT(MAX(ROW(E$2:E671)*(E671=E$2:E671)))))-COUNTBLANK(OFFSET(A$1,,,SUMPRODUCT(MAX(ROW(E$1:E670)*(E2=E$1:E670))))))</f>
        <v> </v>
      </c>
      <c r="K671" s="25" t="str">
        <f>IF(OR(E671="",E671="!!!",F671="NEW"),"",INDEX(J$1:J670,SUMPRODUCT(MAX(ROW(E$1:E670)*(E671=E$1:E670)))))</f>
        <v> </v>
      </c>
      <c r="L671" s="26"/>
    </row>
    <row r="672" spans="1:12">
      <c r="A672" s="20" t="s">
        <v>47</v>
      </c>
      <c r="B672" s="27" t="s">
        <v>577</v>
      </c>
      <c r="C672" s="27" t="s">
        <v>690</v>
      </c>
      <c r="D672" s="27" t="s">
        <v>478</v>
      </c>
      <c r="E672" s="21">
        <f>IF(D672="?OLD","!!!","")</f>
        <v/>
      </c>
      <c r="F672" s="22" t="str">
        <f>IF(OR(E672="",E672="!!!"),"",IF(NOT(ISNA(VLOOKUP(E672,E$1:E671,1,FALSE()))),"OLD",IF(AND(E672&lt;&gt;"",E672&lt;&gt;"!!!"),"NEW","")))</f>
        <v> </v>
      </c>
      <c r="G672" s="23" t="str">
        <f>IF(OR(E672="",E672="!!!"),"",IF(OR(J672=0,AND(J672=1,K672=1),AND(J672=1,I672="SBJ"),AND(J672=1,I672=0)),"?IN_FOCUS",IF(J672&lt;=2,"?ACTIVATED",IF(J672&lt;&gt;"","?FAMILIAR",IF(F672="NEW",IF(ISNA(VLOOKUP(E672,#REF!,1,FALSE())),"?TYPE_IDENTIFIABLE","?REFERENTIAL"),"_")))))</f>
        <v> </v>
      </c>
      <c r="H672" s="24" t="str">
        <f>IF(J672&lt;&gt;1,"",IF(I672="SBJ","CB","?"))</f>
        <v> </v>
      </c>
      <c r="I672" s="25" t="str">
        <f>IF(OR(E672="",E672="!!!",F672="NEW"),"",INDEX(B671:B$2,-1+SUMPRODUCT(MAX(ROW(E671:E$2)*(E672=E671:E$2)))))</f>
        <v> </v>
      </c>
      <c r="J672" s="25" t="str">
        <f>IF(OR(E672="",E672="!!!",F672="NEW"),"",COUNTBLANK(OFFSET(A$1,,,SUMPRODUCT(MAX(ROW(E$2:E672)*(E672=E$2:E672)))))-COUNTBLANK(OFFSET(A$1,,,SUMPRODUCT(MAX(ROW(E$1:E671)*(E2=E$1:E671))))))</f>
        <v> </v>
      </c>
      <c r="K672" s="25" t="str">
        <f>IF(OR(E672="",E672="!!!",F672="NEW"),"",INDEX(J$1:J671,SUMPRODUCT(MAX(ROW(E$1:E671)*(E672=E$1:E671)))))</f>
        <v> </v>
      </c>
      <c r="L672" s="26"/>
    </row>
    <row r="673" spans="1:12">
      <c r="A673" s="20" t="s">
        <v>820</v>
      </c>
      <c r="E673" s="21">
        <f>IF(D673="?OLD","!!!","")</f>
        <v/>
      </c>
      <c r="F673" s="22" t="str">
        <f>IF(OR(E673="",E673="!!!"),"",IF(NOT(ISNA(VLOOKUP(E673,E$1:E672,1,FALSE()))),"OLD",IF(AND(E673&lt;&gt;"",E673&lt;&gt;"!!!"),"NEW","")))</f>
        <v> </v>
      </c>
      <c r="G673" s="23" t="str">
        <f>IF(OR(E673="",E673="!!!"),"",IF(OR(J673=0,AND(J673=1,K673=1),AND(J673=1,I673="SBJ"),AND(J673=1,I673=0)),"?IN_FOCUS",IF(J673&lt;=2,"?ACTIVATED",IF(J673&lt;&gt;"","?FAMILIAR",IF(F673="NEW",IF(ISNA(VLOOKUP(E673,#REF!,1,FALSE())),"?TYPE_IDENTIFIABLE","?REFERENTIAL"),"_")))))</f>
        <v> </v>
      </c>
      <c r="H673" s="24" t="str">
        <f>IF(J673&lt;&gt;1,"",IF(I673="SBJ","CB","?"))</f>
        <v> </v>
      </c>
      <c r="I673" s="25" t="str">
        <f>IF(OR(E673="",E673="!!!",F673="NEW"),"",INDEX(B672:B$2,-1+SUMPRODUCT(MAX(ROW(E672:E$2)*(E673=E672:E$2)))))</f>
        <v> </v>
      </c>
      <c r="J673" s="25" t="str">
        <f>IF(OR(E673="",E673="!!!",F673="NEW"),"",COUNTBLANK(OFFSET(A$1,,,SUMPRODUCT(MAX(ROW(E$2:E673)*(E673=E$2:E673)))))-COUNTBLANK(OFFSET(A$1,,,SUMPRODUCT(MAX(ROW(E$1:E672)*(E2=E$1:E672))))))</f>
        <v> </v>
      </c>
      <c r="K673" s="25" t="str">
        <f>IF(OR(E673="",E673="!!!",F673="NEW"),"",INDEX(J$1:J672,SUMPRODUCT(MAX(ROW(E$1:E672)*(E673=E$1:E672)))))</f>
        <v> </v>
      </c>
      <c r="L673" s="26"/>
    </row>
    <row r="674" spans="1:12">
      <c r="A674" s="20" t="s">
        <v>821</v>
      </c>
      <c r="B674" s="27" t="s">
        <v>577</v>
      </c>
      <c r="E674" s="21">
        <f>IF(D674="?OLD","!!!","")</f>
        <v/>
      </c>
      <c r="F674" s="22" t="str">
        <f>IF(OR(E674="",E674="!!!"),"",IF(NOT(ISNA(VLOOKUP(E674,E$1:E673,1,FALSE()))),"OLD",IF(AND(E674&lt;&gt;"",E674&lt;&gt;"!!!"),"NEW","")))</f>
        <v> </v>
      </c>
      <c r="G674" s="23" t="str">
        <f>IF(OR(E674="",E674="!!!"),"",IF(OR(J674=0,AND(J674=1,K674=1),AND(J674=1,I674="SBJ"),AND(J674=1,I674=0)),"?IN_FOCUS",IF(J674&lt;=2,"?ACTIVATED",IF(J674&lt;&gt;"","?FAMILIAR",IF(F674="NEW",IF(ISNA(VLOOKUP(E674,#REF!,1,FALSE())),"?TYPE_IDENTIFIABLE","?REFERENTIAL"),"_")))))</f>
        <v> </v>
      </c>
      <c r="H674" s="24" t="str">
        <f>IF(J674&lt;&gt;1,"",IF(I674="SBJ","CB","?"))</f>
        <v> </v>
      </c>
      <c r="I674" s="25" t="str">
        <f>IF(OR(E674="",E674="!!!",F674="NEW"),"",INDEX(B673:B$2,-1+SUMPRODUCT(MAX(ROW(E673:E$2)*(E674=E673:E$2)))))</f>
        <v> </v>
      </c>
      <c r="J674" s="25" t="str">
        <f>IF(OR(E674="",E674="!!!",F674="NEW"),"",COUNTBLANK(OFFSET(A$1,,,SUMPRODUCT(MAX(ROW(E$2:E674)*(E674=E$2:E674)))))-COUNTBLANK(OFFSET(A$1,,,SUMPRODUCT(MAX(ROW(E$1:E673)*(E2=E$1:E673))))))</f>
        <v> </v>
      </c>
      <c r="K674" s="25" t="str">
        <f>IF(OR(E674="",E674="!!!",F674="NEW"),"",INDEX(J$1:J673,SUMPRODUCT(MAX(ROW(E$1:E673)*(E674=E$1:E673)))))</f>
        <v> </v>
      </c>
      <c r="L674" s="26"/>
    </row>
    <row r="675" spans="1:12">
      <c r="A675" s="20" t="s">
        <v>656</v>
      </c>
      <c r="E675" s="21">
        <f>IF(D675="?OLD","!!!","")</f>
        <v/>
      </c>
      <c r="F675" s="22" t="str">
        <f>IF(OR(E675="",E675="!!!"),"",IF(NOT(ISNA(VLOOKUP(E675,E$1:E674,1,FALSE()))),"OLD",IF(AND(E675&lt;&gt;"",E675&lt;&gt;"!!!"),"NEW","")))</f>
        <v> </v>
      </c>
      <c r="G675" s="23" t="str">
        <f>IF(OR(E675="",E675="!!!"),"",IF(OR(J675=0,AND(J675=1,K675=1),AND(J675=1,I675="SBJ"),AND(J675=1,I675=0)),"?IN_FOCUS",IF(J675&lt;=2,"?ACTIVATED",IF(J675&lt;&gt;"","?FAMILIAR",IF(F675="NEW",IF(ISNA(VLOOKUP(E675,#REF!,1,FALSE())),"?TYPE_IDENTIFIABLE","?REFERENTIAL"),"_")))))</f>
        <v> </v>
      </c>
      <c r="H675" s="24" t="str">
        <f>IF(J675&lt;&gt;1,"",IF(I675="SBJ","CB","?"))</f>
        <v> </v>
      </c>
      <c r="I675" s="25" t="str">
        <f>IF(OR(E675="",E675="!!!",F675="NEW"),"",INDEX(B674:B$2,-1+SUMPRODUCT(MAX(ROW(E674:E$2)*(E675=E674:E$2)))))</f>
        <v> </v>
      </c>
      <c r="J675" s="25" t="str">
        <f>IF(OR(E675="",E675="!!!",F675="NEW"),"",COUNTBLANK(OFFSET(A$1,,,SUMPRODUCT(MAX(ROW(E$2:E675)*(E675=E$2:E675)))))-COUNTBLANK(OFFSET(A$1,,,SUMPRODUCT(MAX(ROW(E$1:E674)*(E2=E$1:E674))))))</f>
        <v> </v>
      </c>
      <c r="K675" s="25" t="str">
        <f>IF(OR(E675="",E675="!!!",F675="NEW"),"",INDEX(J$1:J674,SUMPRODUCT(MAX(ROW(E$1:E674)*(E675=E$1:E674)))))</f>
        <v> </v>
      </c>
      <c r="L675" s="26"/>
    </row>
    <row r="676" spans="1:12">
      <c r="A676" s="20" t="s">
        <v>822</v>
      </c>
      <c r="E676" s="21">
        <f>IF(D676="?OLD","!!!","")</f>
        <v/>
      </c>
      <c r="F676" s="22" t="str">
        <f>IF(OR(E676="",E676="!!!"),"",IF(NOT(ISNA(VLOOKUP(E676,E$1:E675,1,FALSE()))),"OLD",IF(AND(E676&lt;&gt;"",E676&lt;&gt;"!!!"),"NEW","")))</f>
        <v> </v>
      </c>
      <c r="G676" s="23" t="str">
        <f>IF(OR(E676="",E676="!!!"),"",IF(OR(J676=0,AND(J676=1,K676=1),AND(J676=1,I676="SBJ"),AND(J676=1,I676=0)),"?IN_FOCUS",IF(J676&lt;=2,"?ACTIVATED",IF(J676&lt;&gt;"","?FAMILIAR",IF(F676="NEW",IF(ISNA(VLOOKUP(E676,#REF!,1,FALSE())),"?TYPE_IDENTIFIABLE","?REFERENTIAL"),"_")))))</f>
        <v> </v>
      </c>
      <c r="H676" s="24" t="str">
        <f>IF(J676&lt;&gt;1,"",IF(I676="SBJ","CB","?"))</f>
        <v> </v>
      </c>
      <c r="I676" s="25" t="str">
        <f>IF(OR(E676="",E676="!!!",F676="NEW"),"",INDEX(B675:B$2,-1+SUMPRODUCT(MAX(ROW(E675:E$2)*(E676=E675:E$2)))))</f>
        <v> </v>
      </c>
      <c r="J676" s="25" t="str">
        <f>IF(OR(E676="",E676="!!!",F676="NEW"),"",COUNTBLANK(OFFSET(A$1,,,SUMPRODUCT(MAX(ROW(E$2:E676)*(E676=E$2:E676)))))-COUNTBLANK(OFFSET(A$1,,,SUMPRODUCT(MAX(ROW(E$1:E675)*(E2=E$1:E675))))))</f>
        <v> </v>
      </c>
      <c r="K676" s="25" t="str">
        <f>IF(OR(E676="",E676="!!!",F676="NEW"),"",INDEX(J$1:J675,SUMPRODUCT(MAX(ROW(E$1:E675)*(E676=E$1:E675)))))</f>
        <v> </v>
      </c>
      <c r="L676" s="26"/>
    </row>
    <row r="677" spans="1:12">
      <c r="A677" s="20" t="s">
        <v>253</v>
      </c>
      <c r="E677" s="21">
        <f>IF(D677="?OLD","!!!","")</f>
        <v/>
      </c>
      <c r="F677" s="22" t="str">
        <f>IF(OR(E677="",E677="!!!"),"",IF(NOT(ISNA(VLOOKUP(E677,E$1:E676,1,FALSE()))),"OLD",IF(AND(E677&lt;&gt;"",E677&lt;&gt;"!!!"),"NEW","")))</f>
        <v> </v>
      </c>
      <c r="G677" s="23" t="str">
        <f>IF(OR(E677="",E677="!!!"),"",IF(OR(J677=0,AND(J677=1,K677=1),AND(J677=1,I677="SBJ"),AND(J677=1,I677=0)),"?IN_FOCUS",IF(J677&lt;=2,"?ACTIVATED",IF(J677&lt;&gt;"","?FAMILIAR",IF(F677="NEW",IF(ISNA(VLOOKUP(E677,#REF!,1,FALSE())),"?TYPE_IDENTIFIABLE","?REFERENTIAL"),"_")))))</f>
        <v> </v>
      </c>
      <c r="H677" s="24" t="str">
        <f>IF(J677&lt;&gt;1,"",IF(I677="SBJ","CB","?"))</f>
        <v> </v>
      </c>
      <c r="I677" s="25" t="str">
        <f>IF(OR(E677="",E677="!!!",F677="NEW"),"",INDEX(B676:B$2,-1+SUMPRODUCT(MAX(ROW(E676:E$2)*(E677=E676:E$2)))))</f>
        <v> </v>
      </c>
      <c r="J677" s="25" t="str">
        <f>IF(OR(E677="",E677="!!!",F677="NEW"),"",COUNTBLANK(OFFSET(A$1,,,SUMPRODUCT(MAX(ROW(E$2:E677)*(E677=E$2:E677)))))-COUNTBLANK(OFFSET(A$1,,,SUMPRODUCT(MAX(ROW(E$1:E676)*(E2=E$1:E676))))))</f>
        <v> </v>
      </c>
      <c r="K677" s="25" t="str">
        <f>IF(OR(E677="",E677="!!!",F677="NEW"),"",INDEX(J$1:J676,SUMPRODUCT(MAX(ROW(E$1:E676)*(E677=E$1:E676)))))</f>
        <v> </v>
      </c>
      <c r="L677" s="26"/>
    </row>
    <row r="678" spans="1:12">
      <c r="A678" s="20"/>
    </row>
    <row r="679" spans="1:12">
      <c r="A679" s="20" t="s">
        <v>823</v>
      </c>
    </row>
    <row r="680" spans="1:12">
      <c r="A680" s="20" t="s">
        <v>824</v>
      </c>
      <c r="E680" s="21">
        <f>IF(D680="?OLD","!!!","")</f>
        <v/>
      </c>
      <c r="F680" s="22" t="str">
        <f>IF(OR(E680="",E680="!!!"),"",IF(NOT(ISNA(VLOOKUP(E680,E$1:E679,1,FALSE()))),"OLD",IF(AND(E680&lt;&gt;"",E680&lt;&gt;"!!!"),"NEW","")))</f>
        <v> </v>
      </c>
      <c r="G680" s="23" t="str">
        <f>IF(OR(E680="",E680="!!!"),"",IF(OR(J680=0,AND(J680=1,K680=1),AND(J680=1,I680="SBJ"),AND(J680=1,I680=0)),"?IN_FOCUS",IF(J680&lt;=2,"?ACTIVATED",IF(J680&lt;&gt;"","?FAMILIAR",IF(F680="NEW",IF(ISNA(VLOOKUP(E680,#REF!,1,FALSE())),"?TYPE_IDENTIFIABLE","?REFERENTIAL"),"_")))))</f>
        <v> </v>
      </c>
      <c r="H680" s="24" t="str">
        <f>IF(J680&lt;&gt;1,"",IF(I680="SBJ","CB","?"))</f>
        <v> </v>
      </c>
      <c r="I680" s="25" t="str">
        <f>IF(OR(E680="",E680="!!!",F680="NEW"),"",INDEX(B679:B$2,-1+SUMPRODUCT(MAX(ROW(E679:E$2)*(E680=E679:E$2)))))</f>
        <v> </v>
      </c>
      <c r="J680" s="25" t="str">
        <f>IF(OR(E680="",E680="!!!",F680="NEW"),"",COUNTBLANK(OFFSET(A$1,,,SUMPRODUCT(MAX(ROW(E$2:E680)*(E680=E$2:E680)))))-COUNTBLANK(OFFSET(A$1,,,SUMPRODUCT(MAX(ROW(E$1:E679)*(E2=E$1:E679))))))</f>
        <v> </v>
      </c>
      <c r="K680" s="25" t="str">
        <f>IF(OR(E680="",E680="!!!",F680="NEW"),"",INDEX(J$1:J679,SUMPRODUCT(MAX(ROW(E$1:E679)*(E680=E$1:E679)))))</f>
        <v> </v>
      </c>
      <c r="L680" s="26"/>
    </row>
    <row r="681" spans="1:12">
      <c r="A681" s="20" t="s">
        <v>253</v>
      </c>
      <c r="E681" s="21">
        <f>IF(D681="?OLD","!!!","")</f>
        <v/>
      </c>
      <c r="F681" s="22" t="str">
        <f>IF(OR(E681="",E681="!!!"),"",IF(NOT(ISNA(VLOOKUP(E681,E$1:E680,1,FALSE()))),"OLD",IF(AND(E681&lt;&gt;"",E681&lt;&gt;"!!!"),"NEW","")))</f>
        <v> </v>
      </c>
      <c r="G681" s="23" t="str">
        <f>IF(OR(E681="",E681="!!!"),"",IF(OR(J681=0,AND(J681=1,K681=1),AND(J681=1,I681="SBJ"),AND(J681=1,I681=0)),"?IN_FOCUS",IF(J681&lt;=2,"?ACTIVATED",IF(J681&lt;&gt;"","?FAMILIAR",IF(F681="NEW",IF(ISNA(VLOOKUP(E681,#REF!,1,FALSE())),"?TYPE_IDENTIFIABLE","?REFERENTIAL"),"_")))))</f>
        <v> </v>
      </c>
      <c r="H681" s="24" t="str">
        <f>IF(J681&lt;&gt;1,"",IF(I681="SBJ","CB","?"))</f>
        <v> </v>
      </c>
      <c r="I681" s="25" t="str">
        <f>IF(OR(E681="",E681="!!!",F681="NEW"),"",INDEX(B680:B$2,-1+SUMPRODUCT(MAX(ROW(E680:E$2)*(E681=E680:E$2)))))</f>
        <v> </v>
      </c>
      <c r="J681" s="25" t="str">
        <f>IF(OR(E681="",E681="!!!",F681="NEW"),"",COUNTBLANK(OFFSET(A$1,,,SUMPRODUCT(MAX(ROW(E$2:E681)*(E681=E$2:E681)))))-COUNTBLANK(OFFSET(A$1,,,SUMPRODUCT(MAX(ROW(E$1:E680)*(E2=E$1:E680))))))</f>
        <v> </v>
      </c>
      <c r="K681" s="25" t="str">
        <f>IF(OR(E681="",E681="!!!",F681="NEW"),"",INDEX(J$1:J680,SUMPRODUCT(MAX(ROW(E$1:E680)*(E681=E$1:E680)))))</f>
        <v> </v>
      </c>
      <c r="L681" s="26"/>
    </row>
    <row r="682" spans="1:12">
      <c r="A682" s="20"/>
    </row>
    <row r="683" spans="1:12">
      <c r="A683" s="20" t="s">
        <v>825</v>
      </c>
    </row>
    <row r="684" spans="1:12">
      <c r="A684" s="20" t="s">
        <v>502</v>
      </c>
      <c r="E684" s="21">
        <f>IF(D684="?OLD","!!!","")</f>
        <v/>
      </c>
      <c r="F684" s="22" t="str">
        <f>IF(OR(E684="",E684="!!!"),"",IF(NOT(ISNA(VLOOKUP(E684,E$1:E683,1,FALSE()))),"OLD",IF(AND(E684&lt;&gt;"",E684&lt;&gt;"!!!"),"NEW","")))</f>
        <v> </v>
      </c>
      <c r="G684" s="23" t="str">
        <f>IF(OR(E684="",E684="!!!"),"",IF(OR(J684=0,AND(J684=1,K684=1),AND(J684=1,I684="SBJ"),AND(J684=1,I684=0)),"?IN_FOCUS",IF(J684&lt;=2,"?ACTIVATED",IF(J684&lt;&gt;"","?FAMILIAR",IF(F684="NEW",IF(ISNA(VLOOKUP(E684,#REF!,1,FALSE())),"?TYPE_IDENTIFIABLE","?REFERENTIAL"),"_")))))</f>
        <v> </v>
      </c>
      <c r="H684" s="24" t="str">
        <f>IF(J684&lt;&gt;1,"",IF(I684="SBJ","CB","?"))</f>
        <v> </v>
      </c>
      <c r="I684" s="25" t="str">
        <f>IF(OR(E684="",E684="!!!",F684="NEW"),"",INDEX(B683:B$2,-1+SUMPRODUCT(MAX(ROW(E683:E$2)*(E684=E683:E$2)))))</f>
        <v> </v>
      </c>
      <c r="J684" s="25" t="str">
        <f>IF(OR(E684="",E684="!!!",F684="NEW"),"",COUNTBLANK(OFFSET(A$1,,,SUMPRODUCT(MAX(ROW(E$2:E684)*(E684=E$2:E684)))))-COUNTBLANK(OFFSET(A$1,,,SUMPRODUCT(MAX(ROW(E$1:E683)*(E2=E$1:E683))))))</f>
        <v> </v>
      </c>
      <c r="K684" s="25" t="str">
        <f>IF(OR(E684="",E684="!!!",F684="NEW"),"",INDEX(J$1:J683,SUMPRODUCT(MAX(ROW(E$1:E683)*(E684=E$1:E683)))))</f>
        <v> </v>
      </c>
      <c r="L684" s="26"/>
    </row>
    <row r="685" spans="1:12">
      <c r="A685" s="20" t="s">
        <v>826</v>
      </c>
      <c r="E685" s="21">
        <f>IF(D685="?OLD","!!!","")</f>
        <v/>
      </c>
      <c r="F685" s="22" t="str">
        <f>IF(OR(E685="",E685="!!!"),"",IF(NOT(ISNA(VLOOKUP(E685,E$1:E684,1,FALSE()))),"OLD",IF(AND(E685&lt;&gt;"",E685&lt;&gt;"!!!"),"NEW","")))</f>
        <v> </v>
      </c>
      <c r="G685" s="23" t="str">
        <f>IF(OR(E685="",E685="!!!"),"",IF(OR(J685=0,AND(J685=1,K685=1),AND(J685=1,I685="SBJ"),AND(J685=1,I685=0)),"?IN_FOCUS",IF(J685&lt;=2,"?ACTIVATED",IF(J685&lt;&gt;"","?FAMILIAR",IF(F685="NEW",IF(ISNA(VLOOKUP(E685,#REF!,1,FALSE())),"?TYPE_IDENTIFIABLE","?REFERENTIAL"),"_")))))</f>
        <v> </v>
      </c>
      <c r="H685" s="24" t="str">
        <f>IF(J685&lt;&gt;1,"",IF(I685="SBJ","CB","?"))</f>
        <v> </v>
      </c>
      <c r="I685" s="25" t="str">
        <f>IF(OR(E685="",E685="!!!",F685="NEW"),"",INDEX(B684:B$2,-1+SUMPRODUCT(MAX(ROW(E684:E$2)*(E685=E684:E$2)))))</f>
        <v> </v>
      </c>
      <c r="J685" s="25" t="str">
        <f>IF(OR(E685="",E685="!!!",F685="NEW"),"",COUNTBLANK(OFFSET(A$1,,,SUMPRODUCT(MAX(ROW(E$2:E685)*(E685=E$2:E685)))))-COUNTBLANK(OFFSET(A$1,,,SUMPRODUCT(MAX(ROW(E$1:E684)*(E2=E$1:E684))))))</f>
        <v> </v>
      </c>
      <c r="K685" s="25" t="str">
        <f>IF(OR(E685="",E685="!!!",F685="NEW"),"",INDEX(J$1:J684,SUMPRODUCT(MAX(ROW(E$1:E684)*(E685=E$1:E684)))))</f>
        <v> </v>
      </c>
      <c r="L685" s="26"/>
    </row>
    <row r="686" spans="1:12">
      <c r="A686" s="20" t="s">
        <v>482</v>
      </c>
      <c r="E686" s="21">
        <f>IF(D686="?OLD","!!!","")</f>
        <v/>
      </c>
      <c r="F686" s="22" t="str">
        <f>IF(OR(E686="",E686="!!!"),"",IF(NOT(ISNA(VLOOKUP(E686,E$1:E685,1,FALSE()))),"OLD",IF(AND(E686&lt;&gt;"",E686&lt;&gt;"!!!"),"NEW","")))</f>
        <v> </v>
      </c>
      <c r="G686" s="23" t="str">
        <f>IF(OR(E686="",E686="!!!"),"",IF(OR(J686=0,AND(J686=1,K686=1),AND(J686=1,I686="SBJ"),AND(J686=1,I686=0)),"?IN_FOCUS",IF(J686&lt;=2,"?ACTIVATED",IF(J686&lt;&gt;"","?FAMILIAR",IF(F686="NEW",IF(ISNA(VLOOKUP(E686,#REF!,1,FALSE())),"?TYPE_IDENTIFIABLE","?REFERENTIAL"),"_")))))</f>
        <v> </v>
      </c>
      <c r="H686" s="24" t="str">
        <f>IF(J686&lt;&gt;1,"",IF(I686="SBJ","CB","?"))</f>
        <v> </v>
      </c>
      <c r="I686" s="25" t="str">
        <f>IF(OR(E686="",E686="!!!",F686="NEW"),"",INDEX(B685:B$2,-1+SUMPRODUCT(MAX(ROW(E685:E$2)*(E686=E685:E$2)))))</f>
        <v> </v>
      </c>
      <c r="J686" s="25" t="str">
        <f>IF(OR(E686="",E686="!!!",F686="NEW"),"",COUNTBLANK(OFFSET(A$1,,,SUMPRODUCT(MAX(ROW(E$2:E686)*(E686=E$2:E686)))))-COUNTBLANK(OFFSET(A$1,,,SUMPRODUCT(MAX(ROW(E$1:E685)*(E2=E$1:E685))))))</f>
        <v> </v>
      </c>
      <c r="K686" s="25" t="str">
        <f>IF(OR(E686="",E686="!!!",F686="NEW"),"",INDEX(J$1:J685,SUMPRODUCT(MAX(ROW(E$1:E685)*(E686=E$1:E685)))))</f>
        <v> </v>
      </c>
      <c r="L686" s="26"/>
    </row>
    <row r="687" spans="1:12">
      <c r="A687" s="20" t="s">
        <v>686</v>
      </c>
      <c r="E687" s="21">
        <f>IF(D687="?OLD","!!!","")</f>
        <v/>
      </c>
      <c r="F687" s="22" t="str">
        <f>IF(OR(E687="",E687="!!!"),"",IF(NOT(ISNA(VLOOKUP(E687,E$1:E686,1,FALSE()))),"OLD",IF(AND(E687&lt;&gt;"",E687&lt;&gt;"!!!"),"NEW","")))</f>
        <v> </v>
      </c>
      <c r="G687" s="23" t="str">
        <f>IF(OR(E687="",E687="!!!"),"",IF(OR(J687=0,AND(J687=1,K687=1),AND(J687=1,I687="SBJ"),AND(J687=1,I687=0)),"?IN_FOCUS",IF(J687&lt;=2,"?ACTIVATED",IF(J687&lt;&gt;"","?FAMILIAR",IF(F687="NEW",IF(ISNA(VLOOKUP(E687,#REF!,1,FALSE())),"?TYPE_IDENTIFIABLE","?REFERENTIAL"),"_")))))</f>
        <v> </v>
      </c>
      <c r="H687" s="24" t="str">
        <f>IF(J687&lt;&gt;1,"",IF(I687="SBJ","CB","?"))</f>
        <v> </v>
      </c>
      <c r="I687" s="25" t="str">
        <f>IF(OR(E687="",E687="!!!",F687="NEW"),"",INDEX(B686:B$2,-1+SUMPRODUCT(MAX(ROW(E686:E$2)*(E687=E686:E$2)))))</f>
        <v> </v>
      </c>
      <c r="J687" s="25" t="str">
        <f>IF(OR(E687="",E687="!!!",F687="NEW"),"",COUNTBLANK(OFFSET(A$1,,,SUMPRODUCT(MAX(ROW(E$2:E687)*(E687=E$2:E687)))))-COUNTBLANK(OFFSET(A$1,,,SUMPRODUCT(MAX(ROW(E$1:E686)*(E2=E$1:E686))))))</f>
        <v> </v>
      </c>
      <c r="K687" s="25" t="str">
        <f>IF(OR(E687="",E687="!!!",F687="NEW"),"",INDEX(J$1:J686,SUMPRODUCT(MAX(ROW(E$1:E686)*(E687=E$1:E686)))))</f>
        <v> </v>
      </c>
      <c r="L687" s="26"/>
    </row>
    <row r="688" spans="1:12">
      <c r="A688" s="20" t="s">
        <v>827</v>
      </c>
      <c r="E688" s="21">
        <f>IF(D688="?OLD","!!!","")</f>
        <v/>
      </c>
      <c r="F688" s="22" t="str">
        <f>IF(OR(E688="",E688="!!!"),"",IF(NOT(ISNA(VLOOKUP(E688,E$1:E687,1,FALSE()))),"OLD",IF(AND(E688&lt;&gt;"",E688&lt;&gt;"!!!"),"NEW","")))</f>
        <v> </v>
      </c>
      <c r="G688" s="23" t="str">
        <f>IF(OR(E688="",E688="!!!"),"",IF(OR(J688=0,AND(J688=1,K688=1),AND(J688=1,I688="SBJ"),AND(J688=1,I688=0)),"?IN_FOCUS",IF(J688&lt;=2,"?ACTIVATED",IF(J688&lt;&gt;"","?FAMILIAR",IF(F688="NEW",IF(ISNA(VLOOKUP(E688,#REF!,1,FALSE())),"?TYPE_IDENTIFIABLE","?REFERENTIAL"),"_")))))</f>
        <v> </v>
      </c>
      <c r="H688" s="24" t="str">
        <f>IF(J688&lt;&gt;1,"",IF(I688="SBJ","CB","?"))</f>
        <v> </v>
      </c>
      <c r="I688" s="25" t="str">
        <f>IF(OR(E688="",E688="!!!",F688="NEW"),"",INDEX(B687:B$2,-1+SUMPRODUCT(MAX(ROW(E687:E$2)*(E688=E687:E$2)))))</f>
        <v> </v>
      </c>
      <c r="J688" s="25" t="str">
        <f>IF(OR(E688="",E688="!!!",F688="NEW"),"",COUNTBLANK(OFFSET(A$1,,,SUMPRODUCT(MAX(ROW(E$2:E688)*(E688=E$2:E688)))))-COUNTBLANK(OFFSET(A$1,,,SUMPRODUCT(MAX(ROW(E$1:E687)*(E2=E$1:E687))))))</f>
        <v> </v>
      </c>
      <c r="K688" s="25" t="str">
        <f>IF(OR(E688="",E688="!!!",F688="NEW"),"",INDEX(J$1:J687,SUMPRODUCT(MAX(ROW(E$1:E687)*(E688=E$1:E687)))))</f>
        <v> </v>
      </c>
      <c r="L688" s="26"/>
    </row>
    <row r="689" spans="1:12">
      <c r="A689" s="20" t="s">
        <v>688</v>
      </c>
      <c r="E689" s="21">
        <f>IF(D689="?OLD","!!!","")</f>
        <v/>
      </c>
      <c r="F689" s="22" t="str">
        <f>IF(OR(E689="",E689="!!!"),"",IF(NOT(ISNA(VLOOKUP(E689,E$1:E688,1,FALSE()))),"OLD",IF(AND(E689&lt;&gt;"",E689&lt;&gt;"!!!"),"NEW","")))</f>
        <v> </v>
      </c>
      <c r="G689" s="23" t="str">
        <f>IF(OR(E689="",E689="!!!"),"",IF(OR(J689=0,AND(J689=1,K689=1),AND(J689=1,I689="SBJ"),AND(J689=1,I689=0)),"?IN_FOCUS",IF(J689&lt;=2,"?ACTIVATED",IF(J689&lt;&gt;"","?FAMILIAR",IF(F689="NEW",IF(ISNA(VLOOKUP(E689,#REF!,1,FALSE())),"?TYPE_IDENTIFIABLE","?REFERENTIAL"),"_")))))</f>
        <v> </v>
      </c>
      <c r="H689" s="24" t="str">
        <f>IF(J689&lt;&gt;1,"",IF(I689="SBJ","CB","?"))</f>
        <v> </v>
      </c>
      <c r="I689" s="25" t="str">
        <f>IF(OR(E689="",E689="!!!",F689="NEW"),"",INDEX(B688:B$2,-1+SUMPRODUCT(MAX(ROW(E688:E$2)*(E689=E688:E$2)))))</f>
        <v> </v>
      </c>
      <c r="J689" s="25" t="str">
        <f>IF(OR(E689="",E689="!!!",F689="NEW"),"",COUNTBLANK(OFFSET(A$1,,,SUMPRODUCT(MAX(ROW(E$2:E689)*(E689=E$2:E689)))))-COUNTBLANK(OFFSET(A$1,,,SUMPRODUCT(MAX(ROW(E$1:E688)*(E2=E$1:E688))))))</f>
        <v> </v>
      </c>
      <c r="K689" s="25" t="str">
        <f>IF(OR(E689="",E689="!!!",F689="NEW"),"",INDEX(J$1:J688,SUMPRODUCT(MAX(ROW(E$1:E688)*(E689=E$1:E688)))))</f>
        <v> </v>
      </c>
      <c r="L689" s="26"/>
    </row>
    <row r="690" spans="1:12">
      <c r="A690" s="20" t="s">
        <v>299</v>
      </c>
      <c r="B690" s="27" t="s">
        <v>476</v>
      </c>
      <c r="C690" s="27" t="s">
        <v>477</v>
      </c>
      <c r="D690" s="27" t="s">
        <v>478</v>
      </c>
      <c r="E690" s="21">
        <f>IF(D690="?OLD","!!!","")</f>
        <v/>
      </c>
      <c r="F690" s="22" t="str">
        <f>IF(OR(E690="",E690="!!!"),"",IF(NOT(ISNA(VLOOKUP(E690,E$1:E689,1,FALSE()))),"OLD",IF(AND(E690&lt;&gt;"",E690&lt;&gt;"!!!"),"NEW","")))</f>
        <v> </v>
      </c>
      <c r="G690" s="23" t="str">
        <f>IF(OR(E690="",E690="!!!"),"",IF(OR(J690=0,AND(J690=1,K690=1),AND(J690=1,I690="SBJ"),AND(J690=1,I690=0)),"?IN_FOCUS",IF(J690&lt;=2,"?ACTIVATED",IF(J690&lt;&gt;"","?FAMILIAR",IF(F690="NEW",IF(ISNA(VLOOKUP(E690,#REF!,1,FALSE())),"?TYPE_IDENTIFIABLE","?REFERENTIAL"),"_")))))</f>
        <v> </v>
      </c>
      <c r="H690" s="24" t="str">
        <f>IF(J690&lt;&gt;1,"",IF(I690="SBJ","CB","?"))</f>
        <v> </v>
      </c>
      <c r="I690" s="25" t="str">
        <f>IF(OR(E690="",E690="!!!",F690="NEW"),"",INDEX(B689:B$2,-1+SUMPRODUCT(MAX(ROW(E689:E$2)*(E690=E689:E$2)))))</f>
        <v> </v>
      </c>
      <c r="J690" s="25" t="str">
        <f>IF(OR(E690="",E690="!!!",F690="NEW"),"",COUNTBLANK(OFFSET(A$1,,,SUMPRODUCT(MAX(ROW(E$2:E690)*(E690=E$2:E690)))))-COUNTBLANK(OFFSET(A$1,,,SUMPRODUCT(MAX(ROW(E$1:E689)*(E2=E$1:E689))))))</f>
        <v> </v>
      </c>
      <c r="K690" s="25" t="str">
        <f>IF(OR(E690="",E690="!!!",F690="NEW"),"",INDEX(J$1:J689,SUMPRODUCT(MAX(ROW(E$1:E689)*(E690=E$1:E689)))))</f>
        <v> </v>
      </c>
      <c r="L690" s="26"/>
    </row>
    <row r="691" spans="1:12">
      <c r="A691" s="20" t="s">
        <v>828</v>
      </c>
      <c r="E691" s="21">
        <f>IF(D691="?OLD","!!!","")</f>
        <v/>
      </c>
      <c r="F691" s="22" t="str">
        <f>IF(OR(E691="",E691="!!!"),"",IF(NOT(ISNA(VLOOKUP(E691,E$1:E690,1,FALSE()))),"OLD",IF(AND(E691&lt;&gt;"",E691&lt;&gt;"!!!"),"NEW","")))</f>
        <v> </v>
      </c>
      <c r="G691" s="23" t="str">
        <f>IF(OR(E691="",E691="!!!"),"",IF(OR(J691=0,AND(J691=1,K691=1),AND(J691=1,I691="SBJ"),AND(J691=1,I691=0)),"?IN_FOCUS",IF(J691&lt;=2,"?ACTIVATED",IF(J691&lt;&gt;"","?FAMILIAR",IF(F691="NEW",IF(ISNA(VLOOKUP(E691,#REF!,1,FALSE())),"?TYPE_IDENTIFIABLE","?REFERENTIAL"),"_")))))</f>
        <v> </v>
      </c>
      <c r="H691" s="24" t="str">
        <f>IF(J691&lt;&gt;1,"",IF(I691="SBJ","CB","?"))</f>
        <v> </v>
      </c>
      <c r="I691" s="25" t="str">
        <f>IF(OR(E691="",E691="!!!",F691="NEW"),"",INDEX(B690:B$2,-1+SUMPRODUCT(MAX(ROW(E690:E$2)*(E691=E690:E$2)))))</f>
        <v> </v>
      </c>
      <c r="J691" s="25" t="str">
        <f>IF(OR(E691="",E691="!!!",F691="NEW"),"",COUNTBLANK(OFFSET(A$1,,,SUMPRODUCT(MAX(ROW(E$2:E691)*(E691=E$2:E691)))))-COUNTBLANK(OFFSET(A$1,,,SUMPRODUCT(MAX(ROW(E$1:E690)*(E2=E$1:E690))))))</f>
        <v> </v>
      </c>
      <c r="K691" s="25" t="str">
        <f>IF(OR(E691="",E691="!!!",F691="NEW"),"",INDEX(J$1:J690,SUMPRODUCT(MAX(ROW(E$1:E690)*(E691=E$1:E690)))))</f>
        <v> </v>
      </c>
      <c r="L691" s="26"/>
    </row>
    <row r="692" spans="1:12">
      <c r="A692" s="20" t="s">
        <v>482</v>
      </c>
      <c r="E692" s="21">
        <f>IF(D692="?OLD","!!!","")</f>
        <v/>
      </c>
      <c r="F692" s="22" t="str">
        <f>IF(OR(E692="",E692="!!!"),"",IF(NOT(ISNA(VLOOKUP(E692,E$1:E691,1,FALSE()))),"OLD",IF(AND(E692&lt;&gt;"",E692&lt;&gt;"!!!"),"NEW","")))</f>
        <v> </v>
      </c>
      <c r="G692" s="23" t="str">
        <f>IF(OR(E692="",E692="!!!"),"",IF(OR(J692=0,AND(J692=1,K692=1),AND(J692=1,I692="SBJ"),AND(J692=1,I692=0)),"?IN_FOCUS",IF(J692&lt;=2,"?ACTIVATED",IF(J692&lt;&gt;"","?FAMILIAR",IF(F692="NEW",IF(ISNA(VLOOKUP(E692,#REF!,1,FALSE())),"?TYPE_IDENTIFIABLE","?REFERENTIAL"),"_")))))</f>
        <v> </v>
      </c>
      <c r="H692" s="24" t="str">
        <f>IF(J692&lt;&gt;1,"",IF(I692="SBJ","CB","?"))</f>
        <v> </v>
      </c>
      <c r="I692" s="25" t="str">
        <f>IF(OR(E692="",E692="!!!",F692="NEW"),"",INDEX(B691:B$2,-1+SUMPRODUCT(MAX(ROW(E691:E$2)*(E692=E691:E$2)))))</f>
        <v> </v>
      </c>
      <c r="J692" s="25" t="str">
        <f>IF(OR(E692="",E692="!!!",F692="NEW"),"",COUNTBLANK(OFFSET(A$1,,,SUMPRODUCT(MAX(ROW(E$2:E692)*(E692=E$2:E692)))))-COUNTBLANK(OFFSET(A$1,,,SUMPRODUCT(MAX(ROW(E$1:E691)*(E2=E$1:E691))))))</f>
        <v> </v>
      </c>
      <c r="K692" s="25" t="str">
        <f>IF(OR(E692="",E692="!!!",F692="NEW"),"",INDEX(J$1:J691,SUMPRODUCT(MAX(ROW(E$1:E691)*(E692=E$1:E691)))))</f>
        <v> </v>
      </c>
      <c r="L692" s="26"/>
    </row>
    <row r="693" spans="1:12">
      <c r="A693" s="20" t="s">
        <v>498</v>
      </c>
      <c r="E693" s="21">
        <f>IF(D693="?OLD","!!!","")</f>
        <v/>
      </c>
      <c r="F693" s="22" t="str">
        <f>IF(OR(E693="",E693="!!!"),"",IF(NOT(ISNA(VLOOKUP(E693,E$1:E692,1,FALSE()))),"OLD",IF(AND(E693&lt;&gt;"",E693&lt;&gt;"!!!"),"NEW","")))</f>
        <v> </v>
      </c>
      <c r="G693" s="23" t="str">
        <f>IF(OR(E693="",E693="!!!"),"",IF(OR(J693=0,AND(J693=1,K693=1),AND(J693=1,I693="SBJ"),AND(J693=1,I693=0)),"?IN_FOCUS",IF(J693&lt;=2,"?ACTIVATED",IF(J693&lt;&gt;"","?FAMILIAR",IF(F693="NEW",IF(ISNA(VLOOKUP(E693,#REF!,1,FALSE())),"?TYPE_IDENTIFIABLE","?REFERENTIAL"),"_")))))</f>
        <v> </v>
      </c>
      <c r="H693" s="24" t="str">
        <f>IF(J693&lt;&gt;1,"",IF(I693="SBJ","CB","?"))</f>
        <v> </v>
      </c>
      <c r="I693" s="25" t="str">
        <f>IF(OR(E693="",E693="!!!",F693="NEW"),"",INDEX(B692:B$2,-1+SUMPRODUCT(MAX(ROW(E692:E$2)*(E693=E692:E$2)))))</f>
        <v> </v>
      </c>
      <c r="J693" s="25" t="str">
        <f>IF(OR(E693="",E693="!!!",F693="NEW"),"",COUNTBLANK(OFFSET(A$1,,,SUMPRODUCT(MAX(ROW(E$2:E693)*(E693=E$2:E693)))))-COUNTBLANK(OFFSET(A$1,,,SUMPRODUCT(MAX(ROW(E$1:E692)*(E2=E$1:E692))))))</f>
        <v> </v>
      </c>
      <c r="K693" s="25" t="str">
        <f>IF(OR(E693="",E693="!!!",F693="NEW"),"",INDEX(J$1:J692,SUMPRODUCT(MAX(ROW(E$1:E692)*(E693=E$1:E692)))))</f>
        <v> </v>
      </c>
      <c r="L693" s="26"/>
    </row>
    <row r="694" spans="1:12">
      <c r="A694" s="20" t="s">
        <v>728</v>
      </c>
      <c r="B694" s="27" t="s">
        <v>483</v>
      </c>
      <c r="C694" s="27" t="s">
        <v>497</v>
      </c>
      <c r="D694" s="27" t="s">
        <v>478</v>
      </c>
      <c r="E694" s="21">
        <f>IF(D694="?OLD","!!!","")</f>
        <v/>
      </c>
      <c r="F694" s="22" t="str">
        <f>IF(OR(E694="",E694="!!!"),"",IF(NOT(ISNA(VLOOKUP(E694,E$1:E693,1,FALSE()))),"OLD",IF(AND(E694&lt;&gt;"",E694&lt;&gt;"!!!"),"NEW","")))</f>
        <v> </v>
      </c>
      <c r="G694" s="23" t="str">
        <f>IF(OR(E694="",E694="!!!"),"",IF(OR(J694=0,AND(J694=1,K694=1),AND(J694=1,I694="SBJ"),AND(J694=1,I694=0)),"?IN_FOCUS",IF(J694&lt;=2,"?ACTIVATED",IF(J694&lt;&gt;"","?FAMILIAR",IF(F694="NEW",IF(ISNA(VLOOKUP(E694,#REF!,1,FALSE())),"?TYPE_IDENTIFIABLE","?REFERENTIAL"),"_")))))</f>
        <v> </v>
      </c>
      <c r="H694" s="24" t="str">
        <f>IF(J694&lt;&gt;1,"",IF(I694="SBJ","CB","?"))</f>
        <v> </v>
      </c>
      <c r="I694" s="25" t="str">
        <f>IF(OR(E694="",E694="!!!",F694="NEW"),"",INDEX(B693:B$2,-1+SUMPRODUCT(MAX(ROW(E693:E$2)*(E694=E693:E$2)))))</f>
        <v> </v>
      </c>
      <c r="J694" s="25" t="str">
        <f>IF(OR(E694="",E694="!!!",F694="NEW"),"",COUNTBLANK(OFFSET(A$1,,,SUMPRODUCT(MAX(ROW(E$2:E694)*(E694=E$2:E694)))))-COUNTBLANK(OFFSET(A$1,,,SUMPRODUCT(MAX(ROW(E$1:E693)*(E2=E$1:E693))))))</f>
        <v> </v>
      </c>
      <c r="K694" s="25" t="str">
        <f>IF(OR(E694="",E694="!!!",F694="NEW"),"",INDEX(J$1:J693,SUMPRODUCT(MAX(ROW(E$1:E693)*(E694=E$1:E693)))))</f>
        <v> </v>
      </c>
      <c r="L694" s="26"/>
    </row>
    <row r="695" spans="1:12">
      <c r="A695" s="20" t="s">
        <v>829</v>
      </c>
      <c r="E695" s="21">
        <f>IF(D695="?OLD","!!!","")</f>
        <v/>
      </c>
      <c r="F695" s="22" t="str">
        <f>IF(OR(E695="",E695="!!!"),"",IF(NOT(ISNA(VLOOKUP(E695,E$1:E694,1,FALSE()))),"OLD",IF(AND(E695&lt;&gt;"",E695&lt;&gt;"!!!"),"NEW","")))</f>
        <v> </v>
      </c>
      <c r="G695" s="23" t="str">
        <f>IF(OR(E695="",E695="!!!"),"",IF(OR(J695=0,AND(J695=1,K695=1),AND(J695=1,I695="SBJ"),AND(J695=1,I695=0)),"?IN_FOCUS",IF(J695&lt;=2,"?ACTIVATED",IF(J695&lt;&gt;"","?FAMILIAR",IF(F695="NEW",IF(ISNA(VLOOKUP(E695,#REF!,1,FALSE())),"?TYPE_IDENTIFIABLE","?REFERENTIAL"),"_")))))</f>
        <v> </v>
      </c>
      <c r="H695" s="24" t="str">
        <f>IF(J695&lt;&gt;1,"",IF(I695="SBJ","CB","?"))</f>
        <v> </v>
      </c>
      <c r="I695" s="25" t="str">
        <f>IF(OR(E695="",E695="!!!",F695="NEW"),"",INDEX(B694:B$2,-1+SUMPRODUCT(MAX(ROW(E694:E$2)*(E695=E694:E$2)))))</f>
        <v> </v>
      </c>
      <c r="J695" s="25" t="str">
        <f>IF(OR(E695="",E695="!!!",F695="NEW"),"",COUNTBLANK(OFFSET(A$1,,,SUMPRODUCT(MAX(ROW(E$2:E695)*(E695=E$2:E695)))))-COUNTBLANK(OFFSET(A$1,,,SUMPRODUCT(MAX(ROW(E$1:E694)*(E2=E$1:E694))))))</f>
        <v> </v>
      </c>
      <c r="K695" s="25" t="str">
        <f>IF(OR(E695="",E695="!!!",F695="NEW"),"",INDEX(J$1:J694,SUMPRODUCT(MAX(ROW(E$1:E694)*(E695=E$1:E694)))))</f>
        <v> </v>
      </c>
      <c r="L695" s="26"/>
    </row>
    <row r="696" spans="1:12">
      <c r="A696" s="20" t="s">
        <v>534</v>
      </c>
      <c r="E696" s="21">
        <f>IF(D696="?OLD","!!!","")</f>
        <v/>
      </c>
      <c r="F696" s="22" t="str">
        <f>IF(OR(E696="",E696="!!!"),"",IF(NOT(ISNA(VLOOKUP(E696,E$1:E695,1,FALSE()))),"OLD",IF(AND(E696&lt;&gt;"",E696&lt;&gt;"!!!"),"NEW","")))</f>
        <v> </v>
      </c>
      <c r="G696" s="23" t="str">
        <f>IF(OR(E696="",E696="!!!"),"",IF(OR(J696=0,AND(J696=1,K696=1),AND(J696=1,I696="SBJ"),AND(J696=1,I696=0)),"?IN_FOCUS",IF(J696&lt;=2,"?ACTIVATED",IF(J696&lt;&gt;"","?FAMILIAR",IF(F696="NEW",IF(ISNA(VLOOKUP(E696,#REF!,1,FALSE())),"?TYPE_IDENTIFIABLE","?REFERENTIAL"),"_")))))</f>
        <v> </v>
      </c>
      <c r="H696" s="24" t="str">
        <f>IF(J696&lt;&gt;1,"",IF(I696="SBJ","CB","?"))</f>
        <v> </v>
      </c>
      <c r="I696" s="25" t="str">
        <f>IF(OR(E696="",E696="!!!",F696="NEW"),"",INDEX(B695:B$2,-1+SUMPRODUCT(MAX(ROW(E695:E$2)*(E696=E695:E$2)))))</f>
        <v> </v>
      </c>
      <c r="J696" s="25" t="str">
        <f>IF(OR(E696="",E696="!!!",F696="NEW"),"",COUNTBLANK(OFFSET(A$1,,,SUMPRODUCT(MAX(ROW(E$2:E696)*(E696=E$2:E696)))))-COUNTBLANK(OFFSET(A$1,,,SUMPRODUCT(MAX(ROW(E$1:E695)*(E2=E$1:E695))))))</f>
        <v> </v>
      </c>
      <c r="K696" s="25" t="str">
        <f>IF(OR(E696="",E696="!!!",F696="NEW"),"",INDEX(J$1:J695,SUMPRODUCT(MAX(ROW(E$1:E695)*(E696=E$1:E695)))))</f>
        <v> </v>
      </c>
      <c r="L696" s="26"/>
    </row>
    <row r="697" spans="1:12">
      <c r="A697" s="20" t="s">
        <v>480</v>
      </c>
      <c r="E697" s="21">
        <f>IF(D697="?OLD","!!!","")</f>
        <v/>
      </c>
      <c r="F697" s="22" t="str">
        <f>IF(OR(E697="",E697="!!!"),"",IF(NOT(ISNA(VLOOKUP(E697,E$1:E696,1,FALSE()))),"OLD",IF(AND(E697&lt;&gt;"",E697&lt;&gt;"!!!"),"NEW","")))</f>
        <v> </v>
      </c>
      <c r="G697" s="23" t="str">
        <f>IF(OR(E697="",E697="!!!"),"",IF(OR(J697=0,AND(J697=1,K697=1),AND(J697=1,I697="SBJ"),AND(J697=1,I697=0)),"?IN_FOCUS",IF(J697&lt;=2,"?ACTIVATED",IF(J697&lt;&gt;"","?FAMILIAR",IF(F697="NEW",IF(ISNA(VLOOKUP(E697,#REF!,1,FALSE())),"?TYPE_IDENTIFIABLE","?REFERENTIAL"),"_")))))</f>
        <v> </v>
      </c>
      <c r="H697" s="24" t="str">
        <f>IF(J697&lt;&gt;1,"",IF(I697="SBJ","CB","?"))</f>
        <v> </v>
      </c>
      <c r="I697" s="25" t="str">
        <f>IF(OR(E697="",E697="!!!",F697="NEW"),"",INDEX(B696:B$2,-1+SUMPRODUCT(MAX(ROW(E696:E$2)*(E697=E696:E$2)))))</f>
        <v> </v>
      </c>
      <c r="J697" s="25" t="str">
        <f>IF(OR(E697="",E697="!!!",F697="NEW"),"",COUNTBLANK(OFFSET(A$1,,,SUMPRODUCT(MAX(ROW(E$2:E697)*(E697=E$2:E697)))))-COUNTBLANK(OFFSET(A$1,,,SUMPRODUCT(MAX(ROW(E$1:E696)*(E2=E$1:E696))))))</f>
        <v> </v>
      </c>
      <c r="K697" s="25" t="str">
        <f>IF(OR(E697="",E697="!!!",F697="NEW"),"",INDEX(J$1:J696,SUMPRODUCT(MAX(ROW(E$1:E696)*(E697=E$1:E696)))))</f>
        <v> </v>
      </c>
      <c r="L697" s="26"/>
    </row>
    <row r="698" spans="1:12">
      <c r="A698" s="20" t="s">
        <v>481</v>
      </c>
      <c r="B698" s="27" t="s">
        <v>483</v>
      </c>
      <c r="E698" s="21">
        <f>IF(D698="?OLD","!!!","")</f>
        <v/>
      </c>
      <c r="F698" s="22" t="str">
        <f>IF(OR(E698="",E698="!!!"),"",IF(NOT(ISNA(VLOOKUP(E698,E$1:E697,1,FALSE()))),"OLD",IF(AND(E698&lt;&gt;"",E698&lt;&gt;"!!!"),"NEW","")))</f>
        <v> </v>
      </c>
      <c r="G698" s="23" t="str">
        <f>IF(OR(E698="",E698="!!!"),"",IF(OR(J698=0,AND(J698=1,K698=1),AND(J698=1,I698="SBJ"),AND(J698=1,I698=0)),"?IN_FOCUS",IF(J698&lt;=2,"?ACTIVATED",IF(J698&lt;&gt;"","?FAMILIAR",IF(F698="NEW",IF(ISNA(VLOOKUP(E698,#REF!,1,FALSE())),"?TYPE_IDENTIFIABLE","?REFERENTIAL"),"_")))))</f>
        <v> </v>
      </c>
      <c r="H698" s="24" t="str">
        <f>IF(J698&lt;&gt;1,"",IF(I698="SBJ","CB","?"))</f>
        <v> </v>
      </c>
      <c r="I698" s="25" t="str">
        <f>IF(OR(E698="",E698="!!!",F698="NEW"),"",INDEX(B697:B$2,-1+SUMPRODUCT(MAX(ROW(E697:E$2)*(E698=E697:E$2)))))</f>
        <v> </v>
      </c>
      <c r="J698" s="25" t="str">
        <f>IF(OR(E698="",E698="!!!",F698="NEW"),"",COUNTBLANK(OFFSET(A$1,,,SUMPRODUCT(MAX(ROW(E$2:E698)*(E698=E$2:E698)))))-COUNTBLANK(OFFSET(A$1,,,SUMPRODUCT(MAX(ROW(E$1:E697)*(E2=E$1:E697))))))</f>
        <v> </v>
      </c>
      <c r="K698" s="25" t="str">
        <f>IF(OR(E698="",E698="!!!",F698="NEW"),"",INDEX(J$1:J697,SUMPRODUCT(MAX(ROW(E$1:E697)*(E698=E$1:E697)))))</f>
        <v> </v>
      </c>
      <c r="L698" s="26"/>
    </row>
    <row r="699" spans="1:12">
      <c r="A699" s="20" t="s">
        <v>515</v>
      </c>
      <c r="E699" s="21">
        <f>IF(D699="?OLD","!!!","")</f>
        <v/>
      </c>
      <c r="F699" s="22" t="str">
        <f>IF(OR(E699="",E699="!!!"),"",IF(NOT(ISNA(VLOOKUP(E699,E$1:E698,1,FALSE()))),"OLD",IF(AND(E699&lt;&gt;"",E699&lt;&gt;"!!!"),"NEW","")))</f>
        <v> </v>
      </c>
      <c r="G699" s="23" t="str">
        <f>IF(OR(E699="",E699="!!!"),"",IF(OR(J699=0,AND(J699=1,K699=1),AND(J699=1,I699="SBJ"),AND(J699=1,I699=0)),"?IN_FOCUS",IF(J699&lt;=2,"?ACTIVATED",IF(J699&lt;&gt;"","?FAMILIAR",IF(F699="NEW",IF(ISNA(VLOOKUP(E699,#REF!,1,FALSE())),"?TYPE_IDENTIFIABLE","?REFERENTIAL"),"_")))))</f>
        <v> </v>
      </c>
      <c r="H699" s="24" t="str">
        <f>IF(J699&lt;&gt;1,"",IF(I699="SBJ","CB","?"))</f>
        <v> </v>
      </c>
      <c r="I699" s="25" t="str">
        <f>IF(OR(E699="",E699="!!!",F699="NEW"),"",INDEX(B698:B$2,-1+SUMPRODUCT(MAX(ROW(E698:E$2)*(E699=E698:E$2)))))</f>
        <v> </v>
      </c>
      <c r="J699" s="25" t="str">
        <f>IF(OR(E699="",E699="!!!",F699="NEW"),"",COUNTBLANK(OFFSET(A$1,,,SUMPRODUCT(MAX(ROW(E$2:E699)*(E699=E$2:E699)))))-COUNTBLANK(OFFSET(A$1,,,SUMPRODUCT(MAX(ROW(E$1:E698)*(E2=E$1:E698))))))</f>
        <v> </v>
      </c>
      <c r="K699" s="25" t="str">
        <f>IF(OR(E699="",E699="!!!",F699="NEW"),"",INDEX(J$1:J698,SUMPRODUCT(MAX(ROW(E$1:E698)*(E699=E$1:E698)))))</f>
        <v> </v>
      </c>
      <c r="L699" s="26"/>
    </row>
    <row r="700" spans="1:12">
      <c r="A700" s="20"/>
    </row>
    <row r="701" spans="1:12">
      <c r="A701" s="20" t="s">
        <v>830</v>
      </c>
    </row>
    <row r="702" spans="1:12">
      <c r="A702" s="20" t="s">
        <v>831</v>
      </c>
      <c r="E702" s="21">
        <f>IF(D702="?OLD","!!!","")</f>
        <v/>
      </c>
      <c r="F702" s="22" t="str">
        <f>IF(OR(E702="",E702="!!!"),"",IF(NOT(ISNA(VLOOKUP(E702,E$1:E701,1,FALSE()))),"OLD",IF(AND(E702&lt;&gt;"",E702&lt;&gt;"!!!"),"NEW","")))</f>
        <v> </v>
      </c>
      <c r="G702" s="23" t="str">
        <f>IF(OR(E702="",E702="!!!"),"",IF(OR(J702=0,AND(J702=1,K702=1),AND(J702=1,I702="SBJ"),AND(J702=1,I702=0)),"?IN_FOCUS",IF(J702&lt;=2,"?ACTIVATED",IF(J702&lt;&gt;"","?FAMILIAR",IF(F702="NEW",IF(ISNA(VLOOKUP(E702,#REF!,1,FALSE())),"?TYPE_IDENTIFIABLE","?REFERENTIAL"),"_")))))</f>
        <v> </v>
      </c>
      <c r="H702" s="24" t="str">
        <f>IF(J702&lt;&gt;1,"",IF(I702="SBJ","CB","?"))</f>
        <v> </v>
      </c>
      <c r="I702" s="25" t="str">
        <f>IF(OR(E702="",E702="!!!",F702="NEW"),"",INDEX(B701:B$2,-1+SUMPRODUCT(MAX(ROW(E701:E$2)*(E702=E701:E$2)))))</f>
        <v> </v>
      </c>
      <c r="J702" s="25" t="str">
        <f>IF(OR(E702="",E702="!!!",F702="NEW"),"",COUNTBLANK(OFFSET(A$1,,,SUMPRODUCT(MAX(ROW(E$2:E702)*(E702=E$2:E702)))))-COUNTBLANK(OFFSET(A$1,,,SUMPRODUCT(MAX(ROW(E$1:E701)*(E2=E$1:E701))))))</f>
        <v> </v>
      </c>
      <c r="K702" s="25" t="str">
        <f>IF(OR(E702="",E702="!!!",F702="NEW"),"",INDEX(J$1:J701,SUMPRODUCT(MAX(ROW(E$1:E701)*(E702=E$1:E701)))))</f>
        <v> </v>
      </c>
      <c r="L702" s="26"/>
    </row>
    <row r="703" spans="1:12">
      <c r="A703" s="20" t="s">
        <v>832</v>
      </c>
      <c r="E703" s="21">
        <f>IF(D703="?OLD","!!!","")</f>
        <v/>
      </c>
      <c r="F703" s="22" t="str">
        <f>IF(OR(E703="",E703="!!!"),"",IF(NOT(ISNA(VLOOKUP(E703,E$1:E702,1,FALSE()))),"OLD",IF(AND(E703&lt;&gt;"",E703&lt;&gt;"!!!"),"NEW","")))</f>
        <v> </v>
      </c>
      <c r="G703" s="23" t="str">
        <f>IF(OR(E703="",E703="!!!"),"",IF(OR(J703=0,AND(J703=1,K703=1),AND(J703=1,I703="SBJ"),AND(J703=1,I703=0)),"?IN_FOCUS",IF(J703&lt;=2,"?ACTIVATED",IF(J703&lt;&gt;"","?FAMILIAR",IF(F703="NEW",IF(ISNA(VLOOKUP(E703,#REF!,1,FALSE())),"?TYPE_IDENTIFIABLE","?REFERENTIAL"),"_")))))</f>
        <v> </v>
      </c>
      <c r="H703" s="24" t="str">
        <f>IF(J703&lt;&gt;1,"",IF(I703="SBJ","CB","?"))</f>
        <v> </v>
      </c>
      <c r="I703" s="25" t="str">
        <f>IF(OR(E703="",E703="!!!",F703="NEW"),"",INDEX(B702:B$2,-1+SUMPRODUCT(MAX(ROW(E702:E$2)*(E703=E702:E$2)))))</f>
        <v> </v>
      </c>
      <c r="J703" s="25" t="str">
        <f>IF(OR(E703="",E703="!!!",F703="NEW"),"",COUNTBLANK(OFFSET(A$1,,,SUMPRODUCT(MAX(ROW(E$2:E703)*(E703=E$2:E703)))))-COUNTBLANK(OFFSET(A$1,,,SUMPRODUCT(MAX(ROW(E$1:E702)*(E2=E$1:E702))))))</f>
        <v> </v>
      </c>
      <c r="K703" s="25" t="str">
        <f>IF(OR(E703="",E703="!!!",F703="NEW"),"",INDEX(J$1:J702,SUMPRODUCT(MAX(ROW(E$1:E702)*(E703=E$1:E702)))))</f>
        <v> </v>
      </c>
      <c r="L703" s="26"/>
    </row>
    <row r="704" spans="1:12">
      <c r="A704" s="20" t="s">
        <v>810</v>
      </c>
      <c r="E704" s="21">
        <f>IF(D704="?OLD","!!!","")</f>
        <v/>
      </c>
      <c r="F704" s="22" t="str">
        <f>IF(OR(E704="",E704="!!!"),"",IF(NOT(ISNA(VLOOKUP(E704,E$1:E703,1,FALSE()))),"OLD",IF(AND(E704&lt;&gt;"",E704&lt;&gt;"!!!"),"NEW","")))</f>
        <v> </v>
      </c>
      <c r="G704" s="23" t="str">
        <f>IF(OR(E704="",E704="!!!"),"",IF(OR(J704=0,AND(J704=1,K704=1),AND(J704=1,I704="SBJ"),AND(J704=1,I704=0)),"?IN_FOCUS",IF(J704&lt;=2,"?ACTIVATED",IF(J704&lt;&gt;"","?FAMILIAR",IF(F704="NEW",IF(ISNA(VLOOKUP(E704,#REF!,1,FALSE())),"?TYPE_IDENTIFIABLE","?REFERENTIAL"),"_")))))</f>
        <v> </v>
      </c>
      <c r="H704" s="24" t="str">
        <f>IF(J704&lt;&gt;1,"",IF(I704="SBJ","CB","?"))</f>
        <v> </v>
      </c>
      <c r="I704" s="25" t="str">
        <f>IF(OR(E704="",E704="!!!",F704="NEW"),"",INDEX(B703:B$2,-1+SUMPRODUCT(MAX(ROW(E703:E$2)*(E704=E703:E$2)))))</f>
        <v> </v>
      </c>
      <c r="J704" s="25" t="str">
        <f>IF(OR(E704="",E704="!!!",F704="NEW"),"",COUNTBLANK(OFFSET(A$1,,,SUMPRODUCT(MAX(ROW(E$2:E704)*(E704=E$2:E704)))))-COUNTBLANK(OFFSET(A$1,,,SUMPRODUCT(MAX(ROW(E$1:E703)*(E2=E$1:E703))))))</f>
        <v> </v>
      </c>
      <c r="K704" s="25" t="str">
        <f>IF(OR(E704="",E704="!!!",F704="NEW"),"",INDEX(J$1:J703,SUMPRODUCT(MAX(ROW(E$1:E703)*(E704=E$1:E703)))))</f>
        <v> </v>
      </c>
      <c r="L704" s="26"/>
    </row>
    <row r="705" spans="1:12">
      <c r="A705" s="20" t="s">
        <v>475</v>
      </c>
      <c r="B705" s="27" t="s">
        <v>476</v>
      </c>
      <c r="C705" s="27" t="s">
        <v>477</v>
      </c>
      <c r="D705" s="27" t="s">
        <v>478</v>
      </c>
      <c r="E705" s="21">
        <f>IF(D705="?OLD","!!!","")</f>
        <v/>
      </c>
      <c r="F705" s="22" t="str">
        <f>IF(OR(E705="",E705="!!!"),"",IF(NOT(ISNA(VLOOKUP(E705,E$1:E704,1,FALSE()))),"OLD",IF(AND(E705&lt;&gt;"",E705&lt;&gt;"!!!"),"NEW","")))</f>
        <v> </v>
      </c>
      <c r="G705" s="23" t="str">
        <f>IF(OR(E705="",E705="!!!"),"",IF(OR(J705=0,AND(J705=1,K705=1),AND(J705=1,I705="SBJ"),AND(J705=1,I705=0)),"?IN_FOCUS",IF(J705&lt;=2,"?ACTIVATED",IF(J705&lt;&gt;"","?FAMILIAR",IF(F705="NEW",IF(ISNA(VLOOKUP(E705,#REF!,1,FALSE())),"?TYPE_IDENTIFIABLE","?REFERENTIAL"),"_")))))</f>
        <v> </v>
      </c>
      <c r="H705" s="24" t="str">
        <f>IF(J705&lt;&gt;1,"",IF(I705="SBJ","CB","?"))</f>
        <v> </v>
      </c>
      <c r="I705" s="25" t="str">
        <f>IF(OR(E705="",E705="!!!",F705="NEW"),"",INDEX(B704:B$2,-1+SUMPRODUCT(MAX(ROW(E704:E$2)*(E705=E704:E$2)))))</f>
        <v> </v>
      </c>
      <c r="J705" s="25" t="str">
        <f>IF(OR(E705="",E705="!!!",F705="NEW"),"",COUNTBLANK(OFFSET(A$1,,,SUMPRODUCT(MAX(ROW(E$2:E705)*(E705=E$2:E705)))))-COUNTBLANK(OFFSET(A$1,,,SUMPRODUCT(MAX(ROW(E$1:E704)*(E2=E$1:E704))))))</f>
        <v> </v>
      </c>
      <c r="K705" s="25" t="str">
        <f>IF(OR(E705="",E705="!!!",F705="NEW"),"",INDEX(J$1:J704,SUMPRODUCT(MAX(ROW(E$1:E704)*(E705=E$1:E704)))))</f>
        <v> </v>
      </c>
      <c r="L705" s="26"/>
    </row>
    <row r="706" spans="1:12">
      <c r="A706" s="20" t="s">
        <v>833</v>
      </c>
      <c r="E706" s="21">
        <f>IF(D706="?OLD","!!!","")</f>
        <v/>
      </c>
      <c r="F706" s="22" t="str">
        <f>IF(OR(E706="",E706="!!!"),"",IF(NOT(ISNA(VLOOKUP(E706,E$1:E705,1,FALSE()))),"OLD",IF(AND(E706&lt;&gt;"",E706&lt;&gt;"!!!"),"NEW","")))</f>
        <v> </v>
      </c>
      <c r="G706" s="23" t="str">
        <f>IF(OR(E706="",E706="!!!"),"",IF(OR(J706=0,AND(J706=1,K706=1),AND(J706=1,I706="SBJ"),AND(J706=1,I706=0)),"?IN_FOCUS",IF(J706&lt;=2,"?ACTIVATED",IF(J706&lt;&gt;"","?FAMILIAR",IF(F706="NEW",IF(ISNA(VLOOKUP(E706,#REF!,1,FALSE())),"?TYPE_IDENTIFIABLE","?REFERENTIAL"),"_")))))</f>
        <v> </v>
      </c>
      <c r="H706" s="24" t="str">
        <f>IF(J706&lt;&gt;1,"",IF(I706="SBJ","CB","?"))</f>
        <v> </v>
      </c>
      <c r="I706" s="25" t="str">
        <f>IF(OR(E706="",E706="!!!",F706="NEW"),"",INDEX(B705:B$2,-1+SUMPRODUCT(MAX(ROW(E705:E$2)*(E706=E705:E$2)))))</f>
        <v> </v>
      </c>
      <c r="J706" s="25" t="str">
        <f>IF(OR(E706="",E706="!!!",F706="NEW"),"",COUNTBLANK(OFFSET(A$1,,,SUMPRODUCT(MAX(ROW(E$2:E706)*(E706=E$2:E706)))))-COUNTBLANK(OFFSET(A$1,,,SUMPRODUCT(MAX(ROW(E$1:E705)*(E2=E$1:E705))))))</f>
        <v> </v>
      </c>
      <c r="K706" s="25" t="str">
        <f>IF(OR(E706="",E706="!!!",F706="NEW"),"",INDEX(J$1:J705,SUMPRODUCT(MAX(ROW(E$1:E705)*(E706=E$1:E705)))))</f>
        <v> </v>
      </c>
      <c r="L706" s="26"/>
    </row>
    <row r="707" spans="1:12">
      <c r="A707" s="20" t="s">
        <v>834</v>
      </c>
      <c r="E707" s="21">
        <f>IF(D707="?OLD","!!!","")</f>
        <v/>
      </c>
      <c r="F707" s="22" t="str">
        <f>IF(OR(E707="",E707="!!!"),"",IF(NOT(ISNA(VLOOKUP(E707,E$1:E706,1,FALSE()))),"OLD",IF(AND(E707&lt;&gt;"",E707&lt;&gt;"!!!"),"NEW","")))</f>
        <v> </v>
      </c>
      <c r="G707" s="23" t="str">
        <f>IF(OR(E707="",E707="!!!"),"",IF(OR(J707=0,AND(J707=1,K707=1),AND(J707=1,I707="SBJ"),AND(J707=1,I707=0)),"?IN_FOCUS",IF(J707&lt;=2,"?ACTIVATED",IF(J707&lt;&gt;"","?FAMILIAR",IF(F707="NEW",IF(ISNA(VLOOKUP(E707,#REF!,1,FALSE())),"?TYPE_IDENTIFIABLE","?REFERENTIAL"),"_")))))</f>
        <v> </v>
      </c>
      <c r="H707" s="24" t="str">
        <f>IF(J707&lt;&gt;1,"",IF(I707="SBJ","CB","?"))</f>
        <v> </v>
      </c>
      <c r="I707" s="25" t="str">
        <f>IF(OR(E707="",E707="!!!",F707="NEW"),"",INDEX(B706:B$2,-1+SUMPRODUCT(MAX(ROW(E706:E$2)*(E707=E706:E$2)))))</f>
        <v> </v>
      </c>
      <c r="J707" s="25" t="str">
        <f>IF(OR(E707="",E707="!!!",F707="NEW"),"",COUNTBLANK(OFFSET(A$1,,,SUMPRODUCT(MAX(ROW(E$2:E707)*(E707=E$2:E707)))))-COUNTBLANK(OFFSET(A$1,,,SUMPRODUCT(MAX(ROW(E$1:E706)*(E2=E$1:E706))))))</f>
        <v> </v>
      </c>
      <c r="K707" s="25" t="str">
        <f>IF(OR(E707="",E707="!!!",F707="NEW"),"",INDEX(J$1:J706,SUMPRODUCT(MAX(ROW(E$1:E706)*(E707=E$1:E706)))))</f>
        <v> </v>
      </c>
      <c r="L707" s="26"/>
    </row>
    <row r="708" spans="1:12">
      <c r="A708" s="20" t="s">
        <v>835</v>
      </c>
      <c r="B708" s="27" t="s">
        <v>521</v>
      </c>
      <c r="E708" s="21">
        <f>IF(D708="?OLD","!!!","")</f>
        <v/>
      </c>
      <c r="F708" s="22" t="str">
        <f>IF(OR(E708="",E708="!!!"),"",IF(NOT(ISNA(VLOOKUP(E708,E$1:E707,1,FALSE()))),"OLD",IF(AND(E708&lt;&gt;"",E708&lt;&gt;"!!!"),"NEW","")))</f>
        <v> </v>
      </c>
      <c r="G708" s="23" t="str">
        <f>IF(OR(E708="",E708="!!!"),"",IF(OR(J708=0,AND(J708=1,K708=1),AND(J708=1,I708="SBJ"),AND(J708=1,I708=0)),"?IN_FOCUS",IF(J708&lt;=2,"?ACTIVATED",IF(J708&lt;&gt;"","?FAMILIAR",IF(F708="NEW",IF(ISNA(VLOOKUP(E708,#REF!,1,FALSE())),"?TYPE_IDENTIFIABLE","?REFERENTIAL"),"_")))))</f>
        <v> </v>
      </c>
      <c r="H708" s="24" t="str">
        <f>IF(J708&lt;&gt;1,"",IF(I708="SBJ","CB","?"))</f>
        <v> </v>
      </c>
      <c r="I708" s="25" t="str">
        <f>IF(OR(E708="",E708="!!!",F708="NEW"),"",INDEX(B707:B$2,-1+SUMPRODUCT(MAX(ROW(E707:E$2)*(E708=E707:E$2)))))</f>
        <v> </v>
      </c>
      <c r="J708" s="25" t="str">
        <f>IF(OR(E708="",E708="!!!",F708="NEW"),"",COUNTBLANK(OFFSET(A$1,,,SUMPRODUCT(MAX(ROW(E$2:E708)*(E708=E$2:E708)))))-COUNTBLANK(OFFSET(A$1,,,SUMPRODUCT(MAX(ROW(E$1:E707)*(E2=E$1:E707))))))</f>
        <v> </v>
      </c>
      <c r="K708" s="25" t="str">
        <f>IF(OR(E708="",E708="!!!",F708="NEW"),"",INDEX(J$1:J707,SUMPRODUCT(MAX(ROW(E$1:E707)*(E708=E$1:E707)))))</f>
        <v> </v>
      </c>
      <c r="L708" s="26"/>
    </row>
    <row r="709" spans="1:12">
      <c r="A709" s="20" t="s">
        <v>482</v>
      </c>
      <c r="E709" s="21">
        <f>IF(D709="?OLD","!!!","")</f>
        <v/>
      </c>
      <c r="F709" s="22" t="str">
        <f>IF(OR(E709="",E709="!!!"),"",IF(NOT(ISNA(VLOOKUP(E709,E$1:E708,1,FALSE()))),"OLD",IF(AND(E709&lt;&gt;"",E709&lt;&gt;"!!!"),"NEW","")))</f>
        <v> </v>
      </c>
      <c r="G709" s="23" t="str">
        <f>IF(OR(E709="",E709="!!!"),"",IF(OR(J709=0,AND(J709=1,K709=1),AND(J709=1,I709="SBJ"),AND(J709=1,I709=0)),"?IN_FOCUS",IF(J709&lt;=2,"?ACTIVATED",IF(J709&lt;&gt;"","?FAMILIAR",IF(F709="NEW",IF(ISNA(VLOOKUP(E709,#REF!,1,FALSE())),"?TYPE_IDENTIFIABLE","?REFERENTIAL"),"_")))))</f>
        <v> </v>
      </c>
      <c r="H709" s="24" t="str">
        <f>IF(J709&lt;&gt;1,"",IF(I709="SBJ","CB","?"))</f>
        <v> </v>
      </c>
      <c r="I709" s="25" t="str">
        <f>IF(OR(E709="",E709="!!!",F709="NEW"),"",INDEX(B708:B$2,-1+SUMPRODUCT(MAX(ROW(E708:E$2)*(E709=E708:E$2)))))</f>
        <v> </v>
      </c>
      <c r="J709" s="25" t="str">
        <f>IF(OR(E709="",E709="!!!",F709="NEW"),"",COUNTBLANK(OFFSET(A$1,,,SUMPRODUCT(MAX(ROW(E$2:E709)*(E709=E$2:E709)))))-COUNTBLANK(OFFSET(A$1,,,SUMPRODUCT(MAX(ROW(E$1:E708)*(E2=E$1:E708))))))</f>
        <v> </v>
      </c>
      <c r="K709" s="25" t="str">
        <f>IF(OR(E709="",E709="!!!",F709="NEW"),"",INDEX(J$1:J708,SUMPRODUCT(MAX(ROW(E$1:E708)*(E709=E$1:E708)))))</f>
        <v> </v>
      </c>
      <c r="L709" s="26"/>
    </row>
    <row r="710" spans="1:12">
      <c r="A710" s="20" t="s">
        <v>836</v>
      </c>
      <c r="B710" s="27" t="s">
        <v>538</v>
      </c>
      <c r="C710" s="27" t="s">
        <v>484</v>
      </c>
      <c r="E710" s="21">
        <f>IF(D710="?OLD","!!!","")</f>
        <v/>
      </c>
      <c r="F710" s="22" t="str">
        <f>IF(OR(E710="",E710="!!!"),"",IF(NOT(ISNA(VLOOKUP(E710,E$1:E709,1,FALSE()))),"OLD",IF(AND(E710&lt;&gt;"",E710&lt;&gt;"!!!"),"NEW","")))</f>
        <v> </v>
      </c>
      <c r="G710" s="23" t="str">
        <f>IF(OR(E710="",E710="!!!"),"",IF(OR(J710=0,AND(J710=1,K710=1),AND(J710=1,I710="SBJ"),AND(J710=1,I710=0)),"?IN_FOCUS",IF(J710&lt;=2,"?ACTIVATED",IF(J710&lt;&gt;"","?FAMILIAR",IF(F710="NEW",IF(ISNA(VLOOKUP(E710,#REF!,1,FALSE())),"?TYPE_IDENTIFIABLE","?REFERENTIAL"),"_")))))</f>
        <v> </v>
      </c>
      <c r="H710" s="24" t="str">
        <f>IF(J710&lt;&gt;1,"",IF(I710="SBJ","CB","?"))</f>
        <v> </v>
      </c>
      <c r="I710" s="25" t="str">
        <f>IF(OR(E710="",E710="!!!",F710="NEW"),"",INDEX(B709:B$2,-1+SUMPRODUCT(MAX(ROW(E709:E$2)*(E710=E709:E$2)))))</f>
        <v> </v>
      </c>
      <c r="J710" s="25" t="str">
        <f>IF(OR(E710="",E710="!!!",F710="NEW"),"",COUNTBLANK(OFFSET(A$1,,,SUMPRODUCT(MAX(ROW(E$2:E710)*(E710=E$2:E710)))))-COUNTBLANK(OFFSET(A$1,,,SUMPRODUCT(MAX(ROW(E$1:E709)*(E2=E$1:E709))))))</f>
        <v> </v>
      </c>
      <c r="K710" s="25" t="str">
        <f>IF(OR(E710="",E710="!!!",F710="NEW"),"",INDEX(J$1:J709,SUMPRODUCT(MAX(ROW(E$1:E709)*(E710=E$1:E709)))))</f>
        <v> </v>
      </c>
      <c r="L710" s="26"/>
    </row>
    <row r="711" spans="1:12">
      <c r="A711" s="20" t="s">
        <v>837</v>
      </c>
      <c r="E711" s="21">
        <f>IF(D711="?OLD","!!!","")</f>
        <v/>
      </c>
      <c r="F711" s="22" t="str">
        <f>IF(OR(E711="",E711="!!!"),"",IF(NOT(ISNA(VLOOKUP(E711,E$1:E710,1,FALSE()))),"OLD",IF(AND(E711&lt;&gt;"",E711&lt;&gt;"!!!"),"NEW","")))</f>
        <v> </v>
      </c>
      <c r="G711" s="23" t="str">
        <f>IF(OR(E711="",E711="!!!"),"",IF(OR(J711=0,AND(J711=1,K711=1),AND(J711=1,I711="SBJ"),AND(J711=1,I711=0)),"?IN_FOCUS",IF(J711&lt;=2,"?ACTIVATED",IF(J711&lt;&gt;"","?FAMILIAR",IF(F711="NEW",IF(ISNA(VLOOKUP(E711,#REF!,1,FALSE())),"?TYPE_IDENTIFIABLE","?REFERENTIAL"),"_")))))</f>
        <v> </v>
      </c>
      <c r="H711" s="24" t="str">
        <f>IF(J711&lt;&gt;1,"",IF(I711="SBJ","CB","?"))</f>
        <v> </v>
      </c>
      <c r="I711" s="25" t="str">
        <f>IF(OR(E711="",E711="!!!",F711="NEW"),"",INDEX(B710:B$2,-1+SUMPRODUCT(MAX(ROW(E710:E$2)*(E711=E710:E$2)))))</f>
        <v> </v>
      </c>
      <c r="J711" s="25" t="str">
        <f>IF(OR(E711="",E711="!!!",F711="NEW"),"",COUNTBLANK(OFFSET(A$1,,,SUMPRODUCT(MAX(ROW(E$2:E711)*(E711=E$2:E711)))))-COUNTBLANK(OFFSET(A$1,,,SUMPRODUCT(MAX(ROW(E$1:E710)*(E2=E$1:E710))))))</f>
        <v> </v>
      </c>
      <c r="K711" s="25" t="str">
        <f>IF(OR(E711="",E711="!!!",F711="NEW"),"",INDEX(J$1:J710,SUMPRODUCT(MAX(ROW(E$1:E710)*(E711=E$1:E710)))))</f>
        <v> </v>
      </c>
      <c r="L711" s="26"/>
    </row>
    <row r="712" spans="1:12">
      <c r="A712" s="20" t="s">
        <v>838</v>
      </c>
      <c r="E712" s="21">
        <f>IF(D712="?OLD","!!!","")</f>
        <v/>
      </c>
      <c r="F712" s="22" t="str">
        <f>IF(OR(E712="",E712="!!!"),"",IF(NOT(ISNA(VLOOKUP(E712,E$1:E711,1,FALSE()))),"OLD",IF(AND(E712&lt;&gt;"",E712&lt;&gt;"!!!"),"NEW","")))</f>
        <v> </v>
      </c>
      <c r="G712" s="23" t="str">
        <f>IF(OR(E712="",E712="!!!"),"",IF(OR(J712=0,AND(J712=1,K712=1),AND(J712=1,I712="SBJ"),AND(J712=1,I712=0)),"?IN_FOCUS",IF(J712&lt;=2,"?ACTIVATED",IF(J712&lt;&gt;"","?FAMILIAR",IF(F712="NEW",IF(ISNA(VLOOKUP(E712,#REF!,1,FALSE())),"?TYPE_IDENTIFIABLE","?REFERENTIAL"),"_")))))</f>
        <v> </v>
      </c>
      <c r="H712" s="24" t="str">
        <f>IF(J712&lt;&gt;1,"",IF(I712="SBJ","CB","?"))</f>
        <v> </v>
      </c>
      <c r="I712" s="25" t="str">
        <f>IF(OR(E712="",E712="!!!",F712="NEW"),"",INDEX(B711:B$2,-1+SUMPRODUCT(MAX(ROW(E711:E$2)*(E712=E711:E$2)))))</f>
        <v> </v>
      </c>
      <c r="J712" s="25" t="str">
        <f>IF(OR(E712="",E712="!!!",F712="NEW"),"",COUNTBLANK(OFFSET(A$1,,,SUMPRODUCT(MAX(ROW(E$2:E712)*(E712=E$2:E712)))))-COUNTBLANK(OFFSET(A$1,,,SUMPRODUCT(MAX(ROW(E$1:E711)*(E2=E$1:E711))))))</f>
        <v> </v>
      </c>
      <c r="K712" s="25" t="str">
        <f>IF(OR(E712="",E712="!!!",F712="NEW"),"",INDEX(J$1:J711,SUMPRODUCT(MAX(ROW(E$1:E711)*(E712=E$1:E711)))))</f>
        <v> </v>
      </c>
      <c r="L712" s="26"/>
    </row>
    <row r="713" spans="1:12">
      <c r="A713" s="20" t="s">
        <v>839</v>
      </c>
      <c r="B713" s="27" t="s">
        <v>543</v>
      </c>
      <c r="C713" s="27" t="s">
        <v>620</v>
      </c>
      <c r="D713" s="27" t="s">
        <v>478</v>
      </c>
      <c r="E713" s="21">
        <f>IF(D713="?OLD","!!!","")</f>
        <v/>
      </c>
      <c r="F713" s="22" t="str">
        <f>IF(OR(E713="",E713="!!!"),"",IF(NOT(ISNA(VLOOKUP(E713,E$1:E712,1,FALSE()))),"OLD",IF(AND(E713&lt;&gt;"",E713&lt;&gt;"!!!"),"NEW","")))</f>
        <v> </v>
      </c>
      <c r="G713" s="23" t="str">
        <f>IF(OR(E713="",E713="!!!"),"",IF(OR(J713=0,AND(J713=1,K713=1),AND(J713=1,I713="SBJ"),AND(J713=1,I713=0)),"?IN_FOCUS",IF(J713&lt;=2,"?ACTIVATED",IF(J713&lt;&gt;"","?FAMILIAR",IF(F713="NEW",IF(ISNA(VLOOKUP(E713,#REF!,1,FALSE())),"?TYPE_IDENTIFIABLE","?REFERENTIAL"),"_")))))</f>
        <v> </v>
      </c>
      <c r="H713" s="24" t="str">
        <f>IF(J713&lt;&gt;1,"",IF(I713="SBJ","CB","?"))</f>
        <v> </v>
      </c>
      <c r="I713" s="25" t="str">
        <f>IF(OR(E713="",E713="!!!",F713="NEW"),"",INDEX(B712:B$2,-1+SUMPRODUCT(MAX(ROW(E712:E$2)*(E713=E712:E$2)))))</f>
        <v> </v>
      </c>
      <c r="J713" s="25" t="str">
        <f>IF(OR(E713="",E713="!!!",F713="NEW"),"",COUNTBLANK(OFFSET(A$1,,,SUMPRODUCT(MAX(ROW(E$2:E713)*(E713=E$2:E713)))))-COUNTBLANK(OFFSET(A$1,,,SUMPRODUCT(MAX(ROW(E$1:E712)*(E2=E$1:E712))))))</f>
        <v> </v>
      </c>
      <c r="K713" s="25" t="str">
        <f>IF(OR(E713="",E713="!!!",F713="NEW"),"",INDEX(J$1:J712,SUMPRODUCT(MAX(ROW(E$1:E712)*(E713=E$1:E712)))))</f>
        <v> </v>
      </c>
      <c r="L713" s="26"/>
    </row>
    <row r="714" spans="1:12">
      <c r="A714" s="20" t="s">
        <v>840</v>
      </c>
      <c r="B714" s="27" t="s">
        <v>573</v>
      </c>
      <c r="E714" s="21">
        <f>IF(D714="?OLD","!!!","")</f>
        <v/>
      </c>
      <c r="F714" s="22" t="str">
        <f>IF(OR(E714="",E714="!!!"),"",IF(NOT(ISNA(VLOOKUP(E714,E$1:E713,1,FALSE()))),"OLD",IF(AND(E714&lt;&gt;"",E714&lt;&gt;"!!!"),"NEW","")))</f>
        <v> </v>
      </c>
      <c r="G714" s="23" t="str">
        <f>IF(OR(E714="",E714="!!!"),"",IF(OR(J714=0,AND(J714=1,K714=1),AND(J714=1,I714="SBJ"),AND(J714=1,I714=0)),"?IN_FOCUS",IF(J714&lt;=2,"?ACTIVATED",IF(J714&lt;&gt;"","?FAMILIAR",IF(F714="NEW",IF(ISNA(VLOOKUP(E714,#REF!,1,FALSE())),"?TYPE_IDENTIFIABLE","?REFERENTIAL"),"_")))))</f>
        <v> </v>
      </c>
      <c r="H714" s="24" t="str">
        <f>IF(J714&lt;&gt;1,"",IF(I714="SBJ","CB","?"))</f>
        <v> </v>
      </c>
      <c r="I714" s="25" t="str">
        <f>IF(OR(E714="",E714="!!!",F714="NEW"),"",INDEX(B713:B$2,-1+SUMPRODUCT(MAX(ROW(E713:E$2)*(E714=E713:E$2)))))</f>
        <v> </v>
      </c>
      <c r="J714" s="25" t="str">
        <f>IF(OR(E714="",E714="!!!",F714="NEW"),"",COUNTBLANK(OFFSET(A$1,,,SUMPRODUCT(MAX(ROW(E$2:E714)*(E714=E$2:E714)))))-COUNTBLANK(OFFSET(A$1,,,SUMPRODUCT(MAX(ROW(E$1:E713)*(E2=E$1:E713))))))</f>
        <v> </v>
      </c>
      <c r="K714" s="25" t="str">
        <f>IF(OR(E714="",E714="!!!",F714="NEW"),"",INDEX(J$1:J713,SUMPRODUCT(MAX(ROW(E$1:E713)*(E714=E$1:E713)))))</f>
        <v> </v>
      </c>
      <c r="L714" s="26"/>
    </row>
    <row r="715" spans="1:12">
      <c r="A715" s="20" t="s">
        <v>606</v>
      </c>
      <c r="B715" s="27" t="s">
        <v>632</v>
      </c>
      <c r="C715" s="27" t="s">
        <v>477</v>
      </c>
      <c r="D715" s="27" t="s">
        <v>478</v>
      </c>
      <c r="E715" s="21">
        <f>IF(D715="?OLD","!!!","")</f>
        <v/>
      </c>
      <c r="F715" s="22" t="str">
        <f>IF(OR(E715="",E715="!!!"),"",IF(NOT(ISNA(VLOOKUP(E715,E$1:E714,1,FALSE()))),"OLD",IF(AND(E715&lt;&gt;"",E715&lt;&gt;"!!!"),"NEW","")))</f>
        <v> </v>
      </c>
      <c r="G715" s="23" t="str">
        <f>IF(OR(E715="",E715="!!!"),"",IF(OR(J715=0,AND(J715=1,K715=1),AND(J715=1,I715="SBJ"),AND(J715=1,I715=0)),"?IN_FOCUS",IF(J715&lt;=2,"?ACTIVATED",IF(J715&lt;&gt;"","?FAMILIAR",IF(F715="NEW",IF(ISNA(VLOOKUP(E715,#REF!,1,FALSE())),"?TYPE_IDENTIFIABLE","?REFERENTIAL"),"_")))))</f>
        <v> </v>
      </c>
      <c r="H715" s="24" t="str">
        <f>IF(J715&lt;&gt;1,"",IF(I715="SBJ","CB","?"))</f>
        <v> </v>
      </c>
      <c r="I715" s="25" t="str">
        <f>IF(OR(E715="",E715="!!!",F715="NEW"),"",INDEX(B714:B$2,-1+SUMPRODUCT(MAX(ROW(E714:E$2)*(E715=E714:E$2)))))</f>
        <v> </v>
      </c>
      <c r="J715" s="25" t="str">
        <f>IF(OR(E715="",E715="!!!",F715="NEW"),"",COUNTBLANK(OFFSET(A$1,,,SUMPRODUCT(MAX(ROW(E$2:E715)*(E715=E$2:E715)))))-COUNTBLANK(OFFSET(A$1,,,SUMPRODUCT(MAX(ROW(E$1:E714)*(E2=E$1:E714))))))</f>
        <v> </v>
      </c>
      <c r="K715" s="25" t="str">
        <f>IF(OR(E715="",E715="!!!",F715="NEW"),"",INDEX(J$1:J714,SUMPRODUCT(MAX(ROW(E$1:E714)*(E715=E$1:E714)))))</f>
        <v> </v>
      </c>
      <c r="L715" s="26"/>
    </row>
    <row r="716" spans="1:12">
      <c r="A716" s="20" t="s">
        <v>493</v>
      </c>
      <c r="E716" s="21">
        <f>IF(D716="?OLD","!!!","")</f>
        <v/>
      </c>
      <c r="F716" s="22" t="str">
        <f>IF(OR(E716="",E716="!!!"),"",IF(NOT(ISNA(VLOOKUP(E716,E$1:E715,1,FALSE()))),"OLD",IF(AND(E716&lt;&gt;"",E716&lt;&gt;"!!!"),"NEW","")))</f>
        <v> </v>
      </c>
      <c r="G716" s="23" t="str">
        <f>IF(OR(E716="",E716="!!!"),"",IF(OR(J716=0,AND(J716=1,K716=1),AND(J716=1,I716="SBJ"),AND(J716=1,I716=0)),"?IN_FOCUS",IF(J716&lt;=2,"?ACTIVATED",IF(J716&lt;&gt;"","?FAMILIAR",IF(F716="NEW",IF(ISNA(VLOOKUP(E716,#REF!,1,FALSE())),"?TYPE_IDENTIFIABLE","?REFERENTIAL"),"_")))))</f>
        <v> </v>
      </c>
      <c r="H716" s="24" t="str">
        <f>IF(J716&lt;&gt;1,"",IF(I716="SBJ","CB","?"))</f>
        <v> </v>
      </c>
      <c r="I716" s="25" t="str">
        <f>IF(OR(E716="",E716="!!!",F716="NEW"),"",INDEX(B715:B$2,-1+SUMPRODUCT(MAX(ROW(E715:E$2)*(E716=E715:E$2)))))</f>
        <v> </v>
      </c>
      <c r="J716" s="25" t="str">
        <f>IF(OR(E716="",E716="!!!",F716="NEW"),"",COUNTBLANK(OFFSET(A$1,,,SUMPRODUCT(MAX(ROW(E$2:E716)*(E716=E$2:E716)))))-COUNTBLANK(OFFSET(A$1,,,SUMPRODUCT(MAX(ROW(E$1:E715)*(E2=E$1:E715))))))</f>
        <v> </v>
      </c>
      <c r="K716" s="25" t="str">
        <f>IF(OR(E716="",E716="!!!",F716="NEW"),"",INDEX(J$1:J715,SUMPRODUCT(MAX(ROW(E$1:E715)*(E716=E$1:E715)))))</f>
        <v> </v>
      </c>
      <c r="L716" s="26"/>
    </row>
    <row r="717" spans="1:12">
      <c r="A717" s="20" t="s">
        <v>841</v>
      </c>
      <c r="E717" s="21">
        <f>IF(D717="?OLD","!!!","")</f>
        <v/>
      </c>
      <c r="F717" s="22" t="str">
        <f>IF(OR(E717="",E717="!!!"),"",IF(NOT(ISNA(VLOOKUP(E717,E$1:E716,1,FALSE()))),"OLD",IF(AND(E717&lt;&gt;"",E717&lt;&gt;"!!!"),"NEW","")))</f>
        <v> </v>
      </c>
      <c r="G717" s="23" t="str">
        <f>IF(OR(E717="",E717="!!!"),"",IF(OR(J717=0,AND(J717=1,K717=1),AND(J717=1,I717="SBJ"),AND(J717=1,I717=0)),"?IN_FOCUS",IF(J717&lt;=2,"?ACTIVATED",IF(J717&lt;&gt;"","?FAMILIAR",IF(F717="NEW",IF(ISNA(VLOOKUP(E717,#REF!,1,FALSE())),"?TYPE_IDENTIFIABLE","?REFERENTIAL"),"_")))))</f>
        <v> </v>
      </c>
      <c r="H717" s="24" t="str">
        <f>IF(J717&lt;&gt;1,"",IF(I717="SBJ","CB","?"))</f>
        <v> </v>
      </c>
      <c r="I717" s="25" t="str">
        <f>IF(OR(E717="",E717="!!!",F717="NEW"),"",INDEX(B716:B$2,-1+SUMPRODUCT(MAX(ROW(E716:E$2)*(E717=E716:E$2)))))</f>
        <v> </v>
      </c>
      <c r="J717" s="25" t="str">
        <f>IF(OR(E717="",E717="!!!",F717="NEW"),"",COUNTBLANK(OFFSET(A$1,,,SUMPRODUCT(MAX(ROW(E$2:E717)*(E717=E$2:E717)))))-COUNTBLANK(OFFSET(A$1,,,SUMPRODUCT(MAX(ROW(E$1:E716)*(E2=E$1:E716))))))</f>
        <v> </v>
      </c>
      <c r="K717" s="25" t="str">
        <f>IF(OR(E717="",E717="!!!",F717="NEW"),"",INDEX(J$1:J716,SUMPRODUCT(MAX(ROW(E$1:E716)*(E717=E$1:E716)))))</f>
        <v> </v>
      </c>
      <c r="L717" s="26"/>
    </row>
    <row r="718" spans="1:12">
      <c r="A718" s="20" t="s">
        <v>656</v>
      </c>
      <c r="E718" s="21">
        <f>IF(D718="?OLD","!!!","")</f>
        <v/>
      </c>
      <c r="F718" s="22" t="str">
        <f>IF(OR(E718="",E718="!!!"),"",IF(NOT(ISNA(VLOOKUP(E718,E$1:E717,1,FALSE()))),"OLD",IF(AND(E718&lt;&gt;"",E718&lt;&gt;"!!!"),"NEW","")))</f>
        <v> </v>
      </c>
      <c r="G718" s="23" t="str">
        <f>IF(OR(E718="",E718="!!!"),"",IF(OR(J718=0,AND(J718=1,K718=1),AND(J718=1,I718="SBJ"),AND(J718=1,I718=0)),"?IN_FOCUS",IF(J718&lt;=2,"?ACTIVATED",IF(J718&lt;&gt;"","?FAMILIAR",IF(F718="NEW",IF(ISNA(VLOOKUP(E718,#REF!,1,FALSE())),"?TYPE_IDENTIFIABLE","?REFERENTIAL"),"_")))))</f>
        <v> </v>
      </c>
      <c r="H718" s="24" t="str">
        <f>IF(J718&lt;&gt;1,"",IF(I718="SBJ","CB","?"))</f>
        <v> </v>
      </c>
      <c r="I718" s="25" t="str">
        <f>IF(OR(E718="",E718="!!!",F718="NEW"),"",INDEX(B717:B$2,-1+SUMPRODUCT(MAX(ROW(E717:E$2)*(E718=E717:E$2)))))</f>
        <v> </v>
      </c>
      <c r="J718" s="25" t="str">
        <f>IF(OR(E718="",E718="!!!",F718="NEW"),"",COUNTBLANK(OFFSET(A$1,,,SUMPRODUCT(MAX(ROW(E$2:E718)*(E718=E$2:E718)))))-COUNTBLANK(OFFSET(A$1,,,SUMPRODUCT(MAX(ROW(E$1:E717)*(E2=E$1:E717))))))</f>
        <v> </v>
      </c>
      <c r="K718" s="25" t="str">
        <f>IF(OR(E718="",E718="!!!",F718="NEW"),"",INDEX(J$1:J717,SUMPRODUCT(MAX(ROW(E$1:E717)*(E718=E$1:E717)))))</f>
        <v> </v>
      </c>
      <c r="L718" s="26"/>
    </row>
    <row r="719" spans="1:12">
      <c r="A719" s="20" t="s">
        <v>493</v>
      </c>
      <c r="E719" s="21">
        <f>IF(D719="?OLD","!!!","")</f>
        <v/>
      </c>
      <c r="F719" s="22" t="str">
        <f>IF(OR(E719="",E719="!!!"),"",IF(NOT(ISNA(VLOOKUP(E719,E$1:E718,1,FALSE()))),"OLD",IF(AND(E719&lt;&gt;"",E719&lt;&gt;"!!!"),"NEW","")))</f>
        <v> </v>
      </c>
      <c r="G719" s="23" t="str">
        <f>IF(OR(E719="",E719="!!!"),"",IF(OR(J719=0,AND(J719=1,K719=1),AND(J719=1,I719="SBJ"),AND(J719=1,I719=0)),"?IN_FOCUS",IF(J719&lt;=2,"?ACTIVATED",IF(J719&lt;&gt;"","?FAMILIAR",IF(F719="NEW",IF(ISNA(VLOOKUP(E719,#REF!,1,FALSE())),"?TYPE_IDENTIFIABLE","?REFERENTIAL"),"_")))))</f>
        <v> </v>
      </c>
      <c r="H719" s="24" t="str">
        <f>IF(J719&lt;&gt;1,"",IF(I719="SBJ","CB","?"))</f>
        <v> </v>
      </c>
      <c r="I719" s="25" t="str">
        <f>IF(OR(E719="",E719="!!!",F719="NEW"),"",INDEX(B718:B$2,-1+SUMPRODUCT(MAX(ROW(E718:E$2)*(E719=E718:E$2)))))</f>
        <v> </v>
      </c>
      <c r="J719" s="25" t="str">
        <f>IF(OR(E719="",E719="!!!",F719="NEW"),"",COUNTBLANK(OFFSET(A$1,,,SUMPRODUCT(MAX(ROW(E$2:E719)*(E719=E$2:E719)))))-COUNTBLANK(OFFSET(A$1,,,SUMPRODUCT(MAX(ROW(E$1:E718)*(E2=E$1:E718))))))</f>
        <v> </v>
      </c>
      <c r="K719" s="25" t="str">
        <f>IF(OR(E719="",E719="!!!",F719="NEW"),"",INDEX(J$1:J718,SUMPRODUCT(MAX(ROW(E$1:E718)*(E719=E$1:E718)))))</f>
        <v> </v>
      </c>
      <c r="L719" s="26"/>
    </row>
    <row r="720" spans="1:12">
      <c r="A720" s="20" t="s">
        <v>842</v>
      </c>
      <c r="E720" s="21">
        <f>IF(D720="?OLD","!!!","")</f>
        <v/>
      </c>
      <c r="F720" s="22" t="str">
        <f>IF(OR(E720="",E720="!!!"),"",IF(NOT(ISNA(VLOOKUP(E720,E$1:E719,1,FALSE()))),"OLD",IF(AND(E720&lt;&gt;"",E720&lt;&gt;"!!!"),"NEW","")))</f>
        <v> </v>
      </c>
      <c r="G720" s="23" t="str">
        <f>IF(OR(E720="",E720="!!!"),"",IF(OR(J720=0,AND(J720=1,K720=1),AND(J720=1,I720="SBJ"),AND(J720=1,I720=0)),"?IN_FOCUS",IF(J720&lt;=2,"?ACTIVATED",IF(J720&lt;&gt;"","?FAMILIAR",IF(F720="NEW",IF(ISNA(VLOOKUP(E720,#REF!,1,FALSE())),"?TYPE_IDENTIFIABLE","?REFERENTIAL"),"_")))))</f>
        <v> </v>
      </c>
      <c r="H720" s="24" t="str">
        <f>IF(J720&lt;&gt;1,"",IF(I720="SBJ","CB","?"))</f>
        <v> </v>
      </c>
      <c r="I720" s="25" t="str">
        <f>IF(OR(E720="",E720="!!!",F720="NEW"),"",INDEX(B719:B$2,-1+SUMPRODUCT(MAX(ROW(E719:E$2)*(E720=E719:E$2)))))</f>
        <v> </v>
      </c>
      <c r="J720" s="25" t="str">
        <f>IF(OR(E720="",E720="!!!",F720="NEW"),"",COUNTBLANK(OFFSET(A$1,,,SUMPRODUCT(MAX(ROW(E$2:E720)*(E720=E$2:E720)))))-COUNTBLANK(OFFSET(A$1,,,SUMPRODUCT(MAX(ROW(E$1:E719)*(E2=E$1:E719))))))</f>
        <v> </v>
      </c>
      <c r="K720" s="25" t="str">
        <f>IF(OR(E720="",E720="!!!",F720="NEW"),"",INDEX(J$1:J719,SUMPRODUCT(MAX(ROW(E$1:E719)*(E720=E$1:E719)))))</f>
        <v> </v>
      </c>
      <c r="L720" s="26"/>
    </row>
    <row r="721" spans="1:12">
      <c r="A721" s="20" t="s">
        <v>482</v>
      </c>
      <c r="E721" s="21">
        <f>IF(D721="?OLD","!!!","")</f>
        <v/>
      </c>
      <c r="F721" s="22" t="str">
        <f>IF(OR(E721="",E721="!!!"),"",IF(NOT(ISNA(VLOOKUP(E721,E$1:E720,1,FALSE()))),"OLD",IF(AND(E721&lt;&gt;"",E721&lt;&gt;"!!!"),"NEW","")))</f>
        <v> </v>
      </c>
      <c r="G721" s="23" t="str">
        <f>IF(OR(E721="",E721="!!!"),"",IF(OR(J721=0,AND(J721=1,K721=1),AND(J721=1,I721="SBJ"),AND(J721=1,I721=0)),"?IN_FOCUS",IF(J721&lt;=2,"?ACTIVATED",IF(J721&lt;&gt;"","?FAMILIAR",IF(F721="NEW",IF(ISNA(VLOOKUP(E721,#REF!,1,FALSE())),"?TYPE_IDENTIFIABLE","?REFERENTIAL"),"_")))))</f>
        <v> </v>
      </c>
      <c r="H721" s="24" t="str">
        <f>IF(J721&lt;&gt;1,"",IF(I721="SBJ","CB","?"))</f>
        <v> </v>
      </c>
      <c r="I721" s="25" t="str">
        <f>IF(OR(E721="",E721="!!!",F721="NEW"),"",INDEX(B720:B$2,-1+SUMPRODUCT(MAX(ROW(E720:E$2)*(E721=E720:E$2)))))</f>
        <v> </v>
      </c>
      <c r="J721" s="25" t="str">
        <f>IF(OR(E721="",E721="!!!",F721="NEW"),"",COUNTBLANK(OFFSET(A$1,,,SUMPRODUCT(MAX(ROW(E$2:E721)*(E721=E$2:E721)))))-COUNTBLANK(OFFSET(A$1,,,SUMPRODUCT(MAX(ROW(E$1:E720)*(E2=E$1:E720))))))</f>
        <v> </v>
      </c>
      <c r="K721" s="25" t="str">
        <f>IF(OR(E721="",E721="!!!",F721="NEW"),"",INDEX(J$1:J720,SUMPRODUCT(MAX(ROW(E$1:E720)*(E721=E$1:E720)))))</f>
        <v> </v>
      </c>
      <c r="L721" s="26"/>
    </row>
    <row r="722" spans="1:12">
      <c r="A722" s="20" t="s">
        <v>843</v>
      </c>
      <c r="E722" s="21">
        <f>IF(D722="?OLD","!!!","")</f>
        <v/>
      </c>
      <c r="F722" s="22" t="str">
        <f>IF(OR(E722="",E722="!!!"),"",IF(NOT(ISNA(VLOOKUP(E722,E$1:E721,1,FALSE()))),"OLD",IF(AND(E722&lt;&gt;"",E722&lt;&gt;"!!!"),"NEW","")))</f>
        <v> </v>
      </c>
      <c r="G722" s="23" t="str">
        <f>IF(OR(E722="",E722="!!!"),"",IF(OR(J722=0,AND(J722=1,K722=1),AND(J722=1,I722="SBJ"),AND(J722=1,I722=0)),"?IN_FOCUS",IF(J722&lt;=2,"?ACTIVATED",IF(J722&lt;&gt;"","?FAMILIAR",IF(F722="NEW",IF(ISNA(VLOOKUP(E722,#REF!,1,FALSE())),"?TYPE_IDENTIFIABLE","?REFERENTIAL"),"_")))))</f>
        <v> </v>
      </c>
      <c r="H722" s="24" t="str">
        <f>IF(J722&lt;&gt;1,"",IF(I722="SBJ","CB","?"))</f>
        <v> </v>
      </c>
      <c r="I722" s="25" t="str">
        <f>IF(OR(E722="",E722="!!!",F722="NEW"),"",INDEX(B721:B$2,-1+SUMPRODUCT(MAX(ROW(E721:E$2)*(E722=E721:E$2)))))</f>
        <v> </v>
      </c>
      <c r="J722" s="25" t="str">
        <f>IF(OR(E722="",E722="!!!",F722="NEW"),"",COUNTBLANK(OFFSET(A$1,,,SUMPRODUCT(MAX(ROW(E$2:E722)*(E722=E$2:E722)))))-COUNTBLANK(OFFSET(A$1,,,SUMPRODUCT(MAX(ROW(E$1:E721)*(E2=E$1:E721))))))</f>
        <v> </v>
      </c>
      <c r="K722" s="25" t="str">
        <f>IF(OR(E722="",E722="!!!",F722="NEW"),"",INDEX(J$1:J721,SUMPRODUCT(MAX(ROW(E$1:E721)*(E722=E$1:E721)))))</f>
        <v> </v>
      </c>
      <c r="L722" s="26"/>
    </row>
    <row r="723" spans="1:12">
      <c r="A723" s="20" t="s">
        <v>489</v>
      </c>
      <c r="E723" s="21">
        <f>IF(D723="?OLD","!!!","")</f>
        <v/>
      </c>
      <c r="F723" s="22" t="str">
        <f>IF(OR(E723="",E723="!!!"),"",IF(NOT(ISNA(VLOOKUP(E723,E$1:E722,1,FALSE()))),"OLD",IF(AND(E723&lt;&gt;"",E723&lt;&gt;"!!!"),"NEW","")))</f>
        <v> </v>
      </c>
      <c r="G723" s="23" t="str">
        <f>IF(OR(E723="",E723="!!!"),"",IF(OR(J723=0,AND(J723=1,K723=1),AND(J723=1,I723="SBJ"),AND(J723=1,I723=0)),"?IN_FOCUS",IF(J723&lt;=2,"?ACTIVATED",IF(J723&lt;&gt;"","?FAMILIAR",IF(F723="NEW",IF(ISNA(VLOOKUP(E723,#REF!,1,FALSE())),"?TYPE_IDENTIFIABLE","?REFERENTIAL"),"_")))))</f>
        <v> </v>
      </c>
      <c r="H723" s="24" t="str">
        <f>IF(J723&lt;&gt;1,"",IF(I723="SBJ","CB","?"))</f>
        <v> </v>
      </c>
      <c r="I723" s="25" t="str">
        <f>IF(OR(E723="",E723="!!!",F723="NEW"),"",INDEX(B722:B$2,-1+SUMPRODUCT(MAX(ROW(E722:E$2)*(E723=E722:E$2)))))</f>
        <v> </v>
      </c>
      <c r="J723" s="25" t="str">
        <f>IF(OR(E723="",E723="!!!",F723="NEW"),"",COUNTBLANK(OFFSET(A$1,,,SUMPRODUCT(MAX(ROW(E$2:E723)*(E723=E$2:E723)))))-COUNTBLANK(OFFSET(A$1,,,SUMPRODUCT(MAX(ROW(E$1:E722)*(E2=E$1:E722))))))</f>
        <v> </v>
      </c>
      <c r="K723" s="25" t="str">
        <f>IF(OR(E723="",E723="!!!",F723="NEW"),"",INDEX(J$1:J722,SUMPRODUCT(MAX(ROW(E$1:E722)*(E723=E$1:E722)))))</f>
        <v> </v>
      </c>
      <c r="L723" s="26"/>
    </row>
    <row r="724" spans="1:12">
      <c r="A724" s="20" t="s">
        <v>646</v>
      </c>
      <c r="B724" s="27" t="s">
        <v>722</v>
      </c>
      <c r="C724" s="27" t="s">
        <v>477</v>
      </c>
      <c r="D724" s="27" t="s">
        <v>478</v>
      </c>
      <c r="E724" s="21">
        <f>IF(D724="?OLD","!!!","")</f>
        <v/>
      </c>
      <c r="F724" s="22" t="str">
        <f>IF(OR(E724="",E724="!!!"),"",IF(NOT(ISNA(VLOOKUP(E724,E$1:E723,1,FALSE()))),"OLD",IF(AND(E724&lt;&gt;"",E724&lt;&gt;"!!!"),"NEW","")))</f>
        <v> </v>
      </c>
      <c r="G724" s="23" t="str">
        <f>IF(OR(E724="",E724="!!!"),"",IF(OR(J724=0,AND(J724=1,K724=1),AND(J724=1,I724="SBJ"),AND(J724=1,I724=0)),"?IN_FOCUS",IF(J724&lt;=2,"?ACTIVATED",IF(J724&lt;&gt;"","?FAMILIAR",IF(F724="NEW",IF(ISNA(VLOOKUP(E724,#REF!,1,FALSE())),"?TYPE_IDENTIFIABLE","?REFERENTIAL"),"_")))))</f>
        <v> </v>
      </c>
      <c r="H724" s="24" t="str">
        <f>IF(J724&lt;&gt;1,"",IF(I724="SBJ","CB","?"))</f>
        <v> </v>
      </c>
      <c r="I724" s="25" t="str">
        <f>IF(OR(E724="",E724="!!!",F724="NEW"),"",INDEX(B723:B$2,-1+SUMPRODUCT(MAX(ROW(E723:E$2)*(E724=E723:E$2)))))</f>
        <v> </v>
      </c>
      <c r="J724" s="25" t="str">
        <f>IF(OR(E724="",E724="!!!",F724="NEW"),"",COUNTBLANK(OFFSET(A$1,,,SUMPRODUCT(MAX(ROW(E$2:E724)*(E724=E$2:E724)))))-COUNTBLANK(OFFSET(A$1,,,SUMPRODUCT(MAX(ROW(E$1:E723)*(E2=E$1:E723))))))</f>
        <v> </v>
      </c>
      <c r="K724" s="25" t="str">
        <f>IF(OR(E724="",E724="!!!",F724="NEW"),"",INDEX(J$1:J723,SUMPRODUCT(MAX(ROW(E$1:E723)*(E724=E$1:E723)))))</f>
        <v> </v>
      </c>
      <c r="L724" s="26"/>
    </row>
    <row r="725" spans="1:12">
      <c r="A725" s="20" t="s">
        <v>728</v>
      </c>
      <c r="B725" s="27" t="s">
        <v>704</v>
      </c>
      <c r="C725" s="27" t="s">
        <v>497</v>
      </c>
      <c r="D725" s="27" t="s">
        <v>478</v>
      </c>
      <c r="E725" s="21">
        <f>IF(D725="?OLD","!!!","")</f>
        <v/>
      </c>
      <c r="F725" s="22" t="str">
        <f>IF(OR(E725="",E725="!!!"),"",IF(NOT(ISNA(VLOOKUP(E725,E$1:E724,1,FALSE()))),"OLD",IF(AND(E725&lt;&gt;"",E725&lt;&gt;"!!!"),"NEW","")))</f>
        <v> </v>
      </c>
      <c r="G725" s="23" t="str">
        <f>IF(OR(E725="",E725="!!!"),"",IF(OR(J725=0,AND(J725=1,K725=1),AND(J725=1,I725="SBJ"),AND(J725=1,I725=0)),"?IN_FOCUS",IF(J725&lt;=2,"?ACTIVATED",IF(J725&lt;&gt;"","?FAMILIAR",IF(F725="NEW",IF(ISNA(VLOOKUP(E725,#REF!,1,FALSE())),"?TYPE_IDENTIFIABLE","?REFERENTIAL"),"_")))))</f>
        <v> </v>
      </c>
      <c r="H725" s="24" t="str">
        <f>IF(J725&lt;&gt;1,"",IF(I725="SBJ","CB","?"))</f>
        <v> </v>
      </c>
      <c r="I725" s="25" t="str">
        <f>IF(OR(E725="",E725="!!!",F725="NEW"),"",INDEX(B724:B$2,-1+SUMPRODUCT(MAX(ROW(E724:E$2)*(E725=E724:E$2)))))</f>
        <v> </v>
      </c>
      <c r="J725" s="25" t="str">
        <f>IF(OR(E725="",E725="!!!",F725="NEW"),"",COUNTBLANK(OFFSET(A$1,,,SUMPRODUCT(MAX(ROW(E$2:E725)*(E725=E$2:E725)))))-COUNTBLANK(OFFSET(A$1,,,SUMPRODUCT(MAX(ROW(E$1:E724)*(E2=E$1:E724))))))</f>
        <v> </v>
      </c>
      <c r="K725" s="25" t="str">
        <f>IF(OR(E725="",E725="!!!",F725="NEW"),"",INDEX(J$1:J724,SUMPRODUCT(MAX(ROW(E$1:E724)*(E725=E$1:E724)))))</f>
        <v> </v>
      </c>
      <c r="L725" s="26"/>
    </row>
    <row r="726" spans="1:12">
      <c r="A726" s="20" t="s">
        <v>844</v>
      </c>
      <c r="E726" s="21">
        <f>IF(D726="?OLD","!!!","")</f>
        <v/>
      </c>
      <c r="F726" s="22" t="str">
        <f>IF(OR(E726="",E726="!!!"),"",IF(NOT(ISNA(VLOOKUP(E726,E$1:E725,1,FALSE()))),"OLD",IF(AND(E726&lt;&gt;"",E726&lt;&gt;"!!!"),"NEW","")))</f>
        <v> </v>
      </c>
      <c r="G726" s="23" t="str">
        <f>IF(OR(E726="",E726="!!!"),"",IF(OR(J726=0,AND(J726=1,K726=1),AND(J726=1,I726="SBJ"),AND(J726=1,I726=0)),"?IN_FOCUS",IF(J726&lt;=2,"?ACTIVATED",IF(J726&lt;&gt;"","?FAMILIAR",IF(F726="NEW",IF(ISNA(VLOOKUP(E726,#REF!,1,FALSE())),"?TYPE_IDENTIFIABLE","?REFERENTIAL"),"_")))))</f>
        <v> </v>
      </c>
      <c r="H726" s="24" t="str">
        <f>IF(J726&lt;&gt;1,"",IF(I726="SBJ","CB","?"))</f>
        <v> </v>
      </c>
      <c r="I726" s="25" t="str">
        <f>IF(OR(E726="",E726="!!!",F726="NEW"),"",INDEX(B725:B$2,-1+SUMPRODUCT(MAX(ROW(E725:E$2)*(E726=E725:E$2)))))</f>
        <v> </v>
      </c>
      <c r="J726" s="25" t="str">
        <f>IF(OR(E726="",E726="!!!",F726="NEW"),"",COUNTBLANK(OFFSET(A$1,,,SUMPRODUCT(MAX(ROW(E$2:E726)*(E726=E$2:E726)))))-COUNTBLANK(OFFSET(A$1,,,SUMPRODUCT(MAX(ROW(E$1:E725)*(E2=E$1:E725))))))</f>
        <v> </v>
      </c>
      <c r="K726" s="25" t="str">
        <f>IF(OR(E726="",E726="!!!",F726="NEW"),"",INDEX(J$1:J725,SUMPRODUCT(MAX(ROW(E$1:E725)*(E726=E$1:E725)))))</f>
        <v> </v>
      </c>
      <c r="L726" s="26"/>
    </row>
    <row r="727" spans="1:12">
      <c r="A727" s="20" t="s">
        <v>845</v>
      </c>
      <c r="E727" s="21">
        <f>IF(D727="?OLD","!!!","")</f>
        <v/>
      </c>
      <c r="F727" s="22" t="str">
        <f>IF(OR(E727="",E727="!!!"),"",IF(NOT(ISNA(VLOOKUP(E727,E$1:E726,1,FALSE()))),"OLD",IF(AND(E727&lt;&gt;"",E727&lt;&gt;"!!!"),"NEW","")))</f>
        <v> </v>
      </c>
      <c r="G727" s="23" t="str">
        <f>IF(OR(E727="",E727="!!!"),"",IF(OR(J727=0,AND(J727=1,K727=1),AND(J727=1,I727="SBJ"),AND(J727=1,I727=0)),"?IN_FOCUS",IF(J727&lt;=2,"?ACTIVATED",IF(J727&lt;&gt;"","?FAMILIAR",IF(F727="NEW",IF(ISNA(VLOOKUP(E727,#REF!,1,FALSE())),"?TYPE_IDENTIFIABLE","?REFERENTIAL"),"_")))))</f>
        <v> </v>
      </c>
      <c r="H727" s="24" t="str">
        <f>IF(J727&lt;&gt;1,"",IF(I727="SBJ","CB","?"))</f>
        <v> </v>
      </c>
      <c r="I727" s="25" t="str">
        <f>IF(OR(E727="",E727="!!!",F727="NEW"),"",INDEX(B726:B$2,-1+SUMPRODUCT(MAX(ROW(E726:E$2)*(E727=E726:E$2)))))</f>
        <v> </v>
      </c>
      <c r="J727" s="25" t="str">
        <f>IF(OR(E727="",E727="!!!",F727="NEW"),"",COUNTBLANK(OFFSET(A$1,,,SUMPRODUCT(MAX(ROW(E$2:E727)*(E727=E$2:E727)))))-COUNTBLANK(OFFSET(A$1,,,SUMPRODUCT(MAX(ROW(E$1:E726)*(E2=E$1:E726))))))</f>
        <v> </v>
      </c>
      <c r="K727" s="25" t="str">
        <f>IF(OR(E727="",E727="!!!",F727="NEW"),"",INDEX(J$1:J726,SUMPRODUCT(MAX(ROW(E$1:E726)*(E727=E$1:E726)))))</f>
        <v> </v>
      </c>
      <c r="L727" s="26"/>
    </row>
    <row r="728" spans="1:12">
      <c r="A728" s="20" t="s">
        <v>846</v>
      </c>
      <c r="E728" s="21">
        <f>IF(D728="?OLD","!!!","")</f>
        <v/>
      </c>
      <c r="F728" s="22" t="str">
        <f>IF(OR(E728="",E728="!!!"),"",IF(NOT(ISNA(VLOOKUP(E728,E$1:E727,1,FALSE()))),"OLD",IF(AND(E728&lt;&gt;"",E728&lt;&gt;"!!!"),"NEW","")))</f>
        <v> </v>
      </c>
      <c r="G728" s="23" t="str">
        <f>IF(OR(E728="",E728="!!!"),"",IF(OR(J728=0,AND(J728=1,K728=1),AND(J728=1,I728="SBJ"),AND(J728=1,I728=0)),"?IN_FOCUS",IF(J728&lt;=2,"?ACTIVATED",IF(J728&lt;&gt;"","?FAMILIAR",IF(F728="NEW",IF(ISNA(VLOOKUP(E728,#REF!,1,FALSE())),"?TYPE_IDENTIFIABLE","?REFERENTIAL"),"_")))))</f>
        <v> </v>
      </c>
      <c r="H728" s="24" t="str">
        <f>IF(J728&lt;&gt;1,"",IF(I728="SBJ","CB","?"))</f>
        <v> </v>
      </c>
      <c r="I728" s="25" t="str">
        <f>IF(OR(E728="",E728="!!!",F728="NEW"),"",INDEX(B727:B$2,-1+SUMPRODUCT(MAX(ROW(E727:E$2)*(E728=E727:E$2)))))</f>
        <v> </v>
      </c>
      <c r="J728" s="25" t="str">
        <f>IF(OR(E728="",E728="!!!",F728="NEW"),"",COUNTBLANK(OFFSET(A$1,,,SUMPRODUCT(MAX(ROW(E$2:E728)*(E728=E$2:E728)))))-COUNTBLANK(OFFSET(A$1,,,SUMPRODUCT(MAX(ROW(E$1:E727)*(E2=E$1:E727))))))</f>
        <v> </v>
      </c>
      <c r="K728" s="25" t="str">
        <f>IF(OR(E728="",E728="!!!",F728="NEW"),"",INDEX(J$1:J727,SUMPRODUCT(MAX(ROW(E$1:E727)*(E728=E$1:E727)))))</f>
        <v> </v>
      </c>
      <c r="L728" s="26"/>
    </row>
    <row r="729" spans="1:12">
      <c r="A729" s="20" t="s">
        <v>253</v>
      </c>
      <c r="E729" s="21">
        <f>IF(D729="?OLD","!!!","")</f>
        <v/>
      </c>
      <c r="F729" s="22" t="str">
        <f>IF(OR(E729="",E729="!!!"),"",IF(NOT(ISNA(VLOOKUP(E729,E$1:E728,1,FALSE()))),"OLD",IF(AND(E729&lt;&gt;"",E729&lt;&gt;"!!!"),"NEW","")))</f>
        <v> </v>
      </c>
      <c r="G729" s="23" t="str">
        <f>IF(OR(E729="",E729="!!!"),"",IF(OR(J729=0,AND(J729=1,K729=1),AND(J729=1,I729="SBJ"),AND(J729=1,I729=0)),"?IN_FOCUS",IF(J729&lt;=2,"?ACTIVATED",IF(J729&lt;&gt;"","?FAMILIAR",IF(F729="NEW",IF(ISNA(VLOOKUP(E729,#REF!,1,FALSE())),"?TYPE_IDENTIFIABLE","?REFERENTIAL"),"_")))))</f>
        <v> </v>
      </c>
      <c r="H729" s="24" t="str">
        <f>IF(J729&lt;&gt;1,"",IF(I729="SBJ","CB","?"))</f>
        <v> </v>
      </c>
      <c r="I729" s="25" t="str">
        <f>IF(OR(E729="",E729="!!!",F729="NEW"),"",INDEX(B728:B$2,-1+SUMPRODUCT(MAX(ROW(E728:E$2)*(E729=E728:E$2)))))</f>
        <v> </v>
      </c>
      <c r="J729" s="25" t="str">
        <f>IF(OR(E729="",E729="!!!",F729="NEW"),"",COUNTBLANK(OFFSET(A$1,,,SUMPRODUCT(MAX(ROW(E$2:E729)*(E729=E$2:E729)))))-COUNTBLANK(OFFSET(A$1,,,SUMPRODUCT(MAX(ROW(E$1:E728)*(E2=E$1:E728))))))</f>
        <v> </v>
      </c>
      <c r="K729" s="25" t="str">
        <f>IF(OR(E729="",E729="!!!",F729="NEW"),"",INDEX(J$1:J728,SUMPRODUCT(MAX(ROW(E$1:E728)*(E729=E$1:E728)))))</f>
        <v> </v>
      </c>
      <c r="L729" s="26"/>
    </row>
    <row r="730" spans="1:12">
      <c r="A730" s="20"/>
    </row>
    <row r="731" spans="1:12">
      <c r="A731" s="20" t="s">
        <v>847</v>
      </c>
    </row>
    <row r="732" spans="1:12">
      <c r="A732" s="20" t="s">
        <v>848</v>
      </c>
      <c r="E732" s="21">
        <f>IF(D732="?OLD","!!!","")</f>
        <v/>
      </c>
      <c r="F732" s="22" t="str">
        <f>IF(OR(E732="",E732="!!!"),"",IF(NOT(ISNA(VLOOKUP(E732,E$1:E731,1,FALSE()))),"OLD",IF(AND(E732&lt;&gt;"",E732&lt;&gt;"!!!"),"NEW","")))</f>
        <v> </v>
      </c>
      <c r="G732" s="23" t="str">
        <f>IF(OR(E732="",E732="!!!"),"",IF(OR(J732=0,AND(J732=1,K732=1),AND(J732=1,I732="SBJ"),AND(J732=1,I732=0)),"?IN_FOCUS",IF(J732&lt;=2,"?ACTIVATED",IF(J732&lt;&gt;"","?FAMILIAR",IF(F732="NEW",IF(ISNA(VLOOKUP(E732,#REF!,1,FALSE())),"?TYPE_IDENTIFIABLE","?REFERENTIAL"),"_")))))</f>
        <v> </v>
      </c>
      <c r="H732" s="24" t="str">
        <f>IF(J732&lt;&gt;1,"",IF(I732="SBJ","CB","?"))</f>
        <v> </v>
      </c>
      <c r="I732" s="25" t="str">
        <f>IF(OR(E732="",E732="!!!",F732="NEW"),"",INDEX(B731:B$2,-1+SUMPRODUCT(MAX(ROW(E731:E$2)*(E732=E731:E$2)))))</f>
        <v> </v>
      </c>
      <c r="J732" s="25" t="str">
        <f>IF(OR(E732="",E732="!!!",F732="NEW"),"",COUNTBLANK(OFFSET(A$1,,,SUMPRODUCT(MAX(ROW(E$2:E732)*(E732=E$2:E732)))))-COUNTBLANK(OFFSET(A$1,,,SUMPRODUCT(MAX(ROW(E$1:E731)*(E2=E$1:E731))))))</f>
        <v> </v>
      </c>
      <c r="K732" s="25" t="str">
        <f>IF(OR(E732="",E732="!!!",F732="NEW"),"",INDEX(J$1:J731,SUMPRODUCT(MAX(ROW(E$1:E731)*(E732=E$1:E731)))))</f>
        <v> </v>
      </c>
      <c r="L732" s="26"/>
    </row>
    <row r="733" spans="1:12">
      <c r="A733" s="20" t="s">
        <v>482</v>
      </c>
      <c r="E733" s="21">
        <f>IF(D733="?OLD","!!!","")</f>
        <v/>
      </c>
      <c r="F733" s="22" t="str">
        <f>IF(OR(E733="",E733="!!!"),"",IF(NOT(ISNA(VLOOKUP(E733,E$1:E732,1,FALSE()))),"OLD",IF(AND(E733&lt;&gt;"",E733&lt;&gt;"!!!"),"NEW","")))</f>
        <v> </v>
      </c>
      <c r="G733" s="23" t="str">
        <f>IF(OR(E733="",E733="!!!"),"",IF(OR(J733=0,AND(J733=1,K733=1),AND(J733=1,I733="SBJ"),AND(J733=1,I733=0)),"?IN_FOCUS",IF(J733&lt;=2,"?ACTIVATED",IF(J733&lt;&gt;"","?FAMILIAR",IF(F733="NEW",IF(ISNA(VLOOKUP(E733,#REF!,1,FALSE())),"?TYPE_IDENTIFIABLE","?REFERENTIAL"),"_")))))</f>
        <v> </v>
      </c>
      <c r="H733" s="24" t="str">
        <f>IF(J733&lt;&gt;1,"",IF(I733="SBJ","CB","?"))</f>
        <v> </v>
      </c>
      <c r="I733" s="25" t="str">
        <f>IF(OR(E733="",E733="!!!",F733="NEW"),"",INDEX(B732:B$2,-1+SUMPRODUCT(MAX(ROW(E732:E$2)*(E733=E732:E$2)))))</f>
        <v> </v>
      </c>
      <c r="J733" s="25" t="str">
        <f>IF(OR(E733="",E733="!!!",F733="NEW"),"",COUNTBLANK(OFFSET(A$1,,,SUMPRODUCT(MAX(ROW(E$2:E733)*(E733=E$2:E733)))))-COUNTBLANK(OFFSET(A$1,,,SUMPRODUCT(MAX(ROW(E$1:E732)*(E2=E$1:E732))))))</f>
        <v> </v>
      </c>
      <c r="K733" s="25" t="str">
        <f>IF(OR(E733="",E733="!!!",F733="NEW"),"",INDEX(J$1:J732,SUMPRODUCT(MAX(ROW(E$1:E732)*(E733=E$1:E732)))))</f>
        <v> </v>
      </c>
      <c r="L733" s="26"/>
    </row>
    <row r="734" spans="1:12">
      <c r="A734" s="20" t="s">
        <v>550</v>
      </c>
      <c r="E734" s="21">
        <f>IF(D734="?OLD","!!!","")</f>
        <v/>
      </c>
      <c r="F734" s="22" t="str">
        <f>IF(OR(E734="",E734="!!!"),"",IF(NOT(ISNA(VLOOKUP(E734,E$1:E733,1,FALSE()))),"OLD",IF(AND(E734&lt;&gt;"",E734&lt;&gt;"!!!"),"NEW","")))</f>
        <v> </v>
      </c>
      <c r="G734" s="23" t="str">
        <f>IF(OR(E734="",E734="!!!"),"",IF(OR(J734=0,AND(J734=1,K734=1),AND(J734=1,I734="SBJ"),AND(J734=1,I734=0)),"?IN_FOCUS",IF(J734&lt;=2,"?ACTIVATED",IF(J734&lt;&gt;"","?FAMILIAR",IF(F734="NEW",IF(ISNA(VLOOKUP(E734,#REF!,1,FALSE())),"?TYPE_IDENTIFIABLE","?REFERENTIAL"),"_")))))</f>
        <v> </v>
      </c>
      <c r="H734" s="24" t="str">
        <f>IF(J734&lt;&gt;1,"",IF(I734="SBJ","CB","?"))</f>
        <v> </v>
      </c>
      <c r="I734" s="25" t="str">
        <f>IF(OR(E734="",E734="!!!",F734="NEW"),"",INDEX(B733:B$2,-1+SUMPRODUCT(MAX(ROW(E733:E$2)*(E734=E733:E$2)))))</f>
        <v> </v>
      </c>
      <c r="J734" s="25" t="str">
        <f>IF(OR(E734="",E734="!!!",F734="NEW"),"",COUNTBLANK(OFFSET(A$1,,,SUMPRODUCT(MAX(ROW(E$2:E734)*(E734=E$2:E734)))))-COUNTBLANK(OFFSET(A$1,,,SUMPRODUCT(MAX(ROW(E$1:E733)*(E2=E$1:E733))))))</f>
        <v> </v>
      </c>
      <c r="K734" s="25" t="str">
        <f>IF(OR(E734="",E734="!!!",F734="NEW"),"",INDEX(J$1:J733,SUMPRODUCT(MAX(ROW(E$1:E733)*(E734=E$1:E733)))))</f>
        <v> </v>
      </c>
      <c r="L734" s="26"/>
    </row>
    <row r="735" spans="1:12">
      <c r="A735" s="20" t="s">
        <v>299</v>
      </c>
      <c r="B735" s="27" t="s">
        <v>483</v>
      </c>
      <c r="C735" s="27" t="s">
        <v>477</v>
      </c>
      <c r="D735" s="27" t="s">
        <v>478</v>
      </c>
      <c r="E735" s="21">
        <f>IF(D735="?OLD","!!!","")</f>
        <v/>
      </c>
      <c r="F735" s="22" t="str">
        <f>IF(OR(E735="",E735="!!!"),"",IF(NOT(ISNA(VLOOKUP(E735,E$1:E734,1,FALSE()))),"OLD",IF(AND(E735&lt;&gt;"",E735&lt;&gt;"!!!"),"NEW","")))</f>
        <v> </v>
      </c>
      <c r="G735" s="23" t="str">
        <f>IF(OR(E735="",E735="!!!"),"",IF(OR(J735=0,AND(J735=1,K735=1),AND(J735=1,I735="SBJ"),AND(J735=1,I735=0)),"?IN_FOCUS",IF(J735&lt;=2,"?ACTIVATED",IF(J735&lt;&gt;"","?FAMILIAR",IF(F735="NEW",IF(ISNA(VLOOKUP(E735,#REF!,1,FALSE())),"?TYPE_IDENTIFIABLE","?REFERENTIAL"),"_")))))</f>
        <v> </v>
      </c>
      <c r="H735" s="24" t="str">
        <f>IF(J735&lt;&gt;1,"",IF(I735="SBJ","CB","?"))</f>
        <v> </v>
      </c>
      <c r="I735" s="25" t="str">
        <f>IF(OR(E735="",E735="!!!",F735="NEW"),"",INDEX(B734:B$2,-1+SUMPRODUCT(MAX(ROW(E734:E$2)*(E735=E734:E$2)))))</f>
        <v> </v>
      </c>
      <c r="J735" s="25" t="str">
        <f>IF(OR(E735="",E735="!!!",F735="NEW"),"",COUNTBLANK(OFFSET(A$1,,,SUMPRODUCT(MAX(ROW(E$2:E735)*(E735=E$2:E735)))))-COUNTBLANK(OFFSET(A$1,,,SUMPRODUCT(MAX(ROW(E$1:E734)*(E2=E$1:E734))))))</f>
        <v> </v>
      </c>
      <c r="K735" s="25" t="str">
        <f>IF(OR(E735="",E735="!!!",F735="NEW"),"",INDEX(J$1:J734,SUMPRODUCT(MAX(ROW(E$1:E734)*(E735=E$1:E734)))))</f>
        <v> </v>
      </c>
      <c r="L735" s="26"/>
    </row>
    <row r="736" spans="1:12">
      <c r="A736" s="20" t="s">
        <v>849</v>
      </c>
      <c r="E736" s="21">
        <f>IF(D736="?OLD","!!!","")</f>
        <v/>
      </c>
      <c r="F736" s="22" t="str">
        <f>IF(OR(E736="",E736="!!!"),"",IF(NOT(ISNA(VLOOKUP(E736,E$1:E735,1,FALSE()))),"OLD",IF(AND(E736&lt;&gt;"",E736&lt;&gt;"!!!"),"NEW","")))</f>
        <v> </v>
      </c>
      <c r="G736" s="23" t="str">
        <f>IF(OR(E736="",E736="!!!"),"",IF(OR(J736=0,AND(J736=1,K736=1),AND(J736=1,I736="SBJ"),AND(J736=1,I736=0)),"?IN_FOCUS",IF(J736&lt;=2,"?ACTIVATED",IF(J736&lt;&gt;"","?FAMILIAR",IF(F736="NEW",IF(ISNA(VLOOKUP(E736,#REF!,1,FALSE())),"?TYPE_IDENTIFIABLE","?REFERENTIAL"),"_")))))</f>
        <v> </v>
      </c>
      <c r="H736" s="24" t="str">
        <f>IF(J736&lt;&gt;1,"",IF(I736="SBJ","CB","?"))</f>
        <v> </v>
      </c>
      <c r="I736" s="25" t="str">
        <f>IF(OR(E736="",E736="!!!",F736="NEW"),"",INDEX(B735:B$2,-1+SUMPRODUCT(MAX(ROW(E735:E$2)*(E736=E735:E$2)))))</f>
        <v> </v>
      </c>
      <c r="J736" s="25" t="str">
        <f>IF(OR(E736="",E736="!!!",F736="NEW"),"",COUNTBLANK(OFFSET(A$1,,,SUMPRODUCT(MAX(ROW(E$2:E736)*(E736=E$2:E736)))))-COUNTBLANK(OFFSET(A$1,,,SUMPRODUCT(MAX(ROW(E$1:E735)*(E2=E$1:E735))))))</f>
        <v> </v>
      </c>
      <c r="K736" s="25" t="str">
        <f>IF(OR(E736="",E736="!!!",F736="NEW"),"",INDEX(J$1:J735,SUMPRODUCT(MAX(ROW(E$1:E735)*(E736=E$1:E735)))))</f>
        <v> </v>
      </c>
      <c r="L736" s="26"/>
    </row>
    <row r="737" spans="1:12">
      <c r="A737" s="20" t="s">
        <v>481</v>
      </c>
      <c r="B737" s="27" t="s">
        <v>577</v>
      </c>
      <c r="E737" s="21">
        <f>IF(D737="?OLD","!!!","")</f>
        <v/>
      </c>
      <c r="F737" s="22" t="str">
        <f>IF(OR(E737="",E737="!!!"),"",IF(NOT(ISNA(VLOOKUP(E737,E$1:E736,1,FALSE()))),"OLD",IF(AND(E737&lt;&gt;"",E737&lt;&gt;"!!!"),"NEW","")))</f>
        <v> </v>
      </c>
      <c r="G737" s="23" t="str">
        <f>IF(OR(E737="",E737="!!!"),"",IF(OR(J737=0,AND(J737=1,K737=1),AND(J737=1,I737="SBJ"),AND(J737=1,I737=0)),"?IN_FOCUS",IF(J737&lt;=2,"?ACTIVATED",IF(J737&lt;&gt;"","?FAMILIAR",IF(F737="NEW",IF(ISNA(VLOOKUP(E737,#REF!,1,FALSE())),"?TYPE_IDENTIFIABLE","?REFERENTIAL"),"_")))))</f>
        <v> </v>
      </c>
      <c r="H737" s="24" t="str">
        <f>IF(J737&lt;&gt;1,"",IF(I737="SBJ","CB","?"))</f>
        <v> </v>
      </c>
      <c r="I737" s="25" t="str">
        <f>IF(OR(E737="",E737="!!!",F737="NEW"),"",INDEX(B736:B$2,-1+SUMPRODUCT(MAX(ROW(E736:E$2)*(E737=E736:E$2)))))</f>
        <v> </v>
      </c>
      <c r="J737" s="25" t="str">
        <f>IF(OR(E737="",E737="!!!",F737="NEW"),"",COUNTBLANK(OFFSET(A$1,,,SUMPRODUCT(MAX(ROW(E$2:E737)*(E737=E$2:E737)))))-COUNTBLANK(OFFSET(A$1,,,SUMPRODUCT(MAX(ROW(E$1:E736)*(E2=E$1:E736))))))</f>
        <v> </v>
      </c>
      <c r="K737" s="25" t="str">
        <f>IF(OR(E737="",E737="!!!",F737="NEW"),"",INDEX(J$1:J736,SUMPRODUCT(MAX(ROW(E$1:E736)*(E737=E$1:E736)))))</f>
        <v> </v>
      </c>
      <c r="L737" s="26"/>
    </row>
    <row r="738" spans="1:12">
      <c r="A738" s="20" t="s">
        <v>513</v>
      </c>
      <c r="E738" s="21">
        <f>IF(D738="?OLD","!!!","")</f>
        <v/>
      </c>
      <c r="F738" s="22" t="str">
        <f>IF(OR(E738="",E738="!!!"),"",IF(NOT(ISNA(VLOOKUP(E738,E$1:E737,1,FALSE()))),"OLD",IF(AND(E738&lt;&gt;"",E738&lt;&gt;"!!!"),"NEW","")))</f>
        <v> </v>
      </c>
      <c r="G738" s="23" t="str">
        <f>IF(OR(E738="",E738="!!!"),"",IF(OR(J738=0,AND(J738=1,K738=1),AND(J738=1,I738="SBJ"),AND(J738=1,I738=0)),"?IN_FOCUS",IF(J738&lt;=2,"?ACTIVATED",IF(J738&lt;&gt;"","?FAMILIAR",IF(F738="NEW",IF(ISNA(VLOOKUP(E738,#REF!,1,FALSE())),"?TYPE_IDENTIFIABLE","?REFERENTIAL"),"_")))))</f>
        <v> </v>
      </c>
      <c r="H738" s="24" t="str">
        <f>IF(J738&lt;&gt;1,"",IF(I738="SBJ","CB","?"))</f>
        <v> </v>
      </c>
      <c r="I738" s="25" t="str">
        <f>IF(OR(E738="",E738="!!!",F738="NEW"),"",INDEX(B737:B$2,-1+SUMPRODUCT(MAX(ROW(E737:E$2)*(E738=E737:E$2)))))</f>
        <v> </v>
      </c>
      <c r="J738" s="25" t="str">
        <f>IF(OR(E738="",E738="!!!",F738="NEW"),"",COUNTBLANK(OFFSET(A$1,,,SUMPRODUCT(MAX(ROW(E$2:E738)*(E738=E$2:E738)))))-COUNTBLANK(OFFSET(A$1,,,SUMPRODUCT(MAX(ROW(E$1:E737)*(E2=E$1:E737))))))</f>
        <v> </v>
      </c>
      <c r="K738" s="25" t="str">
        <f>IF(OR(E738="",E738="!!!",F738="NEW"),"",INDEX(J$1:J737,SUMPRODUCT(MAX(ROW(E$1:E737)*(E738=E$1:E737)))))</f>
        <v> </v>
      </c>
      <c r="L738" s="26"/>
    </row>
    <row r="739" spans="1:12">
      <c r="A739" s="20" t="s">
        <v>850</v>
      </c>
      <c r="E739" s="21">
        <f>IF(D739="?OLD","!!!","")</f>
        <v/>
      </c>
      <c r="F739" s="22" t="str">
        <f>IF(OR(E739="",E739="!!!"),"",IF(NOT(ISNA(VLOOKUP(E739,E$1:E738,1,FALSE()))),"OLD",IF(AND(E739&lt;&gt;"",E739&lt;&gt;"!!!"),"NEW","")))</f>
        <v> </v>
      </c>
      <c r="G739" s="23" t="str">
        <f>IF(OR(E739="",E739="!!!"),"",IF(OR(J739=0,AND(J739=1,K739=1),AND(J739=1,I739="SBJ"),AND(J739=1,I739=0)),"?IN_FOCUS",IF(J739&lt;=2,"?ACTIVATED",IF(J739&lt;&gt;"","?FAMILIAR",IF(F739="NEW",IF(ISNA(VLOOKUP(E739,#REF!,1,FALSE())),"?TYPE_IDENTIFIABLE","?REFERENTIAL"),"_")))))</f>
        <v> </v>
      </c>
      <c r="H739" s="24" t="str">
        <f>IF(J739&lt;&gt;1,"",IF(I739="SBJ","CB","?"))</f>
        <v> </v>
      </c>
      <c r="I739" s="25" t="str">
        <f>IF(OR(E739="",E739="!!!",F739="NEW"),"",INDEX(B738:B$2,-1+SUMPRODUCT(MAX(ROW(E738:E$2)*(E739=E738:E$2)))))</f>
        <v> </v>
      </c>
      <c r="J739" s="25" t="str">
        <f>IF(OR(E739="",E739="!!!",F739="NEW"),"",COUNTBLANK(OFFSET(A$1,,,SUMPRODUCT(MAX(ROW(E$2:E739)*(E739=E$2:E739)))))-COUNTBLANK(OFFSET(A$1,,,SUMPRODUCT(MAX(ROW(E$1:E738)*(E2=E$1:E738))))))</f>
        <v> </v>
      </c>
      <c r="K739" s="25" t="str">
        <f>IF(OR(E739="",E739="!!!",F739="NEW"),"",INDEX(J$1:J738,SUMPRODUCT(MAX(ROW(E$1:E738)*(E739=E$1:E738)))))</f>
        <v> </v>
      </c>
      <c r="L739" s="26"/>
    </row>
    <row r="740" spans="1:12">
      <c r="A740" s="20" t="s">
        <v>851</v>
      </c>
      <c r="E740" s="21">
        <f>IF(D740="?OLD","!!!","")</f>
        <v/>
      </c>
      <c r="F740" s="22" t="str">
        <f>IF(OR(E740="",E740="!!!"),"",IF(NOT(ISNA(VLOOKUP(E740,E$1:E739,1,FALSE()))),"OLD",IF(AND(E740&lt;&gt;"",E740&lt;&gt;"!!!"),"NEW","")))</f>
        <v> </v>
      </c>
      <c r="G740" s="23" t="str">
        <f>IF(OR(E740="",E740="!!!"),"",IF(OR(J740=0,AND(J740=1,K740=1),AND(J740=1,I740="SBJ"),AND(J740=1,I740=0)),"?IN_FOCUS",IF(J740&lt;=2,"?ACTIVATED",IF(J740&lt;&gt;"","?FAMILIAR",IF(F740="NEW",IF(ISNA(VLOOKUP(E740,#REF!,1,FALSE())),"?TYPE_IDENTIFIABLE","?REFERENTIAL"),"_")))))</f>
        <v> </v>
      </c>
      <c r="H740" s="24" t="str">
        <f>IF(J740&lt;&gt;1,"",IF(I740="SBJ","CB","?"))</f>
        <v> </v>
      </c>
      <c r="I740" s="25" t="str">
        <f>IF(OR(E740="",E740="!!!",F740="NEW"),"",INDEX(B739:B$2,-1+SUMPRODUCT(MAX(ROW(E739:E$2)*(E740=E739:E$2)))))</f>
        <v> </v>
      </c>
      <c r="J740" s="25" t="str">
        <f>IF(OR(E740="",E740="!!!",F740="NEW"),"",COUNTBLANK(OFFSET(A$1,,,SUMPRODUCT(MAX(ROW(E$2:E740)*(E740=E$2:E740)))))-COUNTBLANK(OFFSET(A$1,,,SUMPRODUCT(MAX(ROW(E$1:E739)*(E2=E$1:E739))))))</f>
        <v> </v>
      </c>
      <c r="K740" s="25" t="str">
        <f>IF(OR(E740="",E740="!!!",F740="NEW"),"",INDEX(J$1:J739,SUMPRODUCT(MAX(ROW(E$1:E739)*(E740=E$1:E739)))))</f>
        <v> </v>
      </c>
      <c r="L740" s="26"/>
    </row>
    <row r="741" spans="1:12">
      <c r="A741" s="20" t="s">
        <v>520</v>
      </c>
      <c r="E741" s="21">
        <f>IF(D741="?OLD","!!!","")</f>
        <v/>
      </c>
      <c r="F741" s="22" t="str">
        <f>IF(OR(E741="",E741="!!!"),"",IF(NOT(ISNA(VLOOKUP(E741,E$1:E740,1,FALSE()))),"OLD",IF(AND(E741&lt;&gt;"",E741&lt;&gt;"!!!"),"NEW","")))</f>
        <v> </v>
      </c>
      <c r="G741" s="23" t="str">
        <f>IF(OR(E741="",E741="!!!"),"",IF(OR(J741=0,AND(J741=1,K741=1),AND(J741=1,I741="SBJ"),AND(J741=1,I741=0)),"?IN_FOCUS",IF(J741&lt;=2,"?ACTIVATED",IF(J741&lt;&gt;"","?FAMILIAR",IF(F741="NEW",IF(ISNA(VLOOKUP(E741,#REF!,1,FALSE())),"?TYPE_IDENTIFIABLE","?REFERENTIAL"),"_")))))</f>
        <v> </v>
      </c>
      <c r="H741" s="24" t="str">
        <f>IF(J741&lt;&gt;1,"",IF(I741="SBJ","CB","?"))</f>
        <v> </v>
      </c>
      <c r="I741" s="25" t="str">
        <f>IF(OR(E741="",E741="!!!",F741="NEW"),"",INDEX(B740:B$2,-1+SUMPRODUCT(MAX(ROW(E740:E$2)*(E741=E740:E$2)))))</f>
        <v> </v>
      </c>
      <c r="J741" s="25" t="str">
        <f>IF(OR(E741="",E741="!!!",F741="NEW"),"",COUNTBLANK(OFFSET(A$1,,,SUMPRODUCT(MAX(ROW(E$2:E741)*(E741=E$2:E741)))))-COUNTBLANK(OFFSET(A$1,,,SUMPRODUCT(MAX(ROW(E$1:E740)*(E2=E$1:E740))))))</f>
        <v> </v>
      </c>
      <c r="K741" s="25" t="str">
        <f>IF(OR(E741="",E741="!!!",F741="NEW"),"",INDEX(J$1:J740,SUMPRODUCT(MAX(ROW(E$1:E740)*(E741=E$1:E740)))))</f>
        <v> </v>
      </c>
      <c r="L741" s="26"/>
    </row>
    <row r="742" spans="1:12">
      <c r="A742" s="20" t="s">
        <v>482</v>
      </c>
      <c r="E742" s="21">
        <f>IF(D742="?OLD","!!!","")</f>
        <v/>
      </c>
      <c r="F742" s="22" t="str">
        <f>IF(OR(E742="",E742="!!!"),"",IF(NOT(ISNA(VLOOKUP(E742,E$1:E741,1,FALSE()))),"OLD",IF(AND(E742&lt;&gt;"",E742&lt;&gt;"!!!"),"NEW","")))</f>
        <v> </v>
      </c>
      <c r="G742" s="23" t="str">
        <f>IF(OR(E742="",E742="!!!"),"",IF(OR(J742=0,AND(J742=1,K742=1),AND(J742=1,I742="SBJ"),AND(J742=1,I742=0)),"?IN_FOCUS",IF(J742&lt;=2,"?ACTIVATED",IF(J742&lt;&gt;"","?FAMILIAR",IF(F742="NEW",IF(ISNA(VLOOKUP(E742,#REF!,1,FALSE())),"?TYPE_IDENTIFIABLE","?REFERENTIAL"),"_")))))</f>
        <v> </v>
      </c>
      <c r="H742" s="24" t="str">
        <f>IF(J742&lt;&gt;1,"",IF(I742="SBJ","CB","?"))</f>
        <v> </v>
      </c>
      <c r="I742" s="25" t="str">
        <f>IF(OR(E742="",E742="!!!",F742="NEW"),"",INDEX(B741:B$2,-1+SUMPRODUCT(MAX(ROW(E741:E$2)*(E742=E741:E$2)))))</f>
        <v> </v>
      </c>
      <c r="J742" s="25" t="str">
        <f>IF(OR(E742="",E742="!!!",F742="NEW"),"",COUNTBLANK(OFFSET(A$1,,,SUMPRODUCT(MAX(ROW(E$2:E742)*(E742=E$2:E742)))))-COUNTBLANK(OFFSET(A$1,,,SUMPRODUCT(MAX(ROW(E$1:E741)*(E2=E$1:E741))))))</f>
        <v> </v>
      </c>
      <c r="K742" s="25" t="str">
        <f>IF(OR(E742="",E742="!!!",F742="NEW"),"",INDEX(J$1:J741,SUMPRODUCT(MAX(ROW(E$1:E741)*(E742=E$1:E741)))))</f>
        <v> </v>
      </c>
      <c r="L742" s="26"/>
    </row>
    <row r="743" spans="1:12">
      <c r="A743" s="20" t="s">
        <v>852</v>
      </c>
      <c r="E743" s="21">
        <f>IF(D743="?OLD","!!!","")</f>
        <v/>
      </c>
      <c r="F743" s="22" t="str">
        <f>IF(OR(E743="",E743="!!!"),"",IF(NOT(ISNA(VLOOKUP(E743,E$1:E742,1,FALSE()))),"OLD",IF(AND(E743&lt;&gt;"",E743&lt;&gt;"!!!"),"NEW","")))</f>
        <v> </v>
      </c>
      <c r="G743" s="23" t="str">
        <f>IF(OR(E743="",E743="!!!"),"",IF(OR(J743=0,AND(J743=1,K743=1),AND(J743=1,I743="SBJ"),AND(J743=1,I743=0)),"?IN_FOCUS",IF(J743&lt;=2,"?ACTIVATED",IF(J743&lt;&gt;"","?FAMILIAR",IF(F743="NEW",IF(ISNA(VLOOKUP(E743,#REF!,1,FALSE())),"?TYPE_IDENTIFIABLE","?REFERENTIAL"),"_")))))</f>
        <v> </v>
      </c>
      <c r="H743" s="24" t="str">
        <f>IF(J743&lt;&gt;1,"",IF(I743="SBJ","CB","?"))</f>
        <v> </v>
      </c>
      <c r="I743" s="25" t="str">
        <f>IF(OR(E743="",E743="!!!",F743="NEW"),"",INDEX(B742:B$2,-1+SUMPRODUCT(MAX(ROW(E742:E$2)*(E743=E742:E$2)))))</f>
        <v> </v>
      </c>
      <c r="J743" s="25" t="str">
        <f>IF(OR(E743="",E743="!!!",F743="NEW"),"",COUNTBLANK(OFFSET(A$1,,,SUMPRODUCT(MAX(ROW(E$2:E743)*(E743=E$2:E743)))))-COUNTBLANK(OFFSET(A$1,,,SUMPRODUCT(MAX(ROW(E$1:E742)*(E2=E$1:E742))))))</f>
        <v> </v>
      </c>
      <c r="K743" s="25" t="str">
        <f>IF(OR(E743="",E743="!!!",F743="NEW"),"",INDEX(J$1:J742,SUMPRODUCT(MAX(ROW(E$1:E742)*(E743=E$1:E742)))))</f>
        <v> </v>
      </c>
      <c r="L743" s="26"/>
    </row>
    <row r="744" spans="1:12">
      <c r="A744" s="20" t="s">
        <v>853</v>
      </c>
      <c r="E744" s="21">
        <f>IF(D744="?OLD","!!!","")</f>
        <v/>
      </c>
      <c r="F744" s="22" t="str">
        <f>IF(OR(E744="",E744="!!!"),"",IF(NOT(ISNA(VLOOKUP(E744,E$1:E743,1,FALSE()))),"OLD",IF(AND(E744&lt;&gt;"",E744&lt;&gt;"!!!"),"NEW","")))</f>
        <v> </v>
      </c>
      <c r="G744" s="23" t="str">
        <f>IF(OR(E744="",E744="!!!"),"",IF(OR(J744=0,AND(J744=1,K744=1),AND(J744=1,I744="SBJ"),AND(J744=1,I744=0)),"?IN_FOCUS",IF(J744&lt;=2,"?ACTIVATED",IF(J744&lt;&gt;"","?FAMILIAR",IF(F744="NEW",IF(ISNA(VLOOKUP(E744,#REF!,1,FALSE())),"?TYPE_IDENTIFIABLE","?REFERENTIAL"),"_")))))</f>
        <v> </v>
      </c>
      <c r="H744" s="24" t="str">
        <f>IF(J744&lt;&gt;1,"",IF(I744="SBJ","CB","?"))</f>
        <v> </v>
      </c>
      <c r="I744" s="25" t="str">
        <f>IF(OR(E744="",E744="!!!",F744="NEW"),"",INDEX(B743:B$2,-1+SUMPRODUCT(MAX(ROW(E743:E$2)*(E744=E743:E$2)))))</f>
        <v> </v>
      </c>
      <c r="J744" s="25" t="str">
        <f>IF(OR(E744="",E744="!!!",F744="NEW"),"",COUNTBLANK(OFFSET(A$1,,,SUMPRODUCT(MAX(ROW(E$2:E744)*(E744=E$2:E744)))))-COUNTBLANK(OFFSET(A$1,,,SUMPRODUCT(MAX(ROW(E$1:E743)*(E2=E$1:E743))))))</f>
        <v> </v>
      </c>
      <c r="K744" s="25" t="str">
        <f>IF(OR(E744="",E744="!!!",F744="NEW"),"",INDEX(J$1:J743,SUMPRODUCT(MAX(ROW(E$1:E743)*(E744=E$1:E743)))))</f>
        <v> </v>
      </c>
      <c r="L744" s="26"/>
    </row>
    <row r="745" spans="1:12">
      <c r="A745" s="20" t="s">
        <v>482</v>
      </c>
      <c r="E745" s="21">
        <f>IF(D745="?OLD","!!!","")</f>
        <v/>
      </c>
      <c r="F745" s="22" t="str">
        <f>IF(OR(E745="",E745="!!!"),"",IF(NOT(ISNA(VLOOKUP(E745,E$1:E744,1,FALSE()))),"OLD",IF(AND(E745&lt;&gt;"",E745&lt;&gt;"!!!"),"NEW","")))</f>
        <v> </v>
      </c>
      <c r="G745" s="23" t="str">
        <f>IF(OR(E745="",E745="!!!"),"",IF(OR(J745=0,AND(J745=1,K745=1),AND(J745=1,I745="SBJ"),AND(J745=1,I745=0)),"?IN_FOCUS",IF(J745&lt;=2,"?ACTIVATED",IF(J745&lt;&gt;"","?FAMILIAR",IF(F745="NEW",IF(ISNA(VLOOKUP(E745,#REF!,1,FALSE())),"?TYPE_IDENTIFIABLE","?REFERENTIAL"),"_")))))</f>
        <v> </v>
      </c>
      <c r="H745" s="24" t="str">
        <f>IF(J745&lt;&gt;1,"",IF(I745="SBJ","CB","?"))</f>
        <v> </v>
      </c>
      <c r="I745" s="25" t="str">
        <f>IF(OR(E745="",E745="!!!",F745="NEW"),"",INDEX(B744:B$2,-1+SUMPRODUCT(MAX(ROW(E744:E$2)*(E745=E744:E$2)))))</f>
        <v> </v>
      </c>
      <c r="J745" s="25" t="str">
        <f>IF(OR(E745="",E745="!!!",F745="NEW"),"",COUNTBLANK(OFFSET(A$1,,,SUMPRODUCT(MAX(ROW(E$2:E745)*(E745=E$2:E745)))))-COUNTBLANK(OFFSET(A$1,,,SUMPRODUCT(MAX(ROW(E$1:E744)*(E2=E$1:E744))))))</f>
        <v> </v>
      </c>
      <c r="K745" s="25" t="str">
        <f>IF(OR(E745="",E745="!!!",F745="NEW"),"",INDEX(J$1:J744,SUMPRODUCT(MAX(ROW(E$1:E744)*(E745=E$1:E744)))))</f>
        <v> </v>
      </c>
      <c r="L745" s="26"/>
    </row>
    <row r="746" spans="1:12">
      <c r="A746" s="20" t="s">
        <v>79</v>
      </c>
      <c r="E746" s="21">
        <f>IF(D746="?OLD","!!!","")</f>
        <v/>
      </c>
      <c r="F746" s="22" t="str">
        <f>IF(OR(E746="",E746="!!!"),"",IF(NOT(ISNA(VLOOKUP(E746,E$1:E745,1,FALSE()))),"OLD",IF(AND(E746&lt;&gt;"",E746&lt;&gt;"!!!"),"NEW","")))</f>
        <v> </v>
      </c>
      <c r="G746" s="23" t="str">
        <f>IF(OR(E746="",E746="!!!"),"",IF(OR(J746=0,AND(J746=1,K746=1),AND(J746=1,I746="SBJ"),AND(J746=1,I746=0)),"?IN_FOCUS",IF(J746&lt;=2,"?ACTIVATED",IF(J746&lt;&gt;"","?FAMILIAR",IF(F746="NEW",IF(ISNA(VLOOKUP(E746,#REF!,1,FALSE())),"?TYPE_IDENTIFIABLE","?REFERENTIAL"),"_")))))</f>
        <v> </v>
      </c>
      <c r="H746" s="24" t="str">
        <f>IF(J746&lt;&gt;1,"",IF(I746="SBJ","CB","?"))</f>
        <v> </v>
      </c>
      <c r="I746" s="25" t="str">
        <f>IF(OR(E746="",E746="!!!",F746="NEW"),"",INDEX(B745:B$2,-1+SUMPRODUCT(MAX(ROW(E745:E$2)*(E746=E745:E$2)))))</f>
        <v> </v>
      </c>
      <c r="J746" s="25" t="str">
        <f>IF(OR(E746="",E746="!!!",F746="NEW"),"",COUNTBLANK(OFFSET(A$1,,,SUMPRODUCT(MAX(ROW(E$2:E746)*(E746=E$2:E746)))))-COUNTBLANK(OFFSET(A$1,,,SUMPRODUCT(MAX(ROW(E$1:E745)*(E2=E$1:E745))))))</f>
        <v> </v>
      </c>
      <c r="K746" s="25" t="str">
        <f>IF(OR(E746="",E746="!!!",F746="NEW"),"",INDEX(J$1:J745,SUMPRODUCT(MAX(ROW(E$1:E745)*(E746=E$1:E745)))))</f>
        <v> </v>
      </c>
      <c r="L746" s="26"/>
    </row>
    <row r="747" spans="1:12">
      <c r="A747" s="20" t="s">
        <v>854</v>
      </c>
      <c r="E747" s="21">
        <f>IF(D747="?OLD","!!!","")</f>
        <v/>
      </c>
      <c r="F747" s="22" t="str">
        <f>IF(OR(E747="",E747="!!!"),"",IF(NOT(ISNA(VLOOKUP(E747,E$1:E746,1,FALSE()))),"OLD",IF(AND(E747&lt;&gt;"",E747&lt;&gt;"!!!"),"NEW","")))</f>
        <v> </v>
      </c>
      <c r="G747" s="23" t="str">
        <f>IF(OR(E747="",E747="!!!"),"",IF(OR(J747=0,AND(J747=1,K747=1),AND(J747=1,I747="SBJ"),AND(J747=1,I747=0)),"?IN_FOCUS",IF(J747&lt;=2,"?ACTIVATED",IF(J747&lt;&gt;"","?FAMILIAR",IF(F747="NEW",IF(ISNA(VLOOKUP(E747,#REF!,1,FALSE())),"?TYPE_IDENTIFIABLE","?REFERENTIAL"),"_")))))</f>
        <v> </v>
      </c>
      <c r="H747" s="24" t="str">
        <f>IF(J747&lt;&gt;1,"",IF(I747="SBJ","CB","?"))</f>
        <v> </v>
      </c>
      <c r="I747" s="25" t="str">
        <f>IF(OR(E747="",E747="!!!",F747="NEW"),"",INDEX(B746:B$2,-1+SUMPRODUCT(MAX(ROW(E746:E$2)*(E747=E746:E$2)))))</f>
        <v> </v>
      </c>
      <c r="J747" s="25" t="str">
        <f>IF(OR(E747="",E747="!!!",F747="NEW"),"",COUNTBLANK(OFFSET(A$1,,,SUMPRODUCT(MAX(ROW(E$2:E747)*(E747=E$2:E747)))))-COUNTBLANK(OFFSET(A$1,,,SUMPRODUCT(MAX(ROW(E$1:E746)*(E2=E$1:E746))))))</f>
        <v> </v>
      </c>
      <c r="K747" s="25" t="str">
        <f>IF(OR(E747="",E747="!!!",F747="NEW"),"",INDEX(J$1:J746,SUMPRODUCT(MAX(ROW(E$1:E746)*(E747=E$1:E746)))))</f>
        <v> </v>
      </c>
      <c r="L747" s="26"/>
    </row>
    <row r="748" spans="1:12">
      <c r="A748" s="20" t="s">
        <v>855</v>
      </c>
      <c r="E748" s="21">
        <f>IF(D748="?OLD","!!!","")</f>
        <v/>
      </c>
      <c r="F748" s="22" t="str">
        <f>IF(OR(E748="",E748="!!!"),"",IF(NOT(ISNA(VLOOKUP(E748,E$1:E747,1,FALSE()))),"OLD",IF(AND(E748&lt;&gt;"",E748&lt;&gt;"!!!"),"NEW","")))</f>
        <v> </v>
      </c>
      <c r="G748" s="23" t="str">
        <f>IF(OR(E748="",E748="!!!"),"",IF(OR(J748=0,AND(J748=1,K748=1),AND(J748=1,I748="SBJ"),AND(J748=1,I748=0)),"?IN_FOCUS",IF(J748&lt;=2,"?ACTIVATED",IF(J748&lt;&gt;"","?FAMILIAR",IF(F748="NEW",IF(ISNA(VLOOKUP(E748,#REF!,1,FALSE())),"?TYPE_IDENTIFIABLE","?REFERENTIAL"),"_")))))</f>
        <v> </v>
      </c>
      <c r="H748" s="24" t="str">
        <f>IF(J748&lt;&gt;1,"",IF(I748="SBJ","CB","?"))</f>
        <v> </v>
      </c>
      <c r="I748" s="25" t="str">
        <f>IF(OR(E748="",E748="!!!",F748="NEW"),"",INDEX(B747:B$2,-1+SUMPRODUCT(MAX(ROW(E747:E$2)*(E748=E747:E$2)))))</f>
        <v> </v>
      </c>
      <c r="J748" s="25" t="str">
        <f>IF(OR(E748="",E748="!!!",F748="NEW"),"",COUNTBLANK(OFFSET(A$1,,,SUMPRODUCT(MAX(ROW(E$2:E748)*(E748=E$2:E748)))))-COUNTBLANK(OFFSET(A$1,,,SUMPRODUCT(MAX(ROW(E$1:E747)*(E2=E$1:E747))))))</f>
        <v> </v>
      </c>
      <c r="K748" s="25" t="str">
        <f>IF(OR(E748="",E748="!!!",F748="NEW"),"",INDEX(J$1:J747,SUMPRODUCT(MAX(ROW(E$1:E747)*(E748=E$1:E747)))))</f>
        <v> </v>
      </c>
      <c r="L748" s="26"/>
    </row>
    <row r="749" spans="1:12">
      <c r="A749" s="20" t="s">
        <v>856</v>
      </c>
      <c r="B749" s="27" t="s">
        <v>476</v>
      </c>
      <c r="C749" s="27" t="s">
        <v>690</v>
      </c>
      <c r="D749" s="27" t="s">
        <v>478</v>
      </c>
      <c r="E749" s="21">
        <f>IF(D749="?OLD","!!!","")</f>
        <v/>
      </c>
      <c r="F749" s="22" t="str">
        <f>IF(OR(E749="",E749="!!!"),"",IF(NOT(ISNA(VLOOKUP(E749,E$1:E748,1,FALSE()))),"OLD",IF(AND(E749&lt;&gt;"",E749&lt;&gt;"!!!"),"NEW","")))</f>
        <v> </v>
      </c>
      <c r="G749" s="23" t="str">
        <f>IF(OR(E749="",E749="!!!"),"",IF(OR(J749=0,AND(J749=1,K749=1),AND(J749=1,I749="SBJ"),AND(J749=1,I749=0)),"?IN_FOCUS",IF(J749&lt;=2,"?ACTIVATED",IF(J749&lt;&gt;"","?FAMILIAR",IF(F749="NEW",IF(ISNA(VLOOKUP(E749,#REF!,1,FALSE())),"?TYPE_IDENTIFIABLE","?REFERENTIAL"),"_")))))</f>
        <v> </v>
      </c>
      <c r="H749" s="24" t="str">
        <f>IF(J749&lt;&gt;1,"",IF(I749="SBJ","CB","?"))</f>
        <v> </v>
      </c>
      <c r="I749" s="25" t="str">
        <f>IF(OR(E749="",E749="!!!",F749="NEW"),"",INDEX(B748:B$2,-1+SUMPRODUCT(MAX(ROW(E748:E$2)*(E749=E748:E$2)))))</f>
        <v> </v>
      </c>
      <c r="J749" s="25" t="str">
        <f>IF(OR(E749="",E749="!!!",F749="NEW"),"",COUNTBLANK(OFFSET(A$1,,,SUMPRODUCT(MAX(ROW(E$2:E749)*(E749=E$2:E749)))))-COUNTBLANK(OFFSET(A$1,,,SUMPRODUCT(MAX(ROW(E$1:E748)*(E2=E$1:E748))))))</f>
        <v> </v>
      </c>
      <c r="K749" s="25" t="str">
        <f>IF(OR(E749="",E749="!!!",F749="NEW"),"",INDEX(J$1:J748,SUMPRODUCT(MAX(ROW(E$1:E748)*(E749=E$1:E748)))))</f>
        <v> </v>
      </c>
      <c r="L749" s="26"/>
    </row>
    <row r="750" spans="1:12">
      <c r="A750" s="20" t="s">
        <v>857</v>
      </c>
      <c r="E750" s="21">
        <f>IF(D750="?OLD","!!!","")</f>
        <v/>
      </c>
      <c r="F750" s="22" t="str">
        <f>IF(OR(E750="",E750="!!!"),"",IF(NOT(ISNA(VLOOKUP(E750,E$1:E749,1,FALSE()))),"OLD",IF(AND(E750&lt;&gt;"",E750&lt;&gt;"!!!"),"NEW","")))</f>
        <v> </v>
      </c>
      <c r="G750" s="23" t="str">
        <f>IF(OR(E750="",E750="!!!"),"",IF(OR(J750=0,AND(J750=1,K750=1),AND(J750=1,I750="SBJ"),AND(J750=1,I750=0)),"?IN_FOCUS",IF(J750&lt;=2,"?ACTIVATED",IF(J750&lt;&gt;"","?FAMILIAR",IF(F750="NEW",IF(ISNA(VLOOKUP(E750,#REF!,1,FALSE())),"?TYPE_IDENTIFIABLE","?REFERENTIAL"),"_")))))</f>
        <v> </v>
      </c>
      <c r="H750" s="24" t="str">
        <f>IF(J750&lt;&gt;1,"",IF(I750="SBJ","CB","?"))</f>
        <v> </v>
      </c>
      <c r="I750" s="25" t="str">
        <f>IF(OR(E750="",E750="!!!",F750="NEW"),"",INDEX(B749:B$2,-1+SUMPRODUCT(MAX(ROW(E749:E$2)*(E750=E749:E$2)))))</f>
        <v> </v>
      </c>
      <c r="J750" s="25" t="str">
        <f>IF(OR(E750="",E750="!!!",F750="NEW"),"",COUNTBLANK(OFFSET(A$1,,,SUMPRODUCT(MAX(ROW(E$2:E750)*(E750=E$2:E750)))))-COUNTBLANK(OFFSET(A$1,,,SUMPRODUCT(MAX(ROW(E$1:E749)*(E2=E$1:E749))))))</f>
        <v> </v>
      </c>
      <c r="K750" s="25" t="str">
        <f>IF(OR(E750="",E750="!!!",F750="NEW"),"",INDEX(J$1:J749,SUMPRODUCT(MAX(ROW(E$1:E749)*(E750=E$1:E749)))))</f>
        <v> </v>
      </c>
      <c r="L750" s="26"/>
    </row>
    <row r="751" spans="1:12">
      <c r="A751" s="20" t="s">
        <v>858</v>
      </c>
      <c r="E751" s="21">
        <f>IF(D751="?OLD","!!!","")</f>
        <v/>
      </c>
      <c r="F751" s="22" t="str">
        <f>IF(OR(E751="",E751="!!!"),"",IF(NOT(ISNA(VLOOKUP(E751,E$1:E750,1,FALSE()))),"OLD",IF(AND(E751&lt;&gt;"",E751&lt;&gt;"!!!"),"NEW","")))</f>
        <v> </v>
      </c>
      <c r="G751" s="23" t="str">
        <f>IF(OR(E751="",E751="!!!"),"",IF(OR(J751=0,AND(J751=1,K751=1),AND(J751=1,I751="SBJ"),AND(J751=1,I751=0)),"?IN_FOCUS",IF(J751&lt;=2,"?ACTIVATED",IF(J751&lt;&gt;"","?FAMILIAR",IF(F751="NEW",IF(ISNA(VLOOKUP(E751,#REF!,1,FALSE())),"?TYPE_IDENTIFIABLE","?REFERENTIAL"),"_")))))</f>
        <v> </v>
      </c>
      <c r="H751" s="24" t="str">
        <f>IF(J751&lt;&gt;1,"",IF(I751="SBJ","CB","?"))</f>
        <v> </v>
      </c>
      <c r="I751" s="25" t="str">
        <f>IF(OR(E751="",E751="!!!",F751="NEW"),"",INDEX(B750:B$2,-1+SUMPRODUCT(MAX(ROW(E750:E$2)*(E751=E750:E$2)))))</f>
        <v> </v>
      </c>
      <c r="J751" s="25" t="str">
        <f>IF(OR(E751="",E751="!!!",F751="NEW"),"",COUNTBLANK(OFFSET(A$1,,,SUMPRODUCT(MAX(ROW(E$2:E751)*(E751=E$2:E751)))))-COUNTBLANK(OFFSET(A$1,,,SUMPRODUCT(MAX(ROW(E$1:E750)*(E2=E$1:E750))))))</f>
        <v> </v>
      </c>
      <c r="K751" s="25" t="str">
        <f>IF(OR(E751="",E751="!!!",F751="NEW"),"",INDEX(J$1:J750,SUMPRODUCT(MAX(ROW(E$1:E750)*(E751=E$1:E750)))))</f>
        <v> </v>
      </c>
      <c r="L751" s="26"/>
    </row>
    <row r="752" spans="1:12">
      <c r="A752" s="20" t="s">
        <v>859</v>
      </c>
      <c r="E752" s="21">
        <f>IF(D752="?OLD","!!!","")</f>
        <v/>
      </c>
      <c r="F752" s="22" t="str">
        <f>IF(OR(E752="",E752="!!!"),"",IF(NOT(ISNA(VLOOKUP(E752,E$1:E751,1,FALSE()))),"OLD",IF(AND(E752&lt;&gt;"",E752&lt;&gt;"!!!"),"NEW","")))</f>
        <v> </v>
      </c>
      <c r="G752" s="23" t="str">
        <f>IF(OR(E752="",E752="!!!"),"",IF(OR(J752=0,AND(J752=1,K752=1),AND(J752=1,I752="SBJ"),AND(J752=1,I752=0)),"?IN_FOCUS",IF(J752&lt;=2,"?ACTIVATED",IF(J752&lt;&gt;"","?FAMILIAR",IF(F752="NEW",IF(ISNA(VLOOKUP(E752,#REF!,1,FALSE())),"?TYPE_IDENTIFIABLE","?REFERENTIAL"),"_")))))</f>
        <v> </v>
      </c>
      <c r="H752" s="24" t="str">
        <f>IF(J752&lt;&gt;1,"",IF(I752="SBJ","CB","?"))</f>
        <v> </v>
      </c>
      <c r="I752" s="25" t="str">
        <f>IF(OR(E752="",E752="!!!",F752="NEW"),"",INDEX(B751:B$2,-1+SUMPRODUCT(MAX(ROW(E751:E$2)*(E752=E751:E$2)))))</f>
        <v> </v>
      </c>
      <c r="J752" s="25" t="str">
        <f>IF(OR(E752="",E752="!!!",F752="NEW"),"",COUNTBLANK(OFFSET(A$1,,,SUMPRODUCT(MAX(ROW(E$2:E752)*(E752=E$2:E752)))))-COUNTBLANK(OFFSET(A$1,,,SUMPRODUCT(MAX(ROW(E$1:E751)*(E2=E$1:E751))))))</f>
        <v> </v>
      </c>
      <c r="K752" s="25" t="str">
        <f>IF(OR(E752="",E752="!!!",F752="NEW"),"",INDEX(J$1:J751,SUMPRODUCT(MAX(ROW(E$1:E751)*(E752=E$1:E751)))))</f>
        <v> </v>
      </c>
      <c r="L752" s="26"/>
    </row>
    <row r="753" spans="1:12">
      <c r="A753" s="20" t="s">
        <v>528</v>
      </c>
      <c r="B753" s="27" t="s">
        <v>577</v>
      </c>
      <c r="E753" s="21">
        <f>IF(D753="?OLD","!!!","")</f>
        <v/>
      </c>
      <c r="F753" s="22" t="str">
        <f>IF(OR(E753="",E753="!!!"),"",IF(NOT(ISNA(VLOOKUP(E753,E$1:E752,1,FALSE()))),"OLD",IF(AND(E753&lt;&gt;"",E753&lt;&gt;"!!!"),"NEW","")))</f>
        <v> </v>
      </c>
      <c r="G753" s="23" t="str">
        <f>IF(OR(E753="",E753="!!!"),"",IF(OR(J753=0,AND(J753=1,K753=1),AND(J753=1,I753="SBJ"),AND(J753=1,I753=0)),"?IN_FOCUS",IF(J753&lt;=2,"?ACTIVATED",IF(J753&lt;&gt;"","?FAMILIAR",IF(F753="NEW",IF(ISNA(VLOOKUP(E753,#REF!,1,FALSE())),"?TYPE_IDENTIFIABLE","?REFERENTIAL"),"_")))))</f>
        <v> </v>
      </c>
      <c r="H753" s="24" t="str">
        <f>IF(J753&lt;&gt;1,"",IF(I753="SBJ","CB","?"))</f>
        <v> </v>
      </c>
      <c r="I753" s="25" t="str">
        <f>IF(OR(E753="",E753="!!!",F753="NEW"),"",INDEX(B752:B$2,-1+SUMPRODUCT(MAX(ROW(E752:E$2)*(E753=E752:E$2)))))</f>
        <v> </v>
      </c>
      <c r="J753" s="25" t="str">
        <f>IF(OR(E753="",E753="!!!",F753="NEW"),"",COUNTBLANK(OFFSET(A$1,,,SUMPRODUCT(MAX(ROW(E$2:E753)*(E753=E$2:E753)))))-COUNTBLANK(OFFSET(A$1,,,SUMPRODUCT(MAX(ROW(E$1:E752)*(E2=E$1:E752))))))</f>
        <v> </v>
      </c>
      <c r="K753" s="25" t="str">
        <f>IF(OR(E753="",E753="!!!",F753="NEW"),"",INDEX(J$1:J752,SUMPRODUCT(MAX(ROW(E$1:E752)*(E753=E$1:E752)))))</f>
        <v> </v>
      </c>
      <c r="L753" s="26"/>
    </row>
    <row r="754" spans="1:12">
      <c r="A754" s="20" t="s">
        <v>253</v>
      </c>
      <c r="E754" s="21">
        <f>IF(D754="?OLD","!!!","")</f>
        <v/>
      </c>
      <c r="F754" s="22" t="str">
        <f>IF(OR(E754="",E754="!!!"),"",IF(NOT(ISNA(VLOOKUP(E754,E$1:E753,1,FALSE()))),"OLD",IF(AND(E754&lt;&gt;"",E754&lt;&gt;"!!!"),"NEW","")))</f>
        <v> </v>
      </c>
      <c r="G754" s="23" t="str">
        <f>IF(OR(E754="",E754="!!!"),"",IF(OR(J754=0,AND(J754=1,K754=1),AND(J754=1,I754="SBJ"),AND(J754=1,I754=0)),"?IN_FOCUS",IF(J754&lt;=2,"?ACTIVATED",IF(J754&lt;&gt;"","?FAMILIAR",IF(F754="NEW",IF(ISNA(VLOOKUP(E754,#REF!,1,FALSE())),"?TYPE_IDENTIFIABLE","?REFERENTIAL"),"_")))))</f>
        <v> </v>
      </c>
      <c r="H754" s="24" t="str">
        <f>IF(J754&lt;&gt;1,"",IF(I754="SBJ","CB","?"))</f>
        <v> </v>
      </c>
      <c r="I754" s="25" t="str">
        <f>IF(OR(E754="",E754="!!!",F754="NEW"),"",INDEX(B753:B$2,-1+SUMPRODUCT(MAX(ROW(E753:E$2)*(E754=E753:E$2)))))</f>
        <v> </v>
      </c>
      <c r="J754" s="25" t="str">
        <f>IF(OR(E754="",E754="!!!",F754="NEW"),"",COUNTBLANK(OFFSET(A$1,,,SUMPRODUCT(MAX(ROW(E$2:E754)*(E754=E$2:E754)))))-COUNTBLANK(OFFSET(A$1,,,SUMPRODUCT(MAX(ROW(E$1:E753)*(E2=E$1:E753))))))</f>
        <v> </v>
      </c>
      <c r="K754" s="25" t="str">
        <f>IF(OR(E754="",E754="!!!",F754="NEW"),"",INDEX(J$1:J753,SUMPRODUCT(MAX(ROW(E$1:E753)*(E754=E$1:E753)))))</f>
        <v> </v>
      </c>
      <c r="L754" s="26"/>
    </row>
    <row r="755" spans="1:12">
      <c r="A755" s="20"/>
    </row>
    <row r="756" spans="1:12">
      <c r="A756" s="20" t="s">
        <v>860</v>
      </c>
    </row>
    <row r="757" spans="1:12">
      <c r="A757" s="20" t="s">
        <v>792</v>
      </c>
      <c r="E757" s="21">
        <f>IF(D757="?OLD","!!!","")</f>
        <v/>
      </c>
      <c r="F757" s="22" t="str">
        <f>IF(OR(E757="",E757="!!!"),"",IF(NOT(ISNA(VLOOKUP(E757,E$1:E756,1,FALSE()))),"OLD",IF(AND(E757&lt;&gt;"",E757&lt;&gt;"!!!"),"NEW","")))</f>
        <v> </v>
      </c>
      <c r="G757" s="23" t="str">
        <f>IF(OR(E757="",E757="!!!"),"",IF(OR(J757=0,AND(J757=1,K757=1),AND(J757=1,I757="SBJ"),AND(J757=1,I757=0)),"?IN_FOCUS",IF(J757&lt;=2,"?ACTIVATED",IF(J757&lt;&gt;"","?FAMILIAR",IF(F757="NEW",IF(ISNA(VLOOKUP(E757,#REF!,1,FALSE())),"?TYPE_IDENTIFIABLE","?REFERENTIAL"),"_")))))</f>
        <v> </v>
      </c>
      <c r="H757" s="24" t="str">
        <f>IF(J757&lt;&gt;1,"",IF(I757="SBJ","CB","?"))</f>
        <v> </v>
      </c>
      <c r="I757" s="25" t="str">
        <f>IF(OR(E757="",E757="!!!",F757="NEW"),"",INDEX(B756:B$2,-1+SUMPRODUCT(MAX(ROW(E756:E$2)*(E757=E756:E$2)))))</f>
        <v> </v>
      </c>
      <c r="J757" s="25" t="str">
        <f>IF(OR(E757="",E757="!!!",F757="NEW"),"",COUNTBLANK(OFFSET(A$1,,,SUMPRODUCT(MAX(ROW(E$2:E757)*(E757=E$2:E757)))))-COUNTBLANK(OFFSET(A$1,,,SUMPRODUCT(MAX(ROW(E$1:E756)*(E2=E$1:E756))))))</f>
        <v> </v>
      </c>
      <c r="K757" s="25" t="str">
        <f>IF(OR(E757="",E757="!!!",F757="NEW"),"",INDEX(J$1:J756,SUMPRODUCT(MAX(ROW(E$1:E756)*(E757=E$1:E756)))))</f>
        <v> </v>
      </c>
      <c r="L757" s="26"/>
    </row>
    <row r="758" spans="1:12">
      <c r="A758" s="20" t="s">
        <v>550</v>
      </c>
      <c r="E758" s="21">
        <f>IF(D758="?OLD","!!!","")</f>
        <v/>
      </c>
      <c r="F758" s="22" t="str">
        <f>IF(OR(E758="",E758="!!!"),"",IF(NOT(ISNA(VLOOKUP(E758,E$1:E757,1,FALSE()))),"OLD",IF(AND(E758&lt;&gt;"",E758&lt;&gt;"!!!"),"NEW","")))</f>
        <v> </v>
      </c>
      <c r="G758" s="23" t="str">
        <f>IF(OR(E758="",E758="!!!"),"",IF(OR(J758=0,AND(J758=1,K758=1),AND(J758=1,I758="SBJ"),AND(J758=1,I758=0)),"?IN_FOCUS",IF(J758&lt;=2,"?ACTIVATED",IF(J758&lt;&gt;"","?FAMILIAR",IF(F758="NEW",IF(ISNA(VLOOKUP(E758,#REF!,1,FALSE())),"?TYPE_IDENTIFIABLE","?REFERENTIAL"),"_")))))</f>
        <v> </v>
      </c>
      <c r="H758" s="24" t="str">
        <f>IF(J758&lt;&gt;1,"",IF(I758="SBJ","CB","?"))</f>
        <v> </v>
      </c>
      <c r="I758" s="25" t="str">
        <f>IF(OR(E758="",E758="!!!",F758="NEW"),"",INDEX(B757:B$2,-1+SUMPRODUCT(MAX(ROW(E757:E$2)*(E758=E757:E$2)))))</f>
        <v> </v>
      </c>
      <c r="J758" s="25" t="str">
        <f>IF(OR(E758="",E758="!!!",F758="NEW"),"",COUNTBLANK(OFFSET(A$1,,,SUMPRODUCT(MAX(ROW(E$2:E758)*(E758=E$2:E758)))))-COUNTBLANK(OFFSET(A$1,,,SUMPRODUCT(MAX(ROW(E$1:E757)*(E2=E$1:E757))))))</f>
        <v> </v>
      </c>
      <c r="K758" s="25" t="str">
        <f>IF(OR(E758="",E758="!!!",F758="NEW"),"",INDEX(J$1:J757,SUMPRODUCT(MAX(ROW(E$1:E757)*(E758=E$1:E757)))))</f>
        <v> </v>
      </c>
      <c r="L758" s="26"/>
    </row>
    <row r="759" spans="1:12">
      <c r="A759" s="20" t="s">
        <v>299</v>
      </c>
      <c r="B759" s="27" t="s">
        <v>476</v>
      </c>
      <c r="C759" s="27" t="s">
        <v>477</v>
      </c>
      <c r="D759" s="27" t="s">
        <v>478</v>
      </c>
      <c r="E759" s="21">
        <f>IF(D759="?OLD","!!!","")</f>
        <v/>
      </c>
      <c r="F759" s="22" t="str">
        <f>IF(OR(E759="",E759="!!!"),"",IF(NOT(ISNA(VLOOKUP(E759,E$1:E758,1,FALSE()))),"OLD",IF(AND(E759&lt;&gt;"",E759&lt;&gt;"!!!"),"NEW","")))</f>
        <v> </v>
      </c>
      <c r="G759" s="23" t="str">
        <f>IF(OR(E759="",E759="!!!"),"",IF(OR(J759=0,AND(J759=1,K759=1),AND(J759=1,I759="SBJ"),AND(J759=1,I759=0)),"?IN_FOCUS",IF(J759&lt;=2,"?ACTIVATED",IF(J759&lt;&gt;"","?FAMILIAR",IF(F759="NEW",IF(ISNA(VLOOKUP(E759,#REF!,1,FALSE())),"?TYPE_IDENTIFIABLE","?REFERENTIAL"),"_")))))</f>
        <v> </v>
      </c>
      <c r="H759" s="24" t="str">
        <f>IF(J759&lt;&gt;1,"",IF(I759="SBJ","CB","?"))</f>
        <v> </v>
      </c>
      <c r="I759" s="25" t="str">
        <f>IF(OR(E759="",E759="!!!",F759="NEW"),"",INDEX(B758:B$2,-1+SUMPRODUCT(MAX(ROW(E758:E$2)*(E759=E758:E$2)))))</f>
        <v> </v>
      </c>
      <c r="J759" s="25" t="str">
        <f>IF(OR(E759="",E759="!!!",F759="NEW"),"",COUNTBLANK(OFFSET(A$1,,,SUMPRODUCT(MAX(ROW(E$2:E759)*(E759=E$2:E759)))))-COUNTBLANK(OFFSET(A$1,,,SUMPRODUCT(MAX(ROW(E$1:E758)*(E2=E$1:E758))))))</f>
        <v> </v>
      </c>
      <c r="K759" s="25" t="str">
        <f>IF(OR(E759="",E759="!!!",F759="NEW"),"",INDEX(J$1:J758,SUMPRODUCT(MAX(ROW(E$1:E758)*(E759=E$1:E758)))))</f>
        <v> </v>
      </c>
      <c r="L759" s="26"/>
    </row>
    <row r="760" spans="1:12">
      <c r="A760" s="20" t="s">
        <v>861</v>
      </c>
      <c r="E760" s="21">
        <f>IF(D760="?OLD","!!!","")</f>
        <v/>
      </c>
      <c r="F760" s="22" t="str">
        <f>IF(OR(E760="",E760="!!!"),"",IF(NOT(ISNA(VLOOKUP(E760,E$1:E759,1,FALSE()))),"OLD",IF(AND(E760&lt;&gt;"",E760&lt;&gt;"!!!"),"NEW","")))</f>
        <v> </v>
      </c>
      <c r="G760" s="23" t="str">
        <f>IF(OR(E760="",E760="!!!"),"",IF(OR(J760=0,AND(J760=1,K760=1),AND(J760=1,I760="SBJ"),AND(J760=1,I760=0)),"?IN_FOCUS",IF(J760&lt;=2,"?ACTIVATED",IF(J760&lt;&gt;"","?FAMILIAR",IF(F760="NEW",IF(ISNA(VLOOKUP(E760,#REF!,1,FALSE())),"?TYPE_IDENTIFIABLE","?REFERENTIAL"),"_")))))</f>
        <v> </v>
      </c>
      <c r="H760" s="24" t="str">
        <f>IF(J760&lt;&gt;1,"",IF(I760="SBJ","CB","?"))</f>
        <v> </v>
      </c>
      <c r="I760" s="25" t="str">
        <f>IF(OR(E760="",E760="!!!",F760="NEW"),"",INDEX(B759:B$2,-1+SUMPRODUCT(MAX(ROW(E759:E$2)*(E760=E759:E$2)))))</f>
        <v> </v>
      </c>
      <c r="J760" s="25" t="str">
        <f>IF(OR(E760="",E760="!!!",F760="NEW"),"",COUNTBLANK(OFFSET(A$1,,,SUMPRODUCT(MAX(ROW(E$2:E760)*(E760=E$2:E760)))))-COUNTBLANK(OFFSET(A$1,,,SUMPRODUCT(MAX(ROW(E$1:E759)*(E2=E$1:E759))))))</f>
        <v> </v>
      </c>
      <c r="K760" s="25" t="str">
        <f>IF(OR(E760="",E760="!!!",F760="NEW"),"",INDEX(J$1:J759,SUMPRODUCT(MAX(ROW(E$1:E759)*(E760=E$1:E759)))))</f>
        <v> </v>
      </c>
      <c r="L760" s="26"/>
    </row>
    <row r="761" spans="1:12">
      <c r="A761" s="20" t="s">
        <v>850</v>
      </c>
      <c r="B761" s="27" t="s">
        <v>521</v>
      </c>
      <c r="E761" s="21">
        <f>IF(D761="?OLD","!!!","")</f>
        <v/>
      </c>
      <c r="F761" s="22" t="str">
        <f>IF(OR(E761="",E761="!!!"),"",IF(NOT(ISNA(VLOOKUP(E761,E$1:E760,1,FALSE()))),"OLD",IF(AND(E761&lt;&gt;"",E761&lt;&gt;"!!!"),"NEW","")))</f>
        <v> </v>
      </c>
      <c r="G761" s="23" t="str">
        <f>IF(OR(E761="",E761="!!!"),"",IF(OR(J761=0,AND(J761=1,K761=1),AND(J761=1,I761="SBJ"),AND(J761=1,I761=0)),"?IN_FOCUS",IF(J761&lt;=2,"?ACTIVATED",IF(J761&lt;&gt;"","?FAMILIAR",IF(F761="NEW",IF(ISNA(VLOOKUP(E761,#REF!,1,FALSE())),"?TYPE_IDENTIFIABLE","?REFERENTIAL"),"_")))))</f>
        <v> </v>
      </c>
      <c r="H761" s="24" t="str">
        <f>IF(J761&lt;&gt;1,"",IF(I761="SBJ","CB","?"))</f>
        <v> </v>
      </c>
      <c r="I761" s="25" t="str">
        <f>IF(OR(E761="",E761="!!!",F761="NEW"),"",INDEX(B760:B$2,-1+SUMPRODUCT(MAX(ROW(E760:E$2)*(E761=E760:E$2)))))</f>
        <v> </v>
      </c>
      <c r="J761" s="25" t="str">
        <f>IF(OR(E761="",E761="!!!",F761="NEW"),"",COUNTBLANK(OFFSET(A$1,,,SUMPRODUCT(MAX(ROW(E$2:E761)*(E761=E$2:E761)))))-COUNTBLANK(OFFSET(A$1,,,SUMPRODUCT(MAX(ROW(E$1:E760)*(E2=E$1:E760))))))</f>
        <v> </v>
      </c>
      <c r="K761" s="25" t="str">
        <f>IF(OR(E761="",E761="!!!",F761="NEW"),"",INDEX(J$1:J760,SUMPRODUCT(MAX(ROW(E$1:E760)*(E761=E$1:E760)))))</f>
        <v> </v>
      </c>
      <c r="L761" s="26"/>
    </row>
    <row r="762" spans="1:12">
      <c r="A762" s="20" t="s">
        <v>482</v>
      </c>
      <c r="E762" s="21">
        <f>IF(D762="?OLD","!!!","")</f>
        <v/>
      </c>
      <c r="F762" s="22" t="str">
        <f>IF(OR(E762="",E762="!!!"),"",IF(NOT(ISNA(VLOOKUP(E762,E$1:E761,1,FALSE()))),"OLD",IF(AND(E762&lt;&gt;"",E762&lt;&gt;"!!!"),"NEW","")))</f>
        <v> </v>
      </c>
      <c r="G762" s="23" t="str">
        <f>IF(OR(E762="",E762="!!!"),"",IF(OR(J762=0,AND(J762=1,K762=1),AND(J762=1,I762="SBJ"),AND(J762=1,I762=0)),"?IN_FOCUS",IF(J762&lt;=2,"?ACTIVATED",IF(J762&lt;&gt;"","?FAMILIAR",IF(F762="NEW",IF(ISNA(VLOOKUP(E762,#REF!,1,FALSE())),"?TYPE_IDENTIFIABLE","?REFERENTIAL"),"_")))))</f>
        <v> </v>
      </c>
      <c r="H762" s="24" t="str">
        <f>IF(J762&lt;&gt;1,"",IF(I762="SBJ","CB","?"))</f>
        <v> </v>
      </c>
      <c r="I762" s="25" t="str">
        <f>IF(OR(E762="",E762="!!!",F762="NEW"),"",INDEX(B761:B$2,-1+SUMPRODUCT(MAX(ROW(E761:E$2)*(E762=E761:E$2)))))</f>
        <v> </v>
      </c>
      <c r="J762" s="25" t="str">
        <f>IF(OR(E762="",E762="!!!",F762="NEW"),"",COUNTBLANK(OFFSET(A$1,,,SUMPRODUCT(MAX(ROW(E$2:E762)*(E762=E$2:E762)))))-COUNTBLANK(OFFSET(A$1,,,SUMPRODUCT(MAX(ROW(E$1:E761)*(E2=E$1:E761))))))</f>
        <v> </v>
      </c>
      <c r="K762" s="25" t="str">
        <f>IF(OR(E762="",E762="!!!",F762="NEW"),"",INDEX(J$1:J761,SUMPRODUCT(MAX(ROW(E$1:E761)*(E762=E$1:E761)))))</f>
        <v> </v>
      </c>
      <c r="L762" s="26"/>
    </row>
    <row r="763" spans="1:12">
      <c r="A763" s="20" t="s">
        <v>862</v>
      </c>
      <c r="B763" s="27" t="s">
        <v>573</v>
      </c>
      <c r="C763" s="27" t="s">
        <v>484</v>
      </c>
      <c r="E763" s="21">
        <f>IF(D763="?OLD","!!!","")</f>
        <v/>
      </c>
      <c r="F763" s="22" t="str">
        <f>IF(OR(E763="",E763="!!!"),"",IF(NOT(ISNA(VLOOKUP(E763,E$1:E762,1,FALSE()))),"OLD",IF(AND(E763&lt;&gt;"",E763&lt;&gt;"!!!"),"NEW","")))</f>
        <v> </v>
      </c>
      <c r="G763" s="23" t="str">
        <f>IF(OR(E763="",E763="!!!"),"",IF(OR(J763=0,AND(J763=1,K763=1),AND(J763=1,I763="SBJ"),AND(J763=1,I763=0)),"?IN_FOCUS",IF(J763&lt;=2,"?ACTIVATED",IF(J763&lt;&gt;"","?FAMILIAR",IF(F763="NEW",IF(ISNA(VLOOKUP(E763,#REF!,1,FALSE())),"?TYPE_IDENTIFIABLE","?REFERENTIAL"),"_")))))</f>
        <v> </v>
      </c>
      <c r="H763" s="24" t="str">
        <f>IF(J763&lt;&gt;1,"",IF(I763="SBJ","CB","?"))</f>
        <v> </v>
      </c>
      <c r="I763" s="25" t="str">
        <f>IF(OR(E763="",E763="!!!",F763="NEW"),"",INDEX(B762:B$2,-1+SUMPRODUCT(MAX(ROW(E762:E$2)*(E763=E762:E$2)))))</f>
        <v> </v>
      </c>
      <c r="J763" s="25" t="str">
        <f>IF(OR(E763="",E763="!!!",F763="NEW"),"",COUNTBLANK(OFFSET(A$1,,,SUMPRODUCT(MAX(ROW(E$2:E763)*(E763=E$2:E763)))))-COUNTBLANK(OFFSET(A$1,,,SUMPRODUCT(MAX(ROW(E$1:E762)*(E2=E$1:E762))))))</f>
        <v> </v>
      </c>
      <c r="K763" s="25" t="str">
        <f>IF(OR(E763="",E763="!!!",F763="NEW"),"",INDEX(J$1:J762,SUMPRODUCT(MAX(ROW(E$1:E762)*(E763=E$1:E762)))))</f>
        <v> </v>
      </c>
      <c r="L763" s="26"/>
    </row>
    <row r="764" spans="1:12">
      <c r="A764" s="20" t="s">
        <v>299</v>
      </c>
      <c r="B764" s="27" t="s">
        <v>538</v>
      </c>
      <c r="C764" s="27" t="s">
        <v>477</v>
      </c>
      <c r="D764" s="27" t="s">
        <v>478</v>
      </c>
      <c r="E764" s="21">
        <f>IF(D764="?OLD","!!!","")</f>
        <v/>
      </c>
      <c r="F764" s="22" t="str">
        <f>IF(OR(E764="",E764="!!!"),"",IF(NOT(ISNA(VLOOKUP(E764,E$1:E763,1,FALSE()))),"OLD",IF(AND(E764&lt;&gt;"",E764&lt;&gt;"!!!"),"NEW","")))</f>
        <v> </v>
      </c>
      <c r="G764" s="23" t="str">
        <f>IF(OR(E764="",E764="!!!"),"",IF(OR(J764=0,AND(J764=1,K764=1),AND(J764=1,I764="SBJ"),AND(J764=1,I764=0)),"?IN_FOCUS",IF(J764&lt;=2,"?ACTIVATED",IF(J764&lt;&gt;"","?FAMILIAR",IF(F764="NEW",IF(ISNA(VLOOKUP(E764,#REF!,1,FALSE())),"?TYPE_IDENTIFIABLE","?REFERENTIAL"),"_")))))</f>
        <v> </v>
      </c>
      <c r="H764" s="24" t="str">
        <f>IF(J764&lt;&gt;1,"",IF(I764="SBJ","CB","?"))</f>
        <v> </v>
      </c>
      <c r="I764" s="25" t="str">
        <f>IF(OR(E764="",E764="!!!",F764="NEW"),"",INDEX(B763:B$2,-1+SUMPRODUCT(MAX(ROW(E763:E$2)*(E764=E763:E$2)))))</f>
        <v> </v>
      </c>
      <c r="J764" s="25" t="str">
        <f>IF(OR(E764="",E764="!!!",F764="NEW"),"",COUNTBLANK(OFFSET(A$1,,,SUMPRODUCT(MAX(ROW(E$2:E764)*(E764=E$2:E764)))))-COUNTBLANK(OFFSET(A$1,,,SUMPRODUCT(MAX(ROW(E$1:E763)*(E2=E$1:E763))))))</f>
        <v> </v>
      </c>
      <c r="K764" s="25" t="str">
        <f>IF(OR(E764="",E764="!!!",F764="NEW"),"",INDEX(J$1:J763,SUMPRODUCT(MAX(ROW(E$1:E763)*(E764=E$1:E763)))))</f>
        <v> </v>
      </c>
      <c r="L764" s="26"/>
    </row>
    <row r="765" spans="1:12">
      <c r="A765" s="20" t="s">
        <v>863</v>
      </c>
      <c r="E765" s="21">
        <f>IF(D765="?OLD","!!!","")</f>
        <v/>
      </c>
      <c r="F765" s="22" t="str">
        <f>IF(OR(E765="",E765="!!!"),"",IF(NOT(ISNA(VLOOKUP(E765,E$1:E764,1,FALSE()))),"OLD",IF(AND(E765&lt;&gt;"",E765&lt;&gt;"!!!"),"NEW","")))</f>
        <v> </v>
      </c>
      <c r="G765" s="23" t="str">
        <f>IF(OR(E765="",E765="!!!"),"",IF(OR(J765=0,AND(J765=1,K765=1),AND(J765=1,I765="SBJ"),AND(J765=1,I765=0)),"?IN_FOCUS",IF(J765&lt;=2,"?ACTIVATED",IF(J765&lt;&gt;"","?FAMILIAR",IF(F765="NEW",IF(ISNA(VLOOKUP(E765,#REF!,1,FALSE())),"?TYPE_IDENTIFIABLE","?REFERENTIAL"),"_")))))</f>
        <v> </v>
      </c>
      <c r="H765" s="24" t="str">
        <f>IF(J765&lt;&gt;1,"",IF(I765="SBJ","CB","?"))</f>
        <v> </v>
      </c>
      <c r="I765" s="25" t="str">
        <f>IF(OR(E765="",E765="!!!",F765="NEW"),"",INDEX(B764:B$2,-1+SUMPRODUCT(MAX(ROW(E764:E$2)*(E765=E764:E$2)))))</f>
        <v> </v>
      </c>
      <c r="J765" s="25" t="str">
        <f>IF(OR(E765="",E765="!!!",F765="NEW"),"",COUNTBLANK(OFFSET(A$1,,,SUMPRODUCT(MAX(ROW(E$2:E765)*(E765=E$2:E765)))))-COUNTBLANK(OFFSET(A$1,,,SUMPRODUCT(MAX(ROW(E$1:E764)*(E2=E$1:E764))))))</f>
        <v> </v>
      </c>
      <c r="K765" s="25" t="str">
        <f>IF(OR(E765="",E765="!!!",F765="NEW"),"",INDEX(J$1:J764,SUMPRODUCT(MAX(ROW(E$1:E764)*(E765=E$1:E764)))))</f>
        <v> </v>
      </c>
      <c r="L765" s="26"/>
    </row>
    <row r="766" spans="1:12">
      <c r="A766" s="20" t="s">
        <v>481</v>
      </c>
      <c r="B766" s="27" t="s">
        <v>573</v>
      </c>
      <c r="E766" s="21">
        <f>IF(D766="?OLD","!!!","")</f>
        <v/>
      </c>
      <c r="F766" s="22" t="str">
        <f>IF(OR(E766="",E766="!!!"),"",IF(NOT(ISNA(VLOOKUP(E766,E$1:E765,1,FALSE()))),"OLD",IF(AND(E766&lt;&gt;"",E766&lt;&gt;"!!!"),"NEW","")))</f>
        <v> </v>
      </c>
      <c r="G766" s="23" t="str">
        <f>IF(OR(E766="",E766="!!!"),"",IF(OR(J766=0,AND(J766=1,K766=1),AND(J766=1,I766="SBJ"),AND(J766=1,I766=0)),"?IN_FOCUS",IF(J766&lt;=2,"?ACTIVATED",IF(J766&lt;&gt;"","?FAMILIAR",IF(F766="NEW",IF(ISNA(VLOOKUP(E766,#REF!,1,FALSE())),"?TYPE_IDENTIFIABLE","?REFERENTIAL"),"_")))))</f>
        <v> </v>
      </c>
      <c r="H766" s="24" t="str">
        <f>IF(J766&lt;&gt;1,"",IF(I766="SBJ","CB","?"))</f>
        <v> </v>
      </c>
      <c r="I766" s="25" t="str">
        <f>IF(OR(E766="",E766="!!!",F766="NEW"),"",INDEX(B765:B$2,-1+SUMPRODUCT(MAX(ROW(E765:E$2)*(E766=E765:E$2)))))</f>
        <v> </v>
      </c>
      <c r="J766" s="25" t="str">
        <f>IF(OR(E766="",E766="!!!",F766="NEW"),"",COUNTBLANK(OFFSET(A$1,,,SUMPRODUCT(MAX(ROW(E$2:E766)*(E766=E$2:E766)))))-COUNTBLANK(OFFSET(A$1,,,SUMPRODUCT(MAX(ROW(E$1:E765)*(E2=E$1:E765))))))</f>
        <v> </v>
      </c>
      <c r="K766" s="25" t="str">
        <f>IF(OR(E766="",E766="!!!",F766="NEW"),"",INDEX(J$1:J765,SUMPRODUCT(MAX(ROW(E$1:E765)*(E766=E$1:E765)))))</f>
        <v> </v>
      </c>
      <c r="L766" s="26"/>
    </row>
    <row r="767" spans="1:12">
      <c r="A767" s="20" t="s">
        <v>482</v>
      </c>
      <c r="E767" s="21">
        <f>IF(D767="?OLD","!!!","")</f>
        <v/>
      </c>
      <c r="F767" s="22" t="str">
        <f>IF(OR(E767="",E767="!!!"),"",IF(NOT(ISNA(VLOOKUP(E767,E$1:E766,1,FALSE()))),"OLD",IF(AND(E767&lt;&gt;"",E767&lt;&gt;"!!!"),"NEW","")))</f>
        <v> </v>
      </c>
      <c r="G767" s="23" t="str">
        <f>IF(OR(E767="",E767="!!!"),"",IF(OR(J767=0,AND(J767=1,K767=1),AND(J767=1,I767="SBJ"),AND(J767=1,I767=0)),"?IN_FOCUS",IF(J767&lt;=2,"?ACTIVATED",IF(J767&lt;&gt;"","?FAMILIAR",IF(F767="NEW",IF(ISNA(VLOOKUP(E767,#REF!,1,FALSE())),"?TYPE_IDENTIFIABLE","?REFERENTIAL"),"_")))))</f>
        <v> </v>
      </c>
      <c r="H767" s="24" t="str">
        <f>IF(J767&lt;&gt;1,"",IF(I767="SBJ","CB","?"))</f>
        <v> </v>
      </c>
      <c r="I767" s="25" t="str">
        <f>IF(OR(E767="",E767="!!!",F767="NEW"),"",INDEX(B766:B$2,-1+SUMPRODUCT(MAX(ROW(E766:E$2)*(E767=E766:E$2)))))</f>
        <v> </v>
      </c>
      <c r="J767" s="25" t="str">
        <f>IF(OR(E767="",E767="!!!",F767="NEW"),"",COUNTBLANK(OFFSET(A$1,,,SUMPRODUCT(MAX(ROW(E$2:E767)*(E767=E$2:E767)))))-COUNTBLANK(OFFSET(A$1,,,SUMPRODUCT(MAX(ROW(E$1:E766)*(E2=E$1:E766))))))</f>
        <v> </v>
      </c>
      <c r="K767" s="25" t="str">
        <f>IF(OR(E767="",E767="!!!",F767="NEW"),"",INDEX(J$1:J766,SUMPRODUCT(MAX(ROW(E$1:E766)*(E767=E$1:E766)))))</f>
        <v> </v>
      </c>
      <c r="L767" s="26"/>
    </row>
    <row r="768" spans="1:12">
      <c r="A768" s="20" t="s">
        <v>864</v>
      </c>
      <c r="E768" s="21">
        <f>IF(D768="?OLD","!!!","")</f>
        <v/>
      </c>
      <c r="F768" s="22" t="str">
        <f>IF(OR(E768="",E768="!!!"),"",IF(NOT(ISNA(VLOOKUP(E768,E$1:E767,1,FALSE()))),"OLD",IF(AND(E768&lt;&gt;"",E768&lt;&gt;"!!!"),"NEW","")))</f>
        <v> </v>
      </c>
      <c r="G768" s="23" t="str">
        <f>IF(OR(E768="",E768="!!!"),"",IF(OR(J768=0,AND(J768=1,K768=1),AND(J768=1,I768="SBJ"),AND(J768=1,I768=0)),"?IN_FOCUS",IF(J768&lt;=2,"?ACTIVATED",IF(J768&lt;&gt;"","?FAMILIAR",IF(F768="NEW",IF(ISNA(VLOOKUP(E768,#REF!,1,FALSE())),"?TYPE_IDENTIFIABLE","?REFERENTIAL"),"_")))))</f>
        <v> </v>
      </c>
      <c r="H768" s="24" t="str">
        <f>IF(J768&lt;&gt;1,"",IF(I768="SBJ","CB","?"))</f>
        <v> </v>
      </c>
      <c r="I768" s="25" t="str">
        <f>IF(OR(E768="",E768="!!!",F768="NEW"),"",INDEX(B767:B$2,-1+SUMPRODUCT(MAX(ROW(E767:E$2)*(E768=E767:E$2)))))</f>
        <v> </v>
      </c>
      <c r="J768" s="25" t="str">
        <f>IF(OR(E768="",E768="!!!",F768="NEW"),"",COUNTBLANK(OFFSET(A$1,,,SUMPRODUCT(MAX(ROW(E$2:E768)*(E768=E$2:E768)))))-COUNTBLANK(OFFSET(A$1,,,SUMPRODUCT(MAX(ROW(E$1:E767)*(E2=E$1:E767))))))</f>
        <v> </v>
      </c>
      <c r="K768" s="25" t="str">
        <f>IF(OR(E768="",E768="!!!",F768="NEW"),"",INDEX(J$1:J767,SUMPRODUCT(MAX(ROW(E$1:E767)*(E768=E$1:E767)))))</f>
        <v> </v>
      </c>
      <c r="L768" s="26"/>
    </row>
    <row r="769" spans="1:12">
      <c r="A769" s="20" t="s">
        <v>482</v>
      </c>
      <c r="E769" s="21">
        <f>IF(D769="?OLD","!!!","")</f>
        <v/>
      </c>
      <c r="F769" s="22" t="str">
        <f>IF(OR(E769="",E769="!!!"),"",IF(NOT(ISNA(VLOOKUP(E769,E$1:E768,1,FALSE()))),"OLD",IF(AND(E769&lt;&gt;"",E769&lt;&gt;"!!!"),"NEW","")))</f>
        <v> </v>
      </c>
      <c r="G769" s="23" t="str">
        <f>IF(OR(E769="",E769="!!!"),"",IF(OR(J769=0,AND(J769=1,K769=1),AND(J769=1,I769="SBJ"),AND(J769=1,I769=0)),"?IN_FOCUS",IF(J769&lt;=2,"?ACTIVATED",IF(J769&lt;&gt;"","?FAMILIAR",IF(F769="NEW",IF(ISNA(VLOOKUP(E769,#REF!,1,FALSE())),"?TYPE_IDENTIFIABLE","?REFERENTIAL"),"_")))))</f>
        <v> </v>
      </c>
      <c r="H769" s="24" t="str">
        <f>IF(J769&lt;&gt;1,"",IF(I769="SBJ","CB","?"))</f>
        <v> </v>
      </c>
      <c r="I769" s="25" t="str">
        <f>IF(OR(E769="",E769="!!!",F769="NEW"),"",INDEX(B768:B$2,-1+SUMPRODUCT(MAX(ROW(E768:E$2)*(E769=E768:E$2)))))</f>
        <v> </v>
      </c>
      <c r="J769" s="25" t="str">
        <f>IF(OR(E769="",E769="!!!",F769="NEW"),"",COUNTBLANK(OFFSET(A$1,,,SUMPRODUCT(MAX(ROW(E$2:E769)*(E769=E$2:E769)))))-COUNTBLANK(OFFSET(A$1,,,SUMPRODUCT(MAX(ROW(E$1:E768)*(E2=E$1:E768))))))</f>
        <v> </v>
      </c>
      <c r="K769" s="25" t="str">
        <f>IF(OR(E769="",E769="!!!",F769="NEW"),"",INDEX(J$1:J768,SUMPRODUCT(MAX(ROW(E$1:E768)*(E769=E$1:E768)))))</f>
        <v> </v>
      </c>
      <c r="L769" s="26"/>
    </row>
    <row r="770" spans="1:12">
      <c r="A770" s="20" t="s">
        <v>865</v>
      </c>
      <c r="E770" s="21">
        <f>IF(D770="?OLD","!!!","")</f>
        <v/>
      </c>
      <c r="F770" s="22" t="str">
        <f>IF(OR(E770="",E770="!!!"),"",IF(NOT(ISNA(VLOOKUP(E770,E$1:E769,1,FALSE()))),"OLD",IF(AND(E770&lt;&gt;"",E770&lt;&gt;"!!!"),"NEW","")))</f>
        <v> </v>
      </c>
      <c r="G770" s="23" t="str">
        <f>IF(OR(E770="",E770="!!!"),"",IF(OR(J770=0,AND(J770=1,K770=1),AND(J770=1,I770="SBJ"),AND(J770=1,I770=0)),"?IN_FOCUS",IF(J770&lt;=2,"?ACTIVATED",IF(J770&lt;&gt;"","?FAMILIAR",IF(F770="NEW",IF(ISNA(VLOOKUP(E770,#REF!,1,FALSE())),"?TYPE_IDENTIFIABLE","?REFERENTIAL"),"_")))))</f>
        <v> </v>
      </c>
      <c r="H770" s="24" t="str">
        <f>IF(J770&lt;&gt;1,"",IF(I770="SBJ","CB","?"))</f>
        <v> </v>
      </c>
      <c r="I770" s="25" t="str">
        <f>IF(OR(E770="",E770="!!!",F770="NEW"),"",INDEX(B769:B$2,-1+SUMPRODUCT(MAX(ROW(E769:E$2)*(E770=E769:E$2)))))</f>
        <v> </v>
      </c>
      <c r="J770" s="25" t="str">
        <f>IF(OR(E770="",E770="!!!",F770="NEW"),"",COUNTBLANK(OFFSET(A$1,,,SUMPRODUCT(MAX(ROW(E$2:E770)*(E770=E$2:E770)))))-COUNTBLANK(OFFSET(A$1,,,SUMPRODUCT(MAX(ROW(E$1:E769)*(E2=E$1:E769))))))</f>
        <v> </v>
      </c>
      <c r="K770" s="25" t="str">
        <f>IF(OR(E770="",E770="!!!",F770="NEW"),"",INDEX(J$1:J769,SUMPRODUCT(MAX(ROW(E$1:E769)*(E770=E$1:E769)))))</f>
        <v> </v>
      </c>
      <c r="L770" s="26"/>
    </row>
    <row r="771" spans="1:12">
      <c r="A771" s="20" t="s">
        <v>866</v>
      </c>
      <c r="B771" s="27" t="s">
        <v>867</v>
      </c>
      <c r="E771" s="21">
        <f>IF(D771="?OLD","!!!","")</f>
        <v/>
      </c>
      <c r="F771" s="22" t="str">
        <f>IF(OR(E771="",E771="!!!"),"",IF(NOT(ISNA(VLOOKUP(E771,E$1:E770,1,FALSE()))),"OLD",IF(AND(E771&lt;&gt;"",E771&lt;&gt;"!!!"),"NEW","")))</f>
        <v> </v>
      </c>
      <c r="G771" s="23" t="str">
        <f>IF(OR(E771="",E771="!!!"),"",IF(OR(J771=0,AND(J771=1,K771=1),AND(J771=1,I771="SBJ"),AND(J771=1,I771=0)),"?IN_FOCUS",IF(J771&lt;=2,"?ACTIVATED",IF(J771&lt;&gt;"","?FAMILIAR",IF(F771="NEW",IF(ISNA(VLOOKUP(E771,#REF!,1,FALSE())),"?TYPE_IDENTIFIABLE","?REFERENTIAL"),"_")))))</f>
        <v> </v>
      </c>
      <c r="H771" s="24" t="str">
        <f>IF(J771&lt;&gt;1,"",IF(I771="SBJ","CB","?"))</f>
        <v> </v>
      </c>
      <c r="I771" s="25" t="str">
        <f>IF(OR(E771="",E771="!!!",F771="NEW"),"",INDEX(B770:B$2,-1+SUMPRODUCT(MAX(ROW(E770:E$2)*(E771=E770:E$2)))))</f>
        <v> </v>
      </c>
      <c r="J771" s="25" t="str">
        <f>IF(OR(E771="",E771="!!!",F771="NEW"),"",COUNTBLANK(OFFSET(A$1,,,SUMPRODUCT(MAX(ROW(E$2:E771)*(E771=E$2:E771)))))-COUNTBLANK(OFFSET(A$1,,,SUMPRODUCT(MAX(ROW(E$1:E770)*(E2=E$1:E770))))))</f>
        <v> </v>
      </c>
      <c r="K771" s="25" t="str">
        <f>IF(OR(E771="",E771="!!!",F771="NEW"),"",INDEX(J$1:J770,SUMPRODUCT(MAX(ROW(E$1:E770)*(E771=E$1:E770)))))</f>
        <v> </v>
      </c>
      <c r="L771" s="26"/>
    </row>
    <row r="772" spans="1:12">
      <c r="A772" s="20" t="s">
        <v>868</v>
      </c>
      <c r="E772" s="21">
        <f>IF(D772="?OLD","!!!","")</f>
        <v/>
      </c>
      <c r="F772" s="22" t="str">
        <f>IF(OR(E772="",E772="!!!"),"",IF(NOT(ISNA(VLOOKUP(E772,E$1:E771,1,FALSE()))),"OLD",IF(AND(E772&lt;&gt;"",E772&lt;&gt;"!!!"),"NEW","")))</f>
        <v> </v>
      </c>
      <c r="G772" s="23" t="str">
        <f>IF(OR(E772="",E772="!!!"),"",IF(OR(J772=0,AND(J772=1,K772=1),AND(J772=1,I772="SBJ"),AND(J772=1,I772=0)),"?IN_FOCUS",IF(J772&lt;=2,"?ACTIVATED",IF(J772&lt;&gt;"","?FAMILIAR",IF(F772="NEW",IF(ISNA(VLOOKUP(E772,#REF!,1,FALSE())),"?TYPE_IDENTIFIABLE","?REFERENTIAL"),"_")))))</f>
        <v> </v>
      </c>
      <c r="H772" s="24" t="str">
        <f>IF(J772&lt;&gt;1,"",IF(I772="SBJ","CB","?"))</f>
        <v> </v>
      </c>
      <c r="I772" s="25" t="str">
        <f>IF(OR(E772="",E772="!!!",F772="NEW"),"",INDEX(B771:B$2,-1+SUMPRODUCT(MAX(ROW(E771:E$2)*(E772=E771:E$2)))))</f>
        <v> </v>
      </c>
      <c r="J772" s="25" t="str">
        <f>IF(OR(E772="",E772="!!!",F772="NEW"),"",COUNTBLANK(OFFSET(A$1,,,SUMPRODUCT(MAX(ROW(E$2:E772)*(E772=E$2:E772)))))-COUNTBLANK(OFFSET(A$1,,,SUMPRODUCT(MAX(ROW(E$1:E771)*(E2=E$1:E771))))))</f>
        <v> </v>
      </c>
      <c r="K772" s="25" t="str">
        <f>IF(OR(E772="",E772="!!!",F772="NEW"),"",INDEX(J$1:J771,SUMPRODUCT(MAX(ROW(E$1:E771)*(E772=E$1:E771)))))</f>
        <v> </v>
      </c>
      <c r="L772" s="26"/>
    </row>
    <row r="773" spans="1:12">
      <c r="A773" s="20" t="s">
        <v>482</v>
      </c>
      <c r="E773" s="21">
        <f>IF(D773="?OLD","!!!","")</f>
        <v/>
      </c>
      <c r="F773" s="22" t="str">
        <f>IF(OR(E773="",E773="!!!"),"",IF(NOT(ISNA(VLOOKUP(E773,E$1:E772,1,FALSE()))),"OLD",IF(AND(E773&lt;&gt;"",E773&lt;&gt;"!!!"),"NEW","")))</f>
        <v> </v>
      </c>
      <c r="G773" s="23" t="str">
        <f>IF(OR(E773="",E773="!!!"),"",IF(OR(J773=0,AND(J773=1,K773=1),AND(J773=1,I773="SBJ"),AND(J773=1,I773=0)),"?IN_FOCUS",IF(J773&lt;=2,"?ACTIVATED",IF(J773&lt;&gt;"","?FAMILIAR",IF(F773="NEW",IF(ISNA(VLOOKUP(E773,#REF!,1,FALSE())),"?TYPE_IDENTIFIABLE","?REFERENTIAL"),"_")))))</f>
        <v> </v>
      </c>
      <c r="H773" s="24" t="str">
        <f>IF(J773&lt;&gt;1,"",IF(I773="SBJ","CB","?"))</f>
        <v> </v>
      </c>
      <c r="I773" s="25" t="str">
        <f>IF(OR(E773="",E773="!!!",F773="NEW"),"",INDEX(B772:B$2,-1+SUMPRODUCT(MAX(ROW(E772:E$2)*(E773=E772:E$2)))))</f>
        <v> </v>
      </c>
      <c r="J773" s="25" t="str">
        <f>IF(OR(E773="",E773="!!!",F773="NEW"),"",COUNTBLANK(OFFSET(A$1,,,SUMPRODUCT(MAX(ROW(E$2:E773)*(E773=E$2:E773)))))-COUNTBLANK(OFFSET(A$1,,,SUMPRODUCT(MAX(ROW(E$1:E772)*(E2=E$1:E772))))))</f>
        <v> </v>
      </c>
      <c r="K773" s="25" t="str">
        <f>IF(OR(E773="",E773="!!!",F773="NEW"),"",INDEX(J$1:J772,SUMPRODUCT(MAX(ROW(E$1:E772)*(E773=E$1:E772)))))</f>
        <v> </v>
      </c>
      <c r="L773" s="26"/>
    </row>
    <row r="774" spans="1:12">
      <c r="A774" s="20" t="s">
        <v>869</v>
      </c>
      <c r="E774" s="21">
        <f>IF(D774="?OLD","!!!","")</f>
        <v/>
      </c>
      <c r="F774" s="22" t="str">
        <f>IF(OR(E774="",E774="!!!"),"",IF(NOT(ISNA(VLOOKUP(E774,E$1:E773,1,FALSE()))),"OLD",IF(AND(E774&lt;&gt;"",E774&lt;&gt;"!!!"),"NEW","")))</f>
        <v> </v>
      </c>
      <c r="G774" s="23" t="str">
        <f>IF(OR(E774="",E774="!!!"),"",IF(OR(J774=0,AND(J774=1,K774=1),AND(J774=1,I774="SBJ"),AND(J774=1,I774=0)),"?IN_FOCUS",IF(J774&lt;=2,"?ACTIVATED",IF(J774&lt;&gt;"","?FAMILIAR",IF(F774="NEW",IF(ISNA(VLOOKUP(E774,#REF!,1,FALSE())),"?TYPE_IDENTIFIABLE","?REFERENTIAL"),"_")))))</f>
        <v> </v>
      </c>
      <c r="H774" s="24" t="str">
        <f>IF(J774&lt;&gt;1,"",IF(I774="SBJ","CB","?"))</f>
        <v> </v>
      </c>
      <c r="I774" s="25" t="str">
        <f>IF(OR(E774="",E774="!!!",F774="NEW"),"",INDEX(B773:B$2,-1+SUMPRODUCT(MAX(ROW(E773:E$2)*(E774=E773:E$2)))))</f>
        <v> </v>
      </c>
      <c r="J774" s="25" t="str">
        <f>IF(OR(E774="",E774="!!!",F774="NEW"),"",COUNTBLANK(OFFSET(A$1,,,SUMPRODUCT(MAX(ROW(E$2:E774)*(E774=E$2:E774)))))-COUNTBLANK(OFFSET(A$1,,,SUMPRODUCT(MAX(ROW(E$1:E773)*(E2=E$1:E773))))))</f>
        <v> </v>
      </c>
      <c r="K774" s="25" t="str">
        <f>IF(OR(E774="",E774="!!!",F774="NEW"),"",INDEX(J$1:J773,SUMPRODUCT(MAX(ROW(E$1:E773)*(E774=E$1:E773)))))</f>
        <v> </v>
      </c>
      <c r="L774" s="26"/>
    </row>
    <row r="775" spans="1:12">
      <c r="A775" s="20" t="s">
        <v>738</v>
      </c>
      <c r="B775" s="27" t="s">
        <v>786</v>
      </c>
      <c r="C775" s="27" t="s">
        <v>477</v>
      </c>
      <c r="D775" s="27" t="s">
        <v>478</v>
      </c>
      <c r="E775" s="21">
        <f>IF(D775="?OLD","!!!","")</f>
        <v/>
      </c>
      <c r="F775" s="22" t="str">
        <f>IF(OR(E775="",E775="!!!"),"",IF(NOT(ISNA(VLOOKUP(E775,E$1:E774,1,FALSE()))),"OLD",IF(AND(E775&lt;&gt;"",E775&lt;&gt;"!!!"),"NEW","")))</f>
        <v> </v>
      </c>
      <c r="G775" s="23" t="str">
        <f>IF(OR(E775="",E775="!!!"),"",IF(OR(J775=0,AND(J775=1,K775=1),AND(J775=1,I775="SBJ"),AND(J775=1,I775=0)),"?IN_FOCUS",IF(J775&lt;=2,"?ACTIVATED",IF(J775&lt;&gt;"","?FAMILIAR",IF(F775="NEW",IF(ISNA(VLOOKUP(E775,#REF!,1,FALSE())),"?TYPE_IDENTIFIABLE","?REFERENTIAL"),"_")))))</f>
        <v> </v>
      </c>
      <c r="H775" s="24" t="str">
        <f>IF(J775&lt;&gt;1,"",IF(I775="SBJ","CB","?"))</f>
        <v> </v>
      </c>
      <c r="I775" s="25" t="str">
        <f>IF(OR(E775="",E775="!!!",F775="NEW"),"",INDEX(B774:B$2,-1+SUMPRODUCT(MAX(ROW(E774:E$2)*(E775=E774:E$2)))))</f>
        <v> </v>
      </c>
      <c r="J775" s="25" t="str">
        <f>IF(OR(E775="",E775="!!!",F775="NEW"),"",COUNTBLANK(OFFSET(A$1,,,SUMPRODUCT(MAX(ROW(E$2:E775)*(E775=E$2:E775)))))-COUNTBLANK(OFFSET(A$1,,,SUMPRODUCT(MAX(ROW(E$1:E774)*(E2=E$1:E774))))))</f>
        <v> </v>
      </c>
      <c r="K775" s="25" t="str">
        <f>IF(OR(E775="",E775="!!!",F775="NEW"),"",INDEX(J$1:J774,SUMPRODUCT(MAX(ROW(E$1:E774)*(E775=E$1:E774)))))</f>
        <v> </v>
      </c>
      <c r="L775" s="26"/>
    </row>
    <row r="776" spans="1:12">
      <c r="A776" s="20" t="s">
        <v>513</v>
      </c>
      <c r="E776" s="21">
        <f>IF(D776="?OLD","!!!","")</f>
        <v/>
      </c>
      <c r="F776" s="22" t="str">
        <f>IF(OR(E776="",E776="!!!"),"",IF(NOT(ISNA(VLOOKUP(E776,E$1:E775,1,FALSE()))),"OLD",IF(AND(E776&lt;&gt;"",E776&lt;&gt;"!!!"),"NEW","")))</f>
        <v> </v>
      </c>
      <c r="G776" s="23" t="str">
        <f>IF(OR(E776="",E776="!!!"),"",IF(OR(J776=0,AND(J776=1,K776=1),AND(J776=1,I776="SBJ"),AND(J776=1,I776=0)),"?IN_FOCUS",IF(J776&lt;=2,"?ACTIVATED",IF(J776&lt;&gt;"","?FAMILIAR",IF(F776="NEW",IF(ISNA(VLOOKUP(E776,#REF!,1,FALSE())),"?TYPE_IDENTIFIABLE","?REFERENTIAL"),"_")))))</f>
        <v> </v>
      </c>
      <c r="H776" s="24" t="str">
        <f>IF(J776&lt;&gt;1,"",IF(I776="SBJ","CB","?"))</f>
        <v> </v>
      </c>
      <c r="I776" s="25" t="str">
        <f>IF(OR(E776="",E776="!!!",F776="NEW"),"",INDEX(B775:B$2,-1+SUMPRODUCT(MAX(ROW(E775:E$2)*(E776=E775:E$2)))))</f>
        <v> </v>
      </c>
      <c r="J776" s="25" t="str">
        <f>IF(OR(E776="",E776="!!!",F776="NEW"),"",COUNTBLANK(OFFSET(A$1,,,SUMPRODUCT(MAX(ROW(E$2:E776)*(E776=E$2:E776)))))-COUNTBLANK(OFFSET(A$1,,,SUMPRODUCT(MAX(ROW(E$1:E775)*(E2=E$1:E775))))))</f>
        <v> </v>
      </c>
      <c r="K776" s="25" t="str">
        <f>IF(OR(E776="",E776="!!!",F776="NEW"),"",INDEX(J$1:J775,SUMPRODUCT(MAX(ROW(E$1:E775)*(E776=E$1:E775)))))</f>
        <v> </v>
      </c>
      <c r="L776" s="26"/>
    </row>
    <row r="777" spans="1:12">
      <c r="A777" s="20" t="s">
        <v>870</v>
      </c>
      <c r="E777" s="21">
        <f>IF(D777="?OLD","!!!","")</f>
        <v/>
      </c>
      <c r="F777" s="22" t="str">
        <f>IF(OR(E777="",E777="!!!"),"",IF(NOT(ISNA(VLOOKUP(E777,E$1:E776,1,FALSE()))),"OLD",IF(AND(E777&lt;&gt;"",E777&lt;&gt;"!!!"),"NEW","")))</f>
        <v> </v>
      </c>
      <c r="G777" s="23" t="str">
        <f>IF(OR(E777="",E777="!!!"),"",IF(OR(J777=0,AND(J777=1,K777=1),AND(J777=1,I777="SBJ"),AND(J777=1,I777=0)),"?IN_FOCUS",IF(J777&lt;=2,"?ACTIVATED",IF(J777&lt;&gt;"","?FAMILIAR",IF(F777="NEW",IF(ISNA(VLOOKUP(E777,#REF!,1,FALSE())),"?TYPE_IDENTIFIABLE","?REFERENTIAL"),"_")))))</f>
        <v> </v>
      </c>
      <c r="H777" s="24" t="str">
        <f>IF(J777&lt;&gt;1,"",IF(I777="SBJ","CB","?"))</f>
        <v> </v>
      </c>
      <c r="I777" s="25" t="str">
        <f>IF(OR(E777="",E777="!!!",F777="NEW"),"",INDEX(B776:B$2,-1+SUMPRODUCT(MAX(ROW(E776:E$2)*(E777=E776:E$2)))))</f>
        <v> </v>
      </c>
      <c r="J777" s="25" t="str">
        <f>IF(OR(E777="",E777="!!!",F777="NEW"),"",COUNTBLANK(OFFSET(A$1,,,SUMPRODUCT(MAX(ROW(E$2:E777)*(E777=E$2:E777)))))-COUNTBLANK(OFFSET(A$1,,,SUMPRODUCT(MAX(ROW(E$1:E776)*(E2=E$1:E776))))))</f>
        <v> </v>
      </c>
      <c r="K777" s="25" t="str">
        <f>IF(OR(E777="",E777="!!!",F777="NEW"),"",INDEX(J$1:J776,SUMPRODUCT(MAX(ROW(E$1:E776)*(E777=E$1:E776)))))</f>
        <v> </v>
      </c>
      <c r="L777" s="26"/>
    </row>
    <row r="778" spans="1:12">
      <c r="A778" s="20" t="s">
        <v>871</v>
      </c>
      <c r="E778" s="21">
        <f>IF(D778="?OLD","!!!","")</f>
        <v/>
      </c>
      <c r="F778" s="22" t="str">
        <f>IF(OR(E778="",E778="!!!"),"",IF(NOT(ISNA(VLOOKUP(E778,E$1:E777,1,FALSE()))),"OLD",IF(AND(E778&lt;&gt;"",E778&lt;&gt;"!!!"),"NEW","")))</f>
        <v> </v>
      </c>
      <c r="G778" s="23" t="str">
        <f>IF(OR(E778="",E778="!!!"),"",IF(OR(J778=0,AND(J778=1,K778=1),AND(J778=1,I778="SBJ"),AND(J778=1,I778=0)),"?IN_FOCUS",IF(J778&lt;=2,"?ACTIVATED",IF(J778&lt;&gt;"","?FAMILIAR",IF(F778="NEW",IF(ISNA(VLOOKUP(E778,#REF!,1,FALSE())),"?TYPE_IDENTIFIABLE","?REFERENTIAL"),"_")))))</f>
        <v> </v>
      </c>
      <c r="H778" s="24" t="str">
        <f>IF(J778&lt;&gt;1,"",IF(I778="SBJ","CB","?"))</f>
        <v> </v>
      </c>
      <c r="I778" s="25" t="str">
        <f>IF(OR(E778="",E778="!!!",F778="NEW"),"",INDEX(B777:B$2,-1+SUMPRODUCT(MAX(ROW(E777:E$2)*(E778=E777:E$2)))))</f>
        <v> </v>
      </c>
      <c r="J778" s="25" t="str">
        <f>IF(OR(E778="",E778="!!!",F778="NEW"),"",COUNTBLANK(OFFSET(A$1,,,SUMPRODUCT(MAX(ROW(E$2:E778)*(E778=E$2:E778)))))-COUNTBLANK(OFFSET(A$1,,,SUMPRODUCT(MAX(ROW(E$1:E777)*(E2=E$1:E777))))))</f>
        <v> </v>
      </c>
      <c r="K778" s="25" t="str">
        <f>IF(OR(E778="",E778="!!!",F778="NEW"),"",INDEX(J$1:J777,SUMPRODUCT(MAX(ROW(E$1:E777)*(E778=E$1:E777)))))</f>
        <v> </v>
      </c>
      <c r="L778" s="26"/>
    </row>
    <row r="779" spans="1:12">
      <c r="A779" s="20" t="s">
        <v>656</v>
      </c>
      <c r="E779" s="21">
        <f>IF(D779="?OLD","!!!","")</f>
        <v/>
      </c>
      <c r="F779" s="22" t="str">
        <f>IF(OR(E779="",E779="!!!"),"",IF(NOT(ISNA(VLOOKUP(E779,E$1:E778,1,FALSE()))),"OLD",IF(AND(E779&lt;&gt;"",E779&lt;&gt;"!!!"),"NEW","")))</f>
        <v> </v>
      </c>
      <c r="G779" s="23" t="str">
        <f>IF(OR(E779="",E779="!!!"),"",IF(OR(J779=0,AND(J779=1,K779=1),AND(J779=1,I779="SBJ"),AND(J779=1,I779=0)),"?IN_FOCUS",IF(J779&lt;=2,"?ACTIVATED",IF(J779&lt;&gt;"","?FAMILIAR",IF(F779="NEW",IF(ISNA(VLOOKUP(E779,#REF!,1,FALSE())),"?TYPE_IDENTIFIABLE","?REFERENTIAL"),"_")))))</f>
        <v> </v>
      </c>
      <c r="H779" s="24" t="str">
        <f>IF(J779&lt;&gt;1,"",IF(I779="SBJ","CB","?"))</f>
        <v> </v>
      </c>
      <c r="I779" s="25" t="str">
        <f>IF(OR(E779="",E779="!!!",F779="NEW"),"",INDEX(B778:B$2,-1+SUMPRODUCT(MAX(ROW(E778:E$2)*(E779=E778:E$2)))))</f>
        <v> </v>
      </c>
      <c r="J779" s="25" t="str">
        <f>IF(OR(E779="",E779="!!!",F779="NEW"),"",COUNTBLANK(OFFSET(A$1,,,SUMPRODUCT(MAX(ROW(E$2:E779)*(E779=E$2:E779)))))-COUNTBLANK(OFFSET(A$1,,,SUMPRODUCT(MAX(ROW(E$1:E778)*(E2=E$1:E778))))))</f>
        <v> </v>
      </c>
      <c r="K779" s="25" t="str">
        <f>IF(OR(E779="",E779="!!!",F779="NEW"),"",INDEX(J$1:J778,SUMPRODUCT(MAX(ROW(E$1:E778)*(E779=E$1:E778)))))</f>
        <v> </v>
      </c>
      <c r="L779" s="26"/>
    </row>
    <row r="780" spans="1:12">
      <c r="A780" s="20" t="s">
        <v>872</v>
      </c>
      <c r="E780" s="21">
        <f>IF(D780="?OLD","!!!","")</f>
        <v/>
      </c>
      <c r="F780" s="22" t="str">
        <f>IF(OR(E780="",E780="!!!"),"",IF(NOT(ISNA(VLOOKUP(E780,E$1:E779,1,FALSE()))),"OLD",IF(AND(E780&lt;&gt;"",E780&lt;&gt;"!!!"),"NEW","")))</f>
        <v> </v>
      </c>
      <c r="G780" s="23" t="str">
        <f>IF(OR(E780="",E780="!!!"),"",IF(OR(J780=0,AND(J780=1,K780=1),AND(J780=1,I780="SBJ"),AND(J780=1,I780=0)),"?IN_FOCUS",IF(J780&lt;=2,"?ACTIVATED",IF(J780&lt;&gt;"","?FAMILIAR",IF(F780="NEW",IF(ISNA(VLOOKUP(E780,#REF!,1,FALSE())),"?TYPE_IDENTIFIABLE","?REFERENTIAL"),"_")))))</f>
        <v> </v>
      </c>
      <c r="H780" s="24" t="str">
        <f>IF(J780&lt;&gt;1,"",IF(I780="SBJ","CB","?"))</f>
        <v> </v>
      </c>
      <c r="I780" s="25" t="str">
        <f>IF(OR(E780="",E780="!!!",F780="NEW"),"",INDEX(B779:B$2,-1+SUMPRODUCT(MAX(ROW(E779:E$2)*(E780=E779:E$2)))))</f>
        <v> </v>
      </c>
      <c r="J780" s="25" t="str">
        <f>IF(OR(E780="",E780="!!!",F780="NEW"),"",COUNTBLANK(OFFSET(A$1,,,SUMPRODUCT(MAX(ROW(E$2:E780)*(E780=E$2:E780)))))-COUNTBLANK(OFFSET(A$1,,,SUMPRODUCT(MAX(ROW(E$1:E779)*(E2=E$1:E779))))))</f>
        <v> </v>
      </c>
      <c r="K780" s="25" t="str">
        <f>IF(OR(E780="",E780="!!!",F780="NEW"),"",INDEX(J$1:J779,SUMPRODUCT(MAX(ROW(E$1:E779)*(E780=E$1:E779)))))</f>
        <v> </v>
      </c>
      <c r="L780" s="26"/>
    </row>
    <row r="781" spans="1:12">
      <c r="A781" s="20" t="s">
        <v>724</v>
      </c>
      <c r="E781" s="21">
        <f>IF(D781="?OLD","!!!","")</f>
        <v/>
      </c>
      <c r="F781" s="22" t="str">
        <f>IF(OR(E781="",E781="!!!"),"",IF(NOT(ISNA(VLOOKUP(E781,E$1:E780,1,FALSE()))),"OLD",IF(AND(E781&lt;&gt;"",E781&lt;&gt;"!!!"),"NEW","")))</f>
        <v> </v>
      </c>
      <c r="G781" s="23" t="str">
        <f>IF(OR(E781="",E781="!!!"),"",IF(OR(J781=0,AND(J781=1,K781=1),AND(J781=1,I781="SBJ"),AND(J781=1,I781=0)),"?IN_FOCUS",IF(J781&lt;=2,"?ACTIVATED",IF(J781&lt;&gt;"","?FAMILIAR",IF(F781="NEW",IF(ISNA(VLOOKUP(E781,#REF!,1,FALSE())),"?TYPE_IDENTIFIABLE","?REFERENTIAL"),"_")))))</f>
        <v> </v>
      </c>
      <c r="H781" s="24" t="str">
        <f>IF(J781&lt;&gt;1,"",IF(I781="SBJ","CB","?"))</f>
        <v> </v>
      </c>
      <c r="I781" s="25" t="str">
        <f>IF(OR(E781="",E781="!!!",F781="NEW"),"",INDEX(B780:B$2,-1+SUMPRODUCT(MAX(ROW(E780:E$2)*(E781=E780:E$2)))))</f>
        <v> </v>
      </c>
      <c r="J781" s="25" t="str">
        <f>IF(OR(E781="",E781="!!!",F781="NEW"),"",COUNTBLANK(OFFSET(A$1,,,SUMPRODUCT(MAX(ROW(E$2:E781)*(E781=E$2:E781)))))-COUNTBLANK(OFFSET(A$1,,,SUMPRODUCT(MAX(ROW(E$1:E780)*(E2=E$1:E780))))))</f>
        <v> </v>
      </c>
      <c r="K781" s="25" t="str">
        <f>IF(OR(E781="",E781="!!!",F781="NEW"),"",INDEX(J$1:J780,SUMPRODUCT(MAX(ROW(E$1:E780)*(E781=E$1:E780)))))</f>
        <v> </v>
      </c>
      <c r="L781" s="26"/>
    </row>
    <row r="782" spans="1:12">
      <c r="A782" s="20" t="s">
        <v>873</v>
      </c>
      <c r="B782" s="27" t="s">
        <v>874</v>
      </c>
      <c r="C782" s="27" t="s">
        <v>477</v>
      </c>
      <c r="D782" s="27" t="s">
        <v>478</v>
      </c>
      <c r="E782" s="21">
        <f>IF(D782="?OLD","!!!","")</f>
        <v/>
      </c>
      <c r="F782" s="22" t="str">
        <f>IF(OR(E782="",E782="!!!"),"",IF(NOT(ISNA(VLOOKUP(E782,E$1:E781,1,FALSE()))),"OLD",IF(AND(E782&lt;&gt;"",E782&lt;&gt;"!!!"),"NEW","")))</f>
        <v> </v>
      </c>
      <c r="G782" s="23" t="str">
        <f>IF(OR(E782="",E782="!!!"),"",IF(OR(J782=0,AND(J782=1,K782=1),AND(J782=1,I782="SBJ"),AND(J782=1,I782=0)),"?IN_FOCUS",IF(J782&lt;=2,"?ACTIVATED",IF(J782&lt;&gt;"","?FAMILIAR",IF(F782="NEW",IF(ISNA(VLOOKUP(E782,#REF!,1,FALSE())),"?TYPE_IDENTIFIABLE","?REFERENTIAL"),"_")))))</f>
        <v> </v>
      </c>
      <c r="H782" s="24" t="str">
        <f>IF(J782&lt;&gt;1,"",IF(I782="SBJ","CB","?"))</f>
        <v> </v>
      </c>
      <c r="I782" s="25" t="str">
        <f>IF(OR(E782="",E782="!!!",F782="NEW"),"",INDEX(B781:B$2,-1+SUMPRODUCT(MAX(ROW(E781:E$2)*(E782=E781:E$2)))))</f>
        <v> </v>
      </c>
      <c r="J782" s="25" t="str">
        <f>IF(OR(E782="",E782="!!!",F782="NEW"),"",COUNTBLANK(OFFSET(A$1,,,SUMPRODUCT(MAX(ROW(E$2:E782)*(E782=E$2:E782)))))-COUNTBLANK(OFFSET(A$1,,,SUMPRODUCT(MAX(ROW(E$1:E781)*(E2=E$1:E781))))))</f>
        <v> </v>
      </c>
      <c r="K782" s="25" t="str">
        <f>IF(OR(E782="",E782="!!!",F782="NEW"),"",INDEX(J$1:J781,SUMPRODUCT(MAX(ROW(E$1:E781)*(E782=E$1:E781)))))</f>
        <v> </v>
      </c>
      <c r="L782" s="26"/>
    </row>
    <row r="783" spans="1:12">
      <c r="A783" s="20" t="s">
        <v>875</v>
      </c>
      <c r="B783" s="27" t="s">
        <v>786</v>
      </c>
      <c r="E783" s="21">
        <f>IF(D783="?OLD","!!!","")</f>
        <v/>
      </c>
      <c r="F783" s="22" t="str">
        <f>IF(OR(E783="",E783="!!!"),"",IF(NOT(ISNA(VLOOKUP(E783,E$1:E782,1,FALSE()))),"OLD",IF(AND(E783&lt;&gt;"",E783&lt;&gt;"!!!"),"NEW","")))</f>
        <v> </v>
      </c>
      <c r="G783" s="23" t="str">
        <f>IF(OR(E783="",E783="!!!"),"",IF(OR(J783=0,AND(J783=1,K783=1),AND(J783=1,I783="SBJ"),AND(J783=1,I783=0)),"?IN_FOCUS",IF(J783&lt;=2,"?ACTIVATED",IF(J783&lt;&gt;"","?FAMILIAR",IF(F783="NEW",IF(ISNA(VLOOKUP(E783,#REF!,1,FALSE())),"?TYPE_IDENTIFIABLE","?REFERENTIAL"),"_")))))</f>
        <v> </v>
      </c>
      <c r="H783" s="24" t="str">
        <f>IF(J783&lt;&gt;1,"",IF(I783="SBJ","CB","?"))</f>
        <v> </v>
      </c>
      <c r="I783" s="25" t="str">
        <f>IF(OR(E783="",E783="!!!",F783="NEW"),"",INDEX(B782:B$2,-1+SUMPRODUCT(MAX(ROW(E782:E$2)*(E783=E782:E$2)))))</f>
        <v> </v>
      </c>
      <c r="J783" s="25" t="str">
        <f>IF(OR(E783="",E783="!!!",F783="NEW"),"",COUNTBLANK(OFFSET(A$1,,,SUMPRODUCT(MAX(ROW(E$2:E783)*(E783=E$2:E783)))))-COUNTBLANK(OFFSET(A$1,,,SUMPRODUCT(MAX(ROW(E$1:E782)*(E2=E$1:E782))))))</f>
        <v> </v>
      </c>
      <c r="K783" s="25" t="str">
        <f>IF(OR(E783="",E783="!!!",F783="NEW"),"",INDEX(J$1:J782,SUMPRODUCT(MAX(ROW(E$1:E782)*(E783=E$1:E782)))))</f>
        <v> </v>
      </c>
      <c r="L783" s="26"/>
    </row>
    <row r="784" spans="1:12">
      <c r="A784" s="20" t="s">
        <v>482</v>
      </c>
      <c r="E784" s="21">
        <f>IF(D784="?OLD","!!!","")</f>
        <v/>
      </c>
      <c r="F784" s="22" t="str">
        <f>IF(OR(E784="",E784="!!!"),"",IF(NOT(ISNA(VLOOKUP(E784,E$1:E783,1,FALSE()))),"OLD",IF(AND(E784&lt;&gt;"",E784&lt;&gt;"!!!"),"NEW","")))</f>
        <v> </v>
      </c>
      <c r="G784" s="23" t="str">
        <f>IF(OR(E784="",E784="!!!"),"",IF(OR(J784=0,AND(J784=1,K784=1),AND(J784=1,I784="SBJ"),AND(J784=1,I784=0)),"?IN_FOCUS",IF(J784&lt;=2,"?ACTIVATED",IF(J784&lt;&gt;"","?FAMILIAR",IF(F784="NEW",IF(ISNA(VLOOKUP(E784,#REF!,1,FALSE())),"?TYPE_IDENTIFIABLE","?REFERENTIAL"),"_")))))</f>
        <v> </v>
      </c>
      <c r="H784" s="24" t="str">
        <f>IF(J784&lt;&gt;1,"",IF(I784="SBJ","CB","?"))</f>
        <v> </v>
      </c>
      <c r="I784" s="25" t="str">
        <f>IF(OR(E784="",E784="!!!",F784="NEW"),"",INDEX(B783:B$2,-1+SUMPRODUCT(MAX(ROW(E783:E$2)*(E784=E783:E$2)))))</f>
        <v> </v>
      </c>
      <c r="J784" s="25" t="str">
        <f>IF(OR(E784="",E784="!!!",F784="NEW"),"",COUNTBLANK(OFFSET(A$1,,,SUMPRODUCT(MAX(ROW(E$2:E784)*(E784=E$2:E784)))))-COUNTBLANK(OFFSET(A$1,,,SUMPRODUCT(MAX(ROW(E$1:E783)*(E2=E$1:E783))))))</f>
        <v> </v>
      </c>
      <c r="K784" s="25" t="str">
        <f>IF(OR(E784="",E784="!!!",F784="NEW"),"",INDEX(J$1:J783,SUMPRODUCT(MAX(ROW(E$1:E783)*(E784=E$1:E783)))))</f>
        <v> </v>
      </c>
      <c r="L784" s="26"/>
    </row>
    <row r="785" spans="1:12">
      <c r="A785" s="20" t="s">
        <v>728</v>
      </c>
      <c r="B785" s="27" t="s">
        <v>723</v>
      </c>
      <c r="C785" s="27" t="s">
        <v>497</v>
      </c>
      <c r="D785" s="27" t="s">
        <v>478</v>
      </c>
      <c r="E785" s="21">
        <f>IF(D785="?OLD","!!!","")</f>
        <v/>
      </c>
      <c r="F785" s="22" t="str">
        <f>IF(OR(E785="",E785="!!!"),"",IF(NOT(ISNA(VLOOKUP(E785,E$1:E784,1,FALSE()))),"OLD",IF(AND(E785&lt;&gt;"",E785&lt;&gt;"!!!"),"NEW","")))</f>
        <v> </v>
      </c>
      <c r="G785" s="23" t="str">
        <f>IF(OR(E785="",E785="!!!"),"",IF(OR(J785=0,AND(J785=1,K785=1),AND(J785=1,I785="SBJ"),AND(J785=1,I785=0)),"?IN_FOCUS",IF(J785&lt;=2,"?ACTIVATED",IF(J785&lt;&gt;"","?FAMILIAR",IF(F785="NEW",IF(ISNA(VLOOKUP(E785,#REF!,1,FALSE())),"?TYPE_IDENTIFIABLE","?REFERENTIAL"),"_")))))</f>
        <v> </v>
      </c>
      <c r="H785" s="24" t="str">
        <f>IF(J785&lt;&gt;1,"",IF(I785="SBJ","CB","?"))</f>
        <v> </v>
      </c>
      <c r="I785" s="25" t="str">
        <f>IF(OR(E785="",E785="!!!",F785="NEW"),"",INDEX(B784:B$2,-1+SUMPRODUCT(MAX(ROW(E784:E$2)*(E785=E784:E$2)))))</f>
        <v> </v>
      </c>
      <c r="J785" s="25" t="str">
        <f>IF(OR(E785="",E785="!!!",F785="NEW"),"",COUNTBLANK(OFFSET(A$1,,,SUMPRODUCT(MAX(ROW(E$2:E785)*(E785=E$2:E785)))))-COUNTBLANK(OFFSET(A$1,,,SUMPRODUCT(MAX(ROW(E$1:E784)*(E2=E$1:E784))))))</f>
        <v> </v>
      </c>
      <c r="K785" s="25" t="str">
        <f>IF(OR(E785="",E785="!!!",F785="NEW"),"",INDEX(J$1:J784,SUMPRODUCT(MAX(ROW(E$1:E784)*(E785=E$1:E784)))))</f>
        <v> </v>
      </c>
      <c r="L785" s="26"/>
    </row>
    <row r="786" spans="1:12">
      <c r="A786" s="20" t="s">
        <v>876</v>
      </c>
      <c r="E786" s="21">
        <f>IF(D786="?OLD","!!!","")</f>
        <v/>
      </c>
      <c r="F786" s="22" t="str">
        <f>IF(OR(E786="",E786="!!!"),"",IF(NOT(ISNA(VLOOKUP(E786,E$1:E785,1,FALSE()))),"OLD",IF(AND(E786&lt;&gt;"",E786&lt;&gt;"!!!"),"NEW","")))</f>
        <v> </v>
      </c>
      <c r="G786" s="23" t="str">
        <f>IF(OR(E786="",E786="!!!"),"",IF(OR(J786=0,AND(J786=1,K786=1),AND(J786=1,I786="SBJ"),AND(J786=1,I786=0)),"?IN_FOCUS",IF(J786&lt;=2,"?ACTIVATED",IF(J786&lt;&gt;"","?FAMILIAR",IF(F786="NEW",IF(ISNA(VLOOKUP(E786,#REF!,1,FALSE())),"?TYPE_IDENTIFIABLE","?REFERENTIAL"),"_")))))</f>
        <v> </v>
      </c>
      <c r="H786" s="24" t="str">
        <f>IF(J786&lt;&gt;1,"",IF(I786="SBJ","CB","?"))</f>
        <v> </v>
      </c>
      <c r="I786" s="25" t="str">
        <f>IF(OR(E786="",E786="!!!",F786="NEW"),"",INDEX(B785:B$2,-1+SUMPRODUCT(MAX(ROW(E785:E$2)*(E786=E785:E$2)))))</f>
        <v> </v>
      </c>
      <c r="J786" s="25" t="str">
        <f>IF(OR(E786="",E786="!!!",F786="NEW"),"",COUNTBLANK(OFFSET(A$1,,,SUMPRODUCT(MAX(ROW(E$2:E786)*(E786=E$2:E786)))))-COUNTBLANK(OFFSET(A$1,,,SUMPRODUCT(MAX(ROW(E$1:E785)*(E2=E$1:E785))))))</f>
        <v> </v>
      </c>
      <c r="K786" s="25" t="str">
        <f>IF(OR(E786="",E786="!!!",F786="NEW"),"",INDEX(J$1:J785,SUMPRODUCT(MAX(ROW(E$1:E785)*(E786=E$1:E785)))))</f>
        <v> </v>
      </c>
      <c r="L786" s="26"/>
    </row>
    <row r="787" spans="1:12">
      <c r="A787" s="20" t="s">
        <v>877</v>
      </c>
      <c r="E787" s="21">
        <f>IF(D787="?OLD","!!!","")</f>
        <v/>
      </c>
      <c r="F787" s="22" t="str">
        <f>IF(OR(E787="",E787="!!!"),"",IF(NOT(ISNA(VLOOKUP(E787,E$1:E786,1,FALSE()))),"OLD",IF(AND(E787&lt;&gt;"",E787&lt;&gt;"!!!"),"NEW","")))</f>
        <v> </v>
      </c>
      <c r="G787" s="23" t="str">
        <f>IF(OR(E787="",E787="!!!"),"",IF(OR(J787=0,AND(J787=1,K787=1),AND(J787=1,I787="SBJ"),AND(J787=1,I787=0)),"?IN_FOCUS",IF(J787&lt;=2,"?ACTIVATED",IF(J787&lt;&gt;"","?FAMILIAR",IF(F787="NEW",IF(ISNA(VLOOKUP(E787,#REF!,1,FALSE())),"?TYPE_IDENTIFIABLE","?REFERENTIAL"),"_")))))</f>
        <v> </v>
      </c>
      <c r="H787" s="24" t="str">
        <f>IF(J787&lt;&gt;1,"",IF(I787="SBJ","CB","?"))</f>
        <v> </v>
      </c>
      <c r="I787" s="25" t="str">
        <f>IF(OR(E787="",E787="!!!",F787="NEW"),"",INDEX(B786:B$2,-1+SUMPRODUCT(MAX(ROW(E786:E$2)*(E787=E786:E$2)))))</f>
        <v> </v>
      </c>
      <c r="J787" s="25" t="str">
        <f>IF(OR(E787="",E787="!!!",F787="NEW"),"",COUNTBLANK(OFFSET(A$1,,,SUMPRODUCT(MAX(ROW(E$2:E787)*(E787=E$2:E787)))))-COUNTBLANK(OFFSET(A$1,,,SUMPRODUCT(MAX(ROW(E$1:E786)*(E2=E$1:E786))))))</f>
        <v> </v>
      </c>
      <c r="K787" s="25" t="str">
        <f>IF(OR(E787="",E787="!!!",F787="NEW"),"",INDEX(J$1:J786,SUMPRODUCT(MAX(ROW(E$1:E786)*(E787=E$1:E786)))))</f>
        <v> </v>
      </c>
      <c r="L787" s="26"/>
    </row>
    <row r="788" spans="1:12">
      <c r="A788" s="20" t="s">
        <v>878</v>
      </c>
      <c r="E788" s="21">
        <f>IF(D788="?OLD","!!!","")</f>
        <v/>
      </c>
      <c r="F788" s="22" t="str">
        <f>IF(OR(E788="",E788="!!!"),"",IF(NOT(ISNA(VLOOKUP(E788,E$1:E787,1,FALSE()))),"OLD",IF(AND(E788&lt;&gt;"",E788&lt;&gt;"!!!"),"NEW","")))</f>
        <v> </v>
      </c>
      <c r="G788" s="23" t="str">
        <f>IF(OR(E788="",E788="!!!"),"",IF(OR(J788=0,AND(J788=1,K788=1),AND(J788=1,I788="SBJ"),AND(J788=1,I788=0)),"?IN_FOCUS",IF(J788&lt;=2,"?ACTIVATED",IF(J788&lt;&gt;"","?FAMILIAR",IF(F788="NEW",IF(ISNA(VLOOKUP(E788,#REF!,1,FALSE())),"?TYPE_IDENTIFIABLE","?REFERENTIAL"),"_")))))</f>
        <v> </v>
      </c>
      <c r="H788" s="24" t="str">
        <f>IF(J788&lt;&gt;1,"",IF(I788="SBJ","CB","?"))</f>
        <v> </v>
      </c>
      <c r="I788" s="25" t="str">
        <f>IF(OR(E788="",E788="!!!",F788="NEW"),"",INDEX(B787:B$2,-1+SUMPRODUCT(MAX(ROW(E787:E$2)*(E788=E787:E$2)))))</f>
        <v> </v>
      </c>
      <c r="J788" s="25" t="str">
        <f>IF(OR(E788="",E788="!!!",F788="NEW"),"",COUNTBLANK(OFFSET(A$1,,,SUMPRODUCT(MAX(ROW(E$2:E788)*(E788=E$2:E788)))))-COUNTBLANK(OFFSET(A$1,,,SUMPRODUCT(MAX(ROW(E$1:E787)*(E2=E$1:E787))))))</f>
        <v> </v>
      </c>
      <c r="K788" s="25" t="str">
        <f>IF(OR(E788="",E788="!!!",F788="NEW"),"",INDEX(J$1:J787,SUMPRODUCT(MAX(ROW(E$1:E787)*(E788=E$1:E787)))))</f>
        <v> </v>
      </c>
      <c r="L788" s="26"/>
    </row>
    <row r="789" spans="1:12">
      <c r="A789" s="20" t="s">
        <v>879</v>
      </c>
      <c r="E789" s="21">
        <f>IF(D789="?OLD","!!!","")</f>
        <v/>
      </c>
      <c r="F789" s="22" t="str">
        <f>IF(OR(E789="",E789="!!!"),"",IF(NOT(ISNA(VLOOKUP(E789,E$1:E788,1,FALSE()))),"OLD",IF(AND(E789&lt;&gt;"",E789&lt;&gt;"!!!"),"NEW","")))</f>
        <v> </v>
      </c>
      <c r="G789" s="23" t="str">
        <f>IF(OR(E789="",E789="!!!"),"",IF(OR(J789=0,AND(J789=1,K789=1),AND(J789=1,I789="SBJ"),AND(J789=1,I789=0)),"?IN_FOCUS",IF(J789&lt;=2,"?ACTIVATED",IF(J789&lt;&gt;"","?FAMILIAR",IF(F789="NEW",IF(ISNA(VLOOKUP(E789,#REF!,1,FALSE())),"?TYPE_IDENTIFIABLE","?REFERENTIAL"),"_")))))</f>
        <v> </v>
      </c>
      <c r="H789" s="24" t="str">
        <f>IF(J789&lt;&gt;1,"",IF(I789="SBJ","CB","?"))</f>
        <v> </v>
      </c>
      <c r="I789" s="25" t="str">
        <f>IF(OR(E789="",E789="!!!",F789="NEW"),"",INDEX(B788:B$2,-1+SUMPRODUCT(MAX(ROW(E788:E$2)*(E789=E788:E$2)))))</f>
        <v> </v>
      </c>
      <c r="J789" s="25" t="str">
        <f>IF(OR(E789="",E789="!!!",F789="NEW"),"",COUNTBLANK(OFFSET(A$1,,,SUMPRODUCT(MAX(ROW(E$2:E789)*(E789=E$2:E789)))))-COUNTBLANK(OFFSET(A$1,,,SUMPRODUCT(MAX(ROW(E$1:E788)*(E2=E$1:E788))))))</f>
        <v> </v>
      </c>
      <c r="K789" s="25" t="str">
        <f>IF(OR(E789="",E789="!!!",F789="NEW"),"",INDEX(J$1:J788,SUMPRODUCT(MAX(ROW(E$1:E788)*(E789=E$1:E788)))))</f>
        <v> </v>
      </c>
      <c r="L789" s="26"/>
    </row>
    <row r="790" spans="1:12">
      <c r="A790" s="20" t="s">
        <v>253</v>
      </c>
      <c r="E790" s="21">
        <f>IF(D790="?OLD","!!!","")</f>
        <v/>
      </c>
      <c r="F790" s="22" t="str">
        <f>IF(OR(E790="",E790="!!!"),"",IF(NOT(ISNA(VLOOKUP(E790,E$1:E789,1,FALSE()))),"OLD",IF(AND(E790&lt;&gt;"",E790&lt;&gt;"!!!"),"NEW","")))</f>
        <v> </v>
      </c>
      <c r="G790" s="23" t="str">
        <f>IF(OR(E790="",E790="!!!"),"",IF(OR(J790=0,AND(J790=1,K790=1),AND(J790=1,I790="SBJ"),AND(J790=1,I790=0)),"?IN_FOCUS",IF(J790&lt;=2,"?ACTIVATED",IF(J790&lt;&gt;"","?FAMILIAR",IF(F790="NEW",IF(ISNA(VLOOKUP(E790,#REF!,1,FALSE())),"?TYPE_IDENTIFIABLE","?REFERENTIAL"),"_")))))</f>
        <v> </v>
      </c>
      <c r="H790" s="24" t="str">
        <f>IF(J790&lt;&gt;1,"",IF(I790="SBJ","CB","?"))</f>
        <v> </v>
      </c>
      <c r="I790" s="25" t="str">
        <f>IF(OR(E790="",E790="!!!",F790="NEW"),"",INDEX(B789:B$2,-1+SUMPRODUCT(MAX(ROW(E789:E$2)*(E790=E789:E$2)))))</f>
        <v> </v>
      </c>
      <c r="J790" s="25" t="str">
        <f>IF(OR(E790="",E790="!!!",F790="NEW"),"",COUNTBLANK(OFFSET(A$1,,,SUMPRODUCT(MAX(ROW(E$2:E790)*(E790=E$2:E790)))))-COUNTBLANK(OFFSET(A$1,,,SUMPRODUCT(MAX(ROW(E$1:E789)*(E2=E$1:E789))))))</f>
        <v> </v>
      </c>
      <c r="K790" s="25" t="str">
        <f>IF(OR(E790="",E790="!!!",F790="NEW"),"",INDEX(J$1:J789,SUMPRODUCT(MAX(ROW(E$1:E789)*(E790=E$1:E789)))))</f>
        <v> </v>
      </c>
      <c r="L790" s="26"/>
    </row>
    <row r="791" spans="1:12">
      <c r="A791" s="20"/>
    </row>
    <row r="792" spans="1:12">
      <c r="A792" s="20" t="s">
        <v>880</v>
      </c>
    </row>
    <row r="793" spans="1:12">
      <c r="A793" s="20" t="s">
        <v>881</v>
      </c>
      <c r="E793" s="21">
        <f>IF(D793="?OLD","!!!","")</f>
        <v/>
      </c>
      <c r="F793" s="22" t="str">
        <f>IF(OR(E793="",E793="!!!"),"",IF(NOT(ISNA(VLOOKUP(E793,E$1:E792,1,FALSE()))),"OLD",IF(AND(E793&lt;&gt;"",E793&lt;&gt;"!!!"),"NEW","")))</f>
        <v> </v>
      </c>
      <c r="G793" s="23" t="str">
        <f>IF(OR(E793="",E793="!!!"),"",IF(OR(J793=0,AND(J793=1,K793=1),AND(J793=1,I793="SBJ"),AND(J793=1,I793=0)),"?IN_FOCUS",IF(J793&lt;=2,"?ACTIVATED",IF(J793&lt;&gt;"","?FAMILIAR",IF(F793="NEW",IF(ISNA(VLOOKUP(E793,#REF!,1,FALSE())),"?TYPE_IDENTIFIABLE","?REFERENTIAL"),"_")))))</f>
        <v> </v>
      </c>
      <c r="H793" s="24" t="str">
        <f>IF(J793&lt;&gt;1,"",IF(I793="SBJ","CB","?"))</f>
        <v> </v>
      </c>
      <c r="I793" s="25" t="str">
        <f>IF(OR(E793="",E793="!!!",F793="NEW"),"",INDEX(B792:B$2,-1+SUMPRODUCT(MAX(ROW(E792:E$2)*(E793=E792:E$2)))))</f>
        <v> </v>
      </c>
      <c r="J793" s="25" t="str">
        <f>IF(OR(E793="",E793="!!!",F793="NEW"),"",COUNTBLANK(OFFSET(A$1,,,SUMPRODUCT(MAX(ROW(E$2:E793)*(E793=E$2:E793)))))-COUNTBLANK(OFFSET(A$1,,,SUMPRODUCT(MAX(ROW(E$1:E792)*(E2=E$1:E792))))))</f>
        <v> </v>
      </c>
      <c r="K793" s="25" t="str">
        <f>IF(OR(E793="",E793="!!!",F793="NEW"),"",INDEX(J$1:J792,SUMPRODUCT(MAX(ROW(E$1:E792)*(E793=E$1:E792)))))</f>
        <v> </v>
      </c>
      <c r="L793" s="26"/>
    </row>
    <row r="794" spans="1:12">
      <c r="A794" s="20" t="s">
        <v>724</v>
      </c>
      <c r="E794" s="21">
        <f>IF(D794="?OLD","!!!","")</f>
        <v/>
      </c>
      <c r="F794" s="22" t="str">
        <f>IF(OR(E794="",E794="!!!"),"",IF(NOT(ISNA(VLOOKUP(E794,E$1:E793,1,FALSE()))),"OLD",IF(AND(E794&lt;&gt;"",E794&lt;&gt;"!!!"),"NEW","")))</f>
        <v> </v>
      </c>
      <c r="G794" s="23" t="str">
        <f>IF(OR(E794="",E794="!!!"),"",IF(OR(J794=0,AND(J794=1,K794=1),AND(J794=1,I794="SBJ"),AND(J794=1,I794=0)),"?IN_FOCUS",IF(J794&lt;=2,"?ACTIVATED",IF(J794&lt;&gt;"","?FAMILIAR",IF(F794="NEW",IF(ISNA(VLOOKUP(E794,#REF!,1,FALSE())),"?TYPE_IDENTIFIABLE","?REFERENTIAL"),"_")))))</f>
        <v> </v>
      </c>
      <c r="H794" s="24" t="str">
        <f>IF(J794&lt;&gt;1,"",IF(I794="SBJ","CB","?"))</f>
        <v> </v>
      </c>
      <c r="I794" s="25" t="str">
        <f>IF(OR(E794="",E794="!!!",F794="NEW"),"",INDEX(B793:B$2,-1+SUMPRODUCT(MAX(ROW(E793:E$2)*(E794=E793:E$2)))))</f>
        <v> </v>
      </c>
      <c r="J794" s="25" t="str">
        <f>IF(OR(E794="",E794="!!!",F794="NEW"),"",COUNTBLANK(OFFSET(A$1,,,SUMPRODUCT(MAX(ROW(E$2:E794)*(E794=E$2:E794)))))-COUNTBLANK(OFFSET(A$1,,,SUMPRODUCT(MAX(ROW(E$1:E793)*(E2=E$1:E793))))))</f>
        <v> </v>
      </c>
      <c r="K794" s="25" t="str">
        <f>IF(OR(E794="",E794="!!!",F794="NEW"),"",INDEX(J$1:J793,SUMPRODUCT(MAX(ROW(E$1:E793)*(E794=E$1:E793)))))</f>
        <v> </v>
      </c>
      <c r="L794" s="26"/>
    </row>
    <row r="795" spans="1:12">
      <c r="A795" s="20" t="s">
        <v>79</v>
      </c>
      <c r="B795" s="27" t="s">
        <v>473</v>
      </c>
      <c r="C795" s="27" t="s">
        <v>497</v>
      </c>
      <c r="D795" s="27" t="s">
        <v>478</v>
      </c>
      <c r="E795" s="21">
        <f>IF(D795="?OLD","!!!","")</f>
        <v/>
      </c>
      <c r="F795" s="22" t="str">
        <f>IF(OR(E795="",E795="!!!"),"",IF(NOT(ISNA(VLOOKUP(E795,E$1:E794,1,FALSE()))),"OLD",IF(AND(E795&lt;&gt;"",E795&lt;&gt;"!!!"),"NEW","")))</f>
        <v> </v>
      </c>
      <c r="G795" s="23" t="str">
        <f>IF(OR(E795="",E795="!!!"),"",IF(OR(J795=0,AND(J795=1,K795=1),AND(J795=1,I795="SBJ"),AND(J795=1,I795=0)),"?IN_FOCUS",IF(J795&lt;=2,"?ACTIVATED",IF(J795&lt;&gt;"","?FAMILIAR",IF(F795="NEW",IF(ISNA(VLOOKUP(E795,#REF!,1,FALSE())),"?TYPE_IDENTIFIABLE","?REFERENTIAL"),"_")))))</f>
        <v> </v>
      </c>
      <c r="H795" s="24" t="str">
        <f>IF(J795&lt;&gt;1,"",IF(I795="SBJ","CB","?"))</f>
        <v> </v>
      </c>
      <c r="I795" s="25" t="str">
        <f>IF(OR(E795="",E795="!!!",F795="NEW"),"",INDEX(B794:B$2,-1+SUMPRODUCT(MAX(ROW(E794:E$2)*(E795=E794:E$2)))))</f>
        <v> </v>
      </c>
      <c r="J795" s="25" t="str">
        <f>IF(OR(E795="",E795="!!!",F795="NEW"),"",COUNTBLANK(OFFSET(A$1,,,SUMPRODUCT(MAX(ROW(E$2:E795)*(E795=E$2:E795)))))-COUNTBLANK(OFFSET(A$1,,,SUMPRODUCT(MAX(ROW(E$1:E794)*(E2=E$1:E794))))))</f>
        <v> </v>
      </c>
      <c r="K795" s="25" t="str">
        <f>IF(OR(E795="",E795="!!!",F795="NEW"),"",INDEX(J$1:J794,SUMPRODUCT(MAX(ROW(E$1:E794)*(E795=E$1:E794)))))</f>
        <v> </v>
      </c>
      <c r="L795" s="26"/>
    </row>
    <row r="796" spans="1:12">
      <c r="A796" s="20" t="s">
        <v>482</v>
      </c>
      <c r="E796" s="21">
        <f>IF(D796="?OLD","!!!","")</f>
        <v/>
      </c>
      <c r="F796" s="22" t="str">
        <f>IF(OR(E796="",E796="!!!"),"",IF(NOT(ISNA(VLOOKUP(E796,E$1:E795,1,FALSE()))),"OLD",IF(AND(E796&lt;&gt;"",E796&lt;&gt;"!!!"),"NEW","")))</f>
        <v> </v>
      </c>
      <c r="G796" s="23" t="str">
        <f>IF(OR(E796="",E796="!!!"),"",IF(OR(J796=0,AND(J796=1,K796=1),AND(J796=1,I796="SBJ"),AND(J796=1,I796=0)),"?IN_FOCUS",IF(J796&lt;=2,"?ACTIVATED",IF(J796&lt;&gt;"","?FAMILIAR",IF(F796="NEW",IF(ISNA(VLOOKUP(E796,#REF!,1,FALSE())),"?TYPE_IDENTIFIABLE","?REFERENTIAL"),"_")))))</f>
        <v> </v>
      </c>
      <c r="H796" s="24" t="str">
        <f>IF(J796&lt;&gt;1,"",IF(I796="SBJ","CB","?"))</f>
        <v> </v>
      </c>
      <c r="I796" s="25" t="str">
        <f>IF(OR(E796="",E796="!!!",F796="NEW"),"",INDEX(B795:B$2,-1+SUMPRODUCT(MAX(ROW(E795:E$2)*(E796=E795:E$2)))))</f>
        <v> </v>
      </c>
      <c r="J796" s="25" t="str">
        <f>IF(OR(E796="",E796="!!!",F796="NEW"),"",COUNTBLANK(OFFSET(A$1,,,SUMPRODUCT(MAX(ROW(E$2:E796)*(E796=E$2:E796)))))-COUNTBLANK(OFFSET(A$1,,,SUMPRODUCT(MAX(ROW(E$1:E795)*(E2=E$1:E795))))))</f>
        <v> </v>
      </c>
      <c r="K796" s="25" t="str">
        <f>IF(OR(E796="",E796="!!!",F796="NEW"),"",INDEX(J$1:J795,SUMPRODUCT(MAX(ROW(E$1:E795)*(E796=E$1:E795)))))</f>
        <v> </v>
      </c>
      <c r="L796" s="26"/>
    </row>
    <row r="797" spans="1:12">
      <c r="A797" s="20" t="s">
        <v>218</v>
      </c>
      <c r="E797" s="21">
        <f>IF(D797="?OLD","!!!","")</f>
        <v/>
      </c>
      <c r="F797" s="22" t="str">
        <f>IF(OR(E797="",E797="!!!"),"",IF(NOT(ISNA(VLOOKUP(E797,E$1:E796,1,FALSE()))),"OLD",IF(AND(E797&lt;&gt;"",E797&lt;&gt;"!!!"),"NEW","")))</f>
        <v> </v>
      </c>
      <c r="G797" s="23" t="str">
        <f>IF(OR(E797="",E797="!!!"),"",IF(OR(J797=0,AND(J797=1,K797=1),AND(J797=1,I797="SBJ"),AND(J797=1,I797=0)),"?IN_FOCUS",IF(J797&lt;=2,"?ACTIVATED",IF(J797&lt;&gt;"","?FAMILIAR",IF(F797="NEW",IF(ISNA(VLOOKUP(E797,#REF!,1,FALSE())),"?TYPE_IDENTIFIABLE","?REFERENTIAL"),"_")))))</f>
        <v> </v>
      </c>
      <c r="H797" s="24" t="str">
        <f>IF(J797&lt;&gt;1,"",IF(I797="SBJ","CB","?"))</f>
        <v> </v>
      </c>
      <c r="I797" s="25" t="str">
        <f>IF(OR(E797="",E797="!!!",F797="NEW"),"",INDEX(B796:B$2,-1+SUMPRODUCT(MAX(ROW(E796:E$2)*(E797=E796:E$2)))))</f>
        <v> </v>
      </c>
      <c r="J797" s="25" t="str">
        <f>IF(OR(E797="",E797="!!!",F797="NEW"),"",COUNTBLANK(OFFSET(A$1,,,SUMPRODUCT(MAX(ROW(E$2:E797)*(E797=E$2:E797)))))-COUNTBLANK(OFFSET(A$1,,,SUMPRODUCT(MAX(ROW(E$1:E796)*(E2=E$1:E796))))))</f>
        <v> </v>
      </c>
      <c r="K797" s="25" t="str">
        <f>IF(OR(E797="",E797="!!!",F797="NEW"),"",INDEX(J$1:J796,SUMPRODUCT(MAX(ROW(E$1:E796)*(E797=E$1:E796)))))</f>
        <v> </v>
      </c>
      <c r="L797" s="26"/>
    </row>
    <row r="798" spans="1:12">
      <c r="A798" s="20" t="s">
        <v>882</v>
      </c>
      <c r="E798" s="21">
        <f>IF(D798="?OLD","!!!","")</f>
        <v/>
      </c>
      <c r="F798" s="22" t="str">
        <f>IF(OR(E798="",E798="!!!"),"",IF(NOT(ISNA(VLOOKUP(E798,E$1:E797,1,FALSE()))),"OLD",IF(AND(E798&lt;&gt;"",E798&lt;&gt;"!!!"),"NEW","")))</f>
        <v> </v>
      </c>
      <c r="G798" s="23" t="str">
        <f>IF(OR(E798="",E798="!!!"),"",IF(OR(J798=0,AND(J798=1,K798=1),AND(J798=1,I798="SBJ"),AND(J798=1,I798=0)),"?IN_FOCUS",IF(J798&lt;=2,"?ACTIVATED",IF(J798&lt;&gt;"","?FAMILIAR",IF(F798="NEW",IF(ISNA(VLOOKUP(E798,#REF!,1,FALSE())),"?TYPE_IDENTIFIABLE","?REFERENTIAL"),"_")))))</f>
        <v> </v>
      </c>
      <c r="H798" s="24" t="str">
        <f>IF(J798&lt;&gt;1,"",IF(I798="SBJ","CB","?"))</f>
        <v> </v>
      </c>
      <c r="I798" s="25" t="str">
        <f>IF(OR(E798="",E798="!!!",F798="NEW"),"",INDEX(B797:B$2,-1+SUMPRODUCT(MAX(ROW(E797:E$2)*(E798=E797:E$2)))))</f>
        <v> </v>
      </c>
      <c r="J798" s="25" t="str">
        <f>IF(OR(E798="",E798="!!!",F798="NEW"),"",COUNTBLANK(OFFSET(A$1,,,SUMPRODUCT(MAX(ROW(E$2:E798)*(E798=E$2:E798)))))-COUNTBLANK(OFFSET(A$1,,,SUMPRODUCT(MAX(ROW(E$1:E797)*(E2=E$1:E797))))))</f>
        <v> </v>
      </c>
      <c r="K798" s="25" t="str">
        <f>IF(OR(E798="",E798="!!!",F798="NEW"),"",INDEX(J$1:J797,SUMPRODUCT(MAX(ROW(E$1:E797)*(E798=E$1:E797)))))</f>
        <v> </v>
      </c>
      <c r="L798" s="26"/>
    </row>
    <row r="799" spans="1:12">
      <c r="A799" s="20" t="s">
        <v>883</v>
      </c>
      <c r="B799" s="27" t="s">
        <v>538</v>
      </c>
      <c r="E799" s="21">
        <f>IF(D799="?OLD","!!!","")</f>
        <v/>
      </c>
      <c r="F799" s="22" t="str">
        <f>IF(OR(E799="",E799="!!!"),"",IF(NOT(ISNA(VLOOKUP(E799,E$1:E798,1,FALSE()))),"OLD",IF(AND(E799&lt;&gt;"",E799&lt;&gt;"!!!"),"NEW","")))</f>
        <v> </v>
      </c>
      <c r="G799" s="23" t="str">
        <f>IF(OR(E799="",E799="!!!"),"",IF(OR(J799=0,AND(J799=1,K799=1),AND(J799=1,I799="SBJ"),AND(J799=1,I799=0)),"?IN_FOCUS",IF(J799&lt;=2,"?ACTIVATED",IF(J799&lt;&gt;"","?FAMILIAR",IF(F799="NEW",IF(ISNA(VLOOKUP(E799,#REF!,1,FALSE())),"?TYPE_IDENTIFIABLE","?REFERENTIAL"),"_")))))</f>
        <v> </v>
      </c>
      <c r="H799" s="24" t="str">
        <f>IF(J799&lt;&gt;1,"",IF(I799="SBJ","CB","?"))</f>
        <v> </v>
      </c>
      <c r="I799" s="25" t="str">
        <f>IF(OR(E799="",E799="!!!",F799="NEW"),"",INDEX(B798:B$2,-1+SUMPRODUCT(MAX(ROW(E798:E$2)*(E799=E798:E$2)))))</f>
        <v> </v>
      </c>
      <c r="J799" s="25" t="str">
        <f>IF(OR(E799="",E799="!!!",F799="NEW"),"",COUNTBLANK(OFFSET(A$1,,,SUMPRODUCT(MAX(ROW(E$2:E799)*(E799=E$2:E799)))))-COUNTBLANK(OFFSET(A$1,,,SUMPRODUCT(MAX(ROW(E$1:E798)*(E2=E$1:E798))))))</f>
        <v> </v>
      </c>
      <c r="K799" s="25" t="str">
        <f>IF(OR(E799="",E799="!!!",F799="NEW"),"",INDEX(J$1:J798,SUMPRODUCT(MAX(ROW(E$1:E798)*(E799=E$1:E798)))))</f>
        <v> </v>
      </c>
      <c r="L799" s="26"/>
    </row>
    <row r="800" spans="1:12">
      <c r="A800" s="20" t="s">
        <v>709</v>
      </c>
      <c r="E800" s="21">
        <f>IF(D800="?OLD","!!!","")</f>
        <v/>
      </c>
      <c r="F800" s="22" t="str">
        <f>IF(OR(E800="",E800="!!!"),"",IF(NOT(ISNA(VLOOKUP(E800,E$1:E799,1,FALSE()))),"OLD",IF(AND(E800&lt;&gt;"",E800&lt;&gt;"!!!"),"NEW","")))</f>
        <v> </v>
      </c>
      <c r="G800" s="23" t="str">
        <f>IF(OR(E800="",E800="!!!"),"",IF(OR(J800=0,AND(J800=1,K800=1),AND(J800=1,I800="SBJ"),AND(J800=1,I800=0)),"?IN_FOCUS",IF(J800&lt;=2,"?ACTIVATED",IF(J800&lt;&gt;"","?FAMILIAR",IF(F800="NEW",IF(ISNA(VLOOKUP(E800,#REF!,1,FALSE())),"?TYPE_IDENTIFIABLE","?REFERENTIAL"),"_")))))</f>
        <v> </v>
      </c>
      <c r="H800" s="24" t="str">
        <f>IF(J800&lt;&gt;1,"",IF(I800="SBJ","CB","?"))</f>
        <v> </v>
      </c>
      <c r="I800" s="25" t="str">
        <f>IF(OR(E800="",E800="!!!",F800="NEW"),"",INDEX(B799:B$2,-1+SUMPRODUCT(MAX(ROW(E799:E$2)*(E800=E799:E$2)))))</f>
        <v> </v>
      </c>
      <c r="J800" s="25" t="str">
        <f>IF(OR(E800="",E800="!!!",F800="NEW"),"",COUNTBLANK(OFFSET(A$1,,,SUMPRODUCT(MAX(ROW(E$2:E800)*(E800=E$2:E800)))))-COUNTBLANK(OFFSET(A$1,,,SUMPRODUCT(MAX(ROW(E$1:E799)*(E2=E$1:E799))))))</f>
        <v> </v>
      </c>
      <c r="K800" s="25" t="str">
        <f>IF(OR(E800="",E800="!!!",F800="NEW"),"",INDEX(J$1:J799,SUMPRODUCT(MAX(ROW(E$1:E799)*(E800=E$1:E799)))))</f>
        <v> </v>
      </c>
      <c r="L800" s="26"/>
    </row>
    <row r="801" spans="1:12">
      <c r="A801" s="20" t="s">
        <v>884</v>
      </c>
      <c r="E801" s="21">
        <f>IF(D801="?OLD","!!!","")</f>
        <v/>
      </c>
      <c r="F801" s="22" t="str">
        <f>IF(OR(E801="",E801="!!!"),"",IF(NOT(ISNA(VLOOKUP(E801,E$1:E800,1,FALSE()))),"OLD",IF(AND(E801&lt;&gt;"",E801&lt;&gt;"!!!"),"NEW","")))</f>
        <v> </v>
      </c>
      <c r="G801" s="23" t="str">
        <f>IF(OR(E801="",E801="!!!"),"",IF(OR(J801=0,AND(J801=1,K801=1),AND(J801=1,I801="SBJ"),AND(J801=1,I801=0)),"?IN_FOCUS",IF(J801&lt;=2,"?ACTIVATED",IF(J801&lt;&gt;"","?FAMILIAR",IF(F801="NEW",IF(ISNA(VLOOKUP(E801,#REF!,1,FALSE())),"?TYPE_IDENTIFIABLE","?REFERENTIAL"),"_")))))</f>
        <v> </v>
      </c>
      <c r="H801" s="24" t="str">
        <f>IF(J801&lt;&gt;1,"",IF(I801="SBJ","CB","?"))</f>
        <v> </v>
      </c>
      <c r="I801" s="25" t="str">
        <f>IF(OR(E801="",E801="!!!",F801="NEW"),"",INDEX(B800:B$2,-1+SUMPRODUCT(MAX(ROW(E800:E$2)*(E801=E800:E$2)))))</f>
        <v> </v>
      </c>
      <c r="J801" s="25" t="str">
        <f>IF(OR(E801="",E801="!!!",F801="NEW"),"",COUNTBLANK(OFFSET(A$1,,,SUMPRODUCT(MAX(ROW(E$2:E801)*(E801=E$2:E801)))))-COUNTBLANK(OFFSET(A$1,,,SUMPRODUCT(MAX(ROW(E$1:E800)*(E2=E$1:E800))))))</f>
        <v> </v>
      </c>
      <c r="K801" s="25" t="str">
        <f>IF(OR(E801="",E801="!!!",F801="NEW"),"",INDEX(J$1:J800,SUMPRODUCT(MAX(ROW(E$1:E800)*(E801=E$1:E800)))))</f>
        <v> </v>
      </c>
      <c r="L801" s="26"/>
    </row>
    <row r="802" spans="1:12">
      <c r="A802" s="20" t="s">
        <v>885</v>
      </c>
      <c r="B802" s="27" t="s">
        <v>543</v>
      </c>
      <c r="C802" s="27" t="s">
        <v>690</v>
      </c>
      <c r="D802" s="27" t="s">
        <v>478</v>
      </c>
      <c r="E802" s="21">
        <f>IF(D802="?OLD","!!!","")</f>
        <v/>
      </c>
      <c r="F802" s="22" t="str">
        <f>IF(OR(E802="",E802="!!!"),"",IF(NOT(ISNA(VLOOKUP(E802,E$1:E801,1,FALSE()))),"OLD",IF(AND(E802&lt;&gt;"",E802&lt;&gt;"!!!"),"NEW","")))</f>
        <v> </v>
      </c>
      <c r="G802" s="23" t="str">
        <f>IF(OR(E802="",E802="!!!"),"",IF(OR(J802=0,AND(J802=1,K802=1),AND(J802=1,I802="SBJ"),AND(J802=1,I802=0)),"?IN_FOCUS",IF(J802&lt;=2,"?ACTIVATED",IF(J802&lt;&gt;"","?FAMILIAR",IF(F802="NEW",IF(ISNA(VLOOKUP(E802,#REF!,1,FALSE())),"?TYPE_IDENTIFIABLE","?REFERENTIAL"),"_")))))</f>
        <v> </v>
      </c>
      <c r="H802" s="24" t="str">
        <f>IF(J802&lt;&gt;1,"",IF(I802="SBJ","CB","?"))</f>
        <v> </v>
      </c>
      <c r="I802" s="25" t="str">
        <f>IF(OR(E802="",E802="!!!",F802="NEW"),"",INDEX(B801:B$2,-1+SUMPRODUCT(MAX(ROW(E801:E$2)*(E802=E801:E$2)))))</f>
        <v> </v>
      </c>
      <c r="J802" s="25" t="str">
        <f>IF(OR(E802="",E802="!!!",F802="NEW"),"",COUNTBLANK(OFFSET(A$1,,,SUMPRODUCT(MAX(ROW(E$2:E802)*(E802=E$2:E802)))))-COUNTBLANK(OFFSET(A$1,,,SUMPRODUCT(MAX(ROW(E$1:E801)*(E2=E$1:E801))))))</f>
        <v> </v>
      </c>
      <c r="K802" s="25" t="str">
        <f>IF(OR(E802="",E802="!!!",F802="NEW"),"",INDEX(J$1:J801,SUMPRODUCT(MAX(ROW(E$1:E801)*(E802=E$1:E801)))))</f>
        <v> </v>
      </c>
      <c r="L802" s="26"/>
    </row>
    <row r="803" spans="1:12">
      <c r="A803" s="20" t="s">
        <v>493</v>
      </c>
      <c r="E803" s="21">
        <f>IF(D803="?OLD","!!!","")</f>
        <v/>
      </c>
      <c r="F803" s="22" t="str">
        <f>IF(OR(E803="",E803="!!!"),"",IF(NOT(ISNA(VLOOKUP(E803,E$1:E802,1,FALSE()))),"OLD",IF(AND(E803&lt;&gt;"",E803&lt;&gt;"!!!"),"NEW","")))</f>
        <v> </v>
      </c>
      <c r="G803" s="23" t="str">
        <f>IF(OR(E803="",E803="!!!"),"",IF(OR(J803=0,AND(J803=1,K803=1),AND(J803=1,I803="SBJ"),AND(J803=1,I803=0)),"?IN_FOCUS",IF(J803&lt;=2,"?ACTIVATED",IF(J803&lt;&gt;"","?FAMILIAR",IF(F803="NEW",IF(ISNA(VLOOKUP(E803,#REF!,1,FALSE())),"?TYPE_IDENTIFIABLE","?REFERENTIAL"),"_")))))</f>
        <v> </v>
      </c>
      <c r="H803" s="24" t="str">
        <f>IF(J803&lt;&gt;1,"",IF(I803="SBJ","CB","?"))</f>
        <v> </v>
      </c>
      <c r="I803" s="25" t="str">
        <f>IF(OR(E803="",E803="!!!",F803="NEW"),"",INDEX(B802:B$2,-1+SUMPRODUCT(MAX(ROW(E802:E$2)*(E803=E802:E$2)))))</f>
        <v> </v>
      </c>
      <c r="J803" s="25" t="str">
        <f>IF(OR(E803="",E803="!!!",F803="NEW"),"",COUNTBLANK(OFFSET(A$1,,,SUMPRODUCT(MAX(ROW(E$2:E803)*(E803=E$2:E803)))))-COUNTBLANK(OFFSET(A$1,,,SUMPRODUCT(MAX(ROW(E$1:E802)*(E2=E$1:E802))))))</f>
        <v> </v>
      </c>
      <c r="K803" s="25" t="str">
        <f>IF(OR(E803="",E803="!!!",F803="NEW"),"",INDEX(J$1:J802,SUMPRODUCT(MAX(ROW(E$1:E802)*(E803=E$1:E802)))))</f>
        <v> </v>
      </c>
      <c r="L803" s="26"/>
    </row>
    <row r="804" spans="1:12">
      <c r="A804" s="20" t="s">
        <v>886</v>
      </c>
      <c r="E804" s="21">
        <f>IF(D804="?OLD","!!!","")</f>
        <v/>
      </c>
      <c r="F804" s="22" t="str">
        <f>IF(OR(E804="",E804="!!!"),"",IF(NOT(ISNA(VLOOKUP(E804,E$1:E803,1,FALSE()))),"OLD",IF(AND(E804&lt;&gt;"",E804&lt;&gt;"!!!"),"NEW","")))</f>
        <v> </v>
      </c>
      <c r="G804" s="23" t="str">
        <f>IF(OR(E804="",E804="!!!"),"",IF(OR(J804=0,AND(J804=1,K804=1),AND(J804=1,I804="SBJ"),AND(J804=1,I804=0)),"?IN_FOCUS",IF(J804&lt;=2,"?ACTIVATED",IF(J804&lt;&gt;"","?FAMILIAR",IF(F804="NEW",IF(ISNA(VLOOKUP(E804,#REF!,1,FALSE())),"?TYPE_IDENTIFIABLE","?REFERENTIAL"),"_")))))</f>
        <v> </v>
      </c>
      <c r="H804" s="24" t="str">
        <f>IF(J804&lt;&gt;1,"",IF(I804="SBJ","CB","?"))</f>
        <v> </v>
      </c>
      <c r="I804" s="25" t="str">
        <f>IF(OR(E804="",E804="!!!",F804="NEW"),"",INDEX(B803:B$2,-1+SUMPRODUCT(MAX(ROW(E803:E$2)*(E804=E803:E$2)))))</f>
        <v> </v>
      </c>
      <c r="J804" s="25" t="str">
        <f>IF(OR(E804="",E804="!!!",F804="NEW"),"",COUNTBLANK(OFFSET(A$1,,,SUMPRODUCT(MAX(ROW(E$2:E804)*(E804=E$2:E804)))))-COUNTBLANK(OFFSET(A$1,,,SUMPRODUCT(MAX(ROW(E$1:E803)*(E2=E$1:E803))))))</f>
        <v> </v>
      </c>
      <c r="K804" s="25" t="str">
        <f>IF(OR(E804="",E804="!!!",F804="NEW"),"",INDEX(J$1:J803,SUMPRODUCT(MAX(ROW(E$1:E803)*(E804=E$1:E803)))))</f>
        <v> </v>
      </c>
      <c r="L804" s="26"/>
    </row>
    <row r="805" spans="1:12">
      <c r="A805" s="20" t="s">
        <v>887</v>
      </c>
      <c r="E805" s="21">
        <f>IF(D805="?OLD","!!!","")</f>
        <v/>
      </c>
      <c r="F805" s="22" t="str">
        <f>IF(OR(E805="",E805="!!!"),"",IF(NOT(ISNA(VLOOKUP(E805,E$1:E804,1,FALSE()))),"OLD",IF(AND(E805&lt;&gt;"",E805&lt;&gt;"!!!"),"NEW","")))</f>
        <v> </v>
      </c>
      <c r="G805" s="23" t="str">
        <f>IF(OR(E805="",E805="!!!"),"",IF(OR(J805=0,AND(J805=1,K805=1),AND(J805=1,I805="SBJ"),AND(J805=1,I805=0)),"?IN_FOCUS",IF(J805&lt;=2,"?ACTIVATED",IF(J805&lt;&gt;"","?FAMILIAR",IF(F805="NEW",IF(ISNA(VLOOKUP(E805,#REF!,1,FALSE())),"?TYPE_IDENTIFIABLE","?REFERENTIAL"),"_")))))</f>
        <v> </v>
      </c>
      <c r="H805" s="24" t="str">
        <f>IF(J805&lt;&gt;1,"",IF(I805="SBJ","CB","?"))</f>
        <v> </v>
      </c>
      <c r="I805" s="25" t="str">
        <f>IF(OR(E805="",E805="!!!",F805="NEW"),"",INDEX(B804:B$2,-1+SUMPRODUCT(MAX(ROW(E804:E$2)*(E805=E804:E$2)))))</f>
        <v> </v>
      </c>
      <c r="J805" s="25" t="str">
        <f>IF(OR(E805="",E805="!!!",F805="NEW"),"",COUNTBLANK(OFFSET(A$1,,,SUMPRODUCT(MAX(ROW(E$2:E805)*(E805=E$2:E805)))))-COUNTBLANK(OFFSET(A$1,,,SUMPRODUCT(MAX(ROW(E$1:E804)*(E2=E$1:E804))))))</f>
        <v> </v>
      </c>
      <c r="K805" s="25" t="str">
        <f>IF(OR(E805="",E805="!!!",F805="NEW"),"",INDEX(J$1:J804,SUMPRODUCT(MAX(ROW(E$1:E804)*(E805=E$1:E804)))))</f>
        <v> </v>
      </c>
      <c r="L805" s="26"/>
    </row>
    <row r="806" spans="1:12">
      <c r="A806" s="20" t="s">
        <v>888</v>
      </c>
      <c r="E806" s="21">
        <f>IF(D806="?OLD","!!!","")</f>
        <v/>
      </c>
      <c r="F806" s="22" t="str">
        <f>IF(OR(E806="",E806="!!!"),"",IF(NOT(ISNA(VLOOKUP(E806,E$1:E805,1,FALSE()))),"OLD",IF(AND(E806&lt;&gt;"",E806&lt;&gt;"!!!"),"NEW","")))</f>
        <v> </v>
      </c>
      <c r="G806" s="23" t="str">
        <f>IF(OR(E806="",E806="!!!"),"",IF(OR(J806=0,AND(J806=1,K806=1),AND(J806=1,I806="SBJ"),AND(J806=1,I806=0)),"?IN_FOCUS",IF(J806&lt;=2,"?ACTIVATED",IF(J806&lt;&gt;"","?FAMILIAR",IF(F806="NEW",IF(ISNA(VLOOKUP(E806,#REF!,1,FALSE())),"?TYPE_IDENTIFIABLE","?REFERENTIAL"),"_")))))</f>
        <v> </v>
      </c>
      <c r="H806" s="24" t="str">
        <f>IF(J806&lt;&gt;1,"",IF(I806="SBJ","CB","?"))</f>
        <v> </v>
      </c>
      <c r="I806" s="25" t="str">
        <f>IF(OR(E806="",E806="!!!",F806="NEW"),"",INDEX(B805:B$2,-1+SUMPRODUCT(MAX(ROW(E805:E$2)*(E806=E805:E$2)))))</f>
        <v> </v>
      </c>
      <c r="J806" s="25" t="str">
        <f>IF(OR(E806="",E806="!!!",F806="NEW"),"",COUNTBLANK(OFFSET(A$1,,,SUMPRODUCT(MAX(ROW(E$2:E806)*(E806=E$2:E806)))))-COUNTBLANK(OFFSET(A$1,,,SUMPRODUCT(MAX(ROW(E$1:E805)*(E2=E$1:E805))))))</f>
        <v> </v>
      </c>
      <c r="K806" s="25" t="str">
        <f>IF(OR(E806="",E806="!!!",F806="NEW"),"",INDEX(J$1:J805,SUMPRODUCT(MAX(ROW(E$1:E805)*(E806=E$1:E805)))))</f>
        <v> </v>
      </c>
      <c r="L806" s="26"/>
    </row>
    <row r="807" spans="1:12">
      <c r="A807" s="20" t="s">
        <v>889</v>
      </c>
      <c r="B807" s="27" t="s">
        <v>511</v>
      </c>
      <c r="C807" s="27" t="s">
        <v>474</v>
      </c>
      <c r="E807" s="21">
        <f>IF(D807="?OLD","!!!","")</f>
        <v/>
      </c>
      <c r="F807" s="22" t="str">
        <f>IF(OR(E807="",E807="!!!"),"",IF(NOT(ISNA(VLOOKUP(E807,E$1:E806,1,FALSE()))),"OLD",IF(AND(E807&lt;&gt;"",E807&lt;&gt;"!!!"),"NEW","")))</f>
        <v> </v>
      </c>
      <c r="G807" s="23" t="str">
        <f>IF(OR(E807="",E807="!!!"),"",IF(OR(J807=0,AND(J807=1,K807=1),AND(J807=1,I807="SBJ"),AND(J807=1,I807=0)),"?IN_FOCUS",IF(J807&lt;=2,"?ACTIVATED",IF(J807&lt;&gt;"","?FAMILIAR",IF(F807="NEW",IF(ISNA(VLOOKUP(E807,#REF!,1,FALSE())),"?TYPE_IDENTIFIABLE","?REFERENTIAL"),"_")))))</f>
        <v> </v>
      </c>
      <c r="H807" s="24" t="str">
        <f>IF(J807&lt;&gt;1,"",IF(I807="SBJ","CB","?"))</f>
        <v> </v>
      </c>
      <c r="I807" s="25" t="str">
        <f>IF(OR(E807="",E807="!!!",F807="NEW"),"",INDEX(B806:B$2,-1+SUMPRODUCT(MAX(ROW(E806:E$2)*(E807=E806:E$2)))))</f>
        <v> </v>
      </c>
      <c r="J807" s="25" t="str">
        <f>IF(OR(E807="",E807="!!!",F807="NEW"),"",COUNTBLANK(OFFSET(A$1,,,SUMPRODUCT(MAX(ROW(E$2:E807)*(E807=E$2:E807)))))-COUNTBLANK(OFFSET(A$1,,,SUMPRODUCT(MAX(ROW(E$1:E806)*(E2=E$1:E806))))))</f>
        <v> </v>
      </c>
      <c r="K807" s="25" t="str">
        <f>IF(OR(E807="",E807="!!!",F807="NEW"),"",INDEX(J$1:J806,SUMPRODUCT(MAX(ROW(E$1:E806)*(E807=E$1:E806)))))</f>
        <v> </v>
      </c>
      <c r="L807" s="26"/>
    </row>
    <row r="808" spans="1:12">
      <c r="A808" s="20" t="s">
        <v>12</v>
      </c>
      <c r="E808" s="21">
        <f>IF(D808="?OLD","!!!","")</f>
        <v/>
      </c>
      <c r="F808" s="22" t="str">
        <f>IF(OR(E808="",E808="!!!"),"",IF(NOT(ISNA(VLOOKUP(E808,E$1:E807,1,FALSE()))),"OLD",IF(AND(E808&lt;&gt;"",E808&lt;&gt;"!!!"),"NEW","")))</f>
        <v> </v>
      </c>
      <c r="G808" s="23" t="str">
        <f>IF(OR(E808="",E808="!!!"),"",IF(OR(J808=0,AND(J808=1,K808=1),AND(J808=1,I808="SBJ"),AND(J808=1,I808=0)),"?IN_FOCUS",IF(J808&lt;=2,"?ACTIVATED",IF(J808&lt;&gt;"","?FAMILIAR",IF(F808="NEW",IF(ISNA(VLOOKUP(E808,#REF!,1,FALSE())),"?TYPE_IDENTIFIABLE","?REFERENTIAL"),"_")))))</f>
        <v> </v>
      </c>
      <c r="H808" s="24" t="str">
        <f>IF(J808&lt;&gt;1,"",IF(I808="SBJ","CB","?"))</f>
        <v> </v>
      </c>
      <c r="I808" s="25" t="str">
        <f>IF(OR(E808="",E808="!!!",F808="NEW"),"",INDEX(B807:B$2,-1+SUMPRODUCT(MAX(ROW(E807:E$2)*(E808=E807:E$2)))))</f>
        <v> </v>
      </c>
      <c r="J808" s="25" t="str">
        <f>IF(OR(E808="",E808="!!!",F808="NEW"),"",COUNTBLANK(OFFSET(A$1,,,SUMPRODUCT(MAX(ROW(E$2:E808)*(E808=E$2:E808)))))-COUNTBLANK(OFFSET(A$1,,,SUMPRODUCT(MAX(ROW(E$1:E807)*(E2=E$1:E807))))))</f>
        <v> </v>
      </c>
      <c r="K808" s="25" t="str">
        <f>IF(OR(E808="",E808="!!!",F808="NEW"),"",INDEX(J$1:J807,SUMPRODUCT(MAX(ROW(E$1:E807)*(E808=E$1:E807)))))</f>
        <v> </v>
      </c>
      <c r="L808" s="26"/>
    </row>
    <row r="809" spans="1:12">
      <c r="A809" s="20" t="s">
        <v>728</v>
      </c>
      <c r="B809" s="27" t="s">
        <v>476</v>
      </c>
      <c r="C809" s="27" t="s">
        <v>497</v>
      </c>
      <c r="D809" s="27" t="s">
        <v>478</v>
      </c>
      <c r="E809" s="21">
        <f>IF(D809="?OLD","!!!","")</f>
        <v/>
      </c>
      <c r="F809" s="22" t="str">
        <f>IF(OR(E809="",E809="!!!"),"",IF(NOT(ISNA(VLOOKUP(E809,E$1:E808,1,FALSE()))),"OLD",IF(AND(E809&lt;&gt;"",E809&lt;&gt;"!!!"),"NEW","")))</f>
        <v> </v>
      </c>
      <c r="G809" s="23" t="str">
        <f>IF(OR(E809="",E809="!!!"),"",IF(OR(J809=0,AND(J809=1,K809=1),AND(J809=1,I809="SBJ"),AND(J809=1,I809=0)),"?IN_FOCUS",IF(J809&lt;=2,"?ACTIVATED",IF(J809&lt;&gt;"","?FAMILIAR",IF(F809="NEW",IF(ISNA(VLOOKUP(E809,#REF!,1,FALSE())),"?TYPE_IDENTIFIABLE","?REFERENTIAL"),"_")))))</f>
        <v> </v>
      </c>
      <c r="H809" s="24" t="str">
        <f>IF(J809&lt;&gt;1,"",IF(I809="SBJ","CB","?"))</f>
        <v> </v>
      </c>
      <c r="I809" s="25" t="str">
        <f>IF(OR(E809="",E809="!!!",F809="NEW"),"",INDEX(B808:B$2,-1+SUMPRODUCT(MAX(ROW(E808:E$2)*(E809=E808:E$2)))))</f>
        <v> </v>
      </c>
      <c r="J809" s="25" t="str">
        <f>IF(OR(E809="",E809="!!!",F809="NEW"),"",COUNTBLANK(OFFSET(A$1,,,SUMPRODUCT(MAX(ROW(E$2:E809)*(E809=E$2:E809)))))-COUNTBLANK(OFFSET(A$1,,,SUMPRODUCT(MAX(ROW(E$1:E808)*(E2=E$1:E808))))))</f>
        <v> </v>
      </c>
      <c r="K809" s="25" t="str">
        <f>IF(OR(E809="",E809="!!!",F809="NEW"),"",INDEX(J$1:J808,SUMPRODUCT(MAX(ROW(E$1:E808)*(E809=E$1:E808)))))</f>
        <v> </v>
      </c>
      <c r="L809" s="26"/>
    </row>
    <row r="810" spans="1:12">
      <c r="A810" s="20" t="s">
        <v>803</v>
      </c>
      <c r="E810" s="21">
        <f>IF(D810="?OLD","!!!","")</f>
        <v/>
      </c>
      <c r="F810" s="22" t="str">
        <f>IF(OR(E810="",E810="!!!"),"",IF(NOT(ISNA(VLOOKUP(E810,E$1:E809,1,FALSE()))),"OLD",IF(AND(E810&lt;&gt;"",E810&lt;&gt;"!!!"),"NEW","")))</f>
        <v> </v>
      </c>
      <c r="G810" s="23" t="str">
        <f>IF(OR(E810="",E810="!!!"),"",IF(OR(J810=0,AND(J810=1,K810=1),AND(J810=1,I810="SBJ"),AND(J810=1,I810=0)),"?IN_FOCUS",IF(J810&lt;=2,"?ACTIVATED",IF(J810&lt;&gt;"","?FAMILIAR",IF(F810="NEW",IF(ISNA(VLOOKUP(E810,#REF!,1,FALSE())),"?TYPE_IDENTIFIABLE","?REFERENTIAL"),"_")))))</f>
        <v> </v>
      </c>
      <c r="H810" s="24" t="str">
        <f>IF(J810&lt;&gt;1,"",IF(I810="SBJ","CB","?"))</f>
        <v> </v>
      </c>
      <c r="I810" s="25" t="str">
        <f>IF(OR(E810="",E810="!!!",F810="NEW"),"",INDEX(B809:B$2,-1+SUMPRODUCT(MAX(ROW(E809:E$2)*(E810=E809:E$2)))))</f>
        <v> </v>
      </c>
      <c r="J810" s="25" t="str">
        <f>IF(OR(E810="",E810="!!!",F810="NEW"),"",COUNTBLANK(OFFSET(A$1,,,SUMPRODUCT(MAX(ROW(E$2:E810)*(E810=E$2:E810)))))-COUNTBLANK(OFFSET(A$1,,,SUMPRODUCT(MAX(ROW(E$1:E809)*(E2=E$1:E809))))))</f>
        <v> </v>
      </c>
      <c r="K810" s="25" t="str">
        <f>IF(OR(E810="",E810="!!!",F810="NEW"),"",INDEX(J$1:J809,SUMPRODUCT(MAX(ROW(E$1:E809)*(E810=E$1:E809)))))</f>
        <v> </v>
      </c>
      <c r="L810" s="26"/>
    </row>
    <row r="811" spans="1:12">
      <c r="A811" s="20" t="s">
        <v>804</v>
      </c>
      <c r="E811" s="21">
        <f>IF(D811="?OLD","!!!","")</f>
        <v/>
      </c>
      <c r="F811" s="22" t="str">
        <f>IF(OR(E811="",E811="!!!"),"",IF(NOT(ISNA(VLOOKUP(E811,E$1:E810,1,FALSE()))),"OLD",IF(AND(E811&lt;&gt;"",E811&lt;&gt;"!!!"),"NEW","")))</f>
        <v> </v>
      </c>
      <c r="G811" s="23" t="str">
        <f>IF(OR(E811="",E811="!!!"),"",IF(OR(J811=0,AND(J811=1,K811=1),AND(J811=1,I811="SBJ"),AND(J811=1,I811=0)),"?IN_FOCUS",IF(J811&lt;=2,"?ACTIVATED",IF(J811&lt;&gt;"","?FAMILIAR",IF(F811="NEW",IF(ISNA(VLOOKUP(E811,#REF!,1,FALSE())),"?TYPE_IDENTIFIABLE","?REFERENTIAL"),"_")))))</f>
        <v> </v>
      </c>
      <c r="H811" s="24" t="str">
        <f>IF(J811&lt;&gt;1,"",IF(I811="SBJ","CB","?"))</f>
        <v> </v>
      </c>
      <c r="I811" s="25" t="str">
        <f>IF(OR(E811="",E811="!!!",F811="NEW"),"",INDEX(B810:B$2,-1+SUMPRODUCT(MAX(ROW(E810:E$2)*(E811=E810:E$2)))))</f>
        <v> </v>
      </c>
      <c r="J811" s="25" t="str">
        <f>IF(OR(E811="",E811="!!!",F811="NEW"),"",COUNTBLANK(OFFSET(A$1,,,SUMPRODUCT(MAX(ROW(E$2:E811)*(E811=E$2:E811)))))-COUNTBLANK(OFFSET(A$1,,,SUMPRODUCT(MAX(ROW(E$1:E810)*(E2=E$1:E810))))))</f>
        <v> </v>
      </c>
      <c r="K811" s="25" t="str">
        <f>IF(OR(E811="",E811="!!!",F811="NEW"),"",INDEX(J$1:J810,SUMPRODUCT(MAX(ROW(E$1:E810)*(E811=E$1:E810)))))</f>
        <v> </v>
      </c>
      <c r="L811" s="26"/>
    </row>
    <row r="812" spans="1:12">
      <c r="A812" s="20" t="s">
        <v>519</v>
      </c>
      <c r="E812" s="21">
        <f>IF(D812="?OLD","!!!","")</f>
        <v/>
      </c>
      <c r="F812" s="22" t="str">
        <f>IF(OR(E812="",E812="!!!"),"",IF(NOT(ISNA(VLOOKUP(E812,E$1:E811,1,FALSE()))),"OLD",IF(AND(E812&lt;&gt;"",E812&lt;&gt;"!!!"),"NEW","")))</f>
        <v> </v>
      </c>
      <c r="G812" s="23" t="str">
        <f>IF(OR(E812="",E812="!!!"),"",IF(OR(J812=0,AND(J812=1,K812=1),AND(J812=1,I812="SBJ"),AND(J812=1,I812=0)),"?IN_FOCUS",IF(J812&lt;=2,"?ACTIVATED",IF(J812&lt;&gt;"","?FAMILIAR",IF(F812="NEW",IF(ISNA(VLOOKUP(E812,#REF!,1,FALSE())),"?TYPE_IDENTIFIABLE","?REFERENTIAL"),"_")))))</f>
        <v> </v>
      </c>
      <c r="H812" s="24" t="str">
        <f>IF(J812&lt;&gt;1,"",IF(I812="SBJ","CB","?"))</f>
        <v> </v>
      </c>
      <c r="I812" s="25" t="str">
        <f>IF(OR(E812="",E812="!!!",F812="NEW"),"",INDEX(B811:B$2,-1+SUMPRODUCT(MAX(ROW(E811:E$2)*(E812=E811:E$2)))))</f>
        <v> </v>
      </c>
      <c r="J812" s="25" t="str">
        <f>IF(OR(E812="",E812="!!!",F812="NEW"),"",COUNTBLANK(OFFSET(A$1,,,SUMPRODUCT(MAX(ROW(E$2:E812)*(E812=E$2:E812)))))-COUNTBLANK(OFFSET(A$1,,,SUMPRODUCT(MAX(ROW(E$1:E811)*(E2=E$1:E811))))))</f>
        <v> </v>
      </c>
      <c r="K812" s="25" t="str">
        <f>IF(OR(E812="",E812="!!!",F812="NEW"),"",INDEX(J$1:J811,SUMPRODUCT(MAX(ROW(E$1:E811)*(E812=E$1:E811)))))</f>
        <v> </v>
      </c>
      <c r="L812" s="26"/>
    </row>
    <row r="813" spans="1:12">
      <c r="A813" s="20" t="s">
        <v>890</v>
      </c>
      <c r="B813" s="27" t="s">
        <v>473</v>
      </c>
      <c r="C813" s="27" t="s">
        <v>795</v>
      </c>
      <c r="D813" s="27" t="s">
        <v>478</v>
      </c>
      <c r="E813" s="21">
        <f>IF(D813="?OLD","!!!","")</f>
        <v/>
      </c>
      <c r="F813" s="22" t="str">
        <f>IF(OR(E813="",E813="!!!"),"",IF(NOT(ISNA(VLOOKUP(E813,E$1:E812,1,FALSE()))),"OLD",IF(AND(E813&lt;&gt;"",E813&lt;&gt;"!!!"),"NEW","")))</f>
        <v> </v>
      </c>
      <c r="G813" s="23" t="str">
        <f>IF(OR(E813="",E813="!!!"),"",IF(OR(J813=0,AND(J813=1,K813=1),AND(J813=1,I813="SBJ"),AND(J813=1,I813=0)),"?IN_FOCUS",IF(J813&lt;=2,"?ACTIVATED",IF(J813&lt;&gt;"","?FAMILIAR",IF(F813="NEW",IF(ISNA(VLOOKUP(E813,#REF!,1,FALSE())),"?TYPE_IDENTIFIABLE","?REFERENTIAL"),"_")))))</f>
        <v> </v>
      </c>
      <c r="H813" s="24" t="str">
        <f>IF(J813&lt;&gt;1,"",IF(I813="SBJ","CB","?"))</f>
        <v> </v>
      </c>
      <c r="I813" s="25" t="str">
        <f>IF(OR(E813="",E813="!!!",F813="NEW"),"",INDEX(B812:B$2,-1+SUMPRODUCT(MAX(ROW(E812:E$2)*(E813=E812:E$2)))))</f>
        <v> </v>
      </c>
      <c r="J813" s="25" t="str">
        <f>IF(OR(E813="",E813="!!!",F813="NEW"),"",COUNTBLANK(OFFSET(A$1,,,SUMPRODUCT(MAX(ROW(E$2:E813)*(E813=E$2:E813)))))-COUNTBLANK(OFFSET(A$1,,,SUMPRODUCT(MAX(ROW(E$1:E812)*(E2=E$1:E812))))))</f>
        <v> </v>
      </c>
      <c r="K813" s="25" t="str">
        <f>IF(OR(E813="",E813="!!!",F813="NEW"),"",INDEX(J$1:J812,SUMPRODUCT(MAX(ROW(E$1:E812)*(E813=E$1:E812)))))</f>
        <v> </v>
      </c>
      <c r="L813" s="26"/>
    </row>
    <row r="814" spans="1:12">
      <c r="A814" s="20" t="s">
        <v>253</v>
      </c>
      <c r="E814" s="21">
        <f>IF(D814="?OLD","!!!","")</f>
        <v/>
      </c>
      <c r="F814" s="22" t="str">
        <f>IF(OR(E814="",E814="!!!"),"",IF(NOT(ISNA(VLOOKUP(E814,E$1:E813,1,FALSE()))),"OLD",IF(AND(E814&lt;&gt;"",E814&lt;&gt;"!!!"),"NEW","")))</f>
        <v> </v>
      </c>
      <c r="G814" s="23" t="str">
        <f>IF(OR(E814="",E814="!!!"),"",IF(OR(J814=0,AND(J814=1,K814=1),AND(J814=1,I814="SBJ"),AND(J814=1,I814=0)),"?IN_FOCUS",IF(J814&lt;=2,"?ACTIVATED",IF(J814&lt;&gt;"","?FAMILIAR",IF(F814="NEW",IF(ISNA(VLOOKUP(E814,#REF!,1,FALSE())),"?TYPE_IDENTIFIABLE","?REFERENTIAL"),"_")))))</f>
        <v> </v>
      </c>
      <c r="H814" s="24" t="str">
        <f>IF(J814&lt;&gt;1,"",IF(I814="SBJ","CB","?"))</f>
        <v> </v>
      </c>
      <c r="I814" s="25" t="str">
        <f>IF(OR(E814="",E814="!!!",F814="NEW"),"",INDEX(B813:B$2,-1+SUMPRODUCT(MAX(ROW(E813:E$2)*(E814=E813:E$2)))))</f>
        <v> </v>
      </c>
      <c r="J814" s="25" t="str">
        <f>IF(OR(E814="",E814="!!!",F814="NEW"),"",COUNTBLANK(OFFSET(A$1,,,SUMPRODUCT(MAX(ROW(E$2:E814)*(E814=E$2:E814)))))-COUNTBLANK(OFFSET(A$1,,,SUMPRODUCT(MAX(ROW(E$1:E813)*(E2=E$1:E813))))))</f>
        <v> </v>
      </c>
      <c r="K814" s="25" t="str">
        <f>IF(OR(E814="",E814="!!!",F814="NEW"),"",INDEX(J$1:J813,SUMPRODUCT(MAX(ROW(E$1:E813)*(E814=E$1:E813)))))</f>
        <v> </v>
      </c>
      <c r="L814" s="26"/>
    </row>
    <row r="815" spans="1:12">
      <c r="A815" s="20"/>
    </row>
    <row r="816" spans="1:12">
      <c r="A816" s="20" t="s">
        <v>891</v>
      </c>
    </row>
    <row r="817" spans="1:12">
      <c r="A817" s="20" t="s">
        <v>792</v>
      </c>
      <c r="E817" s="21">
        <f>IF(D817="?OLD","!!!","")</f>
        <v/>
      </c>
      <c r="F817" s="22" t="str">
        <f>IF(OR(E817="",E817="!!!"),"",IF(NOT(ISNA(VLOOKUP(E817,E$1:E816,1,FALSE()))),"OLD",IF(AND(E817&lt;&gt;"",E817&lt;&gt;"!!!"),"NEW","")))</f>
        <v> </v>
      </c>
      <c r="G817" s="23" t="str">
        <f>IF(OR(E817="",E817="!!!"),"",IF(OR(J817=0,AND(J817=1,K817=1),AND(J817=1,I817="SBJ"),AND(J817=1,I817=0)),"?IN_FOCUS",IF(J817&lt;=2,"?ACTIVATED",IF(J817&lt;&gt;"","?FAMILIAR",IF(F817="NEW",IF(ISNA(VLOOKUP(E817,#REF!,1,FALSE())),"?TYPE_IDENTIFIABLE","?REFERENTIAL"),"_")))))</f>
        <v> </v>
      </c>
      <c r="H817" s="24" t="str">
        <f>IF(J817&lt;&gt;1,"",IF(I817="SBJ","CB","?"))</f>
        <v> </v>
      </c>
      <c r="I817" s="25" t="str">
        <f>IF(OR(E817="",E817="!!!",F817="NEW"),"",INDEX(B816:B$2,-1+SUMPRODUCT(MAX(ROW(E816:E$2)*(E817=E816:E$2)))))</f>
        <v> </v>
      </c>
      <c r="J817" s="25" t="str">
        <f>IF(OR(E817="",E817="!!!",F817="NEW"),"",COUNTBLANK(OFFSET(A$1,,,SUMPRODUCT(MAX(ROW(E$2:E817)*(E817=E$2:E817)))))-COUNTBLANK(OFFSET(A$1,,,SUMPRODUCT(MAX(ROW(E$1:E816)*(E2=E$1:E816))))))</f>
        <v> </v>
      </c>
      <c r="K817" s="25" t="str">
        <f>IF(OR(E817="",E817="!!!",F817="NEW"),"",INDEX(J$1:J816,SUMPRODUCT(MAX(ROW(E$1:E816)*(E817=E$1:E816)))))</f>
        <v> </v>
      </c>
      <c r="L817" s="26"/>
    </row>
    <row r="818" spans="1:12">
      <c r="A818" s="20" t="s">
        <v>892</v>
      </c>
      <c r="E818" s="21">
        <f>IF(D818="?OLD","!!!","")</f>
        <v/>
      </c>
      <c r="F818" s="22" t="str">
        <f>IF(OR(E818="",E818="!!!"),"",IF(NOT(ISNA(VLOOKUP(E818,E$1:E817,1,FALSE()))),"OLD",IF(AND(E818&lt;&gt;"",E818&lt;&gt;"!!!"),"NEW","")))</f>
        <v> </v>
      </c>
      <c r="G818" s="23" t="str">
        <f>IF(OR(E818="",E818="!!!"),"",IF(OR(J818=0,AND(J818=1,K818=1),AND(J818=1,I818="SBJ"),AND(J818=1,I818=0)),"?IN_FOCUS",IF(J818&lt;=2,"?ACTIVATED",IF(J818&lt;&gt;"","?FAMILIAR",IF(F818="NEW",IF(ISNA(VLOOKUP(E818,#REF!,1,FALSE())),"?TYPE_IDENTIFIABLE","?REFERENTIAL"),"_")))))</f>
        <v> </v>
      </c>
      <c r="H818" s="24" t="str">
        <f>IF(J818&lt;&gt;1,"",IF(I818="SBJ","CB","?"))</f>
        <v> </v>
      </c>
      <c r="I818" s="25" t="str">
        <f>IF(OR(E818="",E818="!!!",F818="NEW"),"",INDEX(B817:B$2,-1+SUMPRODUCT(MAX(ROW(E817:E$2)*(E818=E817:E$2)))))</f>
        <v> </v>
      </c>
      <c r="J818" s="25" t="str">
        <f>IF(OR(E818="",E818="!!!",F818="NEW"),"",COUNTBLANK(OFFSET(A$1,,,SUMPRODUCT(MAX(ROW(E$2:E818)*(E818=E$2:E818)))))-COUNTBLANK(OFFSET(A$1,,,SUMPRODUCT(MAX(ROW(E$1:E817)*(E2=E$1:E817))))))</f>
        <v> </v>
      </c>
      <c r="K818" s="25" t="str">
        <f>IF(OR(E818="",E818="!!!",F818="NEW"),"",INDEX(J$1:J817,SUMPRODUCT(MAX(ROW(E$1:E817)*(E818=E$1:E817)))))</f>
        <v> </v>
      </c>
      <c r="L818" s="26"/>
    </row>
    <row r="819" spans="1:12">
      <c r="A819" s="20" t="s">
        <v>210</v>
      </c>
      <c r="B819" s="27" t="s">
        <v>476</v>
      </c>
      <c r="E819" s="21">
        <f>IF(D819="?OLD","!!!","")</f>
        <v/>
      </c>
      <c r="F819" s="22" t="str">
        <f>IF(OR(E819="",E819="!!!"),"",IF(NOT(ISNA(VLOOKUP(E819,E$1:E818,1,FALSE()))),"OLD",IF(AND(E819&lt;&gt;"",E819&lt;&gt;"!!!"),"NEW","")))</f>
        <v> </v>
      </c>
      <c r="G819" s="23" t="str">
        <f>IF(OR(E819="",E819="!!!"),"",IF(OR(J819=0,AND(J819=1,K819=1),AND(J819=1,I819="SBJ"),AND(J819=1,I819=0)),"?IN_FOCUS",IF(J819&lt;=2,"?ACTIVATED",IF(J819&lt;&gt;"","?FAMILIAR",IF(F819="NEW",IF(ISNA(VLOOKUP(E819,#REF!,1,FALSE())),"?TYPE_IDENTIFIABLE","?REFERENTIAL"),"_")))))</f>
        <v> </v>
      </c>
      <c r="H819" s="24" t="str">
        <f>IF(J819&lt;&gt;1,"",IF(I819="SBJ","CB","?"))</f>
        <v> </v>
      </c>
      <c r="I819" s="25" t="str">
        <f>IF(OR(E819="",E819="!!!",F819="NEW"),"",INDEX(B818:B$2,-1+SUMPRODUCT(MAX(ROW(E818:E$2)*(E819=E818:E$2)))))</f>
        <v> </v>
      </c>
      <c r="J819" s="25" t="str">
        <f>IF(OR(E819="",E819="!!!",F819="NEW"),"",COUNTBLANK(OFFSET(A$1,,,SUMPRODUCT(MAX(ROW(E$2:E819)*(E819=E$2:E819)))))-COUNTBLANK(OFFSET(A$1,,,SUMPRODUCT(MAX(ROW(E$1:E818)*(E2=E$1:E818))))))</f>
        <v> </v>
      </c>
      <c r="K819" s="25" t="str">
        <f>IF(OR(E819="",E819="!!!",F819="NEW"),"",INDEX(J$1:J818,SUMPRODUCT(MAX(ROW(E$1:E818)*(E819=E$1:E818)))))</f>
        <v> </v>
      </c>
      <c r="L819" s="26"/>
    </row>
    <row r="820" spans="1:12">
      <c r="A820" s="20" t="s">
        <v>493</v>
      </c>
      <c r="E820" s="21">
        <f>IF(D820="?OLD","!!!","")</f>
        <v/>
      </c>
      <c r="F820" s="22" t="str">
        <f>IF(OR(E820="",E820="!!!"),"",IF(NOT(ISNA(VLOOKUP(E820,E$1:E819,1,FALSE()))),"OLD",IF(AND(E820&lt;&gt;"",E820&lt;&gt;"!!!"),"NEW","")))</f>
        <v> </v>
      </c>
      <c r="G820" s="23" t="str">
        <f>IF(OR(E820="",E820="!!!"),"",IF(OR(J820=0,AND(J820=1,K820=1),AND(J820=1,I820="SBJ"),AND(J820=1,I820=0)),"?IN_FOCUS",IF(J820&lt;=2,"?ACTIVATED",IF(J820&lt;&gt;"","?FAMILIAR",IF(F820="NEW",IF(ISNA(VLOOKUP(E820,#REF!,1,FALSE())),"?TYPE_IDENTIFIABLE","?REFERENTIAL"),"_")))))</f>
        <v> </v>
      </c>
      <c r="H820" s="24" t="str">
        <f>IF(J820&lt;&gt;1,"",IF(I820="SBJ","CB","?"))</f>
        <v> </v>
      </c>
      <c r="I820" s="25" t="str">
        <f>IF(OR(E820="",E820="!!!",F820="NEW"),"",INDEX(B819:B$2,-1+SUMPRODUCT(MAX(ROW(E819:E$2)*(E820=E819:E$2)))))</f>
        <v> </v>
      </c>
      <c r="J820" s="25" t="str">
        <f>IF(OR(E820="",E820="!!!",F820="NEW"),"",COUNTBLANK(OFFSET(A$1,,,SUMPRODUCT(MAX(ROW(E$2:E820)*(E820=E$2:E820)))))-COUNTBLANK(OFFSET(A$1,,,SUMPRODUCT(MAX(ROW(E$1:E819)*(E2=E$1:E819))))))</f>
        <v> </v>
      </c>
      <c r="K820" s="25" t="str">
        <f>IF(OR(E820="",E820="!!!",F820="NEW"),"",INDEX(J$1:J819,SUMPRODUCT(MAX(ROW(E$1:E819)*(E820=E$1:E819)))))</f>
        <v> </v>
      </c>
      <c r="L820" s="26"/>
    </row>
    <row r="821" spans="1:12">
      <c r="A821" s="20" t="s">
        <v>265</v>
      </c>
      <c r="E821" s="21">
        <f>IF(D821="?OLD","!!!","")</f>
        <v/>
      </c>
      <c r="F821" s="22" t="str">
        <f>IF(OR(E821="",E821="!!!"),"",IF(NOT(ISNA(VLOOKUP(E821,E$1:E820,1,FALSE()))),"OLD",IF(AND(E821&lt;&gt;"",E821&lt;&gt;"!!!"),"NEW","")))</f>
        <v> </v>
      </c>
      <c r="G821" s="23" t="str">
        <f>IF(OR(E821="",E821="!!!"),"",IF(OR(J821=0,AND(J821=1,K821=1),AND(J821=1,I821="SBJ"),AND(J821=1,I821=0)),"?IN_FOCUS",IF(J821&lt;=2,"?ACTIVATED",IF(J821&lt;&gt;"","?FAMILIAR",IF(F821="NEW",IF(ISNA(VLOOKUP(E821,#REF!,1,FALSE())),"?TYPE_IDENTIFIABLE","?REFERENTIAL"),"_")))))</f>
        <v> </v>
      </c>
      <c r="H821" s="24" t="str">
        <f>IF(J821&lt;&gt;1,"",IF(I821="SBJ","CB","?"))</f>
        <v> </v>
      </c>
      <c r="I821" s="25" t="str">
        <f>IF(OR(E821="",E821="!!!",F821="NEW"),"",INDEX(B820:B$2,-1+SUMPRODUCT(MAX(ROW(E820:E$2)*(E821=E820:E$2)))))</f>
        <v> </v>
      </c>
      <c r="J821" s="25" t="str">
        <f>IF(OR(E821="",E821="!!!",F821="NEW"),"",COUNTBLANK(OFFSET(A$1,,,SUMPRODUCT(MAX(ROW(E$2:E821)*(E821=E$2:E821)))))-COUNTBLANK(OFFSET(A$1,,,SUMPRODUCT(MAX(ROW(E$1:E820)*(E2=E$1:E820))))))</f>
        <v> </v>
      </c>
      <c r="K821" s="25" t="str">
        <f>IF(OR(E821="",E821="!!!",F821="NEW"),"",INDEX(J$1:J820,SUMPRODUCT(MAX(ROW(E$1:E820)*(E821=E$1:E820)))))</f>
        <v> </v>
      </c>
      <c r="L821" s="26"/>
    </row>
    <row r="822" spans="1:12">
      <c r="A822" s="20" t="s">
        <v>893</v>
      </c>
      <c r="E822" s="21">
        <f>IF(D822="?OLD","!!!","")</f>
        <v/>
      </c>
      <c r="F822" s="22" t="str">
        <f>IF(OR(E822="",E822="!!!"),"",IF(NOT(ISNA(VLOOKUP(E822,E$1:E821,1,FALSE()))),"OLD",IF(AND(E822&lt;&gt;"",E822&lt;&gt;"!!!"),"NEW","")))</f>
        <v> </v>
      </c>
      <c r="G822" s="23" t="str">
        <f>IF(OR(E822="",E822="!!!"),"",IF(OR(J822=0,AND(J822=1,K822=1),AND(J822=1,I822="SBJ"),AND(J822=1,I822=0)),"?IN_FOCUS",IF(J822&lt;=2,"?ACTIVATED",IF(J822&lt;&gt;"","?FAMILIAR",IF(F822="NEW",IF(ISNA(VLOOKUP(E822,#REF!,1,FALSE())),"?TYPE_IDENTIFIABLE","?REFERENTIAL"),"_")))))</f>
        <v> </v>
      </c>
      <c r="H822" s="24" t="str">
        <f>IF(J822&lt;&gt;1,"",IF(I822="SBJ","CB","?"))</f>
        <v> </v>
      </c>
      <c r="I822" s="25" t="str">
        <f>IF(OR(E822="",E822="!!!",F822="NEW"),"",INDEX(B821:B$2,-1+SUMPRODUCT(MAX(ROW(E821:E$2)*(E822=E821:E$2)))))</f>
        <v> </v>
      </c>
      <c r="J822" s="25" t="str">
        <f>IF(OR(E822="",E822="!!!",F822="NEW"),"",COUNTBLANK(OFFSET(A$1,,,SUMPRODUCT(MAX(ROW(E$2:E822)*(E822=E$2:E822)))))-COUNTBLANK(OFFSET(A$1,,,SUMPRODUCT(MAX(ROW(E$1:E821)*(E2=E$1:E821))))))</f>
        <v> </v>
      </c>
      <c r="K822" s="25" t="str">
        <f>IF(OR(E822="",E822="!!!",F822="NEW"),"",INDEX(J$1:J821,SUMPRODUCT(MAX(ROW(E$1:E821)*(E822=E$1:E821)))))</f>
        <v> </v>
      </c>
      <c r="L822" s="26"/>
    </row>
    <row r="823" spans="1:12">
      <c r="A823" s="20" t="s">
        <v>482</v>
      </c>
      <c r="E823" s="21">
        <f>IF(D823="?OLD","!!!","")</f>
        <v/>
      </c>
      <c r="F823" s="22" t="str">
        <f>IF(OR(E823="",E823="!!!"),"",IF(NOT(ISNA(VLOOKUP(E823,E$1:E822,1,FALSE()))),"OLD",IF(AND(E823&lt;&gt;"",E823&lt;&gt;"!!!"),"NEW","")))</f>
        <v> </v>
      </c>
      <c r="G823" s="23" t="str">
        <f>IF(OR(E823="",E823="!!!"),"",IF(OR(J823=0,AND(J823=1,K823=1),AND(J823=1,I823="SBJ"),AND(J823=1,I823=0)),"?IN_FOCUS",IF(J823&lt;=2,"?ACTIVATED",IF(J823&lt;&gt;"","?FAMILIAR",IF(F823="NEW",IF(ISNA(VLOOKUP(E823,#REF!,1,FALSE())),"?TYPE_IDENTIFIABLE","?REFERENTIAL"),"_")))))</f>
        <v> </v>
      </c>
      <c r="H823" s="24" t="str">
        <f>IF(J823&lt;&gt;1,"",IF(I823="SBJ","CB","?"))</f>
        <v> </v>
      </c>
      <c r="I823" s="25" t="str">
        <f>IF(OR(E823="",E823="!!!",F823="NEW"),"",INDEX(B822:B$2,-1+SUMPRODUCT(MAX(ROW(E822:E$2)*(E823=E822:E$2)))))</f>
        <v> </v>
      </c>
      <c r="J823" s="25" t="str">
        <f>IF(OR(E823="",E823="!!!",F823="NEW"),"",COUNTBLANK(OFFSET(A$1,,,SUMPRODUCT(MAX(ROW(E$2:E823)*(E823=E$2:E823)))))-COUNTBLANK(OFFSET(A$1,,,SUMPRODUCT(MAX(ROW(E$1:E822)*(E2=E$1:E822))))))</f>
        <v> </v>
      </c>
      <c r="K823" s="25" t="str">
        <f>IF(OR(E823="",E823="!!!",F823="NEW"),"",INDEX(J$1:J822,SUMPRODUCT(MAX(ROW(E$1:E822)*(E823=E$1:E822)))))</f>
        <v> </v>
      </c>
      <c r="L823" s="26"/>
    </row>
    <row r="824" spans="1:12">
      <c r="A824" s="20" t="s">
        <v>498</v>
      </c>
      <c r="E824" s="21">
        <f>IF(D824="?OLD","!!!","")</f>
        <v/>
      </c>
      <c r="F824" s="22" t="str">
        <f>IF(OR(E824="",E824="!!!"),"",IF(NOT(ISNA(VLOOKUP(E824,E$1:E823,1,FALSE()))),"OLD",IF(AND(E824&lt;&gt;"",E824&lt;&gt;"!!!"),"NEW","")))</f>
        <v> </v>
      </c>
      <c r="G824" s="23" t="str">
        <f>IF(OR(E824="",E824="!!!"),"",IF(OR(J824=0,AND(J824=1,K824=1),AND(J824=1,I824="SBJ"),AND(J824=1,I824=0)),"?IN_FOCUS",IF(J824&lt;=2,"?ACTIVATED",IF(J824&lt;&gt;"","?FAMILIAR",IF(F824="NEW",IF(ISNA(VLOOKUP(E824,#REF!,1,FALSE())),"?TYPE_IDENTIFIABLE","?REFERENTIAL"),"_")))))</f>
        <v> </v>
      </c>
      <c r="H824" s="24" t="str">
        <f>IF(J824&lt;&gt;1,"",IF(I824="SBJ","CB","?"))</f>
        <v> </v>
      </c>
      <c r="I824" s="25" t="str">
        <f>IF(OR(E824="",E824="!!!",F824="NEW"),"",INDEX(B823:B$2,-1+SUMPRODUCT(MAX(ROW(E823:E$2)*(E824=E823:E$2)))))</f>
        <v> </v>
      </c>
      <c r="J824" s="25" t="str">
        <f>IF(OR(E824="",E824="!!!",F824="NEW"),"",COUNTBLANK(OFFSET(A$1,,,SUMPRODUCT(MAX(ROW(E$2:E824)*(E824=E$2:E824)))))-COUNTBLANK(OFFSET(A$1,,,SUMPRODUCT(MAX(ROW(E$1:E823)*(E2=E$1:E823))))))</f>
        <v> </v>
      </c>
      <c r="K824" s="25" t="str">
        <f>IF(OR(E824="",E824="!!!",F824="NEW"),"",INDEX(J$1:J823,SUMPRODUCT(MAX(ROW(E$1:E823)*(E824=E$1:E823)))))</f>
        <v> </v>
      </c>
      <c r="L824" s="26"/>
    </row>
    <row r="825" spans="1:12">
      <c r="A825" s="20" t="s">
        <v>894</v>
      </c>
      <c r="E825" s="21">
        <f>IF(D825="?OLD","!!!","")</f>
        <v/>
      </c>
      <c r="F825" s="22" t="str">
        <f>IF(OR(E825="",E825="!!!"),"",IF(NOT(ISNA(VLOOKUP(E825,E$1:E824,1,FALSE()))),"OLD",IF(AND(E825&lt;&gt;"",E825&lt;&gt;"!!!"),"NEW","")))</f>
        <v> </v>
      </c>
      <c r="G825" s="23" t="str">
        <f>IF(OR(E825="",E825="!!!"),"",IF(OR(J825=0,AND(J825=1,K825=1),AND(J825=1,I825="SBJ"),AND(J825=1,I825=0)),"?IN_FOCUS",IF(J825&lt;=2,"?ACTIVATED",IF(J825&lt;&gt;"","?FAMILIAR",IF(F825="NEW",IF(ISNA(VLOOKUP(E825,#REF!,1,FALSE())),"?TYPE_IDENTIFIABLE","?REFERENTIAL"),"_")))))</f>
        <v> </v>
      </c>
      <c r="H825" s="24" t="str">
        <f>IF(J825&lt;&gt;1,"",IF(I825="SBJ","CB","?"))</f>
        <v> </v>
      </c>
      <c r="I825" s="25" t="str">
        <f>IF(OR(E825="",E825="!!!",F825="NEW"),"",INDEX(B824:B$2,-1+SUMPRODUCT(MAX(ROW(E824:E$2)*(E825=E824:E$2)))))</f>
        <v> </v>
      </c>
      <c r="J825" s="25" t="str">
        <f>IF(OR(E825="",E825="!!!",F825="NEW"),"",COUNTBLANK(OFFSET(A$1,,,SUMPRODUCT(MAX(ROW(E$2:E825)*(E825=E$2:E825)))))-COUNTBLANK(OFFSET(A$1,,,SUMPRODUCT(MAX(ROW(E$1:E824)*(E2=E$1:E824))))))</f>
        <v> </v>
      </c>
      <c r="K825" s="25" t="str">
        <f>IF(OR(E825="",E825="!!!",F825="NEW"),"",INDEX(J$1:J824,SUMPRODUCT(MAX(ROW(E$1:E824)*(E825=E$1:E824)))))</f>
        <v> </v>
      </c>
      <c r="L825" s="26"/>
    </row>
    <row r="826" spans="1:12">
      <c r="A826" s="20" t="s">
        <v>253</v>
      </c>
      <c r="E826" s="21">
        <f>IF(D826="?OLD","!!!","")</f>
        <v/>
      </c>
      <c r="F826" s="22" t="str">
        <f>IF(OR(E826="",E826="!!!"),"",IF(NOT(ISNA(VLOOKUP(E826,E$1:E825,1,FALSE()))),"OLD",IF(AND(E826&lt;&gt;"",E826&lt;&gt;"!!!"),"NEW","")))</f>
        <v> </v>
      </c>
      <c r="G826" s="23" t="str">
        <f>IF(OR(E826="",E826="!!!"),"",IF(OR(J826=0,AND(J826=1,K826=1),AND(J826=1,I826="SBJ"),AND(J826=1,I826=0)),"?IN_FOCUS",IF(J826&lt;=2,"?ACTIVATED",IF(J826&lt;&gt;"","?FAMILIAR",IF(F826="NEW",IF(ISNA(VLOOKUP(E826,#REF!,1,FALSE())),"?TYPE_IDENTIFIABLE","?REFERENTIAL"),"_")))))</f>
        <v> </v>
      </c>
      <c r="H826" s="24" t="str">
        <f>IF(J826&lt;&gt;1,"",IF(I826="SBJ","CB","?"))</f>
        <v> </v>
      </c>
      <c r="I826" s="25" t="str">
        <f>IF(OR(E826="",E826="!!!",F826="NEW"),"",INDEX(B825:B$2,-1+SUMPRODUCT(MAX(ROW(E825:E$2)*(E826=E825:E$2)))))</f>
        <v> </v>
      </c>
      <c r="J826" s="25" t="str">
        <f>IF(OR(E826="",E826="!!!",F826="NEW"),"",COUNTBLANK(OFFSET(A$1,,,SUMPRODUCT(MAX(ROW(E$2:E826)*(E826=E$2:E826)))))-COUNTBLANK(OFFSET(A$1,,,SUMPRODUCT(MAX(ROW(E$1:E825)*(E2=E$1:E825))))))</f>
        <v> </v>
      </c>
      <c r="K826" s="25" t="str">
        <f>IF(OR(E826="",E826="!!!",F826="NEW"),"",INDEX(J$1:J825,SUMPRODUCT(MAX(ROW(E$1:E825)*(E826=E$1:E825)))))</f>
        <v> </v>
      </c>
      <c r="L826" s="26"/>
    </row>
    <row r="827" spans="1:12">
      <c r="A827" s="20"/>
    </row>
    <row r="828" spans="1:12">
      <c r="A828" s="20" t="s">
        <v>895</v>
      </c>
    </row>
    <row r="829" spans="1:12">
      <c r="A829" s="20" t="s">
        <v>896</v>
      </c>
      <c r="B829" s="27" t="s">
        <v>473</v>
      </c>
      <c r="C829" s="27" t="s">
        <v>484</v>
      </c>
      <c r="E829" s="21">
        <f>IF(D829="?OLD","!!!","")</f>
        <v/>
      </c>
      <c r="F829" s="22" t="str">
        <f>IF(OR(E829="",E829="!!!"),"",IF(NOT(ISNA(VLOOKUP(E829,E$1:E828,1,FALSE()))),"OLD",IF(AND(E829&lt;&gt;"",E829&lt;&gt;"!!!"),"NEW","")))</f>
        <v> </v>
      </c>
      <c r="G829" s="23" t="str">
        <f>IF(OR(E829="",E829="!!!"),"",IF(OR(J829=0,AND(J829=1,K829=1),AND(J829=1,I829="SBJ"),AND(J829=1,I829=0)),"?IN_FOCUS",IF(J829&lt;=2,"?ACTIVATED",IF(J829&lt;&gt;"","?FAMILIAR",IF(F829="NEW",IF(ISNA(VLOOKUP(E829,#REF!,1,FALSE())),"?TYPE_IDENTIFIABLE","?REFERENTIAL"),"_")))))</f>
        <v> </v>
      </c>
      <c r="H829" s="24" t="str">
        <f>IF(J829&lt;&gt;1,"",IF(I829="SBJ","CB","?"))</f>
        <v> </v>
      </c>
      <c r="I829" s="25" t="str">
        <f>IF(OR(E829="",E829="!!!",F829="NEW"),"",INDEX(B828:B$2,-1+SUMPRODUCT(MAX(ROW(E828:E$2)*(E829=E828:E$2)))))</f>
        <v> </v>
      </c>
      <c r="J829" s="25" t="str">
        <f>IF(OR(E829="",E829="!!!",F829="NEW"),"",COUNTBLANK(OFFSET(A$1,,,SUMPRODUCT(MAX(ROW(E$2:E829)*(E829=E$2:E829)))))-COUNTBLANK(OFFSET(A$1,,,SUMPRODUCT(MAX(ROW(E$1:E828)*(E2=E$1:E828))))))</f>
        <v> </v>
      </c>
      <c r="K829" s="25" t="str">
        <f>IF(OR(E829="",E829="!!!",F829="NEW"),"",INDEX(J$1:J828,SUMPRODUCT(MAX(ROW(E$1:E828)*(E829=E$1:E828)))))</f>
        <v> </v>
      </c>
      <c r="L829" s="26"/>
    </row>
    <row r="830" spans="1:12">
      <c r="A830" s="20" t="s">
        <v>515</v>
      </c>
      <c r="E830" s="21">
        <f>IF(D830="?OLD","!!!","")</f>
        <v/>
      </c>
      <c r="F830" s="22" t="str">
        <f>IF(OR(E830="",E830="!!!"),"",IF(NOT(ISNA(VLOOKUP(E830,E$1:E829,1,FALSE()))),"OLD",IF(AND(E830&lt;&gt;"",E830&lt;&gt;"!!!"),"NEW","")))</f>
        <v> </v>
      </c>
      <c r="G830" s="23" t="str">
        <f>IF(OR(E830="",E830="!!!"),"",IF(OR(J830=0,AND(J830=1,K830=1),AND(J830=1,I830="SBJ"),AND(J830=1,I830=0)),"?IN_FOCUS",IF(J830&lt;=2,"?ACTIVATED",IF(J830&lt;&gt;"","?FAMILIAR",IF(F830="NEW",IF(ISNA(VLOOKUP(E830,#REF!,1,FALSE())),"?TYPE_IDENTIFIABLE","?REFERENTIAL"),"_")))))</f>
        <v> </v>
      </c>
      <c r="H830" s="24" t="str">
        <f>IF(J830&lt;&gt;1,"",IF(I830="SBJ","CB","?"))</f>
        <v> </v>
      </c>
      <c r="I830" s="25" t="str">
        <f>IF(OR(E830="",E830="!!!",F830="NEW"),"",INDEX(B829:B$2,-1+SUMPRODUCT(MAX(ROW(E829:E$2)*(E830=E829:E$2)))))</f>
        <v> </v>
      </c>
      <c r="J830" s="25" t="str">
        <f>IF(OR(E830="",E830="!!!",F830="NEW"),"",COUNTBLANK(OFFSET(A$1,,,SUMPRODUCT(MAX(ROW(E$2:E830)*(E830=E$2:E830)))))-COUNTBLANK(OFFSET(A$1,,,SUMPRODUCT(MAX(ROW(E$1:E829)*(E2=E$1:E829))))))</f>
        <v> </v>
      </c>
      <c r="K830" s="25" t="str">
        <f>IF(OR(E830="",E830="!!!",F830="NEW"),"",INDEX(J$1:J829,SUMPRODUCT(MAX(ROW(E$1:E829)*(E830=E$1:E829)))))</f>
        <v> </v>
      </c>
      <c r="L830" s="26"/>
    </row>
    <row r="831" spans="1:12">
      <c r="A831" s="20"/>
    </row>
    <row r="832" spans="1:12">
      <c r="A832" s="20" t="s">
        <v>897</v>
      </c>
    </row>
    <row r="833" spans="1:12">
      <c r="A833" s="20" t="s">
        <v>686</v>
      </c>
      <c r="E833" s="21">
        <f>IF(D833="?OLD","!!!","")</f>
        <v/>
      </c>
      <c r="F833" s="22" t="str">
        <f>IF(OR(E833="",E833="!!!"),"",IF(NOT(ISNA(VLOOKUP(E833,E$1:E832,1,FALSE()))),"OLD",IF(AND(E833&lt;&gt;"",E833&lt;&gt;"!!!"),"NEW","")))</f>
        <v> </v>
      </c>
      <c r="G833" s="23" t="str">
        <f>IF(OR(E833="",E833="!!!"),"",IF(OR(J833=0,AND(J833=1,K833=1),AND(J833=1,I833="SBJ"),AND(J833=1,I833=0)),"?IN_FOCUS",IF(J833&lt;=2,"?ACTIVATED",IF(J833&lt;&gt;"","?FAMILIAR",IF(F833="NEW",IF(ISNA(VLOOKUP(E833,#REF!,1,FALSE())),"?TYPE_IDENTIFIABLE","?REFERENTIAL"),"_")))))</f>
        <v> </v>
      </c>
      <c r="H833" s="24" t="str">
        <f>IF(J833&lt;&gt;1,"",IF(I833="SBJ","CB","?"))</f>
        <v> </v>
      </c>
      <c r="I833" s="25" t="str">
        <f>IF(OR(E833="",E833="!!!",F833="NEW"),"",INDEX(B832:B$2,-1+SUMPRODUCT(MAX(ROW(E832:E$2)*(E833=E832:E$2)))))</f>
        <v> </v>
      </c>
      <c r="J833" s="25" t="str">
        <f>IF(OR(E833="",E833="!!!",F833="NEW"),"",COUNTBLANK(OFFSET(A$1,,,SUMPRODUCT(MAX(ROW(E$2:E833)*(E833=E$2:E833)))))-COUNTBLANK(OFFSET(A$1,,,SUMPRODUCT(MAX(ROW(E$1:E832)*(E2=E$1:E832))))))</f>
        <v> </v>
      </c>
      <c r="K833" s="25" t="str">
        <f>IF(OR(E833="",E833="!!!",F833="NEW"),"",INDEX(J$1:J832,SUMPRODUCT(MAX(ROW(E$1:E832)*(E833=E$1:E832)))))</f>
        <v> </v>
      </c>
      <c r="L833" s="26"/>
    </row>
    <row r="834" spans="1:12">
      <c r="A834" s="20" t="s">
        <v>759</v>
      </c>
      <c r="E834" s="21">
        <f>IF(D834="?OLD","!!!","")</f>
        <v/>
      </c>
      <c r="F834" s="22" t="str">
        <f>IF(OR(E834="",E834="!!!"),"",IF(NOT(ISNA(VLOOKUP(E834,E$1:E833,1,FALSE()))),"OLD",IF(AND(E834&lt;&gt;"",E834&lt;&gt;"!!!"),"NEW","")))</f>
        <v> </v>
      </c>
      <c r="G834" s="23" t="str">
        <f>IF(OR(E834="",E834="!!!"),"",IF(OR(J834=0,AND(J834=1,K834=1),AND(J834=1,I834="SBJ"),AND(J834=1,I834=0)),"?IN_FOCUS",IF(J834&lt;=2,"?ACTIVATED",IF(J834&lt;&gt;"","?FAMILIAR",IF(F834="NEW",IF(ISNA(VLOOKUP(E834,#REF!,1,FALSE())),"?TYPE_IDENTIFIABLE","?REFERENTIAL"),"_")))))</f>
        <v> </v>
      </c>
      <c r="H834" s="24" t="str">
        <f>IF(J834&lt;&gt;1,"",IF(I834="SBJ","CB","?"))</f>
        <v> </v>
      </c>
      <c r="I834" s="25" t="str">
        <f>IF(OR(E834="",E834="!!!",F834="NEW"),"",INDEX(B833:B$2,-1+SUMPRODUCT(MAX(ROW(E833:E$2)*(E834=E833:E$2)))))</f>
        <v> </v>
      </c>
      <c r="J834" s="25" t="str">
        <f>IF(OR(E834="",E834="!!!",F834="NEW"),"",COUNTBLANK(OFFSET(A$1,,,SUMPRODUCT(MAX(ROW(E$2:E834)*(E834=E$2:E834)))))-COUNTBLANK(OFFSET(A$1,,,SUMPRODUCT(MAX(ROW(E$1:E833)*(E2=E$1:E833))))))</f>
        <v> </v>
      </c>
      <c r="K834" s="25" t="str">
        <f>IF(OR(E834="",E834="!!!",F834="NEW"),"",INDEX(J$1:J833,SUMPRODUCT(MAX(ROW(E$1:E833)*(E834=E$1:E833)))))</f>
        <v> </v>
      </c>
      <c r="L834" s="26"/>
    </row>
    <row r="835" spans="1:12">
      <c r="A835" s="20" t="s">
        <v>688</v>
      </c>
      <c r="E835" s="21">
        <f>IF(D835="?OLD","!!!","")</f>
        <v/>
      </c>
      <c r="F835" s="22" t="str">
        <f>IF(OR(E835="",E835="!!!"),"",IF(NOT(ISNA(VLOOKUP(E835,E$1:E834,1,FALSE()))),"OLD",IF(AND(E835&lt;&gt;"",E835&lt;&gt;"!!!"),"NEW","")))</f>
        <v> </v>
      </c>
      <c r="G835" s="23" t="str">
        <f>IF(OR(E835="",E835="!!!"),"",IF(OR(J835=0,AND(J835=1,K835=1),AND(J835=1,I835="SBJ"),AND(J835=1,I835=0)),"?IN_FOCUS",IF(J835&lt;=2,"?ACTIVATED",IF(J835&lt;&gt;"","?FAMILIAR",IF(F835="NEW",IF(ISNA(VLOOKUP(E835,#REF!,1,FALSE())),"?TYPE_IDENTIFIABLE","?REFERENTIAL"),"_")))))</f>
        <v> </v>
      </c>
      <c r="H835" s="24" t="str">
        <f>IF(J835&lt;&gt;1,"",IF(I835="SBJ","CB","?"))</f>
        <v> </v>
      </c>
      <c r="I835" s="25" t="str">
        <f>IF(OR(E835="",E835="!!!",F835="NEW"),"",INDEX(B834:B$2,-1+SUMPRODUCT(MAX(ROW(E834:E$2)*(E835=E834:E$2)))))</f>
        <v> </v>
      </c>
      <c r="J835" s="25" t="str">
        <f>IF(OR(E835="",E835="!!!",F835="NEW"),"",COUNTBLANK(OFFSET(A$1,,,SUMPRODUCT(MAX(ROW(E$2:E835)*(E835=E$2:E835)))))-COUNTBLANK(OFFSET(A$1,,,SUMPRODUCT(MAX(ROW(E$1:E834)*(E2=E$1:E834))))))</f>
        <v> </v>
      </c>
      <c r="K835" s="25" t="str">
        <f>IF(OR(E835="",E835="!!!",F835="NEW"),"",INDEX(J$1:J834,SUMPRODUCT(MAX(ROW(E$1:E834)*(E835=E$1:E834)))))</f>
        <v> </v>
      </c>
      <c r="L835" s="26"/>
    </row>
    <row r="836" spans="1:12">
      <c r="A836" s="20" t="s">
        <v>586</v>
      </c>
      <c r="B836" s="27" t="s">
        <v>476</v>
      </c>
      <c r="C836" s="27" t="s">
        <v>497</v>
      </c>
      <c r="D836" s="27" t="s">
        <v>478</v>
      </c>
      <c r="E836" s="21">
        <f>IF(D836="?OLD","!!!","")</f>
        <v/>
      </c>
      <c r="F836" s="22" t="str">
        <f>IF(OR(E836="",E836="!!!"),"",IF(NOT(ISNA(VLOOKUP(E836,E$1:E835,1,FALSE()))),"OLD",IF(AND(E836&lt;&gt;"",E836&lt;&gt;"!!!"),"NEW","")))</f>
        <v> </v>
      </c>
      <c r="G836" s="23" t="str">
        <f>IF(OR(E836="",E836="!!!"),"",IF(OR(J836=0,AND(J836=1,K836=1),AND(J836=1,I836="SBJ"),AND(J836=1,I836=0)),"?IN_FOCUS",IF(J836&lt;=2,"?ACTIVATED",IF(J836&lt;&gt;"","?FAMILIAR",IF(F836="NEW",IF(ISNA(VLOOKUP(E836,#REF!,1,FALSE())),"?TYPE_IDENTIFIABLE","?REFERENTIAL"),"_")))))</f>
        <v> </v>
      </c>
      <c r="H836" s="24" t="str">
        <f>IF(J836&lt;&gt;1,"",IF(I836="SBJ","CB","?"))</f>
        <v> </v>
      </c>
      <c r="I836" s="25" t="str">
        <f>IF(OR(E836="",E836="!!!",F836="NEW"),"",INDEX(B835:B$2,-1+SUMPRODUCT(MAX(ROW(E835:E$2)*(E836=E835:E$2)))))</f>
        <v> </v>
      </c>
      <c r="J836" s="25" t="str">
        <f>IF(OR(E836="",E836="!!!",F836="NEW"),"",COUNTBLANK(OFFSET(A$1,,,SUMPRODUCT(MAX(ROW(E$2:E836)*(E836=E$2:E836)))))-COUNTBLANK(OFFSET(A$1,,,SUMPRODUCT(MAX(ROW(E$1:E835)*(E2=E$1:E835))))))</f>
        <v> </v>
      </c>
      <c r="K836" s="25" t="str">
        <f>IF(OR(E836="",E836="!!!",F836="NEW"),"",INDEX(J$1:J835,SUMPRODUCT(MAX(ROW(E$1:E835)*(E836=E$1:E835)))))</f>
        <v> </v>
      </c>
      <c r="L836" s="26"/>
    </row>
    <row r="837" spans="1:12">
      <c r="A837" s="20" t="s">
        <v>724</v>
      </c>
      <c r="E837" s="21">
        <f>IF(D837="?OLD","!!!","")</f>
        <v/>
      </c>
      <c r="F837" s="22" t="str">
        <f>IF(OR(E837="",E837="!!!"),"",IF(NOT(ISNA(VLOOKUP(E837,E$1:E836,1,FALSE()))),"OLD",IF(AND(E837&lt;&gt;"",E837&lt;&gt;"!!!"),"NEW","")))</f>
        <v> </v>
      </c>
      <c r="G837" s="23" t="str">
        <f>IF(OR(E837="",E837="!!!"),"",IF(OR(J837=0,AND(J837=1,K837=1),AND(J837=1,I837="SBJ"),AND(J837=1,I837=0)),"?IN_FOCUS",IF(J837&lt;=2,"?ACTIVATED",IF(J837&lt;&gt;"","?FAMILIAR",IF(F837="NEW",IF(ISNA(VLOOKUP(E837,#REF!,1,FALSE())),"?TYPE_IDENTIFIABLE","?REFERENTIAL"),"_")))))</f>
        <v> </v>
      </c>
      <c r="H837" s="24" t="str">
        <f>IF(J837&lt;&gt;1,"",IF(I837="SBJ","CB","?"))</f>
        <v> </v>
      </c>
      <c r="I837" s="25" t="str">
        <f>IF(OR(E837="",E837="!!!",F837="NEW"),"",INDEX(B836:B$2,-1+SUMPRODUCT(MAX(ROW(E836:E$2)*(E837=E836:E$2)))))</f>
        <v> </v>
      </c>
      <c r="J837" s="25" t="str">
        <f>IF(OR(E837="",E837="!!!",F837="NEW"),"",COUNTBLANK(OFFSET(A$1,,,SUMPRODUCT(MAX(ROW(E$2:E837)*(E837=E$2:E837)))))-COUNTBLANK(OFFSET(A$1,,,SUMPRODUCT(MAX(ROW(E$1:E836)*(E2=E$1:E836))))))</f>
        <v> </v>
      </c>
      <c r="K837" s="25" t="str">
        <f>IF(OR(E837="",E837="!!!",F837="NEW"),"",INDEX(J$1:J836,SUMPRODUCT(MAX(ROW(E$1:E836)*(E837=E$1:E836)))))</f>
        <v> </v>
      </c>
      <c r="L837" s="26"/>
    </row>
    <row r="838" spans="1:12">
      <c r="A838" s="20" t="s">
        <v>665</v>
      </c>
      <c r="E838" s="21">
        <f>IF(D838="?OLD","!!!","")</f>
        <v/>
      </c>
      <c r="F838" s="22" t="str">
        <f>IF(OR(E838="",E838="!!!"),"",IF(NOT(ISNA(VLOOKUP(E838,E$1:E837,1,FALSE()))),"OLD",IF(AND(E838&lt;&gt;"",E838&lt;&gt;"!!!"),"NEW","")))</f>
        <v> </v>
      </c>
      <c r="G838" s="23" t="str">
        <f>IF(OR(E838="",E838="!!!"),"",IF(OR(J838=0,AND(J838=1,K838=1),AND(J838=1,I838="SBJ"),AND(J838=1,I838=0)),"?IN_FOCUS",IF(J838&lt;=2,"?ACTIVATED",IF(J838&lt;&gt;"","?FAMILIAR",IF(F838="NEW",IF(ISNA(VLOOKUP(E838,#REF!,1,FALSE())),"?TYPE_IDENTIFIABLE","?REFERENTIAL"),"_")))))</f>
        <v> </v>
      </c>
      <c r="H838" s="24" t="str">
        <f>IF(J838&lt;&gt;1,"",IF(I838="SBJ","CB","?"))</f>
        <v> </v>
      </c>
      <c r="I838" s="25" t="str">
        <f>IF(OR(E838="",E838="!!!",F838="NEW"),"",INDEX(B837:B$2,-1+SUMPRODUCT(MAX(ROW(E837:E$2)*(E838=E837:E$2)))))</f>
        <v> </v>
      </c>
      <c r="J838" s="25" t="str">
        <f>IF(OR(E838="",E838="!!!",F838="NEW"),"",COUNTBLANK(OFFSET(A$1,,,SUMPRODUCT(MAX(ROW(E$2:E838)*(E838=E$2:E838)))))-COUNTBLANK(OFFSET(A$1,,,SUMPRODUCT(MAX(ROW(E$1:E837)*(E2=E$1:E837))))))</f>
        <v> </v>
      </c>
      <c r="K838" s="25" t="str">
        <f>IF(OR(E838="",E838="!!!",F838="NEW"),"",INDEX(J$1:J837,SUMPRODUCT(MAX(ROW(E$1:E837)*(E838=E$1:E837)))))</f>
        <v> </v>
      </c>
      <c r="L838" s="26"/>
    </row>
    <row r="839" spans="1:12">
      <c r="A839" s="20" t="s">
        <v>666</v>
      </c>
      <c r="E839" s="21">
        <f>IF(D839="?OLD","!!!","")</f>
        <v/>
      </c>
      <c r="F839" s="22" t="str">
        <f>IF(OR(E839="",E839="!!!"),"",IF(NOT(ISNA(VLOOKUP(E839,E$1:E838,1,FALSE()))),"OLD",IF(AND(E839&lt;&gt;"",E839&lt;&gt;"!!!"),"NEW","")))</f>
        <v> </v>
      </c>
      <c r="G839" s="23" t="str">
        <f>IF(OR(E839="",E839="!!!"),"",IF(OR(J839=0,AND(J839=1,K839=1),AND(J839=1,I839="SBJ"),AND(J839=1,I839=0)),"?IN_FOCUS",IF(J839&lt;=2,"?ACTIVATED",IF(J839&lt;&gt;"","?FAMILIAR",IF(F839="NEW",IF(ISNA(VLOOKUP(E839,#REF!,1,FALSE())),"?TYPE_IDENTIFIABLE","?REFERENTIAL"),"_")))))</f>
        <v> </v>
      </c>
      <c r="H839" s="24" t="str">
        <f>IF(J839&lt;&gt;1,"",IF(I839="SBJ","CB","?"))</f>
        <v> </v>
      </c>
      <c r="I839" s="25" t="str">
        <f>IF(OR(E839="",E839="!!!",F839="NEW"),"",INDEX(B838:B$2,-1+SUMPRODUCT(MAX(ROW(E838:E$2)*(E839=E838:E$2)))))</f>
        <v> </v>
      </c>
      <c r="J839" s="25" t="str">
        <f>IF(OR(E839="",E839="!!!",F839="NEW"),"",COUNTBLANK(OFFSET(A$1,,,SUMPRODUCT(MAX(ROW(E$2:E839)*(E839=E$2:E839)))))-COUNTBLANK(OFFSET(A$1,,,SUMPRODUCT(MAX(ROW(E$1:E838)*(E2=E$1:E838))))))</f>
        <v> </v>
      </c>
      <c r="K839" s="25" t="str">
        <f>IF(OR(E839="",E839="!!!",F839="NEW"),"",INDEX(J$1:J838,SUMPRODUCT(MAX(ROW(E$1:E838)*(E839=E$1:E838)))))</f>
        <v> </v>
      </c>
      <c r="L839" s="26"/>
    </row>
    <row r="840" spans="1:12">
      <c r="A840" s="20" t="s">
        <v>898</v>
      </c>
      <c r="E840" s="21">
        <f>IF(D840="?OLD","!!!","")</f>
        <v/>
      </c>
      <c r="F840" s="22" t="str">
        <f>IF(OR(E840="",E840="!!!"),"",IF(NOT(ISNA(VLOOKUP(E840,E$1:E839,1,FALSE()))),"OLD",IF(AND(E840&lt;&gt;"",E840&lt;&gt;"!!!"),"NEW","")))</f>
        <v> </v>
      </c>
      <c r="G840" s="23" t="str">
        <f>IF(OR(E840="",E840="!!!"),"",IF(OR(J840=0,AND(J840=1,K840=1),AND(J840=1,I840="SBJ"),AND(J840=1,I840=0)),"?IN_FOCUS",IF(J840&lt;=2,"?ACTIVATED",IF(J840&lt;&gt;"","?FAMILIAR",IF(F840="NEW",IF(ISNA(VLOOKUP(E840,#REF!,1,FALSE())),"?TYPE_IDENTIFIABLE","?REFERENTIAL"),"_")))))</f>
        <v> </v>
      </c>
      <c r="H840" s="24" t="str">
        <f>IF(J840&lt;&gt;1,"",IF(I840="SBJ","CB","?"))</f>
        <v> </v>
      </c>
      <c r="I840" s="25" t="str">
        <f>IF(OR(E840="",E840="!!!",F840="NEW"),"",INDEX(B839:B$2,-1+SUMPRODUCT(MAX(ROW(E839:E$2)*(E840=E839:E$2)))))</f>
        <v> </v>
      </c>
      <c r="J840" s="25" t="str">
        <f>IF(OR(E840="",E840="!!!",F840="NEW"),"",COUNTBLANK(OFFSET(A$1,,,SUMPRODUCT(MAX(ROW(E$2:E840)*(E840=E$2:E840)))))-COUNTBLANK(OFFSET(A$1,,,SUMPRODUCT(MAX(ROW(E$1:E839)*(E2=E$1:E839))))))</f>
        <v> </v>
      </c>
      <c r="K840" s="25" t="str">
        <f>IF(OR(E840="",E840="!!!",F840="NEW"),"",INDEX(J$1:J839,SUMPRODUCT(MAX(ROW(E$1:E839)*(E840=E$1:E839)))))</f>
        <v> </v>
      </c>
      <c r="L840" s="26"/>
    </row>
    <row r="841" spans="1:12">
      <c r="A841" s="20" t="s">
        <v>646</v>
      </c>
      <c r="B841" s="27" t="s">
        <v>521</v>
      </c>
      <c r="C841" s="27" t="s">
        <v>477</v>
      </c>
      <c r="D841" s="27" t="s">
        <v>478</v>
      </c>
      <c r="E841" s="21">
        <f>IF(D841="?OLD","!!!","")</f>
        <v/>
      </c>
      <c r="F841" s="22" t="str">
        <f>IF(OR(E841="",E841="!!!"),"",IF(NOT(ISNA(VLOOKUP(E841,E$1:E840,1,FALSE()))),"OLD",IF(AND(E841&lt;&gt;"",E841&lt;&gt;"!!!"),"NEW","")))</f>
        <v> </v>
      </c>
      <c r="G841" s="23" t="str">
        <f>IF(OR(E841="",E841="!!!"),"",IF(OR(J841=0,AND(J841=1,K841=1),AND(J841=1,I841="SBJ"),AND(J841=1,I841=0)),"?IN_FOCUS",IF(J841&lt;=2,"?ACTIVATED",IF(J841&lt;&gt;"","?FAMILIAR",IF(F841="NEW",IF(ISNA(VLOOKUP(E841,#REF!,1,FALSE())),"?TYPE_IDENTIFIABLE","?REFERENTIAL"),"_")))))</f>
        <v> </v>
      </c>
      <c r="H841" s="24" t="str">
        <f>IF(J841&lt;&gt;1,"",IF(I841="SBJ","CB","?"))</f>
        <v> </v>
      </c>
      <c r="I841" s="25" t="str">
        <f>IF(OR(E841="",E841="!!!",F841="NEW"),"",INDEX(B840:B$2,-1+SUMPRODUCT(MAX(ROW(E840:E$2)*(E841=E840:E$2)))))</f>
        <v> </v>
      </c>
      <c r="J841" s="25" t="str">
        <f>IF(OR(E841="",E841="!!!",F841="NEW"),"",COUNTBLANK(OFFSET(A$1,,,SUMPRODUCT(MAX(ROW(E$2:E841)*(E841=E$2:E841)))))-COUNTBLANK(OFFSET(A$1,,,SUMPRODUCT(MAX(ROW(E$1:E840)*(E2=E$1:E840))))))</f>
        <v> </v>
      </c>
      <c r="K841" s="25" t="str">
        <f>IF(OR(E841="",E841="!!!",F841="NEW"),"",INDEX(J$1:J840,SUMPRODUCT(MAX(ROW(E$1:E840)*(E841=E$1:E840)))))</f>
        <v> </v>
      </c>
      <c r="L841" s="26"/>
    </row>
    <row r="842" spans="1:12">
      <c r="A842" s="20" t="s">
        <v>253</v>
      </c>
      <c r="E842" s="21">
        <f>IF(D842="?OLD","!!!","")</f>
        <v/>
      </c>
      <c r="F842" s="22" t="str">
        <f>IF(OR(E842="",E842="!!!"),"",IF(NOT(ISNA(VLOOKUP(E842,E$1:E841,1,FALSE()))),"OLD",IF(AND(E842&lt;&gt;"",E842&lt;&gt;"!!!"),"NEW","")))</f>
        <v> </v>
      </c>
      <c r="G842" s="23" t="str">
        <f>IF(OR(E842="",E842="!!!"),"",IF(OR(J842=0,AND(J842=1,K842=1),AND(J842=1,I842="SBJ"),AND(J842=1,I842=0)),"?IN_FOCUS",IF(J842&lt;=2,"?ACTIVATED",IF(J842&lt;&gt;"","?FAMILIAR",IF(F842="NEW",IF(ISNA(VLOOKUP(E842,#REF!,1,FALSE())),"?TYPE_IDENTIFIABLE","?REFERENTIAL"),"_")))))</f>
        <v> </v>
      </c>
      <c r="H842" s="24" t="str">
        <f>IF(J842&lt;&gt;1,"",IF(I842="SBJ","CB","?"))</f>
        <v> </v>
      </c>
      <c r="I842" s="25" t="str">
        <f>IF(OR(E842="",E842="!!!",F842="NEW"),"",INDEX(B841:B$2,-1+SUMPRODUCT(MAX(ROW(E841:E$2)*(E842=E841:E$2)))))</f>
        <v> </v>
      </c>
      <c r="J842" s="25" t="str">
        <f>IF(OR(E842="",E842="!!!",F842="NEW"),"",COUNTBLANK(OFFSET(A$1,,,SUMPRODUCT(MAX(ROW(E$2:E842)*(E842=E$2:E842)))))-COUNTBLANK(OFFSET(A$1,,,SUMPRODUCT(MAX(ROW(E$1:E841)*(E2=E$1:E841))))))</f>
        <v> </v>
      </c>
      <c r="K842" s="25" t="str">
        <f>IF(OR(E842="",E842="!!!",F842="NEW"),"",INDEX(J$1:J841,SUMPRODUCT(MAX(ROW(E$1:E841)*(E842=E$1:E841)))))</f>
        <v> </v>
      </c>
      <c r="L842" s="26"/>
    </row>
    <row r="843" spans="1:12">
      <c r="A843" s="20"/>
    </row>
    <row r="844" spans="1:12">
      <c r="A844" s="20" t="s">
        <v>899</v>
      </c>
    </row>
    <row r="845" spans="1:12">
      <c r="A845" s="20" t="s">
        <v>848</v>
      </c>
      <c r="E845" s="21">
        <f>IF(D845="?OLD","!!!","")</f>
        <v/>
      </c>
      <c r="F845" s="22" t="str">
        <f>IF(OR(E845="",E845="!!!"),"",IF(NOT(ISNA(VLOOKUP(E845,E$1:E844,1,FALSE()))),"OLD",IF(AND(E845&lt;&gt;"",E845&lt;&gt;"!!!"),"NEW","")))</f>
        <v> </v>
      </c>
      <c r="G845" s="23" t="str">
        <f>IF(OR(E845="",E845="!!!"),"",IF(OR(J845=0,AND(J845=1,K845=1),AND(J845=1,I845="SBJ"),AND(J845=1,I845=0)),"?IN_FOCUS",IF(J845&lt;=2,"?ACTIVATED",IF(J845&lt;&gt;"","?FAMILIAR",IF(F845="NEW",IF(ISNA(VLOOKUP(E845,#REF!,1,FALSE())),"?TYPE_IDENTIFIABLE","?REFERENTIAL"),"_")))))</f>
        <v> </v>
      </c>
      <c r="H845" s="24" t="str">
        <f>IF(J845&lt;&gt;1,"",IF(I845="SBJ","CB","?"))</f>
        <v> </v>
      </c>
      <c r="I845" s="25" t="str">
        <f>IF(OR(E845="",E845="!!!",F845="NEW"),"",INDEX(B844:B$2,-1+SUMPRODUCT(MAX(ROW(E844:E$2)*(E845=E844:E$2)))))</f>
        <v> </v>
      </c>
      <c r="J845" s="25" t="str">
        <f>IF(OR(E845="",E845="!!!",F845="NEW"),"",COUNTBLANK(OFFSET(A$1,,,SUMPRODUCT(MAX(ROW(E$2:E845)*(E845=E$2:E845)))))-COUNTBLANK(OFFSET(A$1,,,SUMPRODUCT(MAX(ROW(E$1:E844)*(E2=E$1:E844))))))</f>
        <v> </v>
      </c>
      <c r="K845" s="25" t="str">
        <f>IF(OR(E845="",E845="!!!",F845="NEW"),"",INDEX(J$1:J844,SUMPRODUCT(MAX(ROW(E$1:E844)*(E845=E$1:E844)))))</f>
        <v> </v>
      </c>
      <c r="L845" s="26"/>
    </row>
    <row r="846" spans="1:12">
      <c r="A846" s="20" t="s">
        <v>482</v>
      </c>
      <c r="E846" s="21">
        <f>IF(D846="?OLD","!!!","")</f>
        <v/>
      </c>
      <c r="F846" s="22" t="str">
        <f>IF(OR(E846="",E846="!!!"),"",IF(NOT(ISNA(VLOOKUP(E846,E$1:E845,1,FALSE()))),"OLD",IF(AND(E846&lt;&gt;"",E846&lt;&gt;"!!!"),"NEW","")))</f>
        <v> </v>
      </c>
      <c r="G846" s="23" t="str">
        <f>IF(OR(E846="",E846="!!!"),"",IF(OR(J846=0,AND(J846=1,K846=1),AND(J846=1,I846="SBJ"),AND(J846=1,I846=0)),"?IN_FOCUS",IF(J846&lt;=2,"?ACTIVATED",IF(J846&lt;&gt;"","?FAMILIAR",IF(F846="NEW",IF(ISNA(VLOOKUP(E846,#REF!,1,FALSE())),"?TYPE_IDENTIFIABLE","?REFERENTIAL"),"_")))))</f>
        <v> </v>
      </c>
      <c r="H846" s="24" t="str">
        <f>IF(J846&lt;&gt;1,"",IF(I846="SBJ","CB","?"))</f>
        <v> </v>
      </c>
      <c r="I846" s="25" t="str">
        <f>IF(OR(E846="",E846="!!!",F846="NEW"),"",INDEX(B845:B$2,-1+SUMPRODUCT(MAX(ROW(E845:E$2)*(E846=E845:E$2)))))</f>
        <v> </v>
      </c>
      <c r="J846" s="25" t="str">
        <f>IF(OR(E846="",E846="!!!",F846="NEW"),"",COUNTBLANK(OFFSET(A$1,,,SUMPRODUCT(MAX(ROW(E$2:E846)*(E846=E$2:E846)))))-COUNTBLANK(OFFSET(A$1,,,SUMPRODUCT(MAX(ROW(E$1:E845)*(E2=E$1:E845))))))</f>
        <v> </v>
      </c>
      <c r="K846" s="25" t="str">
        <f>IF(OR(E846="",E846="!!!",F846="NEW"),"",INDEX(J$1:J845,SUMPRODUCT(MAX(ROW(E$1:E845)*(E846=E$1:E845)))))</f>
        <v> </v>
      </c>
      <c r="L846" s="26"/>
    </row>
    <row r="847" spans="1:12">
      <c r="A847" s="20" t="s">
        <v>728</v>
      </c>
      <c r="B847" s="27" t="s">
        <v>476</v>
      </c>
      <c r="C847" s="27" t="s">
        <v>497</v>
      </c>
      <c r="D847" s="27" t="s">
        <v>478</v>
      </c>
      <c r="E847" s="21">
        <f>IF(D847="?OLD","!!!","")</f>
        <v/>
      </c>
      <c r="F847" s="22" t="str">
        <f>IF(OR(E847="",E847="!!!"),"",IF(NOT(ISNA(VLOOKUP(E847,E$1:E846,1,FALSE()))),"OLD",IF(AND(E847&lt;&gt;"",E847&lt;&gt;"!!!"),"NEW","")))</f>
        <v> </v>
      </c>
      <c r="G847" s="23" t="str">
        <f>IF(OR(E847="",E847="!!!"),"",IF(OR(J847=0,AND(J847=1,K847=1),AND(J847=1,I847="SBJ"),AND(J847=1,I847=0)),"?IN_FOCUS",IF(J847&lt;=2,"?ACTIVATED",IF(J847&lt;&gt;"","?FAMILIAR",IF(F847="NEW",IF(ISNA(VLOOKUP(E847,#REF!,1,FALSE())),"?TYPE_IDENTIFIABLE","?REFERENTIAL"),"_")))))</f>
        <v> </v>
      </c>
      <c r="H847" s="24" t="str">
        <f>IF(J847&lt;&gt;1,"",IF(I847="SBJ","CB","?"))</f>
        <v> </v>
      </c>
      <c r="I847" s="25" t="str">
        <f>IF(OR(E847="",E847="!!!",F847="NEW"),"",INDEX(B846:B$2,-1+SUMPRODUCT(MAX(ROW(E846:E$2)*(E847=E846:E$2)))))</f>
        <v> </v>
      </c>
      <c r="J847" s="25" t="str">
        <f>IF(OR(E847="",E847="!!!",F847="NEW"),"",COUNTBLANK(OFFSET(A$1,,,SUMPRODUCT(MAX(ROW(E$2:E847)*(E847=E$2:E847)))))-COUNTBLANK(OFFSET(A$1,,,SUMPRODUCT(MAX(ROW(E$1:E846)*(E2=E$1:E846))))))</f>
        <v> </v>
      </c>
      <c r="K847" s="25" t="str">
        <f>IF(OR(E847="",E847="!!!",F847="NEW"),"",INDEX(J$1:J846,SUMPRODUCT(MAX(ROW(E$1:E846)*(E847=E$1:E846)))))</f>
        <v> </v>
      </c>
      <c r="L847" s="26"/>
    </row>
    <row r="848" spans="1:12">
      <c r="A848" s="20" t="s">
        <v>877</v>
      </c>
      <c r="E848" s="21">
        <f>IF(D848="?OLD","!!!","")</f>
        <v/>
      </c>
      <c r="F848" s="22" t="str">
        <f>IF(OR(E848="",E848="!!!"),"",IF(NOT(ISNA(VLOOKUP(E848,E$1:E847,1,FALSE()))),"OLD",IF(AND(E848&lt;&gt;"",E848&lt;&gt;"!!!"),"NEW","")))</f>
        <v> </v>
      </c>
      <c r="G848" s="23" t="str">
        <f>IF(OR(E848="",E848="!!!"),"",IF(OR(J848=0,AND(J848=1,K848=1),AND(J848=1,I848="SBJ"),AND(J848=1,I848=0)),"?IN_FOCUS",IF(J848&lt;=2,"?ACTIVATED",IF(J848&lt;&gt;"","?FAMILIAR",IF(F848="NEW",IF(ISNA(VLOOKUP(E848,#REF!,1,FALSE())),"?TYPE_IDENTIFIABLE","?REFERENTIAL"),"_")))))</f>
        <v> </v>
      </c>
      <c r="H848" s="24" t="str">
        <f>IF(J848&lt;&gt;1,"",IF(I848="SBJ","CB","?"))</f>
        <v> </v>
      </c>
      <c r="I848" s="25" t="str">
        <f>IF(OR(E848="",E848="!!!",F848="NEW"),"",INDEX(B847:B$2,-1+SUMPRODUCT(MAX(ROW(E847:E$2)*(E848=E847:E$2)))))</f>
        <v> </v>
      </c>
      <c r="J848" s="25" t="str">
        <f>IF(OR(E848="",E848="!!!",F848="NEW"),"",COUNTBLANK(OFFSET(A$1,,,SUMPRODUCT(MAX(ROW(E$2:E848)*(E848=E$2:E848)))))-COUNTBLANK(OFFSET(A$1,,,SUMPRODUCT(MAX(ROW(E$1:E847)*(E2=E$1:E847))))))</f>
        <v> </v>
      </c>
      <c r="K848" s="25" t="str">
        <f>IF(OR(E848="",E848="!!!",F848="NEW"),"",INDEX(J$1:J847,SUMPRODUCT(MAX(ROW(E$1:E847)*(E848=E$1:E847)))))</f>
        <v> </v>
      </c>
      <c r="L848" s="26"/>
    </row>
    <row r="849" spans="1:12">
      <c r="A849" s="20" t="s">
        <v>493</v>
      </c>
      <c r="E849" s="21">
        <f>IF(D849="?OLD","!!!","")</f>
        <v/>
      </c>
      <c r="F849" s="22" t="str">
        <f>IF(OR(E849="",E849="!!!"),"",IF(NOT(ISNA(VLOOKUP(E849,E$1:E848,1,FALSE()))),"OLD",IF(AND(E849&lt;&gt;"",E849&lt;&gt;"!!!"),"NEW","")))</f>
        <v> </v>
      </c>
      <c r="G849" s="23" t="str">
        <f>IF(OR(E849="",E849="!!!"),"",IF(OR(J849=0,AND(J849=1,K849=1),AND(J849=1,I849="SBJ"),AND(J849=1,I849=0)),"?IN_FOCUS",IF(J849&lt;=2,"?ACTIVATED",IF(J849&lt;&gt;"","?FAMILIAR",IF(F849="NEW",IF(ISNA(VLOOKUP(E849,#REF!,1,FALSE())),"?TYPE_IDENTIFIABLE","?REFERENTIAL"),"_")))))</f>
        <v> </v>
      </c>
      <c r="H849" s="24" t="str">
        <f>IF(J849&lt;&gt;1,"",IF(I849="SBJ","CB","?"))</f>
        <v> </v>
      </c>
      <c r="I849" s="25" t="str">
        <f>IF(OR(E849="",E849="!!!",F849="NEW"),"",INDEX(B848:B$2,-1+SUMPRODUCT(MAX(ROW(E848:E$2)*(E849=E848:E$2)))))</f>
        <v> </v>
      </c>
      <c r="J849" s="25" t="str">
        <f>IF(OR(E849="",E849="!!!",F849="NEW"),"",COUNTBLANK(OFFSET(A$1,,,SUMPRODUCT(MAX(ROW(E$2:E849)*(E849=E$2:E849)))))-COUNTBLANK(OFFSET(A$1,,,SUMPRODUCT(MAX(ROW(E$1:E848)*(E2=E$1:E848))))))</f>
        <v> </v>
      </c>
      <c r="K849" s="25" t="str">
        <f>IF(OR(E849="",E849="!!!",F849="NEW"),"",INDEX(J$1:J848,SUMPRODUCT(MAX(ROW(E$1:E848)*(E849=E$1:E848)))))</f>
        <v> </v>
      </c>
      <c r="L849" s="26"/>
    </row>
    <row r="850" spans="1:12">
      <c r="A850" s="20" t="s">
        <v>226</v>
      </c>
      <c r="E850" s="21">
        <f>IF(D850="?OLD","!!!","")</f>
        <v/>
      </c>
      <c r="F850" s="22" t="str">
        <f>IF(OR(E850="",E850="!!!"),"",IF(NOT(ISNA(VLOOKUP(E850,E$1:E849,1,FALSE()))),"OLD",IF(AND(E850&lt;&gt;"",E850&lt;&gt;"!!!"),"NEW","")))</f>
        <v> </v>
      </c>
      <c r="G850" s="23" t="str">
        <f>IF(OR(E850="",E850="!!!"),"",IF(OR(J850=0,AND(J850=1,K850=1),AND(J850=1,I850="SBJ"),AND(J850=1,I850=0)),"?IN_FOCUS",IF(J850&lt;=2,"?ACTIVATED",IF(J850&lt;&gt;"","?FAMILIAR",IF(F850="NEW",IF(ISNA(VLOOKUP(E850,#REF!,1,FALSE())),"?TYPE_IDENTIFIABLE","?REFERENTIAL"),"_")))))</f>
        <v> </v>
      </c>
      <c r="H850" s="24" t="str">
        <f>IF(J850&lt;&gt;1,"",IF(I850="SBJ","CB","?"))</f>
        <v> </v>
      </c>
      <c r="I850" s="25" t="str">
        <f>IF(OR(E850="",E850="!!!",F850="NEW"),"",INDEX(B849:B$2,-1+SUMPRODUCT(MAX(ROW(E849:E$2)*(E850=E849:E$2)))))</f>
        <v> </v>
      </c>
      <c r="J850" s="25" t="str">
        <f>IF(OR(E850="",E850="!!!",F850="NEW"),"",COUNTBLANK(OFFSET(A$1,,,SUMPRODUCT(MAX(ROW(E$2:E850)*(E850=E$2:E850)))))-COUNTBLANK(OFFSET(A$1,,,SUMPRODUCT(MAX(ROW(E$1:E849)*(E2=E$1:E849))))))</f>
        <v> </v>
      </c>
      <c r="K850" s="25" t="str">
        <f>IF(OR(E850="",E850="!!!",F850="NEW"),"",INDEX(J$1:J849,SUMPRODUCT(MAX(ROW(E$1:E849)*(E850=E$1:E849)))))</f>
        <v> </v>
      </c>
      <c r="L850" s="26"/>
    </row>
    <row r="851" spans="1:12">
      <c r="A851" s="20" t="s">
        <v>253</v>
      </c>
      <c r="E851" s="21">
        <f>IF(D851="?OLD","!!!","")</f>
        <v/>
      </c>
      <c r="F851" s="22" t="str">
        <f>IF(OR(E851="",E851="!!!"),"",IF(NOT(ISNA(VLOOKUP(E851,E$1:E850,1,FALSE()))),"OLD",IF(AND(E851&lt;&gt;"",E851&lt;&gt;"!!!"),"NEW","")))</f>
        <v> </v>
      </c>
      <c r="G851" s="23" t="str">
        <f>IF(OR(E851="",E851="!!!"),"",IF(OR(J851=0,AND(J851=1,K851=1),AND(J851=1,I851="SBJ"),AND(J851=1,I851=0)),"?IN_FOCUS",IF(J851&lt;=2,"?ACTIVATED",IF(J851&lt;&gt;"","?FAMILIAR",IF(F851="NEW",IF(ISNA(VLOOKUP(E851,#REF!,1,FALSE())),"?TYPE_IDENTIFIABLE","?REFERENTIAL"),"_")))))</f>
        <v> </v>
      </c>
      <c r="H851" s="24" t="str">
        <f>IF(J851&lt;&gt;1,"",IF(I851="SBJ","CB","?"))</f>
        <v> </v>
      </c>
      <c r="I851" s="25" t="str">
        <f>IF(OR(E851="",E851="!!!",F851="NEW"),"",INDEX(B850:B$2,-1+SUMPRODUCT(MAX(ROW(E850:E$2)*(E851=E850:E$2)))))</f>
        <v> </v>
      </c>
      <c r="J851" s="25" t="str">
        <f>IF(OR(E851="",E851="!!!",F851="NEW"),"",COUNTBLANK(OFFSET(A$1,,,SUMPRODUCT(MAX(ROW(E$2:E851)*(E851=E$2:E851)))))-COUNTBLANK(OFFSET(A$1,,,SUMPRODUCT(MAX(ROW(E$1:E850)*(E2=E$1:E850))))))</f>
        <v> </v>
      </c>
      <c r="K851" s="25" t="str">
        <f>IF(OR(E851="",E851="!!!",F851="NEW"),"",INDEX(J$1:J850,SUMPRODUCT(MAX(ROW(E$1:E850)*(E851=E$1:E850)))))</f>
        <v> </v>
      </c>
      <c r="L851" s="26"/>
    </row>
    <row r="852" spans="1:12">
      <c r="A852" s="20"/>
    </row>
    <row r="853" spans="1:12">
      <c r="A853" s="20" t="s">
        <v>900</v>
      </c>
    </row>
    <row r="854" spans="1:12">
      <c r="A854" s="20" t="s">
        <v>901</v>
      </c>
      <c r="E854" s="21">
        <f>IF(D854="?OLD","!!!","")</f>
        <v/>
      </c>
      <c r="F854" s="22" t="str">
        <f>IF(OR(E854="",E854="!!!"),"",IF(NOT(ISNA(VLOOKUP(E854,E$1:E853,1,FALSE()))),"OLD",IF(AND(E854&lt;&gt;"",E854&lt;&gt;"!!!"),"NEW","")))</f>
        <v> </v>
      </c>
      <c r="G854" s="23" t="str">
        <f>IF(OR(E854="",E854="!!!"),"",IF(OR(J854=0,AND(J854=1,K854=1),AND(J854=1,I854="SBJ"),AND(J854=1,I854=0)),"?IN_FOCUS",IF(J854&lt;=2,"?ACTIVATED",IF(J854&lt;&gt;"","?FAMILIAR",IF(F854="NEW",IF(ISNA(VLOOKUP(E854,#REF!,1,FALSE())),"?TYPE_IDENTIFIABLE","?REFERENTIAL"),"_")))))</f>
        <v> </v>
      </c>
      <c r="H854" s="24" t="str">
        <f>IF(J854&lt;&gt;1,"",IF(I854="SBJ","CB","?"))</f>
        <v> </v>
      </c>
      <c r="I854" s="25" t="str">
        <f>IF(OR(E854="",E854="!!!",F854="NEW"),"",INDEX(B853:B$2,-1+SUMPRODUCT(MAX(ROW(E853:E$2)*(E854=E853:E$2)))))</f>
        <v> </v>
      </c>
      <c r="J854" s="25" t="str">
        <f>IF(OR(E854="",E854="!!!",F854="NEW"),"",COUNTBLANK(OFFSET(A$1,,,SUMPRODUCT(MAX(ROW(E$2:E854)*(E854=E$2:E854)))))-COUNTBLANK(OFFSET(A$1,,,SUMPRODUCT(MAX(ROW(E$1:E853)*(E2=E$1:E853))))))</f>
        <v> </v>
      </c>
      <c r="K854" s="25" t="str">
        <f>IF(OR(E854="",E854="!!!",F854="NEW"),"",INDEX(J$1:J853,SUMPRODUCT(MAX(ROW(E$1:E853)*(E854=E$1:E853)))))</f>
        <v> </v>
      </c>
      <c r="L854" s="26"/>
    </row>
    <row r="855" spans="1:12">
      <c r="A855" s="20" t="s">
        <v>721</v>
      </c>
      <c r="E855" s="21">
        <f>IF(D855="?OLD","!!!","")</f>
        <v/>
      </c>
      <c r="F855" s="22" t="str">
        <f>IF(OR(E855="",E855="!!!"),"",IF(NOT(ISNA(VLOOKUP(E855,E$1:E854,1,FALSE()))),"OLD",IF(AND(E855&lt;&gt;"",E855&lt;&gt;"!!!"),"NEW","")))</f>
        <v> </v>
      </c>
      <c r="G855" s="23" t="str">
        <f>IF(OR(E855="",E855="!!!"),"",IF(OR(J855=0,AND(J855=1,K855=1),AND(J855=1,I855="SBJ"),AND(J855=1,I855=0)),"?IN_FOCUS",IF(J855&lt;=2,"?ACTIVATED",IF(J855&lt;&gt;"","?FAMILIAR",IF(F855="NEW",IF(ISNA(VLOOKUP(E855,#REF!,1,FALSE())),"?TYPE_IDENTIFIABLE","?REFERENTIAL"),"_")))))</f>
        <v> </v>
      </c>
      <c r="H855" s="24" t="str">
        <f>IF(J855&lt;&gt;1,"",IF(I855="SBJ","CB","?"))</f>
        <v> </v>
      </c>
      <c r="I855" s="25" t="str">
        <f>IF(OR(E855="",E855="!!!",F855="NEW"),"",INDEX(B854:B$2,-1+SUMPRODUCT(MAX(ROW(E854:E$2)*(E855=E854:E$2)))))</f>
        <v> </v>
      </c>
      <c r="J855" s="25" t="str">
        <f>IF(OR(E855="",E855="!!!",F855="NEW"),"",COUNTBLANK(OFFSET(A$1,,,SUMPRODUCT(MAX(ROW(E$2:E855)*(E855=E$2:E855)))))-COUNTBLANK(OFFSET(A$1,,,SUMPRODUCT(MAX(ROW(E$1:E854)*(E2=E$1:E854))))))</f>
        <v> </v>
      </c>
      <c r="K855" s="25" t="str">
        <f>IF(OR(E855="",E855="!!!",F855="NEW"),"",INDEX(J$1:J854,SUMPRODUCT(MAX(ROW(E$1:E854)*(E855=E$1:E854)))))</f>
        <v> </v>
      </c>
      <c r="L855" s="26"/>
    </row>
    <row r="856" spans="1:12">
      <c r="A856" s="20" t="s">
        <v>710</v>
      </c>
      <c r="B856" s="27" t="s">
        <v>711</v>
      </c>
      <c r="C856" s="27" t="s">
        <v>477</v>
      </c>
      <c r="D856" s="27" t="s">
        <v>478</v>
      </c>
      <c r="E856" s="21">
        <f>IF(D856="?OLD","!!!","")</f>
        <v/>
      </c>
      <c r="F856" s="22" t="str">
        <f>IF(OR(E856="",E856="!!!"),"",IF(NOT(ISNA(VLOOKUP(E856,E$1:E855,1,FALSE()))),"OLD",IF(AND(E856&lt;&gt;"",E856&lt;&gt;"!!!"),"NEW","")))</f>
        <v> </v>
      </c>
      <c r="G856" s="23" t="str">
        <f>IF(OR(E856="",E856="!!!"),"",IF(OR(J856=0,AND(J856=1,K856=1),AND(J856=1,I856="SBJ"),AND(J856=1,I856=0)),"?IN_FOCUS",IF(J856&lt;=2,"?ACTIVATED",IF(J856&lt;&gt;"","?FAMILIAR",IF(F856="NEW",IF(ISNA(VLOOKUP(E856,#REF!,1,FALSE())),"?TYPE_IDENTIFIABLE","?REFERENTIAL"),"_")))))</f>
        <v> </v>
      </c>
      <c r="H856" s="24" t="str">
        <f>IF(J856&lt;&gt;1,"",IF(I856="SBJ","CB","?"))</f>
        <v> </v>
      </c>
      <c r="I856" s="25" t="str">
        <f>IF(OR(E856="",E856="!!!",F856="NEW"),"",INDEX(B855:B$2,-1+SUMPRODUCT(MAX(ROW(E855:E$2)*(E856=E855:E$2)))))</f>
        <v> </v>
      </c>
      <c r="J856" s="25" t="str">
        <f>IF(OR(E856="",E856="!!!",F856="NEW"),"",COUNTBLANK(OFFSET(A$1,,,SUMPRODUCT(MAX(ROW(E$2:E856)*(E856=E$2:E856)))))-COUNTBLANK(OFFSET(A$1,,,SUMPRODUCT(MAX(ROW(E$1:E855)*(E2=E$1:E855))))))</f>
        <v> </v>
      </c>
      <c r="K856" s="25" t="str">
        <f>IF(OR(E856="",E856="!!!",F856="NEW"),"",INDEX(J$1:J855,SUMPRODUCT(MAX(ROW(E$1:E855)*(E856=E$1:E855)))))</f>
        <v> </v>
      </c>
      <c r="L856" s="26"/>
    </row>
    <row r="857" spans="1:12">
      <c r="A857" s="20" t="s">
        <v>588</v>
      </c>
      <c r="E857" s="21">
        <f>IF(D857="?OLD","!!!","")</f>
        <v/>
      </c>
      <c r="F857" s="22" t="str">
        <f>IF(OR(E857="",E857="!!!"),"",IF(NOT(ISNA(VLOOKUP(E857,E$1:E856,1,FALSE()))),"OLD",IF(AND(E857&lt;&gt;"",E857&lt;&gt;"!!!"),"NEW","")))</f>
        <v> </v>
      </c>
      <c r="G857" s="23" t="str">
        <f>IF(OR(E857="",E857="!!!"),"",IF(OR(J857=0,AND(J857=1,K857=1),AND(J857=1,I857="SBJ"),AND(J857=1,I857=0)),"?IN_FOCUS",IF(J857&lt;=2,"?ACTIVATED",IF(J857&lt;&gt;"","?FAMILIAR",IF(F857="NEW",IF(ISNA(VLOOKUP(E857,#REF!,1,FALSE())),"?TYPE_IDENTIFIABLE","?REFERENTIAL"),"_")))))</f>
        <v> </v>
      </c>
      <c r="H857" s="24" t="str">
        <f>IF(J857&lt;&gt;1,"",IF(I857="SBJ","CB","?"))</f>
        <v> </v>
      </c>
      <c r="I857" s="25" t="str">
        <f>IF(OR(E857="",E857="!!!",F857="NEW"),"",INDEX(B856:B$2,-1+SUMPRODUCT(MAX(ROW(E856:E$2)*(E857=E856:E$2)))))</f>
        <v> </v>
      </c>
      <c r="J857" s="25" t="str">
        <f>IF(OR(E857="",E857="!!!",F857="NEW"),"",COUNTBLANK(OFFSET(A$1,,,SUMPRODUCT(MAX(ROW(E$2:E857)*(E857=E$2:E857)))))-COUNTBLANK(OFFSET(A$1,,,SUMPRODUCT(MAX(ROW(E$1:E856)*(E2=E$1:E856))))))</f>
        <v> </v>
      </c>
      <c r="K857" s="25" t="str">
        <f>IF(OR(E857="",E857="!!!",F857="NEW"),"",INDEX(J$1:J856,SUMPRODUCT(MAX(ROW(E$1:E856)*(E857=E$1:E856)))))</f>
        <v> </v>
      </c>
      <c r="L857" s="26"/>
    </row>
    <row r="858" spans="1:12">
      <c r="A858" s="20" t="s">
        <v>902</v>
      </c>
      <c r="B858" s="27" t="s">
        <v>483</v>
      </c>
      <c r="E858" s="21">
        <f>IF(D858="?OLD","!!!","")</f>
        <v/>
      </c>
      <c r="F858" s="22" t="str">
        <f>IF(OR(E858="",E858="!!!"),"",IF(NOT(ISNA(VLOOKUP(E858,E$1:E857,1,FALSE()))),"OLD",IF(AND(E858&lt;&gt;"",E858&lt;&gt;"!!!"),"NEW","")))</f>
        <v> </v>
      </c>
      <c r="G858" s="23" t="str">
        <f>IF(OR(E858="",E858="!!!"),"",IF(OR(J858=0,AND(J858=1,K858=1),AND(J858=1,I858="SBJ"),AND(J858=1,I858=0)),"?IN_FOCUS",IF(J858&lt;=2,"?ACTIVATED",IF(J858&lt;&gt;"","?FAMILIAR",IF(F858="NEW",IF(ISNA(VLOOKUP(E858,#REF!,1,FALSE())),"?TYPE_IDENTIFIABLE","?REFERENTIAL"),"_")))))</f>
        <v> </v>
      </c>
      <c r="H858" s="24" t="str">
        <f>IF(J858&lt;&gt;1,"",IF(I858="SBJ","CB","?"))</f>
        <v> </v>
      </c>
      <c r="I858" s="25" t="str">
        <f>IF(OR(E858="",E858="!!!",F858="NEW"),"",INDEX(B857:B$2,-1+SUMPRODUCT(MAX(ROW(E857:E$2)*(E858=E857:E$2)))))</f>
        <v> </v>
      </c>
      <c r="J858" s="25" t="str">
        <f>IF(OR(E858="",E858="!!!",F858="NEW"),"",COUNTBLANK(OFFSET(A$1,,,SUMPRODUCT(MAX(ROW(E$2:E858)*(E858=E$2:E858)))))-COUNTBLANK(OFFSET(A$1,,,SUMPRODUCT(MAX(ROW(E$1:E857)*(E2=E$1:E857))))))</f>
        <v> </v>
      </c>
      <c r="K858" s="25" t="str">
        <f>IF(OR(E858="",E858="!!!",F858="NEW"),"",INDEX(J$1:J857,SUMPRODUCT(MAX(ROW(E$1:E857)*(E858=E$1:E857)))))</f>
        <v> </v>
      </c>
      <c r="L858" s="26"/>
    </row>
    <row r="859" spans="1:12">
      <c r="A859" s="20" t="s">
        <v>482</v>
      </c>
      <c r="E859" s="21">
        <f>IF(D859="?OLD","!!!","")</f>
        <v/>
      </c>
      <c r="F859" s="22" t="str">
        <f>IF(OR(E859="",E859="!!!"),"",IF(NOT(ISNA(VLOOKUP(E859,E$1:E858,1,FALSE()))),"OLD",IF(AND(E859&lt;&gt;"",E859&lt;&gt;"!!!"),"NEW","")))</f>
        <v> </v>
      </c>
      <c r="G859" s="23" t="str">
        <f>IF(OR(E859="",E859="!!!"),"",IF(OR(J859=0,AND(J859=1,K859=1),AND(J859=1,I859="SBJ"),AND(J859=1,I859=0)),"?IN_FOCUS",IF(J859&lt;=2,"?ACTIVATED",IF(J859&lt;&gt;"","?FAMILIAR",IF(F859="NEW",IF(ISNA(VLOOKUP(E859,#REF!,1,FALSE())),"?TYPE_IDENTIFIABLE","?REFERENTIAL"),"_")))))</f>
        <v> </v>
      </c>
      <c r="H859" s="24" t="str">
        <f>IF(J859&lt;&gt;1,"",IF(I859="SBJ","CB","?"))</f>
        <v> </v>
      </c>
      <c r="I859" s="25" t="str">
        <f>IF(OR(E859="",E859="!!!",F859="NEW"),"",INDEX(B858:B$2,-1+SUMPRODUCT(MAX(ROW(E858:E$2)*(E859=E858:E$2)))))</f>
        <v> </v>
      </c>
      <c r="J859" s="25" t="str">
        <f>IF(OR(E859="",E859="!!!",F859="NEW"),"",COUNTBLANK(OFFSET(A$1,,,SUMPRODUCT(MAX(ROW(E$2:E859)*(E859=E$2:E859)))))-COUNTBLANK(OFFSET(A$1,,,SUMPRODUCT(MAX(ROW(E$1:E858)*(E2=E$1:E858))))))</f>
        <v> </v>
      </c>
      <c r="K859" s="25" t="str">
        <f>IF(OR(E859="",E859="!!!",F859="NEW"),"",INDEX(J$1:J858,SUMPRODUCT(MAX(ROW(E$1:E858)*(E859=E$1:E858)))))</f>
        <v> </v>
      </c>
      <c r="L859" s="26"/>
    </row>
    <row r="860" spans="1:12">
      <c r="A860" s="20" t="s">
        <v>903</v>
      </c>
      <c r="B860" s="27" t="s">
        <v>476</v>
      </c>
      <c r="C860" s="27" t="s">
        <v>477</v>
      </c>
      <c r="D860" s="27" t="s">
        <v>478</v>
      </c>
      <c r="E860" s="21">
        <f>IF(D860="?OLD","!!!","")</f>
        <v/>
      </c>
      <c r="F860" s="22" t="str">
        <f>IF(OR(E860="",E860="!!!"),"",IF(NOT(ISNA(VLOOKUP(E860,E$1:E859,1,FALSE()))),"OLD",IF(AND(E860&lt;&gt;"",E860&lt;&gt;"!!!"),"NEW","")))</f>
        <v> </v>
      </c>
      <c r="G860" s="23" t="str">
        <f>IF(OR(E860="",E860="!!!"),"",IF(OR(J860=0,AND(J860=1,K860=1),AND(J860=1,I860="SBJ"),AND(J860=1,I860=0)),"?IN_FOCUS",IF(J860&lt;=2,"?ACTIVATED",IF(J860&lt;&gt;"","?FAMILIAR",IF(F860="NEW",IF(ISNA(VLOOKUP(E860,#REF!,1,FALSE())),"?TYPE_IDENTIFIABLE","?REFERENTIAL"),"_")))))</f>
        <v> </v>
      </c>
      <c r="H860" s="24" t="str">
        <f>IF(J860&lt;&gt;1,"",IF(I860="SBJ","CB","?"))</f>
        <v> </v>
      </c>
      <c r="I860" s="25" t="str">
        <f>IF(OR(E860="",E860="!!!",F860="NEW"),"",INDEX(B859:B$2,-1+SUMPRODUCT(MAX(ROW(E859:E$2)*(E860=E859:E$2)))))</f>
        <v> </v>
      </c>
      <c r="J860" s="25" t="str">
        <f>IF(OR(E860="",E860="!!!",F860="NEW"),"",COUNTBLANK(OFFSET(A$1,,,SUMPRODUCT(MAX(ROW(E$2:E860)*(E860=E$2:E860)))))-COUNTBLANK(OFFSET(A$1,,,SUMPRODUCT(MAX(ROW(E$1:E859)*(E2=E$1:E859))))))</f>
        <v> </v>
      </c>
      <c r="K860" s="25" t="str">
        <f>IF(OR(E860="",E860="!!!",F860="NEW"),"",INDEX(J$1:J859,SUMPRODUCT(MAX(ROW(E$1:E859)*(E860=E$1:E859)))))</f>
        <v> </v>
      </c>
      <c r="L860" s="26"/>
    </row>
    <row r="861" spans="1:12">
      <c r="A861" s="20" t="s">
        <v>878</v>
      </c>
      <c r="E861" s="21">
        <f>IF(D861="?OLD","!!!","")</f>
        <v/>
      </c>
      <c r="F861" s="22" t="str">
        <f>IF(OR(E861="",E861="!!!"),"",IF(NOT(ISNA(VLOOKUP(E861,E$1:E860,1,FALSE()))),"OLD",IF(AND(E861&lt;&gt;"",E861&lt;&gt;"!!!"),"NEW","")))</f>
        <v> </v>
      </c>
      <c r="G861" s="23" t="str">
        <f>IF(OR(E861="",E861="!!!"),"",IF(OR(J861=0,AND(J861=1,K861=1),AND(J861=1,I861="SBJ"),AND(J861=1,I861=0)),"?IN_FOCUS",IF(J861&lt;=2,"?ACTIVATED",IF(J861&lt;&gt;"","?FAMILIAR",IF(F861="NEW",IF(ISNA(VLOOKUP(E861,#REF!,1,FALSE())),"?TYPE_IDENTIFIABLE","?REFERENTIAL"),"_")))))</f>
        <v> </v>
      </c>
      <c r="H861" s="24" t="str">
        <f>IF(J861&lt;&gt;1,"",IF(I861="SBJ","CB","?"))</f>
        <v> </v>
      </c>
      <c r="I861" s="25" t="str">
        <f>IF(OR(E861="",E861="!!!",F861="NEW"),"",INDEX(B860:B$2,-1+SUMPRODUCT(MAX(ROW(E860:E$2)*(E861=E860:E$2)))))</f>
        <v> </v>
      </c>
      <c r="J861" s="25" t="str">
        <f>IF(OR(E861="",E861="!!!",F861="NEW"),"",COUNTBLANK(OFFSET(A$1,,,SUMPRODUCT(MAX(ROW(E$2:E861)*(E861=E$2:E861)))))-COUNTBLANK(OFFSET(A$1,,,SUMPRODUCT(MAX(ROW(E$1:E860)*(E2=E$1:E860))))))</f>
        <v> </v>
      </c>
      <c r="K861" s="25" t="str">
        <f>IF(OR(E861="",E861="!!!",F861="NEW"),"",INDEX(J$1:J860,SUMPRODUCT(MAX(ROW(E$1:E860)*(E861=E$1:E860)))))</f>
        <v> </v>
      </c>
      <c r="L861" s="26"/>
    </row>
    <row r="862" spans="1:12">
      <c r="A862" s="20" t="s">
        <v>904</v>
      </c>
      <c r="E862" s="21">
        <f>IF(D862="?OLD","!!!","")</f>
        <v/>
      </c>
      <c r="F862" s="22" t="str">
        <f>IF(OR(E862="",E862="!!!"),"",IF(NOT(ISNA(VLOOKUP(E862,E$1:E861,1,FALSE()))),"OLD",IF(AND(E862&lt;&gt;"",E862&lt;&gt;"!!!"),"NEW","")))</f>
        <v> </v>
      </c>
      <c r="G862" s="23" t="str">
        <f>IF(OR(E862="",E862="!!!"),"",IF(OR(J862=0,AND(J862=1,K862=1),AND(J862=1,I862="SBJ"),AND(J862=1,I862=0)),"?IN_FOCUS",IF(J862&lt;=2,"?ACTIVATED",IF(J862&lt;&gt;"","?FAMILIAR",IF(F862="NEW",IF(ISNA(VLOOKUP(E862,#REF!,1,FALSE())),"?TYPE_IDENTIFIABLE","?REFERENTIAL"),"_")))))</f>
        <v> </v>
      </c>
      <c r="H862" s="24" t="str">
        <f>IF(J862&lt;&gt;1,"",IF(I862="SBJ","CB","?"))</f>
        <v> </v>
      </c>
      <c r="I862" s="25" t="str">
        <f>IF(OR(E862="",E862="!!!",F862="NEW"),"",INDEX(B861:B$2,-1+SUMPRODUCT(MAX(ROW(E861:E$2)*(E862=E861:E$2)))))</f>
        <v> </v>
      </c>
      <c r="J862" s="25" t="str">
        <f>IF(OR(E862="",E862="!!!",F862="NEW"),"",COUNTBLANK(OFFSET(A$1,,,SUMPRODUCT(MAX(ROW(E$2:E862)*(E862=E$2:E862)))))-COUNTBLANK(OFFSET(A$1,,,SUMPRODUCT(MAX(ROW(E$1:E861)*(E2=E$1:E861))))))</f>
        <v> </v>
      </c>
      <c r="K862" s="25" t="str">
        <f>IF(OR(E862="",E862="!!!",F862="NEW"),"",INDEX(J$1:J861,SUMPRODUCT(MAX(ROW(E$1:E861)*(E862=E$1:E861)))))</f>
        <v> </v>
      </c>
      <c r="L862" s="26"/>
    </row>
    <row r="863" spans="1:12">
      <c r="A863" s="20" t="s">
        <v>482</v>
      </c>
      <c r="E863" s="21">
        <f>IF(D863="?OLD","!!!","")</f>
        <v/>
      </c>
      <c r="F863" s="22" t="str">
        <f>IF(OR(E863="",E863="!!!"),"",IF(NOT(ISNA(VLOOKUP(E863,E$1:E862,1,FALSE()))),"OLD",IF(AND(E863&lt;&gt;"",E863&lt;&gt;"!!!"),"NEW","")))</f>
        <v> </v>
      </c>
      <c r="G863" s="23" t="str">
        <f>IF(OR(E863="",E863="!!!"),"",IF(OR(J863=0,AND(J863=1,K863=1),AND(J863=1,I863="SBJ"),AND(J863=1,I863=0)),"?IN_FOCUS",IF(J863&lt;=2,"?ACTIVATED",IF(J863&lt;&gt;"","?FAMILIAR",IF(F863="NEW",IF(ISNA(VLOOKUP(E863,#REF!,1,FALSE())),"?TYPE_IDENTIFIABLE","?REFERENTIAL"),"_")))))</f>
        <v> </v>
      </c>
      <c r="H863" s="24" t="str">
        <f>IF(J863&lt;&gt;1,"",IF(I863="SBJ","CB","?"))</f>
        <v> </v>
      </c>
      <c r="I863" s="25" t="str">
        <f>IF(OR(E863="",E863="!!!",F863="NEW"),"",INDEX(B862:B$2,-1+SUMPRODUCT(MAX(ROW(E862:E$2)*(E863=E862:E$2)))))</f>
        <v> </v>
      </c>
      <c r="J863" s="25" t="str">
        <f>IF(OR(E863="",E863="!!!",F863="NEW"),"",COUNTBLANK(OFFSET(A$1,,,SUMPRODUCT(MAX(ROW(E$2:E863)*(E863=E$2:E863)))))-COUNTBLANK(OFFSET(A$1,,,SUMPRODUCT(MAX(ROW(E$1:E862)*(E2=E$1:E862))))))</f>
        <v> </v>
      </c>
      <c r="K863" s="25" t="str">
        <f>IF(OR(E863="",E863="!!!",F863="NEW"),"",INDEX(J$1:J862,SUMPRODUCT(MAX(ROW(E$1:E862)*(E863=E$1:E862)))))</f>
        <v> </v>
      </c>
      <c r="L863" s="26"/>
    </row>
    <row r="864" spans="1:12">
      <c r="A864" s="20" t="s">
        <v>905</v>
      </c>
      <c r="E864" s="21">
        <f>IF(D864="?OLD","!!!","")</f>
        <v/>
      </c>
      <c r="F864" s="22" t="str">
        <f>IF(OR(E864="",E864="!!!"),"",IF(NOT(ISNA(VLOOKUP(E864,E$1:E863,1,FALSE()))),"OLD",IF(AND(E864&lt;&gt;"",E864&lt;&gt;"!!!"),"NEW","")))</f>
        <v> </v>
      </c>
      <c r="G864" s="23" t="str">
        <f>IF(OR(E864="",E864="!!!"),"",IF(OR(J864=0,AND(J864=1,K864=1),AND(J864=1,I864="SBJ"),AND(J864=1,I864=0)),"?IN_FOCUS",IF(J864&lt;=2,"?ACTIVATED",IF(J864&lt;&gt;"","?FAMILIAR",IF(F864="NEW",IF(ISNA(VLOOKUP(E864,#REF!,1,FALSE())),"?TYPE_IDENTIFIABLE","?REFERENTIAL"),"_")))))</f>
        <v> </v>
      </c>
      <c r="H864" s="24" t="str">
        <f>IF(J864&lt;&gt;1,"",IF(I864="SBJ","CB","?"))</f>
        <v> </v>
      </c>
      <c r="I864" s="25" t="str">
        <f>IF(OR(E864="",E864="!!!",F864="NEW"),"",INDEX(B863:B$2,-1+SUMPRODUCT(MAX(ROW(E863:E$2)*(E864=E863:E$2)))))</f>
        <v> </v>
      </c>
      <c r="J864" s="25" t="str">
        <f>IF(OR(E864="",E864="!!!",F864="NEW"),"",COUNTBLANK(OFFSET(A$1,,,SUMPRODUCT(MAX(ROW(E$2:E864)*(E864=E$2:E864)))))-COUNTBLANK(OFFSET(A$1,,,SUMPRODUCT(MAX(ROW(E$1:E863)*(E2=E$1:E863))))))</f>
        <v> </v>
      </c>
      <c r="K864" s="25" t="str">
        <f>IF(OR(E864="",E864="!!!",F864="NEW"),"",INDEX(J$1:J863,SUMPRODUCT(MAX(ROW(E$1:E863)*(E864=E$1:E863)))))</f>
        <v> </v>
      </c>
      <c r="L864" s="26"/>
    </row>
    <row r="865" spans="1:12">
      <c r="A865" s="20" t="s">
        <v>520</v>
      </c>
      <c r="E865" s="21">
        <f>IF(D865="?OLD","!!!","")</f>
        <v/>
      </c>
      <c r="F865" s="22" t="str">
        <f>IF(OR(E865="",E865="!!!"),"",IF(NOT(ISNA(VLOOKUP(E865,E$1:E864,1,FALSE()))),"OLD",IF(AND(E865&lt;&gt;"",E865&lt;&gt;"!!!"),"NEW","")))</f>
        <v> </v>
      </c>
      <c r="G865" s="23" t="str">
        <f>IF(OR(E865="",E865="!!!"),"",IF(OR(J865=0,AND(J865=1,K865=1),AND(J865=1,I865="SBJ"),AND(J865=1,I865=0)),"?IN_FOCUS",IF(J865&lt;=2,"?ACTIVATED",IF(J865&lt;&gt;"","?FAMILIAR",IF(F865="NEW",IF(ISNA(VLOOKUP(E865,#REF!,1,FALSE())),"?TYPE_IDENTIFIABLE","?REFERENTIAL"),"_")))))</f>
        <v> </v>
      </c>
      <c r="H865" s="24" t="str">
        <f>IF(J865&lt;&gt;1,"",IF(I865="SBJ","CB","?"))</f>
        <v> </v>
      </c>
      <c r="I865" s="25" t="str">
        <f>IF(OR(E865="",E865="!!!",F865="NEW"),"",INDEX(B864:B$2,-1+SUMPRODUCT(MAX(ROW(E864:E$2)*(E865=E864:E$2)))))</f>
        <v> </v>
      </c>
      <c r="J865" s="25" t="str">
        <f>IF(OR(E865="",E865="!!!",F865="NEW"),"",COUNTBLANK(OFFSET(A$1,,,SUMPRODUCT(MAX(ROW(E$2:E865)*(E865=E$2:E865)))))-COUNTBLANK(OFFSET(A$1,,,SUMPRODUCT(MAX(ROW(E$1:E864)*(E2=E$1:E864))))))</f>
        <v> </v>
      </c>
      <c r="K865" s="25" t="str">
        <f>IF(OR(E865="",E865="!!!",F865="NEW"),"",INDEX(J$1:J864,SUMPRODUCT(MAX(ROW(E$1:E864)*(E865=E$1:E864)))))</f>
        <v> </v>
      </c>
      <c r="L865" s="26"/>
    </row>
    <row r="866" spans="1:12">
      <c r="A866" s="20" t="s">
        <v>589</v>
      </c>
      <c r="E866" s="21">
        <f>IF(D866="?OLD","!!!","")</f>
        <v/>
      </c>
      <c r="F866" s="22" t="str">
        <f>IF(OR(E866="",E866="!!!"),"",IF(NOT(ISNA(VLOOKUP(E866,E$1:E865,1,FALSE()))),"OLD",IF(AND(E866&lt;&gt;"",E866&lt;&gt;"!!!"),"NEW","")))</f>
        <v> </v>
      </c>
      <c r="G866" s="23" t="str">
        <f>IF(OR(E866="",E866="!!!"),"",IF(OR(J866=0,AND(J866=1,K866=1),AND(J866=1,I866="SBJ"),AND(J866=1,I866=0)),"?IN_FOCUS",IF(J866&lt;=2,"?ACTIVATED",IF(J866&lt;&gt;"","?FAMILIAR",IF(F866="NEW",IF(ISNA(VLOOKUP(E866,#REF!,1,FALSE())),"?TYPE_IDENTIFIABLE","?REFERENTIAL"),"_")))))</f>
        <v> </v>
      </c>
      <c r="H866" s="24" t="str">
        <f>IF(J866&lt;&gt;1,"",IF(I866="SBJ","CB","?"))</f>
        <v> </v>
      </c>
      <c r="I866" s="25" t="str">
        <f>IF(OR(E866="",E866="!!!",F866="NEW"),"",INDEX(B865:B$2,-1+SUMPRODUCT(MAX(ROW(E865:E$2)*(E866=E865:E$2)))))</f>
        <v> </v>
      </c>
      <c r="J866" s="25" t="str">
        <f>IF(OR(E866="",E866="!!!",F866="NEW"),"",COUNTBLANK(OFFSET(A$1,,,SUMPRODUCT(MAX(ROW(E$2:E866)*(E866=E$2:E866)))))-COUNTBLANK(OFFSET(A$1,,,SUMPRODUCT(MAX(ROW(E$1:E865)*(E2=E$1:E865))))))</f>
        <v> </v>
      </c>
      <c r="K866" s="25" t="str">
        <f>IF(OR(E866="",E866="!!!",F866="NEW"),"",INDEX(J$1:J865,SUMPRODUCT(MAX(ROW(E$1:E865)*(E866=E$1:E865)))))</f>
        <v> </v>
      </c>
      <c r="L866" s="26"/>
    </row>
    <row r="867" spans="1:12">
      <c r="A867" s="20" t="s">
        <v>906</v>
      </c>
      <c r="E867" s="21">
        <f>IF(D867="?OLD","!!!","")</f>
        <v/>
      </c>
      <c r="F867" s="22" t="str">
        <f>IF(OR(E867="",E867="!!!"),"",IF(NOT(ISNA(VLOOKUP(E867,E$1:E866,1,FALSE()))),"OLD",IF(AND(E867&lt;&gt;"",E867&lt;&gt;"!!!"),"NEW","")))</f>
        <v> </v>
      </c>
      <c r="G867" s="23" t="str">
        <f>IF(OR(E867="",E867="!!!"),"",IF(OR(J867=0,AND(J867=1,K867=1),AND(J867=1,I867="SBJ"),AND(J867=1,I867=0)),"?IN_FOCUS",IF(J867&lt;=2,"?ACTIVATED",IF(J867&lt;&gt;"","?FAMILIAR",IF(F867="NEW",IF(ISNA(VLOOKUP(E867,#REF!,1,FALSE())),"?TYPE_IDENTIFIABLE","?REFERENTIAL"),"_")))))</f>
        <v> </v>
      </c>
      <c r="H867" s="24" t="str">
        <f>IF(J867&lt;&gt;1,"",IF(I867="SBJ","CB","?"))</f>
        <v> </v>
      </c>
      <c r="I867" s="25" t="str">
        <f>IF(OR(E867="",E867="!!!",F867="NEW"),"",INDEX(B866:B$2,-1+SUMPRODUCT(MAX(ROW(E866:E$2)*(E867=E866:E$2)))))</f>
        <v> </v>
      </c>
      <c r="J867" s="25" t="str">
        <f>IF(OR(E867="",E867="!!!",F867="NEW"),"",COUNTBLANK(OFFSET(A$1,,,SUMPRODUCT(MAX(ROW(E$2:E867)*(E867=E$2:E867)))))-COUNTBLANK(OFFSET(A$1,,,SUMPRODUCT(MAX(ROW(E$1:E866)*(E2=E$1:E866))))))</f>
        <v> </v>
      </c>
      <c r="K867" s="25" t="str">
        <f>IF(OR(E867="",E867="!!!",F867="NEW"),"",INDEX(J$1:J866,SUMPRODUCT(MAX(ROW(E$1:E866)*(E867=E$1:E866)))))</f>
        <v> </v>
      </c>
      <c r="L867" s="26"/>
    </row>
    <row r="868" spans="1:12">
      <c r="A868" s="20" t="s">
        <v>253</v>
      </c>
      <c r="E868" s="21">
        <f>IF(D868="?OLD","!!!","")</f>
        <v/>
      </c>
      <c r="F868" s="22" t="str">
        <f>IF(OR(E868="",E868="!!!"),"",IF(NOT(ISNA(VLOOKUP(E868,E$1:E867,1,FALSE()))),"OLD",IF(AND(E868&lt;&gt;"",E868&lt;&gt;"!!!"),"NEW","")))</f>
        <v> </v>
      </c>
      <c r="G868" s="23" t="str">
        <f>IF(OR(E868="",E868="!!!"),"",IF(OR(J868=0,AND(J868=1,K868=1),AND(J868=1,I868="SBJ"),AND(J868=1,I868=0)),"?IN_FOCUS",IF(J868&lt;=2,"?ACTIVATED",IF(J868&lt;&gt;"","?FAMILIAR",IF(F868="NEW",IF(ISNA(VLOOKUP(E868,#REF!,1,FALSE())),"?TYPE_IDENTIFIABLE","?REFERENTIAL"),"_")))))</f>
        <v> </v>
      </c>
      <c r="H868" s="24" t="str">
        <f>IF(J868&lt;&gt;1,"",IF(I868="SBJ","CB","?"))</f>
        <v> </v>
      </c>
      <c r="I868" s="25" t="str">
        <f>IF(OR(E868="",E868="!!!",F868="NEW"),"",INDEX(B867:B$2,-1+SUMPRODUCT(MAX(ROW(E867:E$2)*(E868=E867:E$2)))))</f>
        <v> </v>
      </c>
      <c r="J868" s="25" t="str">
        <f>IF(OR(E868="",E868="!!!",F868="NEW"),"",COUNTBLANK(OFFSET(A$1,,,SUMPRODUCT(MAX(ROW(E$2:E868)*(E868=E$2:E868)))))-COUNTBLANK(OFFSET(A$1,,,SUMPRODUCT(MAX(ROW(E$1:E867)*(E2=E$1:E867))))))</f>
        <v> </v>
      </c>
      <c r="K868" s="25" t="str">
        <f>IF(OR(E868="",E868="!!!",F868="NEW"),"",INDEX(J$1:J867,SUMPRODUCT(MAX(ROW(E$1:E867)*(E868=E$1:E867)))))</f>
        <v> </v>
      </c>
      <c r="L868" s="26"/>
    </row>
    <row r="869" spans="1:12">
      <c r="A869" s="20"/>
    </row>
    <row r="870" spans="1:12">
      <c r="A870" s="20" t="s">
        <v>907</v>
      </c>
    </row>
    <row r="871" spans="1:12">
      <c r="A871" s="20" t="s">
        <v>908</v>
      </c>
      <c r="E871" s="21">
        <f>IF(D871="?OLD","!!!","")</f>
        <v/>
      </c>
      <c r="F871" s="22" t="str">
        <f>IF(OR(E871="",E871="!!!"),"",IF(NOT(ISNA(VLOOKUP(E871,E$1:E870,1,FALSE()))),"OLD",IF(AND(E871&lt;&gt;"",E871&lt;&gt;"!!!"),"NEW","")))</f>
        <v> </v>
      </c>
      <c r="G871" s="23" t="str">
        <f>IF(OR(E871="",E871="!!!"),"",IF(OR(J871=0,AND(J871=1,K871=1),AND(J871=1,I871="SBJ"),AND(J871=1,I871=0)),"?IN_FOCUS",IF(J871&lt;=2,"?ACTIVATED",IF(J871&lt;&gt;"","?FAMILIAR",IF(F871="NEW",IF(ISNA(VLOOKUP(E871,#REF!,1,FALSE())),"?TYPE_IDENTIFIABLE","?REFERENTIAL"),"_")))))</f>
        <v> </v>
      </c>
      <c r="H871" s="24" t="str">
        <f>IF(J871&lt;&gt;1,"",IF(I871="SBJ","CB","?"))</f>
        <v> </v>
      </c>
      <c r="I871" s="25" t="str">
        <f>IF(OR(E871="",E871="!!!",F871="NEW"),"",INDEX(B870:B$2,-1+SUMPRODUCT(MAX(ROW(E870:E$2)*(E871=E870:E$2)))))</f>
        <v> </v>
      </c>
      <c r="J871" s="25" t="str">
        <f>IF(OR(E871="",E871="!!!",F871="NEW"),"",COUNTBLANK(OFFSET(A$1,,,SUMPRODUCT(MAX(ROW(E$2:E871)*(E871=E$2:E871)))))-COUNTBLANK(OFFSET(A$1,,,SUMPRODUCT(MAX(ROW(E$1:E870)*(E2=E$1:E870))))))</f>
        <v> </v>
      </c>
      <c r="K871" s="25" t="str">
        <f>IF(OR(E871="",E871="!!!",F871="NEW"),"",INDEX(J$1:J870,SUMPRODUCT(MAX(ROW(E$1:E870)*(E871=E$1:E870)))))</f>
        <v> </v>
      </c>
      <c r="L871" s="26"/>
    </row>
    <row r="872" spans="1:12">
      <c r="A872" s="20" t="s">
        <v>909</v>
      </c>
      <c r="E872" s="21">
        <f>IF(D872="?OLD","!!!","")</f>
        <v/>
      </c>
      <c r="F872" s="22" t="str">
        <f>IF(OR(E872="",E872="!!!"),"",IF(NOT(ISNA(VLOOKUP(E872,E$1:E871,1,FALSE()))),"OLD",IF(AND(E872&lt;&gt;"",E872&lt;&gt;"!!!"),"NEW","")))</f>
        <v> </v>
      </c>
      <c r="G872" s="23" t="str">
        <f>IF(OR(E872="",E872="!!!"),"",IF(OR(J872=0,AND(J872=1,K872=1),AND(J872=1,I872="SBJ"),AND(J872=1,I872=0)),"?IN_FOCUS",IF(J872&lt;=2,"?ACTIVATED",IF(J872&lt;&gt;"","?FAMILIAR",IF(F872="NEW",IF(ISNA(VLOOKUP(E872,#REF!,1,FALSE())),"?TYPE_IDENTIFIABLE","?REFERENTIAL"),"_")))))</f>
        <v> </v>
      </c>
      <c r="H872" s="24" t="str">
        <f>IF(J872&lt;&gt;1,"",IF(I872="SBJ","CB","?"))</f>
        <v> </v>
      </c>
      <c r="I872" s="25" t="str">
        <f>IF(OR(E872="",E872="!!!",F872="NEW"),"",INDEX(B871:B$2,-1+SUMPRODUCT(MAX(ROW(E871:E$2)*(E872=E871:E$2)))))</f>
        <v> </v>
      </c>
      <c r="J872" s="25" t="str">
        <f>IF(OR(E872="",E872="!!!",F872="NEW"),"",COUNTBLANK(OFFSET(A$1,,,SUMPRODUCT(MAX(ROW(E$2:E872)*(E872=E$2:E872)))))-COUNTBLANK(OFFSET(A$1,,,SUMPRODUCT(MAX(ROW(E$1:E871)*(E2=E$1:E871))))))</f>
        <v> </v>
      </c>
      <c r="K872" s="25" t="str">
        <f>IF(OR(E872="",E872="!!!",F872="NEW"),"",INDEX(J$1:J871,SUMPRODUCT(MAX(ROW(E$1:E871)*(E872=E$1:E871)))))</f>
        <v> </v>
      </c>
      <c r="L872" s="26"/>
    </row>
    <row r="873" spans="1:12">
      <c r="A873" s="20" t="s">
        <v>482</v>
      </c>
      <c r="E873" s="21">
        <f>IF(D873="?OLD","!!!","")</f>
        <v/>
      </c>
      <c r="F873" s="22" t="str">
        <f>IF(OR(E873="",E873="!!!"),"",IF(NOT(ISNA(VLOOKUP(E873,E$1:E872,1,FALSE()))),"OLD",IF(AND(E873&lt;&gt;"",E873&lt;&gt;"!!!"),"NEW","")))</f>
        <v> </v>
      </c>
      <c r="G873" s="23" t="str">
        <f>IF(OR(E873="",E873="!!!"),"",IF(OR(J873=0,AND(J873=1,K873=1),AND(J873=1,I873="SBJ"),AND(J873=1,I873=0)),"?IN_FOCUS",IF(J873&lt;=2,"?ACTIVATED",IF(J873&lt;&gt;"","?FAMILIAR",IF(F873="NEW",IF(ISNA(VLOOKUP(E873,#REF!,1,FALSE())),"?TYPE_IDENTIFIABLE","?REFERENTIAL"),"_")))))</f>
        <v> </v>
      </c>
      <c r="H873" s="24" t="str">
        <f>IF(J873&lt;&gt;1,"",IF(I873="SBJ","CB","?"))</f>
        <v> </v>
      </c>
      <c r="I873" s="25" t="str">
        <f>IF(OR(E873="",E873="!!!",F873="NEW"),"",INDEX(B872:B$2,-1+SUMPRODUCT(MAX(ROW(E872:E$2)*(E873=E872:E$2)))))</f>
        <v> </v>
      </c>
      <c r="J873" s="25" t="str">
        <f>IF(OR(E873="",E873="!!!",F873="NEW"),"",COUNTBLANK(OFFSET(A$1,,,SUMPRODUCT(MAX(ROW(E$2:E873)*(E873=E$2:E873)))))-COUNTBLANK(OFFSET(A$1,,,SUMPRODUCT(MAX(ROW(E$1:E872)*(E2=E$1:E872))))))</f>
        <v> </v>
      </c>
      <c r="K873" s="25" t="str">
        <f>IF(OR(E873="",E873="!!!",F873="NEW"),"",INDEX(J$1:J872,SUMPRODUCT(MAX(ROW(E$1:E872)*(E873=E$1:E872)))))</f>
        <v> </v>
      </c>
      <c r="L873" s="26"/>
    </row>
    <row r="874" spans="1:12">
      <c r="A874" s="20" t="s">
        <v>12</v>
      </c>
      <c r="E874" s="21">
        <f>IF(D874="?OLD","!!!","")</f>
        <v/>
      </c>
      <c r="F874" s="22" t="str">
        <f>IF(OR(E874="",E874="!!!"),"",IF(NOT(ISNA(VLOOKUP(E874,E$1:E873,1,FALSE()))),"OLD",IF(AND(E874&lt;&gt;"",E874&lt;&gt;"!!!"),"NEW","")))</f>
        <v> </v>
      </c>
      <c r="G874" s="23" t="str">
        <f>IF(OR(E874="",E874="!!!"),"",IF(OR(J874=0,AND(J874=1,K874=1),AND(J874=1,I874="SBJ"),AND(J874=1,I874=0)),"?IN_FOCUS",IF(J874&lt;=2,"?ACTIVATED",IF(J874&lt;&gt;"","?FAMILIAR",IF(F874="NEW",IF(ISNA(VLOOKUP(E874,#REF!,1,FALSE())),"?TYPE_IDENTIFIABLE","?REFERENTIAL"),"_")))))</f>
        <v> </v>
      </c>
      <c r="H874" s="24" t="str">
        <f>IF(J874&lt;&gt;1,"",IF(I874="SBJ","CB","?"))</f>
        <v> </v>
      </c>
      <c r="I874" s="25" t="str">
        <f>IF(OR(E874="",E874="!!!",F874="NEW"),"",INDEX(B873:B$2,-1+SUMPRODUCT(MAX(ROW(E873:E$2)*(E874=E873:E$2)))))</f>
        <v> </v>
      </c>
      <c r="J874" s="25" t="str">
        <f>IF(OR(E874="",E874="!!!",F874="NEW"),"",COUNTBLANK(OFFSET(A$1,,,SUMPRODUCT(MAX(ROW(E$2:E874)*(E874=E$2:E874)))))-COUNTBLANK(OFFSET(A$1,,,SUMPRODUCT(MAX(ROW(E$1:E873)*(E2=E$1:E873))))))</f>
        <v> </v>
      </c>
      <c r="K874" s="25" t="str">
        <f>IF(OR(E874="",E874="!!!",F874="NEW"),"",INDEX(J$1:J873,SUMPRODUCT(MAX(ROW(E$1:E873)*(E874=E$1:E873)))))</f>
        <v> </v>
      </c>
      <c r="L874" s="26"/>
    </row>
    <row r="875" spans="1:12">
      <c r="A875" s="20" t="s">
        <v>910</v>
      </c>
      <c r="E875" s="21">
        <f>IF(D875="?OLD","!!!","")</f>
        <v/>
      </c>
      <c r="F875" s="22" t="str">
        <f>IF(OR(E875="",E875="!!!"),"",IF(NOT(ISNA(VLOOKUP(E875,E$1:E874,1,FALSE()))),"OLD",IF(AND(E875&lt;&gt;"",E875&lt;&gt;"!!!"),"NEW","")))</f>
        <v> </v>
      </c>
      <c r="G875" s="23" t="str">
        <f>IF(OR(E875="",E875="!!!"),"",IF(OR(J875=0,AND(J875=1,K875=1),AND(J875=1,I875="SBJ"),AND(J875=1,I875=0)),"?IN_FOCUS",IF(J875&lt;=2,"?ACTIVATED",IF(J875&lt;&gt;"","?FAMILIAR",IF(F875="NEW",IF(ISNA(VLOOKUP(E875,#REF!,1,FALSE())),"?TYPE_IDENTIFIABLE","?REFERENTIAL"),"_")))))</f>
        <v> </v>
      </c>
      <c r="H875" s="24" t="str">
        <f>IF(J875&lt;&gt;1,"",IF(I875="SBJ","CB","?"))</f>
        <v> </v>
      </c>
      <c r="I875" s="25" t="str">
        <f>IF(OR(E875="",E875="!!!",F875="NEW"),"",INDEX(B874:B$2,-1+SUMPRODUCT(MAX(ROW(E874:E$2)*(E875=E874:E$2)))))</f>
        <v> </v>
      </c>
      <c r="J875" s="25" t="str">
        <f>IF(OR(E875="",E875="!!!",F875="NEW"),"",COUNTBLANK(OFFSET(A$1,,,SUMPRODUCT(MAX(ROW(E$2:E875)*(E875=E$2:E875)))))-COUNTBLANK(OFFSET(A$1,,,SUMPRODUCT(MAX(ROW(E$1:E874)*(E2=E$1:E874))))))</f>
        <v> </v>
      </c>
      <c r="K875" s="25" t="str">
        <f>IF(OR(E875="",E875="!!!",F875="NEW"),"",INDEX(J$1:J874,SUMPRODUCT(MAX(ROW(E$1:E874)*(E875=E$1:E874)))))</f>
        <v> </v>
      </c>
      <c r="L875" s="26"/>
    </row>
    <row r="876" spans="1:12">
      <c r="A876" s="20" t="s">
        <v>534</v>
      </c>
      <c r="E876" s="21">
        <f>IF(D876="?OLD","!!!","")</f>
        <v/>
      </c>
      <c r="F876" s="22" t="str">
        <f>IF(OR(E876="",E876="!!!"),"",IF(NOT(ISNA(VLOOKUP(E876,E$1:E875,1,FALSE()))),"OLD",IF(AND(E876&lt;&gt;"",E876&lt;&gt;"!!!"),"NEW","")))</f>
        <v> </v>
      </c>
      <c r="G876" s="23" t="str">
        <f>IF(OR(E876="",E876="!!!"),"",IF(OR(J876=0,AND(J876=1,K876=1),AND(J876=1,I876="SBJ"),AND(J876=1,I876=0)),"?IN_FOCUS",IF(J876&lt;=2,"?ACTIVATED",IF(J876&lt;&gt;"","?FAMILIAR",IF(F876="NEW",IF(ISNA(VLOOKUP(E876,#REF!,1,FALSE())),"?TYPE_IDENTIFIABLE","?REFERENTIAL"),"_")))))</f>
        <v> </v>
      </c>
      <c r="H876" s="24" t="str">
        <f>IF(J876&lt;&gt;1,"",IF(I876="SBJ","CB","?"))</f>
        <v> </v>
      </c>
      <c r="I876" s="25" t="str">
        <f>IF(OR(E876="",E876="!!!",F876="NEW"),"",INDEX(B875:B$2,-1+SUMPRODUCT(MAX(ROW(E875:E$2)*(E876=E875:E$2)))))</f>
        <v> </v>
      </c>
      <c r="J876" s="25" t="str">
        <f>IF(OR(E876="",E876="!!!",F876="NEW"),"",COUNTBLANK(OFFSET(A$1,,,SUMPRODUCT(MAX(ROW(E$2:E876)*(E876=E$2:E876)))))-COUNTBLANK(OFFSET(A$1,,,SUMPRODUCT(MAX(ROW(E$1:E875)*(E2=E$1:E875))))))</f>
        <v> </v>
      </c>
      <c r="K876" s="25" t="str">
        <f>IF(OR(E876="",E876="!!!",F876="NEW"),"",INDEX(J$1:J875,SUMPRODUCT(MAX(ROW(E$1:E875)*(E876=E$1:E875)))))</f>
        <v> </v>
      </c>
      <c r="L876" s="26"/>
    </row>
    <row r="877" spans="1:12">
      <c r="A877" s="20" t="s">
        <v>911</v>
      </c>
      <c r="E877" s="21">
        <f>IF(D877="?OLD","!!!","")</f>
        <v/>
      </c>
      <c r="F877" s="22" t="str">
        <f>IF(OR(E877="",E877="!!!"),"",IF(NOT(ISNA(VLOOKUP(E877,E$1:E876,1,FALSE()))),"OLD",IF(AND(E877&lt;&gt;"",E877&lt;&gt;"!!!"),"NEW","")))</f>
        <v> </v>
      </c>
      <c r="G877" s="23" t="str">
        <f>IF(OR(E877="",E877="!!!"),"",IF(OR(J877=0,AND(J877=1,K877=1),AND(J877=1,I877="SBJ"),AND(J877=1,I877=0)),"?IN_FOCUS",IF(J877&lt;=2,"?ACTIVATED",IF(J877&lt;&gt;"","?FAMILIAR",IF(F877="NEW",IF(ISNA(VLOOKUP(E877,#REF!,1,FALSE())),"?TYPE_IDENTIFIABLE","?REFERENTIAL"),"_")))))</f>
        <v> </v>
      </c>
      <c r="H877" s="24" t="str">
        <f>IF(J877&lt;&gt;1,"",IF(I877="SBJ","CB","?"))</f>
        <v> </v>
      </c>
      <c r="I877" s="25" t="str">
        <f>IF(OR(E877="",E877="!!!",F877="NEW"),"",INDEX(B876:B$2,-1+SUMPRODUCT(MAX(ROW(E876:E$2)*(E877=E876:E$2)))))</f>
        <v> </v>
      </c>
      <c r="J877" s="25" t="str">
        <f>IF(OR(E877="",E877="!!!",F877="NEW"),"",COUNTBLANK(OFFSET(A$1,,,SUMPRODUCT(MAX(ROW(E$2:E877)*(E877=E$2:E877)))))-COUNTBLANK(OFFSET(A$1,,,SUMPRODUCT(MAX(ROW(E$1:E876)*(E2=E$1:E876))))))</f>
        <v> </v>
      </c>
      <c r="K877" s="25" t="str">
        <f>IF(OR(E877="",E877="!!!",F877="NEW"),"",INDEX(J$1:J876,SUMPRODUCT(MAX(ROW(E$1:E876)*(E877=E$1:E876)))))</f>
        <v> </v>
      </c>
      <c r="L877" s="26"/>
    </row>
    <row r="878" spans="1:12">
      <c r="A878" s="20" t="s">
        <v>912</v>
      </c>
      <c r="B878" s="27" t="s">
        <v>711</v>
      </c>
      <c r="C878" s="27" t="s">
        <v>779</v>
      </c>
      <c r="E878" s="21">
        <f>IF(D878="?OLD","!!!","")</f>
        <v/>
      </c>
      <c r="F878" s="22" t="str">
        <f>IF(OR(E878="",E878="!!!"),"",IF(NOT(ISNA(VLOOKUP(E878,E$1:E877,1,FALSE()))),"OLD",IF(AND(E878&lt;&gt;"",E878&lt;&gt;"!!!"),"NEW","")))</f>
        <v> </v>
      </c>
      <c r="G878" s="23" t="str">
        <f>IF(OR(E878="",E878="!!!"),"",IF(OR(J878=0,AND(J878=1,K878=1),AND(J878=1,I878="SBJ"),AND(J878=1,I878=0)),"?IN_FOCUS",IF(J878&lt;=2,"?ACTIVATED",IF(J878&lt;&gt;"","?FAMILIAR",IF(F878="NEW",IF(ISNA(VLOOKUP(E878,#REF!,1,FALSE())),"?TYPE_IDENTIFIABLE","?REFERENTIAL"),"_")))))</f>
        <v> </v>
      </c>
      <c r="H878" s="24" t="str">
        <f>IF(J878&lt;&gt;1,"",IF(I878="SBJ","CB","?"))</f>
        <v> </v>
      </c>
      <c r="I878" s="25" t="str">
        <f>IF(OR(E878="",E878="!!!",F878="NEW"),"",INDEX(B877:B$2,-1+SUMPRODUCT(MAX(ROW(E877:E$2)*(E878=E877:E$2)))))</f>
        <v> </v>
      </c>
      <c r="J878" s="25" t="str">
        <f>IF(OR(E878="",E878="!!!",F878="NEW"),"",COUNTBLANK(OFFSET(A$1,,,SUMPRODUCT(MAX(ROW(E$2:E878)*(E878=E$2:E878)))))-COUNTBLANK(OFFSET(A$1,,,SUMPRODUCT(MAX(ROW(E$1:E877)*(E2=E$1:E877))))))</f>
        <v> </v>
      </c>
      <c r="K878" s="25" t="str">
        <f>IF(OR(E878="",E878="!!!",F878="NEW"),"",INDEX(J$1:J877,SUMPRODUCT(MAX(ROW(E$1:E877)*(E878=E$1:E877)))))</f>
        <v> </v>
      </c>
      <c r="L878" s="26"/>
    </row>
    <row r="879" spans="1:12">
      <c r="A879" s="20" t="s">
        <v>656</v>
      </c>
      <c r="E879" s="21">
        <f>IF(D879="?OLD","!!!","")</f>
        <v/>
      </c>
      <c r="F879" s="22" t="str">
        <f>IF(OR(E879="",E879="!!!"),"",IF(NOT(ISNA(VLOOKUP(E879,E$1:E878,1,FALSE()))),"OLD",IF(AND(E879&lt;&gt;"",E879&lt;&gt;"!!!"),"NEW","")))</f>
        <v> </v>
      </c>
      <c r="G879" s="23" t="str">
        <f>IF(OR(E879="",E879="!!!"),"",IF(OR(J879=0,AND(J879=1,K879=1),AND(J879=1,I879="SBJ"),AND(J879=1,I879=0)),"?IN_FOCUS",IF(J879&lt;=2,"?ACTIVATED",IF(J879&lt;&gt;"","?FAMILIAR",IF(F879="NEW",IF(ISNA(VLOOKUP(E879,#REF!,1,FALSE())),"?TYPE_IDENTIFIABLE","?REFERENTIAL"),"_")))))</f>
        <v> </v>
      </c>
      <c r="H879" s="24" t="str">
        <f>IF(J879&lt;&gt;1,"",IF(I879="SBJ","CB","?"))</f>
        <v> </v>
      </c>
      <c r="I879" s="25" t="str">
        <f>IF(OR(E879="",E879="!!!",F879="NEW"),"",INDEX(B878:B$2,-1+SUMPRODUCT(MAX(ROW(E878:E$2)*(E879=E878:E$2)))))</f>
        <v> </v>
      </c>
      <c r="J879" s="25" t="str">
        <f>IF(OR(E879="",E879="!!!",F879="NEW"),"",COUNTBLANK(OFFSET(A$1,,,SUMPRODUCT(MAX(ROW(E$2:E879)*(E879=E$2:E879)))))-COUNTBLANK(OFFSET(A$1,,,SUMPRODUCT(MAX(ROW(E$1:E878)*(E2=E$1:E878))))))</f>
        <v> </v>
      </c>
      <c r="K879" s="25" t="str">
        <f>IF(OR(E879="",E879="!!!",F879="NEW"),"",INDEX(J$1:J878,SUMPRODUCT(MAX(ROW(E$1:E878)*(E879=E$1:E878)))))</f>
        <v> </v>
      </c>
      <c r="L879" s="26"/>
    </row>
    <row r="880" spans="1:12">
      <c r="A880" s="20" t="s">
        <v>913</v>
      </c>
      <c r="E880" s="21">
        <f>IF(D880="?OLD","!!!","")</f>
        <v/>
      </c>
      <c r="F880" s="22" t="str">
        <f>IF(OR(E880="",E880="!!!"),"",IF(NOT(ISNA(VLOOKUP(E880,E$1:E879,1,FALSE()))),"OLD",IF(AND(E880&lt;&gt;"",E880&lt;&gt;"!!!"),"NEW","")))</f>
        <v> </v>
      </c>
      <c r="G880" s="23" t="str">
        <f>IF(OR(E880="",E880="!!!"),"",IF(OR(J880=0,AND(J880=1,K880=1),AND(J880=1,I880="SBJ"),AND(J880=1,I880=0)),"?IN_FOCUS",IF(J880&lt;=2,"?ACTIVATED",IF(J880&lt;&gt;"","?FAMILIAR",IF(F880="NEW",IF(ISNA(VLOOKUP(E880,#REF!,1,FALSE())),"?TYPE_IDENTIFIABLE","?REFERENTIAL"),"_")))))</f>
        <v> </v>
      </c>
      <c r="H880" s="24" t="str">
        <f>IF(J880&lt;&gt;1,"",IF(I880="SBJ","CB","?"))</f>
        <v> </v>
      </c>
      <c r="I880" s="25" t="str">
        <f>IF(OR(E880="",E880="!!!",F880="NEW"),"",INDEX(B879:B$2,-1+SUMPRODUCT(MAX(ROW(E879:E$2)*(E880=E879:E$2)))))</f>
        <v> </v>
      </c>
      <c r="J880" s="25" t="str">
        <f>IF(OR(E880="",E880="!!!",F880="NEW"),"",COUNTBLANK(OFFSET(A$1,,,SUMPRODUCT(MAX(ROW(E$2:E880)*(E880=E$2:E880)))))-COUNTBLANK(OFFSET(A$1,,,SUMPRODUCT(MAX(ROW(E$1:E879)*(E2=E$1:E879))))))</f>
        <v> </v>
      </c>
      <c r="K880" s="25" t="str">
        <f>IF(OR(E880="",E880="!!!",F880="NEW"),"",INDEX(J$1:J879,SUMPRODUCT(MAX(ROW(E$1:E879)*(E880=E$1:E879)))))</f>
        <v> </v>
      </c>
      <c r="L880" s="26"/>
    </row>
    <row r="881" spans="1:12">
      <c r="A881" s="20" t="s">
        <v>534</v>
      </c>
      <c r="E881" s="21">
        <f>IF(D881="?OLD","!!!","")</f>
        <v/>
      </c>
      <c r="F881" s="22" t="str">
        <f>IF(OR(E881="",E881="!!!"),"",IF(NOT(ISNA(VLOOKUP(E881,E$1:E880,1,FALSE()))),"OLD",IF(AND(E881&lt;&gt;"",E881&lt;&gt;"!!!"),"NEW","")))</f>
        <v> </v>
      </c>
      <c r="G881" s="23" t="str">
        <f>IF(OR(E881="",E881="!!!"),"",IF(OR(J881=0,AND(J881=1,K881=1),AND(J881=1,I881="SBJ"),AND(J881=1,I881=0)),"?IN_FOCUS",IF(J881&lt;=2,"?ACTIVATED",IF(J881&lt;&gt;"","?FAMILIAR",IF(F881="NEW",IF(ISNA(VLOOKUP(E881,#REF!,1,FALSE())),"?TYPE_IDENTIFIABLE","?REFERENTIAL"),"_")))))</f>
        <v> </v>
      </c>
      <c r="H881" s="24" t="str">
        <f>IF(J881&lt;&gt;1,"",IF(I881="SBJ","CB","?"))</f>
        <v> </v>
      </c>
      <c r="I881" s="25" t="str">
        <f>IF(OR(E881="",E881="!!!",F881="NEW"),"",INDEX(B880:B$2,-1+SUMPRODUCT(MAX(ROW(E880:E$2)*(E881=E880:E$2)))))</f>
        <v> </v>
      </c>
      <c r="J881" s="25" t="str">
        <f>IF(OR(E881="",E881="!!!",F881="NEW"),"",COUNTBLANK(OFFSET(A$1,,,SUMPRODUCT(MAX(ROW(E$2:E881)*(E881=E$2:E881)))))-COUNTBLANK(OFFSET(A$1,,,SUMPRODUCT(MAX(ROW(E$1:E880)*(E2=E$1:E880))))))</f>
        <v> </v>
      </c>
      <c r="K881" s="25" t="str">
        <f>IF(OR(E881="",E881="!!!",F881="NEW"),"",INDEX(J$1:J880,SUMPRODUCT(MAX(ROW(E$1:E880)*(E881=E$1:E880)))))</f>
        <v> </v>
      </c>
      <c r="L881" s="26"/>
    </row>
    <row r="882" spans="1:12">
      <c r="A882" s="20" t="s">
        <v>914</v>
      </c>
      <c r="E882" s="21">
        <f>IF(D882="?OLD","!!!","")</f>
        <v/>
      </c>
      <c r="F882" s="22" t="str">
        <f>IF(OR(E882="",E882="!!!"),"",IF(NOT(ISNA(VLOOKUP(E882,E$1:E881,1,FALSE()))),"OLD",IF(AND(E882&lt;&gt;"",E882&lt;&gt;"!!!"),"NEW","")))</f>
        <v> </v>
      </c>
      <c r="G882" s="23" t="str">
        <f>IF(OR(E882="",E882="!!!"),"",IF(OR(J882=0,AND(J882=1,K882=1),AND(J882=1,I882="SBJ"),AND(J882=1,I882=0)),"?IN_FOCUS",IF(J882&lt;=2,"?ACTIVATED",IF(J882&lt;&gt;"","?FAMILIAR",IF(F882="NEW",IF(ISNA(VLOOKUP(E882,#REF!,1,FALSE())),"?TYPE_IDENTIFIABLE","?REFERENTIAL"),"_")))))</f>
        <v> </v>
      </c>
      <c r="H882" s="24" t="str">
        <f>IF(J882&lt;&gt;1,"",IF(I882="SBJ","CB","?"))</f>
        <v> </v>
      </c>
      <c r="I882" s="25" t="str">
        <f>IF(OR(E882="",E882="!!!",F882="NEW"),"",INDEX(B881:B$2,-1+SUMPRODUCT(MAX(ROW(E881:E$2)*(E882=E881:E$2)))))</f>
        <v> </v>
      </c>
      <c r="J882" s="25" t="str">
        <f>IF(OR(E882="",E882="!!!",F882="NEW"),"",COUNTBLANK(OFFSET(A$1,,,SUMPRODUCT(MAX(ROW(E$2:E882)*(E882=E$2:E882)))))-COUNTBLANK(OFFSET(A$1,,,SUMPRODUCT(MAX(ROW(E$1:E881)*(E2=E$1:E881))))))</f>
        <v> </v>
      </c>
      <c r="K882" s="25" t="str">
        <f>IF(OR(E882="",E882="!!!",F882="NEW"),"",INDEX(J$1:J881,SUMPRODUCT(MAX(ROW(E$1:E881)*(E882=E$1:E881)))))</f>
        <v> </v>
      </c>
      <c r="L882" s="26"/>
    </row>
    <row r="883" spans="1:12">
      <c r="A883" s="20" t="s">
        <v>915</v>
      </c>
      <c r="E883" s="21">
        <f>IF(D883="?OLD","!!!","")</f>
        <v/>
      </c>
      <c r="F883" s="22" t="str">
        <f>IF(OR(E883="",E883="!!!"),"",IF(NOT(ISNA(VLOOKUP(E883,E$1:E882,1,FALSE()))),"OLD",IF(AND(E883&lt;&gt;"",E883&lt;&gt;"!!!"),"NEW","")))</f>
        <v> </v>
      </c>
      <c r="G883" s="23" t="str">
        <f>IF(OR(E883="",E883="!!!"),"",IF(OR(J883=0,AND(J883=1,K883=1),AND(J883=1,I883="SBJ"),AND(J883=1,I883=0)),"?IN_FOCUS",IF(J883&lt;=2,"?ACTIVATED",IF(J883&lt;&gt;"","?FAMILIAR",IF(F883="NEW",IF(ISNA(VLOOKUP(E883,#REF!,1,FALSE())),"?TYPE_IDENTIFIABLE","?REFERENTIAL"),"_")))))</f>
        <v> </v>
      </c>
      <c r="H883" s="24" t="str">
        <f>IF(J883&lt;&gt;1,"",IF(I883="SBJ","CB","?"))</f>
        <v> </v>
      </c>
      <c r="I883" s="25" t="str">
        <f>IF(OR(E883="",E883="!!!",F883="NEW"),"",INDEX(B882:B$2,-1+SUMPRODUCT(MAX(ROW(E882:E$2)*(E883=E882:E$2)))))</f>
        <v> </v>
      </c>
      <c r="J883" s="25" t="str">
        <f>IF(OR(E883="",E883="!!!",F883="NEW"),"",COUNTBLANK(OFFSET(A$1,,,SUMPRODUCT(MAX(ROW(E$2:E883)*(E883=E$2:E883)))))-COUNTBLANK(OFFSET(A$1,,,SUMPRODUCT(MAX(ROW(E$1:E882)*(E2=E$1:E882))))))</f>
        <v> </v>
      </c>
      <c r="K883" s="25" t="str">
        <f>IF(OR(E883="",E883="!!!",F883="NEW"),"",INDEX(J$1:J882,SUMPRODUCT(MAX(ROW(E$1:E882)*(E883=E$1:E882)))))</f>
        <v> </v>
      </c>
      <c r="L883" s="26"/>
    </row>
    <row r="884" spans="1:12">
      <c r="A884" s="20" t="s">
        <v>482</v>
      </c>
      <c r="E884" s="21">
        <f>IF(D884="?OLD","!!!","")</f>
        <v/>
      </c>
      <c r="F884" s="22" t="str">
        <f>IF(OR(E884="",E884="!!!"),"",IF(NOT(ISNA(VLOOKUP(E884,E$1:E883,1,FALSE()))),"OLD",IF(AND(E884&lt;&gt;"",E884&lt;&gt;"!!!"),"NEW","")))</f>
        <v> </v>
      </c>
      <c r="G884" s="23" t="str">
        <f>IF(OR(E884="",E884="!!!"),"",IF(OR(J884=0,AND(J884=1,K884=1),AND(J884=1,I884="SBJ"),AND(J884=1,I884=0)),"?IN_FOCUS",IF(J884&lt;=2,"?ACTIVATED",IF(J884&lt;&gt;"","?FAMILIAR",IF(F884="NEW",IF(ISNA(VLOOKUP(E884,#REF!,1,FALSE())),"?TYPE_IDENTIFIABLE","?REFERENTIAL"),"_")))))</f>
        <v> </v>
      </c>
      <c r="H884" s="24" t="str">
        <f>IF(J884&lt;&gt;1,"",IF(I884="SBJ","CB","?"))</f>
        <v> </v>
      </c>
      <c r="I884" s="25" t="str">
        <f>IF(OR(E884="",E884="!!!",F884="NEW"),"",INDEX(B883:B$2,-1+SUMPRODUCT(MAX(ROW(E883:E$2)*(E884=E883:E$2)))))</f>
        <v> </v>
      </c>
      <c r="J884" s="25" t="str">
        <f>IF(OR(E884="",E884="!!!",F884="NEW"),"",COUNTBLANK(OFFSET(A$1,,,SUMPRODUCT(MAX(ROW(E$2:E884)*(E884=E$2:E884)))))-COUNTBLANK(OFFSET(A$1,,,SUMPRODUCT(MAX(ROW(E$1:E883)*(E2=E$1:E883))))))</f>
        <v> </v>
      </c>
      <c r="K884" s="25" t="str">
        <f>IF(OR(E884="",E884="!!!",F884="NEW"),"",INDEX(J$1:J883,SUMPRODUCT(MAX(ROW(E$1:E883)*(E884=E$1:E883)))))</f>
        <v> </v>
      </c>
      <c r="L884" s="26"/>
    </row>
    <row r="885" spans="1:12">
      <c r="A885" s="20" t="s">
        <v>905</v>
      </c>
      <c r="E885" s="21">
        <f>IF(D885="?OLD","!!!","")</f>
        <v/>
      </c>
      <c r="F885" s="22" t="str">
        <f>IF(OR(E885="",E885="!!!"),"",IF(NOT(ISNA(VLOOKUP(E885,E$1:E884,1,FALSE()))),"OLD",IF(AND(E885&lt;&gt;"",E885&lt;&gt;"!!!"),"NEW","")))</f>
        <v> </v>
      </c>
      <c r="G885" s="23" t="str">
        <f>IF(OR(E885="",E885="!!!"),"",IF(OR(J885=0,AND(J885=1,K885=1),AND(J885=1,I885="SBJ"),AND(J885=1,I885=0)),"?IN_FOCUS",IF(J885&lt;=2,"?ACTIVATED",IF(J885&lt;&gt;"","?FAMILIAR",IF(F885="NEW",IF(ISNA(VLOOKUP(E885,#REF!,1,FALSE())),"?TYPE_IDENTIFIABLE","?REFERENTIAL"),"_")))))</f>
        <v> </v>
      </c>
      <c r="H885" s="24" t="str">
        <f>IF(J885&lt;&gt;1,"",IF(I885="SBJ","CB","?"))</f>
        <v> </v>
      </c>
      <c r="I885" s="25" t="str">
        <f>IF(OR(E885="",E885="!!!",F885="NEW"),"",INDEX(B884:B$2,-1+SUMPRODUCT(MAX(ROW(E884:E$2)*(E885=E884:E$2)))))</f>
        <v> </v>
      </c>
      <c r="J885" s="25" t="str">
        <f>IF(OR(E885="",E885="!!!",F885="NEW"),"",COUNTBLANK(OFFSET(A$1,,,SUMPRODUCT(MAX(ROW(E$2:E885)*(E885=E$2:E885)))))-COUNTBLANK(OFFSET(A$1,,,SUMPRODUCT(MAX(ROW(E$1:E884)*(E2=E$1:E884))))))</f>
        <v> </v>
      </c>
      <c r="K885" s="25" t="str">
        <f>IF(OR(E885="",E885="!!!",F885="NEW"),"",INDEX(J$1:J884,SUMPRODUCT(MAX(ROW(E$1:E884)*(E885=E$1:E884)))))</f>
        <v> </v>
      </c>
      <c r="L885" s="26"/>
    </row>
    <row r="886" spans="1:12">
      <c r="A886" s="20" t="s">
        <v>892</v>
      </c>
      <c r="E886" s="21">
        <f>IF(D886="?OLD","!!!","")</f>
        <v/>
      </c>
      <c r="F886" s="22" t="str">
        <f>IF(OR(E886="",E886="!!!"),"",IF(NOT(ISNA(VLOOKUP(E886,E$1:E885,1,FALSE()))),"OLD",IF(AND(E886&lt;&gt;"",E886&lt;&gt;"!!!"),"NEW","")))</f>
        <v> </v>
      </c>
      <c r="G886" s="23" t="str">
        <f>IF(OR(E886="",E886="!!!"),"",IF(OR(J886=0,AND(J886=1,K886=1),AND(J886=1,I886="SBJ"),AND(J886=1,I886=0)),"?IN_FOCUS",IF(J886&lt;=2,"?ACTIVATED",IF(J886&lt;&gt;"","?FAMILIAR",IF(F886="NEW",IF(ISNA(VLOOKUP(E886,#REF!,1,FALSE())),"?TYPE_IDENTIFIABLE","?REFERENTIAL"),"_")))))</f>
        <v> </v>
      </c>
      <c r="H886" s="24" t="str">
        <f>IF(J886&lt;&gt;1,"",IF(I886="SBJ","CB","?"))</f>
        <v> </v>
      </c>
      <c r="I886" s="25" t="str">
        <f>IF(OR(E886="",E886="!!!",F886="NEW"),"",INDEX(B885:B$2,-1+SUMPRODUCT(MAX(ROW(E885:E$2)*(E886=E885:E$2)))))</f>
        <v> </v>
      </c>
      <c r="J886" s="25" t="str">
        <f>IF(OR(E886="",E886="!!!",F886="NEW"),"",COUNTBLANK(OFFSET(A$1,,,SUMPRODUCT(MAX(ROW(E$2:E886)*(E886=E$2:E886)))))-COUNTBLANK(OFFSET(A$1,,,SUMPRODUCT(MAX(ROW(E$1:E885)*(E2=E$1:E885))))))</f>
        <v> </v>
      </c>
      <c r="K886" s="25" t="str">
        <f>IF(OR(E886="",E886="!!!",F886="NEW"),"",INDEX(J$1:J885,SUMPRODUCT(MAX(ROW(E$1:E885)*(E886=E$1:E885)))))</f>
        <v> </v>
      </c>
      <c r="L886" s="26"/>
    </row>
    <row r="887" spans="1:12">
      <c r="A887" s="20" t="s">
        <v>909</v>
      </c>
      <c r="E887" s="21">
        <f>IF(D887="?OLD","!!!","")</f>
        <v/>
      </c>
      <c r="F887" s="22" t="str">
        <f>IF(OR(E887="",E887="!!!"),"",IF(NOT(ISNA(VLOOKUP(E887,E$1:E886,1,FALSE()))),"OLD",IF(AND(E887&lt;&gt;"",E887&lt;&gt;"!!!"),"NEW","")))</f>
        <v> </v>
      </c>
      <c r="G887" s="23" t="str">
        <f>IF(OR(E887="",E887="!!!"),"",IF(OR(J887=0,AND(J887=1,K887=1),AND(J887=1,I887="SBJ"),AND(J887=1,I887=0)),"?IN_FOCUS",IF(J887&lt;=2,"?ACTIVATED",IF(J887&lt;&gt;"","?FAMILIAR",IF(F887="NEW",IF(ISNA(VLOOKUP(E887,#REF!,1,FALSE())),"?TYPE_IDENTIFIABLE","?REFERENTIAL"),"_")))))</f>
        <v> </v>
      </c>
      <c r="H887" s="24" t="str">
        <f>IF(J887&lt;&gt;1,"",IF(I887="SBJ","CB","?"))</f>
        <v> </v>
      </c>
      <c r="I887" s="25" t="str">
        <f>IF(OR(E887="",E887="!!!",F887="NEW"),"",INDEX(B886:B$2,-1+SUMPRODUCT(MAX(ROW(E886:E$2)*(E887=E886:E$2)))))</f>
        <v> </v>
      </c>
      <c r="J887" s="25" t="str">
        <f>IF(OR(E887="",E887="!!!",F887="NEW"),"",COUNTBLANK(OFFSET(A$1,,,SUMPRODUCT(MAX(ROW(E$2:E887)*(E887=E$2:E887)))))-COUNTBLANK(OFFSET(A$1,,,SUMPRODUCT(MAX(ROW(E$1:E886)*(E2=E$1:E886))))))</f>
        <v> </v>
      </c>
      <c r="K887" s="25" t="str">
        <f>IF(OR(E887="",E887="!!!",F887="NEW"),"",INDEX(J$1:J886,SUMPRODUCT(MAX(ROW(E$1:E886)*(E887=E$1:E886)))))</f>
        <v> </v>
      </c>
      <c r="L887" s="26"/>
    </row>
    <row r="888" spans="1:12">
      <c r="A888" s="20" t="s">
        <v>253</v>
      </c>
      <c r="E888" s="21">
        <f>IF(D888="?OLD","!!!","")</f>
        <v/>
      </c>
      <c r="F888" s="22" t="str">
        <f>IF(OR(E888="",E888="!!!"),"",IF(NOT(ISNA(VLOOKUP(E888,E$1:E887,1,FALSE()))),"OLD",IF(AND(E888&lt;&gt;"",E888&lt;&gt;"!!!"),"NEW","")))</f>
        <v> </v>
      </c>
      <c r="G888" s="23" t="str">
        <f>IF(OR(E888="",E888="!!!"),"",IF(OR(J888=0,AND(J888=1,K888=1),AND(J888=1,I888="SBJ"),AND(J888=1,I888=0)),"?IN_FOCUS",IF(J888&lt;=2,"?ACTIVATED",IF(J888&lt;&gt;"","?FAMILIAR",IF(F888="NEW",IF(ISNA(VLOOKUP(E888,#REF!,1,FALSE())),"?TYPE_IDENTIFIABLE","?REFERENTIAL"),"_")))))</f>
        <v> </v>
      </c>
      <c r="H888" s="24" t="str">
        <f>IF(J888&lt;&gt;1,"",IF(I888="SBJ","CB","?"))</f>
        <v> </v>
      </c>
      <c r="I888" s="25" t="str">
        <f>IF(OR(E888="",E888="!!!",F888="NEW"),"",INDEX(B887:B$2,-1+SUMPRODUCT(MAX(ROW(E887:E$2)*(E888=E887:E$2)))))</f>
        <v> </v>
      </c>
      <c r="J888" s="25" t="str">
        <f>IF(OR(E888="",E888="!!!",F888="NEW"),"",COUNTBLANK(OFFSET(A$1,,,SUMPRODUCT(MAX(ROW(E$2:E888)*(E888=E$2:E888)))))-COUNTBLANK(OFFSET(A$1,,,SUMPRODUCT(MAX(ROW(E$1:E887)*(E2=E$1:E887))))))</f>
        <v> </v>
      </c>
      <c r="K888" s="25" t="str">
        <f>IF(OR(E888="",E888="!!!",F888="NEW"),"",INDEX(J$1:J887,SUMPRODUCT(MAX(ROW(E$1:E887)*(E888=E$1:E887)))))</f>
        <v> </v>
      </c>
      <c r="L888" s="26"/>
    </row>
    <row r="889" spans="1:12">
      <c r="A889" s="20"/>
    </row>
    <row r="890" spans="1:12">
      <c r="A890" s="20" t="s">
        <v>916</v>
      </c>
    </row>
    <row r="891" spans="1:12">
      <c r="A891" s="20" t="s">
        <v>917</v>
      </c>
      <c r="E891" s="21">
        <f>IF(D891="?OLD","!!!","")</f>
        <v/>
      </c>
      <c r="F891" s="22" t="str">
        <f>IF(OR(E891="",E891="!!!"),"",IF(NOT(ISNA(VLOOKUP(E891,E$1:E890,1,FALSE()))),"OLD",IF(AND(E891&lt;&gt;"",E891&lt;&gt;"!!!"),"NEW","")))</f>
        <v> </v>
      </c>
      <c r="G891" s="23" t="str">
        <f>IF(OR(E891="",E891="!!!"),"",IF(OR(J891=0,AND(J891=1,K891=1),AND(J891=1,I891="SBJ"),AND(J891=1,I891=0)),"?IN_FOCUS",IF(J891&lt;=2,"?ACTIVATED",IF(J891&lt;&gt;"","?FAMILIAR",IF(F891="NEW",IF(ISNA(VLOOKUP(E891,#REF!,1,FALSE())),"?TYPE_IDENTIFIABLE","?REFERENTIAL"),"_")))))</f>
        <v> </v>
      </c>
      <c r="H891" s="24" t="str">
        <f>IF(J891&lt;&gt;1,"",IF(I891="SBJ","CB","?"))</f>
        <v> </v>
      </c>
      <c r="I891" s="25" t="str">
        <f>IF(OR(E891="",E891="!!!",F891="NEW"),"",INDEX(B890:B$2,-1+SUMPRODUCT(MAX(ROW(E890:E$2)*(E891=E890:E$2)))))</f>
        <v> </v>
      </c>
      <c r="J891" s="25" t="str">
        <f>IF(OR(E891="",E891="!!!",F891="NEW"),"",COUNTBLANK(OFFSET(A$1,,,SUMPRODUCT(MAX(ROW(E$2:E891)*(E891=E$2:E891)))))-COUNTBLANK(OFFSET(A$1,,,SUMPRODUCT(MAX(ROW(E$1:E890)*(E2=E$1:E890))))))</f>
        <v> </v>
      </c>
      <c r="K891" s="25" t="str">
        <f>IF(OR(E891="",E891="!!!",F891="NEW"),"",INDEX(J$1:J890,SUMPRODUCT(MAX(ROW(E$1:E890)*(E891=E$1:E890)))))</f>
        <v> </v>
      </c>
      <c r="L891" s="26"/>
    </row>
    <row r="892" spans="1:12">
      <c r="A892" s="20" t="s">
        <v>918</v>
      </c>
      <c r="E892" s="21">
        <f>IF(D892="?OLD","!!!","")</f>
        <v/>
      </c>
      <c r="F892" s="22" t="str">
        <f>IF(OR(E892="",E892="!!!"),"",IF(NOT(ISNA(VLOOKUP(E892,E$1:E891,1,FALSE()))),"OLD",IF(AND(E892&lt;&gt;"",E892&lt;&gt;"!!!"),"NEW","")))</f>
        <v> </v>
      </c>
      <c r="G892" s="23" t="str">
        <f>IF(OR(E892="",E892="!!!"),"",IF(OR(J892=0,AND(J892=1,K892=1),AND(J892=1,I892="SBJ"),AND(J892=1,I892=0)),"?IN_FOCUS",IF(J892&lt;=2,"?ACTIVATED",IF(J892&lt;&gt;"","?FAMILIAR",IF(F892="NEW",IF(ISNA(VLOOKUP(E892,#REF!,1,FALSE())),"?TYPE_IDENTIFIABLE","?REFERENTIAL"),"_")))))</f>
        <v> </v>
      </c>
      <c r="H892" s="24" t="str">
        <f>IF(J892&lt;&gt;1,"",IF(I892="SBJ","CB","?"))</f>
        <v> </v>
      </c>
      <c r="I892" s="25" t="str">
        <f>IF(OR(E892="",E892="!!!",F892="NEW"),"",INDEX(B891:B$2,-1+SUMPRODUCT(MAX(ROW(E891:E$2)*(E892=E891:E$2)))))</f>
        <v> </v>
      </c>
      <c r="J892" s="25" t="str">
        <f>IF(OR(E892="",E892="!!!",F892="NEW"),"",COUNTBLANK(OFFSET(A$1,,,SUMPRODUCT(MAX(ROW(E$2:E892)*(E892=E$2:E892)))))-COUNTBLANK(OFFSET(A$1,,,SUMPRODUCT(MAX(ROW(E$1:E891)*(E2=E$1:E891))))))</f>
        <v> </v>
      </c>
      <c r="K892" s="25" t="str">
        <f>IF(OR(E892="",E892="!!!",F892="NEW"),"",INDEX(J$1:J891,SUMPRODUCT(MAX(ROW(E$1:E891)*(E892=E$1:E891)))))</f>
        <v> </v>
      </c>
      <c r="L892" s="26"/>
    </row>
    <row r="893" spans="1:12">
      <c r="A893" s="20" t="s">
        <v>919</v>
      </c>
      <c r="E893" s="21">
        <f>IF(D893="?OLD","!!!","")</f>
        <v/>
      </c>
      <c r="F893" s="22" t="str">
        <f>IF(OR(E893="",E893="!!!"),"",IF(NOT(ISNA(VLOOKUP(E893,E$1:E892,1,FALSE()))),"OLD",IF(AND(E893&lt;&gt;"",E893&lt;&gt;"!!!"),"NEW","")))</f>
        <v> </v>
      </c>
      <c r="G893" s="23" t="str">
        <f>IF(OR(E893="",E893="!!!"),"",IF(OR(J893=0,AND(J893=1,K893=1),AND(J893=1,I893="SBJ"),AND(J893=1,I893=0)),"?IN_FOCUS",IF(J893&lt;=2,"?ACTIVATED",IF(J893&lt;&gt;"","?FAMILIAR",IF(F893="NEW",IF(ISNA(VLOOKUP(E893,#REF!,1,FALSE())),"?TYPE_IDENTIFIABLE","?REFERENTIAL"),"_")))))</f>
        <v> </v>
      </c>
      <c r="H893" s="24" t="str">
        <f>IF(J893&lt;&gt;1,"",IF(I893="SBJ","CB","?"))</f>
        <v> </v>
      </c>
      <c r="I893" s="25" t="str">
        <f>IF(OR(E893="",E893="!!!",F893="NEW"),"",INDEX(B892:B$2,-1+SUMPRODUCT(MAX(ROW(E892:E$2)*(E893=E892:E$2)))))</f>
        <v> </v>
      </c>
      <c r="J893" s="25" t="str">
        <f>IF(OR(E893="",E893="!!!",F893="NEW"),"",COUNTBLANK(OFFSET(A$1,,,SUMPRODUCT(MAX(ROW(E$2:E893)*(E893=E$2:E893)))))-COUNTBLANK(OFFSET(A$1,,,SUMPRODUCT(MAX(ROW(E$1:E892)*(E2=E$1:E892))))))</f>
        <v> </v>
      </c>
      <c r="K893" s="25" t="str">
        <f>IF(OR(E893="",E893="!!!",F893="NEW"),"",INDEX(J$1:J892,SUMPRODUCT(MAX(ROW(E$1:E892)*(E893=E$1:E892)))))</f>
        <v> </v>
      </c>
      <c r="L893" s="26"/>
    </row>
    <row r="894" spans="1:12">
      <c r="A894" s="20" t="s">
        <v>920</v>
      </c>
      <c r="B894" s="27" t="s">
        <v>476</v>
      </c>
      <c r="E894" s="21">
        <f>IF(D894="?OLD","!!!","")</f>
        <v/>
      </c>
      <c r="F894" s="22" t="str">
        <f>IF(OR(E894="",E894="!!!"),"",IF(NOT(ISNA(VLOOKUP(E894,E$1:E893,1,FALSE()))),"OLD",IF(AND(E894&lt;&gt;"",E894&lt;&gt;"!!!"),"NEW","")))</f>
        <v> </v>
      </c>
      <c r="G894" s="23" t="str">
        <f>IF(OR(E894="",E894="!!!"),"",IF(OR(J894=0,AND(J894=1,K894=1),AND(J894=1,I894="SBJ"),AND(J894=1,I894=0)),"?IN_FOCUS",IF(J894&lt;=2,"?ACTIVATED",IF(J894&lt;&gt;"","?FAMILIAR",IF(F894="NEW",IF(ISNA(VLOOKUP(E894,#REF!,1,FALSE())),"?TYPE_IDENTIFIABLE","?REFERENTIAL"),"_")))))</f>
        <v> </v>
      </c>
      <c r="H894" s="24" t="str">
        <f>IF(J894&lt;&gt;1,"",IF(I894="SBJ","CB","?"))</f>
        <v> </v>
      </c>
      <c r="I894" s="25" t="str">
        <f>IF(OR(E894="",E894="!!!",F894="NEW"),"",INDEX(B893:B$2,-1+SUMPRODUCT(MAX(ROW(E893:E$2)*(E894=E893:E$2)))))</f>
        <v> </v>
      </c>
      <c r="J894" s="25" t="str">
        <f>IF(OR(E894="",E894="!!!",F894="NEW"),"",COUNTBLANK(OFFSET(A$1,,,SUMPRODUCT(MAX(ROW(E$2:E894)*(E894=E$2:E894)))))-COUNTBLANK(OFFSET(A$1,,,SUMPRODUCT(MAX(ROW(E$1:E893)*(E2=E$1:E893))))))</f>
        <v> </v>
      </c>
      <c r="K894" s="25" t="str">
        <f>IF(OR(E894="",E894="!!!",F894="NEW"),"",INDEX(J$1:J893,SUMPRODUCT(MAX(ROW(E$1:E893)*(E894=E$1:E893)))))</f>
        <v> </v>
      </c>
      <c r="L894" s="26"/>
    </row>
    <row r="895" spans="1:12">
      <c r="A895" s="20" t="s">
        <v>921</v>
      </c>
      <c r="E895" s="21">
        <f>IF(D895="?OLD","!!!","")</f>
        <v/>
      </c>
      <c r="F895" s="22" t="str">
        <f>IF(OR(E895="",E895="!!!"),"",IF(NOT(ISNA(VLOOKUP(E895,E$1:E894,1,FALSE()))),"OLD",IF(AND(E895&lt;&gt;"",E895&lt;&gt;"!!!"),"NEW","")))</f>
        <v> </v>
      </c>
      <c r="G895" s="23" t="str">
        <f>IF(OR(E895="",E895="!!!"),"",IF(OR(J895=0,AND(J895=1,K895=1),AND(J895=1,I895="SBJ"),AND(J895=1,I895=0)),"?IN_FOCUS",IF(J895&lt;=2,"?ACTIVATED",IF(J895&lt;&gt;"","?FAMILIAR",IF(F895="NEW",IF(ISNA(VLOOKUP(E895,#REF!,1,FALSE())),"?TYPE_IDENTIFIABLE","?REFERENTIAL"),"_")))))</f>
        <v> </v>
      </c>
      <c r="H895" s="24" t="str">
        <f>IF(J895&lt;&gt;1,"",IF(I895="SBJ","CB","?"))</f>
        <v> </v>
      </c>
      <c r="I895" s="25" t="str">
        <f>IF(OR(E895="",E895="!!!",F895="NEW"),"",INDEX(B894:B$2,-1+SUMPRODUCT(MAX(ROW(E894:E$2)*(E895=E894:E$2)))))</f>
        <v> </v>
      </c>
      <c r="J895" s="25" t="str">
        <f>IF(OR(E895="",E895="!!!",F895="NEW"),"",COUNTBLANK(OFFSET(A$1,,,SUMPRODUCT(MAX(ROW(E$2:E895)*(E895=E$2:E895)))))-COUNTBLANK(OFFSET(A$1,,,SUMPRODUCT(MAX(ROW(E$1:E894)*(E2=E$1:E894))))))</f>
        <v> </v>
      </c>
      <c r="K895" s="25" t="str">
        <f>IF(OR(E895="",E895="!!!",F895="NEW"),"",INDEX(J$1:J894,SUMPRODUCT(MAX(ROW(E$1:E894)*(E895=E$1:E894)))))</f>
        <v> </v>
      </c>
      <c r="L895" s="26"/>
    </row>
    <row r="896" spans="1:12">
      <c r="A896" s="20" t="s">
        <v>210</v>
      </c>
      <c r="B896" s="27" t="s">
        <v>711</v>
      </c>
      <c r="C896" s="27" t="s">
        <v>779</v>
      </c>
      <c r="E896" s="21">
        <f>IF(D896="?OLD","!!!","")</f>
        <v/>
      </c>
      <c r="F896" s="22" t="str">
        <f>IF(OR(E896="",E896="!!!"),"",IF(NOT(ISNA(VLOOKUP(E896,E$1:E895,1,FALSE()))),"OLD",IF(AND(E896&lt;&gt;"",E896&lt;&gt;"!!!"),"NEW","")))</f>
        <v> </v>
      </c>
      <c r="G896" s="23" t="str">
        <f>IF(OR(E896="",E896="!!!"),"",IF(OR(J896=0,AND(J896=1,K896=1),AND(J896=1,I896="SBJ"),AND(J896=1,I896=0)),"?IN_FOCUS",IF(J896&lt;=2,"?ACTIVATED",IF(J896&lt;&gt;"","?FAMILIAR",IF(F896="NEW",IF(ISNA(VLOOKUP(E896,#REF!,1,FALSE())),"?TYPE_IDENTIFIABLE","?REFERENTIAL"),"_")))))</f>
        <v> </v>
      </c>
      <c r="H896" s="24" t="str">
        <f>IF(J896&lt;&gt;1,"",IF(I896="SBJ","CB","?"))</f>
        <v> </v>
      </c>
      <c r="I896" s="25" t="str">
        <f>IF(OR(E896="",E896="!!!",F896="NEW"),"",INDEX(B895:B$2,-1+SUMPRODUCT(MAX(ROW(E895:E$2)*(E896=E895:E$2)))))</f>
        <v> </v>
      </c>
      <c r="J896" s="25" t="str">
        <f>IF(OR(E896="",E896="!!!",F896="NEW"),"",COUNTBLANK(OFFSET(A$1,,,SUMPRODUCT(MAX(ROW(E$2:E896)*(E896=E$2:E896)))))-COUNTBLANK(OFFSET(A$1,,,SUMPRODUCT(MAX(ROW(E$1:E895)*(E2=E$1:E895))))))</f>
        <v> </v>
      </c>
      <c r="K896" s="25" t="str">
        <f>IF(OR(E896="",E896="!!!",F896="NEW"),"",INDEX(J$1:J895,SUMPRODUCT(MAX(ROW(E$1:E895)*(E896=E$1:E895)))))</f>
        <v> </v>
      </c>
      <c r="L896" s="26"/>
    </row>
    <row r="897" spans="1:12">
      <c r="A897" s="20" t="s">
        <v>922</v>
      </c>
      <c r="E897" s="21">
        <f>IF(D897="?OLD","!!!","")</f>
        <v/>
      </c>
      <c r="F897" s="22" t="str">
        <f>IF(OR(E897="",E897="!!!"),"",IF(NOT(ISNA(VLOOKUP(E897,E$1:E896,1,FALSE()))),"OLD",IF(AND(E897&lt;&gt;"",E897&lt;&gt;"!!!"),"NEW","")))</f>
        <v> </v>
      </c>
      <c r="G897" s="23" t="str">
        <f>IF(OR(E897="",E897="!!!"),"",IF(OR(J897=0,AND(J897=1,K897=1),AND(J897=1,I897="SBJ"),AND(J897=1,I897=0)),"?IN_FOCUS",IF(J897&lt;=2,"?ACTIVATED",IF(J897&lt;&gt;"","?FAMILIAR",IF(F897="NEW",IF(ISNA(VLOOKUP(E897,#REF!,1,FALSE())),"?TYPE_IDENTIFIABLE","?REFERENTIAL"),"_")))))</f>
        <v> </v>
      </c>
      <c r="H897" s="24" t="str">
        <f>IF(J897&lt;&gt;1,"",IF(I897="SBJ","CB","?"))</f>
        <v> </v>
      </c>
      <c r="I897" s="25" t="str">
        <f>IF(OR(E897="",E897="!!!",F897="NEW"),"",INDEX(B896:B$2,-1+SUMPRODUCT(MAX(ROW(E896:E$2)*(E897=E896:E$2)))))</f>
        <v> </v>
      </c>
      <c r="J897" s="25" t="str">
        <f>IF(OR(E897="",E897="!!!",F897="NEW"),"",COUNTBLANK(OFFSET(A$1,,,SUMPRODUCT(MAX(ROW(E$2:E897)*(E897=E$2:E897)))))-COUNTBLANK(OFFSET(A$1,,,SUMPRODUCT(MAX(ROW(E$1:E896)*(E2=E$1:E896))))))</f>
        <v> </v>
      </c>
      <c r="K897" s="25" t="str">
        <f>IF(OR(E897="",E897="!!!",F897="NEW"),"",INDEX(J$1:J896,SUMPRODUCT(MAX(ROW(E$1:E896)*(E897=E$1:E896)))))</f>
        <v> </v>
      </c>
      <c r="L897" s="26"/>
    </row>
    <row r="898" spans="1:12">
      <c r="A898" s="20" t="s">
        <v>513</v>
      </c>
      <c r="E898" s="21">
        <f>IF(D898="?OLD","!!!","")</f>
        <v/>
      </c>
      <c r="F898" s="22" t="str">
        <f>IF(OR(E898="",E898="!!!"),"",IF(NOT(ISNA(VLOOKUP(E898,E$1:E897,1,FALSE()))),"OLD",IF(AND(E898&lt;&gt;"",E898&lt;&gt;"!!!"),"NEW","")))</f>
        <v> </v>
      </c>
      <c r="G898" s="23" t="str">
        <f>IF(OR(E898="",E898="!!!"),"",IF(OR(J898=0,AND(J898=1,K898=1),AND(J898=1,I898="SBJ"),AND(J898=1,I898=0)),"?IN_FOCUS",IF(J898&lt;=2,"?ACTIVATED",IF(J898&lt;&gt;"","?FAMILIAR",IF(F898="NEW",IF(ISNA(VLOOKUP(E898,#REF!,1,FALSE())),"?TYPE_IDENTIFIABLE","?REFERENTIAL"),"_")))))</f>
        <v> </v>
      </c>
      <c r="H898" s="24" t="str">
        <f>IF(J898&lt;&gt;1,"",IF(I898="SBJ","CB","?"))</f>
        <v> </v>
      </c>
      <c r="I898" s="25" t="str">
        <f>IF(OR(E898="",E898="!!!",F898="NEW"),"",INDEX(B897:B$2,-1+SUMPRODUCT(MAX(ROW(E897:E$2)*(E898=E897:E$2)))))</f>
        <v> </v>
      </c>
      <c r="J898" s="25" t="str">
        <f>IF(OR(E898="",E898="!!!",F898="NEW"),"",COUNTBLANK(OFFSET(A$1,,,SUMPRODUCT(MAX(ROW(E$2:E898)*(E898=E$2:E898)))))-COUNTBLANK(OFFSET(A$1,,,SUMPRODUCT(MAX(ROW(E$1:E897)*(E2=E$1:E897))))))</f>
        <v> </v>
      </c>
      <c r="K898" s="25" t="str">
        <f>IF(OR(E898="",E898="!!!",F898="NEW"),"",INDEX(J$1:J897,SUMPRODUCT(MAX(ROW(E$1:E897)*(E898=E$1:E897)))))</f>
        <v> </v>
      </c>
      <c r="L898" s="26"/>
    </row>
    <row r="899" spans="1:12">
      <c r="A899" s="20" t="s">
        <v>923</v>
      </c>
      <c r="E899" s="21">
        <f>IF(D899="?OLD","!!!","")</f>
        <v/>
      </c>
      <c r="F899" s="22" t="str">
        <f>IF(OR(E899="",E899="!!!"),"",IF(NOT(ISNA(VLOOKUP(E899,E$1:E898,1,FALSE()))),"OLD",IF(AND(E899&lt;&gt;"",E899&lt;&gt;"!!!"),"NEW","")))</f>
        <v> </v>
      </c>
      <c r="G899" s="23" t="str">
        <f>IF(OR(E899="",E899="!!!"),"",IF(OR(J899=0,AND(J899=1,K899=1),AND(J899=1,I899="SBJ"),AND(J899=1,I899=0)),"?IN_FOCUS",IF(J899&lt;=2,"?ACTIVATED",IF(J899&lt;&gt;"","?FAMILIAR",IF(F899="NEW",IF(ISNA(VLOOKUP(E899,#REF!,1,FALSE())),"?TYPE_IDENTIFIABLE","?REFERENTIAL"),"_")))))</f>
        <v> </v>
      </c>
      <c r="H899" s="24" t="str">
        <f>IF(J899&lt;&gt;1,"",IF(I899="SBJ","CB","?"))</f>
        <v> </v>
      </c>
      <c r="I899" s="25" t="str">
        <f>IF(OR(E899="",E899="!!!",F899="NEW"),"",INDEX(B898:B$2,-1+SUMPRODUCT(MAX(ROW(E898:E$2)*(E899=E898:E$2)))))</f>
        <v> </v>
      </c>
      <c r="J899" s="25" t="str">
        <f>IF(OR(E899="",E899="!!!",F899="NEW"),"",COUNTBLANK(OFFSET(A$1,,,SUMPRODUCT(MAX(ROW(E$2:E899)*(E899=E$2:E899)))))-COUNTBLANK(OFFSET(A$1,,,SUMPRODUCT(MAX(ROW(E$1:E898)*(E2=E$1:E898))))))</f>
        <v> </v>
      </c>
      <c r="K899" s="25" t="str">
        <f>IF(OR(E899="",E899="!!!",F899="NEW"),"",INDEX(J$1:J898,SUMPRODUCT(MAX(ROW(E$1:E898)*(E899=E$1:E898)))))</f>
        <v> </v>
      </c>
      <c r="L899" s="26"/>
    </row>
    <row r="900" spans="1:12">
      <c r="A900" s="20" t="s">
        <v>12</v>
      </c>
      <c r="E900" s="21">
        <f>IF(D900="?OLD","!!!","")</f>
        <v/>
      </c>
      <c r="F900" s="22" t="str">
        <f>IF(OR(E900="",E900="!!!"),"",IF(NOT(ISNA(VLOOKUP(E900,E$1:E899,1,FALSE()))),"OLD",IF(AND(E900&lt;&gt;"",E900&lt;&gt;"!!!"),"NEW","")))</f>
        <v> </v>
      </c>
      <c r="G900" s="23" t="str">
        <f>IF(OR(E900="",E900="!!!"),"",IF(OR(J900=0,AND(J900=1,K900=1),AND(J900=1,I900="SBJ"),AND(J900=1,I900=0)),"?IN_FOCUS",IF(J900&lt;=2,"?ACTIVATED",IF(J900&lt;&gt;"","?FAMILIAR",IF(F900="NEW",IF(ISNA(VLOOKUP(E900,#REF!,1,FALSE())),"?TYPE_IDENTIFIABLE","?REFERENTIAL"),"_")))))</f>
        <v> </v>
      </c>
      <c r="H900" s="24" t="str">
        <f>IF(J900&lt;&gt;1,"",IF(I900="SBJ","CB","?"))</f>
        <v> </v>
      </c>
      <c r="I900" s="25" t="str">
        <f>IF(OR(E900="",E900="!!!",F900="NEW"),"",INDEX(B899:B$2,-1+SUMPRODUCT(MAX(ROW(E899:E$2)*(E900=E899:E$2)))))</f>
        <v> </v>
      </c>
      <c r="J900" s="25" t="str">
        <f>IF(OR(E900="",E900="!!!",F900="NEW"),"",COUNTBLANK(OFFSET(A$1,,,SUMPRODUCT(MAX(ROW(E$2:E900)*(E900=E$2:E900)))))-COUNTBLANK(OFFSET(A$1,,,SUMPRODUCT(MAX(ROW(E$1:E899)*(E2=E$1:E899))))))</f>
        <v> </v>
      </c>
      <c r="K900" s="25" t="str">
        <f>IF(OR(E900="",E900="!!!",F900="NEW"),"",INDEX(J$1:J899,SUMPRODUCT(MAX(ROW(E$1:E899)*(E900=E$1:E899)))))</f>
        <v> </v>
      </c>
      <c r="L900" s="26"/>
    </row>
    <row r="901" spans="1:12">
      <c r="A901" s="20" t="s">
        <v>493</v>
      </c>
      <c r="E901" s="21">
        <f>IF(D901="?OLD","!!!","")</f>
        <v/>
      </c>
      <c r="F901" s="22" t="str">
        <f>IF(OR(E901="",E901="!!!"),"",IF(NOT(ISNA(VLOOKUP(E901,E$1:E900,1,FALSE()))),"OLD",IF(AND(E901&lt;&gt;"",E901&lt;&gt;"!!!"),"NEW","")))</f>
        <v> </v>
      </c>
      <c r="G901" s="23" t="str">
        <f>IF(OR(E901="",E901="!!!"),"",IF(OR(J901=0,AND(J901=1,K901=1),AND(J901=1,I901="SBJ"),AND(J901=1,I901=0)),"?IN_FOCUS",IF(J901&lt;=2,"?ACTIVATED",IF(J901&lt;&gt;"","?FAMILIAR",IF(F901="NEW",IF(ISNA(VLOOKUP(E901,#REF!,1,FALSE())),"?TYPE_IDENTIFIABLE","?REFERENTIAL"),"_")))))</f>
        <v> </v>
      </c>
      <c r="H901" s="24" t="str">
        <f>IF(J901&lt;&gt;1,"",IF(I901="SBJ","CB","?"))</f>
        <v> </v>
      </c>
      <c r="I901" s="25" t="str">
        <f>IF(OR(E901="",E901="!!!",F901="NEW"),"",INDEX(B900:B$2,-1+SUMPRODUCT(MAX(ROW(E900:E$2)*(E901=E900:E$2)))))</f>
        <v> </v>
      </c>
      <c r="J901" s="25" t="str">
        <f>IF(OR(E901="",E901="!!!",F901="NEW"),"",COUNTBLANK(OFFSET(A$1,,,SUMPRODUCT(MAX(ROW(E$2:E901)*(E901=E$2:E901)))))-COUNTBLANK(OFFSET(A$1,,,SUMPRODUCT(MAX(ROW(E$1:E900)*(E2=E$1:E900))))))</f>
        <v> </v>
      </c>
      <c r="K901" s="25" t="str">
        <f>IF(OR(E901="",E901="!!!",F901="NEW"),"",INDEX(J$1:J900,SUMPRODUCT(MAX(ROW(E$1:E900)*(E901=E$1:E900)))))</f>
        <v> </v>
      </c>
      <c r="L901" s="26"/>
    </row>
    <row r="902" spans="1:12">
      <c r="A902" s="20" t="s">
        <v>265</v>
      </c>
      <c r="E902" s="21">
        <f>IF(D902="?OLD","!!!","")</f>
        <v/>
      </c>
      <c r="F902" s="22" t="str">
        <f>IF(OR(E902="",E902="!!!"),"",IF(NOT(ISNA(VLOOKUP(E902,E$1:E901,1,FALSE()))),"OLD",IF(AND(E902&lt;&gt;"",E902&lt;&gt;"!!!"),"NEW","")))</f>
        <v> </v>
      </c>
      <c r="G902" s="23" t="str">
        <f>IF(OR(E902="",E902="!!!"),"",IF(OR(J902=0,AND(J902=1,K902=1),AND(J902=1,I902="SBJ"),AND(J902=1,I902=0)),"?IN_FOCUS",IF(J902&lt;=2,"?ACTIVATED",IF(J902&lt;&gt;"","?FAMILIAR",IF(F902="NEW",IF(ISNA(VLOOKUP(E902,#REF!,1,FALSE())),"?TYPE_IDENTIFIABLE","?REFERENTIAL"),"_")))))</f>
        <v> </v>
      </c>
      <c r="H902" s="24" t="str">
        <f>IF(J902&lt;&gt;1,"",IF(I902="SBJ","CB","?"))</f>
        <v> </v>
      </c>
      <c r="I902" s="25" t="str">
        <f>IF(OR(E902="",E902="!!!",F902="NEW"),"",INDEX(B901:B$2,-1+SUMPRODUCT(MAX(ROW(E901:E$2)*(E902=E901:E$2)))))</f>
        <v> </v>
      </c>
      <c r="J902" s="25" t="str">
        <f>IF(OR(E902="",E902="!!!",F902="NEW"),"",COUNTBLANK(OFFSET(A$1,,,SUMPRODUCT(MAX(ROW(E$2:E902)*(E902=E$2:E902)))))-COUNTBLANK(OFFSET(A$1,,,SUMPRODUCT(MAX(ROW(E$1:E901)*(E2=E$1:E901))))))</f>
        <v> </v>
      </c>
      <c r="K902" s="25" t="str">
        <f>IF(OR(E902="",E902="!!!",F902="NEW"),"",INDEX(J$1:J901,SUMPRODUCT(MAX(ROW(E$1:E901)*(E902=E$1:E901)))))</f>
        <v> </v>
      </c>
      <c r="L902" s="26"/>
    </row>
    <row r="903" spans="1:12">
      <c r="A903" s="20" t="s">
        <v>924</v>
      </c>
      <c r="E903" s="21">
        <f>IF(D903="?OLD","!!!","")</f>
        <v/>
      </c>
      <c r="F903" s="22" t="str">
        <f>IF(OR(E903="",E903="!!!"),"",IF(NOT(ISNA(VLOOKUP(E903,E$1:E902,1,FALSE()))),"OLD",IF(AND(E903&lt;&gt;"",E903&lt;&gt;"!!!"),"NEW","")))</f>
        <v> </v>
      </c>
      <c r="G903" s="23" t="str">
        <f>IF(OR(E903="",E903="!!!"),"",IF(OR(J903=0,AND(J903=1,K903=1),AND(J903=1,I903="SBJ"),AND(J903=1,I903=0)),"?IN_FOCUS",IF(J903&lt;=2,"?ACTIVATED",IF(J903&lt;&gt;"","?FAMILIAR",IF(F903="NEW",IF(ISNA(VLOOKUP(E903,#REF!,1,FALSE())),"?TYPE_IDENTIFIABLE","?REFERENTIAL"),"_")))))</f>
        <v> </v>
      </c>
      <c r="H903" s="24" t="str">
        <f>IF(J903&lt;&gt;1,"",IF(I903="SBJ","CB","?"))</f>
        <v> </v>
      </c>
      <c r="I903" s="25" t="str">
        <f>IF(OR(E903="",E903="!!!",F903="NEW"),"",INDEX(B902:B$2,-1+SUMPRODUCT(MAX(ROW(E902:E$2)*(E903=E902:E$2)))))</f>
        <v> </v>
      </c>
      <c r="J903" s="25" t="str">
        <f>IF(OR(E903="",E903="!!!",F903="NEW"),"",COUNTBLANK(OFFSET(A$1,,,SUMPRODUCT(MAX(ROW(E$2:E903)*(E903=E$2:E903)))))-COUNTBLANK(OFFSET(A$1,,,SUMPRODUCT(MAX(ROW(E$1:E902)*(E2=E$1:E902))))))</f>
        <v> </v>
      </c>
      <c r="K903" s="25" t="str">
        <f>IF(OR(E903="",E903="!!!",F903="NEW"),"",INDEX(J$1:J902,SUMPRODUCT(MAX(ROW(E$1:E902)*(E903=E$1:E902)))))</f>
        <v> </v>
      </c>
      <c r="L903" s="26"/>
    </row>
    <row r="904" spans="1:12">
      <c r="A904" s="20" t="s">
        <v>482</v>
      </c>
      <c r="E904" s="21">
        <f>IF(D904="?OLD","!!!","")</f>
        <v/>
      </c>
      <c r="F904" s="22" t="str">
        <f>IF(OR(E904="",E904="!!!"),"",IF(NOT(ISNA(VLOOKUP(E904,E$1:E903,1,FALSE()))),"OLD",IF(AND(E904&lt;&gt;"",E904&lt;&gt;"!!!"),"NEW","")))</f>
        <v> </v>
      </c>
      <c r="G904" s="23" t="str">
        <f>IF(OR(E904="",E904="!!!"),"",IF(OR(J904=0,AND(J904=1,K904=1),AND(J904=1,I904="SBJ"),AND(J904=1,I904=0)),"?IN_FOCUS",IF(J904&lt;=2,"?ACTIVATED",IF(J904&lt;&gt;"","?FAMILIAR",IF(F904="NEW",IF(ISNA(VLOOKUP(E904,#REF!,1,FALSE())),"?TYPE_IDENTIFIABLE","?REFERENTIAL"),"_")))))</f>
        <v> </v>
      </c>
      <c r="H904" s="24" t="str">
        <f>IF(J904&lt;&gt;1,"",IF(I904="SBJ","CB","?"))</f>
        <v> </v>
      </c>
      <c r="I904" s="25" t="str">
        <f>IF(OR(E904="",E904="!!!",F904="NEW"),"",INDEX(B903:B$2,-1+SUMPRODUCT(MAX(ROW(E903:E$2)*(E904=E903:E$2)))))</f>
        <v> </v>
      </c>
      <c r="J904" s="25" t="str">
        <f>IF(OR(E904="",E904="!!!",F904="NEW"),"",COUNTBLANK(OFFSET(A$1,,,SUMPRODUCT(MAX(ROW(E$2:E904)*(E904=E$2:E904)))))-COUNTBLANK(OFFSET(A$1,,,SUMPRODUCT(MAX(ROW(E$1:E903)*(E2=E$1:E903))))))</f>
        <v> </v>
      </c>
      <c r="K904" s="25" t="str">
        <f>IF(OR(E904="",E904="!!!",F904="NEW"),"",INDEX(J$1:J903,SUMPRODUCT(MAX(ROW(E$1:E903)*(E904=E$1:E903)))))</f>
        <v> </v>
      </c>
      <c r="L904" s="26"/>
    </row>
    <row r="905" spans="1:12">
      <c r="A905" s="20" t="s">
        <v>498</v>
      </c>
      <c r="E905" s="21">
        <f>IF(D905="?OLD","!!!","")</f>
        <v/>
      </c>
      <c r="F905" s="22" t="str">
        <f>IF(OR(E905="",E905="!!!"),"",IF(NOT(ISNA(VLOOKUP(E905,E$1:E904,1,FALSE()))),"OLD",IF(AND(E905&lt;&gt;"",E905&lt;&gt;"!!!"),"NEW","")))</f>
        <v> </v>
      </c>
      <c r="G905" s="23" t="str">
        <f>IF(OR(E905="",E905="!!!"),"",IF(OR(J905=0,AND(J905=1,K905=1),AND(J905=1,I905="SBJ"),AND(J905=1,I905=0)),"?IN_FOCUS",IF(J905&lt;=2,"?ACTIVATED",IF(J905&lt;&gt;"","?FAMILIAR",IF(F905="NEW",IF(ISNA(VLOOKUP(E905,#REF!,1,FALSE())),"?TYPE_IDENTIFIABLE","?REFERENTIAL"),"_")))))</f>
        <v> </v>
      </c>
      <c r="H905" s="24" t="str">
        <f>IF(J905&lt;&gt;1,"",IF(I905="SBJ","CB","?"))</f>
        <v> </v>
      </c>
      <c r="I905" s="25" t="str">
        <f>IF(OR(E905="",E905="!!!",F905="NEW"),"",INDEX(B904:B$2,-1+SUMPRODUCT(MAX(ROW(E904:E$2)*(E905=E904:E$2)))))</f>
        <v> </v>
      </c>
      <c r="J905" s="25" t="str">
        <f>IF(OR(E905="",E905="!!!",F905="NEW"),"",COUNTBLANK(OFFSET(A$1,,,SUMPRODUCT(MAX(ROW(E$2:E905)*(E905=E$2:E905)))))-COUNTBLANK(OFFSET(A$1,,,SUMPRODUCT(MAX(ROW(E$1:E904)*(E2=E$1:E904))))))</f>
        <v> </v>
      </c>
      <c r="K905" s="25" t="str">
        <f>IF(OR(E905="",E905="!!!",F905="NEW"),"",INDEX(J$1:J904,SUMPRODUCT(MAX(ROW(E$1:E904)*(E905=E$1:E904)))))</f>
        <v> </v>
      </c>
      <c r="L905" s="26"/>
    </row>
    <row r="906" spans="1:12">
      <c r="A906" s="20" t="s">
        <v>777</v>
      </c>
      <c r="E906" s="21">
        <f>IF(D906="?OLD","!!!","")</f>
        <v/>
      </c>
      <c r="F906" s="22" t="str">
        <f>IF(OR(E906="",E906="!!!"),"",IF(NOT(ISNA(VLOOKUP(E906,E$1:E905,1,FALSE()))),"OLD",IF(AND(E906&lt;&gt;"",E906&lt;&gt;"!!!"),"NEW","")))</f>
        <v> </v>
      </c>
      <c r="G906" s="23" t="str">
        <f>IF(OR(E906="",E906="!!!"),"",IF(OR(J906=0,AND(J906=1,K906=1),AND(J906=1,I906="SBJ"),AND(J906=1,I906=0)),"?IN_FOCUS",IF(J906&lt;=2,"?ACTIVATED",IF(J906&lt;&gt;"","?FAMILIAR",IF(F906="NEW",IF(ISNA(VLOOKUP(E906,#REF!,1,FALSE())),"?TYPE_IDENTIFIABLE","?REFERENTIAL"),"_")))))</f>
        <v> </v>
      </c>
      <c r="H906" s="24" t="str">
        <f>IF(J906&lt;&gt;1,"",IF(I906="SBJ","CB","?"))</f>
        <v> </v>
      </c>
      <c r="I906" s="25" t="str">
        <f>IF(OR(E906="",E906="!!!",F906="NEW"),"",INDEX(B905:B$2,-1+SUMPRODUCT(MAX(ROW(E905:E$2)*(E906=E905:E$2)))))</f>
        <v> </v>
      </c>
      <c r="J906" s="25" t="str">
        <f>IF(OR(E906="",E906="!!!",F906="NEW"),"",COUNTBLANK(OFFSET(A$1,,,SUMPRODUCT(MAX(ROW(E$2:E906)*(E906=E$2:E906)))))-COUNTBLANK(OFFSET(A$1,,,SUMPRODUCT(MAX(ROW(E$1:E905)*(E2=E$1:E905))))))</f>
        <v> </v>
      </c>
      <c r="K906" s="25" t="str">
        <f>IF(OR(E906="",E906="!!!",F906="NEW"),"",INDEX(J$1:J905,SUMPRODUCT(MAX(ROW(E$1:E905)*(E906=E$1:E905)))))</f>
        <v> </v>
      </c>
      <c r="L906" s="26"/>
    </row>
    <row r="907" spans="1:12">
      <c r="A907" s="20" t="s">
        <v>890</v>
      </c>
      <c r="B907" s="27" t="s">
        <v>543</v>
      </c>
      <c r="C907" s="27" t="s">
        <v>779</v>
      </c>
      <c r="E907" s="21">
        <f>IF(D907="?OLD","!!!","")</f>
        <v/>
      </c>
      <c r="F907" s="22" t="str">
        <f>IF(OR(E907="",E907="!!!"),"",IF(NOT(ISNA(VLOOKUP(E907,E$1:E906,1,FALSE()))),"OLD",IF(AND(E907&lt;&gt;"",E907&lt;&gt;"!!!"),"NEW","")))</f>
        <v> </v>
      </c>
      <c r="G907" s="23" t="str">
        <f>IF(OR(E907="",E907="!!!"),"",IF(OR(J907=0,AND(J907=1,K907=1),AND(J907=1,I907="SBJ"),AND(J907=1,I907=0)),"?IN_FOCUS",IF(J907&lt;=2,"?ACTIVATED",IF(J907&lt;&gt;"","?FAMILIAR",IF(F907="NEW",IF(ISNA(VLOOKUP(E907,#REF!,1,FALSE())),"?TYPE_IDENTIFIABLE","?REFERENTIAL"),"_")))))</f>
        <v> </v>
      </c>
      <c r="H907" s="24" t="str">
        <f>IF(J907&lt;&gt;1,"",IF(I907="SBJ","CB","?"))</f>
        <v> </v>
      </c>
      <c r="I907" s="25" t="str">
        <f>IF(OR(E907="",E907="!!!",F907="NEW"),"",INDEX(B906:B$2,-1+SUMPRODUCT(MAX(ROW(E906:E$2)*(E907=E906:E$2)))))</f>
        <v> </v>
      </c>
      <c r="J907" s="25" t="str">
        <f>IF(OR(E907="",E907="!!!",F907="NEW"),"",COUNTBLANK(OFFSET(A$1,,,SUMPRODUCT(MAX(ROW(E$2:E907)*(E907=E$2:E907)))))-COUNTBLANK(OFFSET(A$1,,,SUMPRODUCT(MAX(ROW(E$1:E906)*(E2=E$1:E906))))))</f>
        <v> </v>
      </c>
      <c r="K907" s="25" t="str">
        <f>IF(OR(E907="",E907="!!!",F907="NEW"),"",INDEX(J$1:J906,SUMPRODUCT(MAX(ROW(E$1:E906)*(E907=E$1:E906)))))</f>
        <v> </v>
      </c>
      <c r="L907" s="26"/>
    </row>
    <row r="908" spans="1:12">
      <c r="A908" s="20" t="s">
        <v>12</v>
      </c>
      <c r="E908" s="21">
        <f>IF(D908="?OLD","!!!","")</f>
        <v/>
      </c>
      <c r="F908" s="22" t="str">
        <f>IF(OR(E908="",E908="!!!"),"",IF(NOT(ISNA(VLOOKUP(E908,E$1:E907,1,FALSE()))),"OLD",IF(AND(E908&lt;&gt;"",E908&lt;&gt;"!!!"),"NEW","")))</f>
        <v> </v>
      </c>
      <c r="G908" s="23" t="str">
        <f>IF(OR(E908="",E908="!!!"),"",IF(OR(J908=0,AND(J908=1,K908=1),AND(J908=1,I908="SBJ"),AND(J908=1,I908=0)),"?IN_FOCUS",IF(J908&lt;=2,"?ACTIVATED",IF(J908&lt;&gt;"","?FAMILIAR",IF(F908="NEW",IF(ISNA(VLOOKUP(E908,#REF!,1,FALSE())),"?TYPE_IDENTIFIABLE","?REFERENTIAL"),"_")))))</f>
        <v> </v>
      </c>
      <c r="H908" s="24" t="str">
        <f>IF(J908&lt;&gt;1,"",IF(I908="SBJ","CB","?"))</f>
        <v> </v>
      </c>
      <c r="I908" s="25" t="str">
        <f>IF(OR(E908="",E908="!!!",F908="NEW"),"",INDEX(B907:B$2,-1+SUMPRODUCT(MAX(ROW(E907:E$2)*(E908=E907:E$2)))))</f>
        <v> </v>
      </c>
      <c r="J908" s="25" t="str">
        <f>IF(OR(E908="",E908="!!!",F908="NEW"),"",COUNTBLANK(OFFSET(A$1,,,SUMPRODUCT(MAX(ROW(E$2:E908)*(E908=E$2:E908)))))-COUNTBLANK(OFFSET(A$1,,,SUMPRODUCT(MAX(ROW(E$1:E907)*(E2=E$1:E907))))))</f>
        <v> </v>
      </c>
      <c r="K908" s="25" t="str">
        <f>IF(OR(E908="",E908="!!!",F908="NEW"),"",INDEX(J$1:J907,SUMPRODUCT(MAX(ROW(E$1:E907)*(E908=E$1:E907)))))</f>
        <v> </v>
      </c>
      <c r="L908" s="26"/>
    </row>
    <row r="909" spans="1:12">
      <c r="A909" s="20" t="s">
        <v>12</v>
      </c>
      <c r="E909" s="21">
        <f>IF(D909="?OLD","!!!","")</f>
        <v/>
      </c>
      <c r="F909" s="22" t="str">
        <f>IF(OR(E909="",E909="!!!"),"",IF(NOT(ISNA(VLOOKUP(E909,E$1:E908,1,FALSE()))),"OLD",IF(AND(E909&lt;&gt;"",E909&lt;&gt;"!!!"),"NEW","")))</f>
        <v> </v>
      </c>
      <c r="G909" s="23" t="str">
        <f>IF(OR(E909="",E909="!!!"),"",IF(OR(J909=0,AND(J909=1,K909=1),AND(J909=1,I909="SBJ"),AND(J909=1,I909=0)),"?IN_FOCUS",IF(J909&lt;=2,"?ACTIVATED",IF(J909&lt;&gt;"","?FAMILIAR",IF(F909="NEW",IF(ISNA(VLOOKUP(E909,#REF!,1,FALSE())),"?TYPE_IDENTIFIABLE","?REFERENTIAL"),"_")))))</f>
        <v> </v>
      </c>
      <c r="H909" s="24" t="str">
        <f>IF(J909&lt;&gt;1,"",IF(I909="SBJ","CB","?"))</f>
        <v> </v>
      </c>
      <c r="I909" s="25" t="str">
        <f>IF(OR(E909="",E909="!!!",F909="NEW"),"",INDEX(B908:B$2,-1+SUMPRODUCT(MAX(ROW(E908:E$2)*(E909=E908:E$2)))))</f>
        <v> </v>
      </c>
      <c r="J909" s="25" t="str">
        <f>IF(OR(E909="",E909="!!!",F909="NEW"),"",COUNTBLANK(OFFSET(A$1,,,SUMPRODUCT(MAX(ROW(E$2:E909)*(E909=E$2:E909)))))-COUNTBLANK(OFFSET(A$1,,,SUMPRODUCT(MAX(ROW(E$1:E908)*(E2=E$1:E908))))))</f>
        <v> </v>
      </c>
      <c r="K909" s="25" t="str">
        <f>IF(OR(E909="",E909="!!!",F909="NEW"),"",INDEX(J$1:J908,SUMPRODUCT(MAX(ROW(E$1:E908)*(E909=E$1:E908)))))</f>
        <v> </v>
      </c>
      <c r="L909" s="26"/>
    </row>
    <row r="910" spans="1:12">
      <c r="A910" s="20" t="s">
        <v>606</v>
      </c>
      <c r="B910" s="27" t="s">
        <v>723</v>
      </c>
      <c r="C910" s="27" t="s">
        <v>477</v>
      </c>
      <c r="D910" s="27" t="s">
        <v>478</v>
      </c>
      <c r="E910" s="21">
        <f>IF(D910="?OLD","!!!","")</f>
        <v/>
      </c>
      <c r="F910" s="22" t="str">
        <f>IF(OR(E910="",E910="!!!"),"",IF(NOT(ISNA(VLOOKUP(E910,E$1:E909,1,FALSE()))),"OLD",IF(AND(E910&lt;&gt;"",E910&lt;&gt;"!!!"),"NEW","")))</f>
        <v> </v>
      </c>
      <c r="G910" s="23" t="str">
        <f>IF(OR(E910="",E910="!!!"),"",IF(OR(J910=0,AND(J910=1,K910=1),AND(J910=1,I910="SBJ"),AND(J910=1,I910=0)),"?IN_FOCUS",IF(J910&lt;=2,"?ACTIVATED",IF(J910&lt;&gt;"","?FAMILIAR",IF(F910="NEW",IF(ISNA(VLOOKUP(E910,#REF!,1,FALSE())),"?TYPE_IDENTIFIABLE","?REFERENTIAL"),"_")))))</f>
        <v> </v>
      </c>
      <c r="H910" s="24" t="str">
        <f>IF(J910&lt;&gt;1,"",IF(I910="SBJ","CB","?"))</f>
        <v> </v>
      </c>
      <c r="I910" s="25" t="str">
        <f>IF(OR(E910="",E910="!!!",F910="NEW"),"",INDEX(B909:B$2,-1+SUMPRODUCT(MAX(ROW(E909:E$2)*(E910=E909:E$2)))))</f>
        <v> </v>
      </c>
      <c r="J910" s="25" t="str">
        <f>IF(OR(E910="",E910="!!!",F910="NEW"),"",COUNTBLANK(OFFSET(A$1,,,SUMPRODUCT(MAX(ROW(E$2:E910)*(E910=E$2:E910)))))-COUNTBLANK(OFFSET(A$1,,,SUMPRODUCT(MAX(ROW(E$1:E909)*(E2=E$1:E909))))))</f>
        <v> </v>
      </c>
      <c r="K910" s="25" t="str">
        <f>IF(OR(E910="",E910="!!!",F910="NEW"),"",INDEX(J$1:J909,SUMPRODUCT(MAX(ROW(E$1:E909)*(E910=E$1:E909)))))</f>
        <v> </v>
      </c>
      <c r="L910" s="26"/>
    </row>
    <row r="911" spans="1:12">
      <c r="A911" s="20" t="s">
        <v>493</v>
      </c>
      <c r="E911" s="21">
        <f>IF(D911="?OLD","!!!","")</f>
        <v/>
      </c>
      <c r="F911" s="22" t="str">
        <f>IF(OR(E911="",E911="!!!"),"",IF(NOT(ISNA(VLOOKUP(E911,E$1:E910,1,FALSE()))),"OLD",IF(AND(E911&lt;&gt;"",E911&lt;&gt;"!!!"),"NEW","")))</f>
        <v> </v>
      </c>
      <c r="G911" s="23" t="str">
        <f>IF(OR(E911="",E911="!!!"),"",IF(OR(J911=0,AND(J911=1,K911=1),AND(J911=1,I911="SBJ"),AND(J911=1,I911=0)),"?IN_FOCUS",IF(J911&lt;=2,"?ACTIVATED",IF(J911&lt;&gt;"","?FAMILIAR",IF(F911="NEW",IF(ISNA(VLOOKUP(E911,#REF!,1,FALSE())),"?TYPE_IDENTIFIABLE","?REFERENTIAL"),"_")))))</f>
        <v> </v>
      </c>
      <c r="H911" s="24" t="str">
        <f>IF(J911&lt;&gt;1,"",IF(I911="SBJ","CB","?"))</f>
        <v> </v>
      </c>
      <c r="I911" s="25" t="str">
        <f>IF(OR(E911="",E911="!!!",F911="NEW"),"",INDEX(B910:B$2,-1+SUMPRODUCT(MAX(ROW(E910:E$2)*(E911=E910:E$2)))))</f>
        <v> </v>
      </c>
      <c r="J911" s="25" t="str">
        <f>IF(OR(E911="",E911="!!!",F911="NEW"),"",COUNTBLANK(OFFSET(A$1,,,SUMPRODUCT(MAX(ROW(E$2:E911)*(E911=E$2:E911)))))-COUNTBLANK(OFFSET(A$1,,,SUMPRODUCT(MAX(ROW(E$1:E910)*(E2=E$1:E910))))))</f>
        <v> </v>
      </c>
      <c r="K911" s="25" t="str">
        <f>IF(OR(E911="",E911="!!!",F911="NEW"),"",INDEX(J$1:J910,SUMPRODUCT(MAX(ROW(E$1:E910)*(E911=E$1:E910)))))</f>
        <v> </v>
      </c>
      <c r="L911" s="26"/>
    </row>
    <row r="912" spans="1:12">
      <c r="A912" s="20" t="s">
        <v>925</v>
      </c>
      <c r="E912" s="21">
        <f>IF(D912="?OLD","!!!","")</f>
        <v/>
      </c>
      <c r="F912" s="22" t="str">
        <f>IF(OR(E912="",E912="!!!"),"",IF(NOT(ISNA(VLOOKUP(E912,E$1:E911,1,FALSE()))),"OLD",IF(AND(E912&lt;&gt;"",E912&lt;&gt;"!!!"),"NEW","")))</f>
        <v> </v>
      </c>
      <c r="G912" s="23" t="str">
        <f>IF(OR(E912="",E912="!!!"),"",IF(OR(J912=0,AND(J912=1,K912=1),AND(J912=1,I912="SBJ"),AND(J912=1,I912=0)),"?IN_FOCUS",IF(J912&lt;=2,"?ACTIVATED",IF(J912&lt;&gt;"","?FAMILIAR",IF(F912="NEW",IF(ISNA(VLOOKUP(E912,#REF!,1,FALSE())),"?TYPE_IDENTIFIABLE","?REFERENTIAL"),"_")))))</f>
        <v> </v>
      </c>
      <c r="H912" s="24" t="str">
        <f>IF(J912&lt;&gt;1,"",IF(I912="SBJ","CB","?"))</f>
        <v> </v>
      </c>
      <c r="I912" s="25" t="str">
        <f>IF(OR(E912="",E912="!!!",F912="NEW"),"",INDEX(B911:B$2,-1+SUMPRODUCT(MAX(ROW(E911:E$2)*(E912=E911:E$2)))))</f>
        <v> </v>
      </c>
      <c r="J912" s="25" t="str">
        <f>IF(OR(E912="",E912="!!!",F912="NEW"),"",COUNTBLANK(OFFSET(A$1,,,SUMPRODUCT(MAX(ROW(E$2:E912)*(E912=E$2:E912)))))-COUNTBLANK(OFFSET(A$1,,,SUMPRODUCT(MAX(ROW(E$1:E911)*(E2=E$1:E911))))))</f>
        <v> </v>
      </c>
      <c r="K912" s="25" t="str">
        <f>IF(OR(E912="",E912="!!!",F912="NEW"),"",INDEX(J$1:J911,SUMPRODUCT(MAX(ROW(E$1:E911)*(E912=E$1:E911)))))</f>
        <v> </v>
      </c>
      <c r="L912" s="26"/>
    </row>
    <row r="913" spans="1:12">
      <c r="A913" s="20" t="s">
        <v>926</v>
      </c>
      <c r="E913" s="21">
        <f>IF(D913="?OLD","!!!","")</f>
        <v/>
      </c>
      <c r="F913" s="22" t="str">
        <f>IF(OR(E913="",E913="!!!"),"",IF(NOT(ISNA(VLOOKUP(E913,E$1:E912,1,FALSE()))),"OLD",IF(AND(E913&lt;&gt;"",E913&lt;&gt;"!!!"),"NEW","")))</f>
        <v> </v>
      </c>
      <c r="G913" s="23" t="str">
        <f>IF(OR(E913="",E913="!!!"),"",IF(OR(J913=0,AND(J913=1,K913=1),AND(J913=1,I913="SBJ"),AND(J913=1,I913=0)),"?IN_FOCUS",IF(J913&lt;=2,"?ACTIVATED",IF(J913&lt;&gt;"","?FAMILIAR",IF(F913="NEW",IF(ISNA(VLOOKUP(E913,#REF!,1,FALSE())),"?TYPE_IDENTIFIABLE","?REFERENTIAL"),"_")))))</f>
        <v> </v>
      </c>
      <c r="H913" s="24" t="str">
        <f>IF(J913&lt;&gt;1,"",IF(I913="SBJ","CB","?"))</f>
        <v> </v>
      </c>
      <c r="I913" s="25" t="str">
        <f>IF(OR(E913="",E913="!!!",F913="NEW"),"",INDEX(B912:B$2,-1+SUMPRODUCT(MAX(ROW(E912:E$2)*(E913=E912:E$2)))))</f>
        <v> </v>
      </c>
      <c r="J913" s="25" t="str">
        <f>IF(OR(E913="",E913="!!!",F913="NEW"),"",COUNTBLANK(OFFSET(A$1,,,SUMPRODUCT(MAX(ROW(E$2:E913)*(E913=E$2:E913)))))-COUNTBLANK(OFFSET(A$1,,,SUMPRODUCT(MAX(ROW(E$1:E912)*(E2=E$1:E912))))))</f>
        <v> </v>
      </c>
      <c r="K913" s="25" t="str">
        <f>IF(OR(E913="",E913="!!!",F913="NEW"),"",INDEX(J$1:J912,SUMPRODUCT(MAX(ROW(E$1:E912)*(E913=E$1:E912)))))</f>
        <v> </v>
      </c>
      <c r="L913" s="26"/>
    </row>
    <row r="914" spans="1:12">
      <c r="A914" s="20" t="s">
        <v>927</v>
      </c>
      <c r="B914" s="27" t="s">
        <v>723</v>
      </c>
      <c r="E914" s="21">
        <f>IF(D914="?OLD","!!!","")</f>
        <v/>
      </c>
      <c r="F914" s="22" t="str">
        <f>IF(OR(E914="",E914="!!!"),"",IF(NOT(ISNA(VLOOKUP(E914,E$1:E913,1,FALSE()))),"OLD",IF(AND(E914&lt;&gt;"",E914&lt;&gt;"!!!"),"NEW","")))</f>
        <v> </v>
      </c>
      <c r="G914" s="23" t="str">
        <f>IF(OR(E914="",E914="!!!"),"",IF(OR(J914=0,AND(J914=1,K914=1),AND(J914=1,I914="SBJ"),AND(J914=1,I914=0)),"?IN_FOCUS",IF(J914&lt;=2,"?ACTIVATED",IF(J914&lt;&gt;"","?FAMILIAR",IF(F914="NEW",IF(ISNA(VLOOKUP(E914,#REF!,1,FALSE())),"?TYPE_IDENTIFIABLE","?REFERENTIAL"),"_")))))</f>
        <v> </v>
      </c>
      <c r="H914" s="24" t="str">
        <f>IF(J914&lt;&gt;1,"",IF(I914="SBJ","CB","?"))</f>
        <v> </v>
      </c>
      <c r="I914" s="25" t="str">
        <f>IF(OR(E914="",E914="!!!",F914="NEW"),"",INDEX(B913:B$2,-1+SUMPRODUCT(MAX(ROW(E913:E$2)*(E914=E913:E$2)))))</f>
        <v> </v>
      </c>
      <c r="J914" s="25" t="str">
        <f>IF(OR(E914="",E914="!!!",F914="NEW"),"",COUNTBLANK(OFFSET(A$1,,,SUMPRODUCT(MAX(ROW(E$2:E914)*(E914=E$2:E914)))))-COUNTBLANK(OFFSET(A$1,,,SUMPRODUCT(MAX(ROW(E$1:E913)*(E2=E$1:E913))))))</f>
        <v> </v>
      </c>
      <c r="K914" s="25" t="str">
        <f>IF(OR(E914="",E914="!!!",F914="NEW"),"",INDEX(J$1:J913,SUMPRODUCT(MAX(ROW(E$1:E913)*(E914=E$1:E913)))))</f>
        <v> </v>
      </c>
      <c r="L914" s="26"/>
    </row>
    <row r="915" spans="1:12">
      <c r="A915" s="20" t="s">
        <v>253</v>
      </c>
      <c r="E915" s="21">
        <f>IF(D915="?OLD","!!!","")</f>
        <v/>
      </c>
      <c r="F915" s="22" t="str">
        <f>IF(OR(E915="",E915="!!!"),"",IF(NOT(ISNA(VLOOKUP(E915,E$1:E914,1,FALSE()))),"OLD",IF(AND(E915&lt;&gt;"",E915&lt;&gt;"!!!"),"NEW","")))</f>
        <v> </v>
      </c>
      <c r="G915" s="23" t="str">
        <f>IF(OR(E915="",E915="!!!"),"",IF(OR(J915=0,AND(J915=1,K915=1),AND(J915=1,I915="SBJ"),AND(J915=1,I915=0)),"?IN_FOCUS",IF(J915&lt;=2,"?ACTIVATED",IF(J915&lt;&gt;"","?FAMILIAR",IF(F915="NEW",IF(ISNA(VLOOKUP(E915,#REF!,1,FALSE())),"?TYPE_IDENTIFIABLE","?REFERENTIAL"),"_")))))</f>
        <v> </v>
      </c>
      <c r="H915" s="24" t="str">
        <f>IF(J915&lt;&gt;1,"",IF(I915="SBJ","CB","?"))</f>
        <v> </v>
      </c>
      <c r="I915" s="25" t="str">
        <f>IF(OR(E915="",E915="!!!",F915="NEW"),"",INDEX(B914:B$2,-1+SUMPRODUCT(MAX(ROW(E914:E$2)*(E915=E914:E$2)))))</f>
        <v> </v>
      </c>
      <c r="J915" s="25" t="str">
        <f>IF(OR(E915="",E915="!!!",F915="NEW"),"",COUNTBLANK(OFFSET(A$1,,,SUMPRODUCT(MAX(ROW(E$2:E915)*(E915=E$2:E915)))))-COUNTBLANK(OFFSET(A$1,,,SUMPRODUCT(MAX(ROW(E$1:E914)*(E2=E$1:E914))))))</f>
        <v> </v>
      </c>
      <c r="K915" s="25" t="str">
        <f>IF(OR(E915="",E915="!!!",F915="NEW"),"",INDEX(J$1:J914,SUMPRODUCT(MAX(ROW(E$1:E914)*(E915=E$1:E914)))))</f>
        <v> </v>
      </c>
      <c r="L915" s="26"/>
    </row>
    <row r="916" spans="1:12">
      <c r="A916" s="20"/>
    </row>
    <row r="917" spans="1:12">
      <c r="A917" s="20" t="s">
        <v>928</v>
      </c>
    </row>
    <row r="918" spans="1:12">
      <c r="A918" s="20" t="s">
        <v>929</v>
      </c>
      <c r="E918" s="21">
        <f>IF(D918="?OLD","!!!","")</f>
        <v/>
      </c>
      <c r="F918" s="22" t="str">
        <f>IF(OR(E918="",E918="!!!"),"",IF(NOT(ISNA(VLOOKUP(E918,E$1:E917,1,FALSE()))),"OLD",IF(AND(E918&lt;&gt;"",E918&lt;&gt;"!!!"),"NEW","")))</f>
        <v> </v>
      </c>
      <c r="G918" s="23" t="str">
        <f>IF(OR(E918="",E918="!!!"),"",IF(OR(J918=0,AND(J918=1,K918=1),AND(J918=1,I918="SBJ"),AND(J918=1,I918=0)),"?IN_FOCUS",IF(J918&lt;=2,"?ACTIVATED",IF(J918&lt;&gt;"","?FAMILIAR",IF(F918="NEW",IF(ISNA(VLOOKUP(E918,#REF!,1,FALSE())),"?TYPE_IDENTIFIABLE","?REFERENTIAL"),"_")))))</f>
        <v> </v>
      </c>
      <c r="H918" s="24" t="str">
        <f>IF(J918&lt;&gt;1,"",IF(I918="SBJ","CB","?"))</f>
        <v> </v>
      </c>
      <c r="I918" s="25" t="str">
        <f>IF(OR(E918="",E918="!!!",F918="NEW"),"",INDEX(B917:B$2,-1+SUMPRODUCT(MAX(ROW(E917:E$2)*(E918=E917:E$2)))))</f>
        <v> </v>
      </c>
      <c r="J918" s="25" t="str">
        <f>IF(OR(E918="",E918="!!!",F918="NEW"),"",COUNTBLANK(OFFSET(A$1,,,SUMPRODUCT(MAX(ROW(E$2:E918)*(E918=E$2:E918)))))-COUNTBLANK(OFFSET(A$1,,,SUMPRODUCT(MAX(ROW(E$1:E917)*(E2=E$1:E917))))))</f>
        <v> </v>
      </c>
      <c r="K918" s="25" t="str">
        <f>IF(OR(E918="",E918="!!!",F918="NEW"),"",INDEX(J$1:J917,SUMPRODUCT(MAX(ROW(E$1:E917)*(E918=E$1:E917)))))</f>
        <v> </v>
      </c>
      <c r="L918" s="26"/>
    </row>
    <row r="919" spans="1:12">
      <c r="A919" s="20" t="s">
        <v>253</v>
      </c>
      <c r="E919" s="21">
        <f>IF(D919="?OLD","!!!","")</f>
        <v/>
      </c>
      <c r="F919" s="22" t="str">
        <f>IF(OR(E919="",E919="!!!"),"",IF(NOT(ISNA(VLOOKUP(E919,E$1:E918,1,FALSE()))),"OLD",IF(AND(E919&lt;&gt;"",E919&lt;&gt;"!!!"),"NEW","")))</f>
        <v> </v>
      </c>
      <c r="G919" s="23" t="str">
        <f>IF(OR(E919="",E919="!!!"),"",IF(OR(J919=0,AND(J919=1,K919=1),AND(J919=1,I919="SBJ"),AND(J919=1,I919=0)),"?IN_FOCUS",IF(J919&lt;=2,"?ACTIVATED",IF(J919&lt;&gt;"","?FAMILIAR",IF(F919="NEW",IF(ISNA(VLOOKUP(E919,#REF!,1,FALSE())),"?TYPE_IDENTIFIABLE","?REFERENTIAL"),"_")))))</f>
        <v> </v>
      </c>
      <c r="H919" s="24" t="str">
        <f>IF(J919&lt;&gt;1,"",IF(I919="SBJ","CB","?"))</f>
        <v> </v>
      </c>
      <c r="I919" s="25" t="str">
        <f>IF(OR(E919="",E919="!!!",F919="NEW"),"",INDEX(B918:B$2,-1+SUMPRODUCT(MAX(ROW(E918:E$2)*(E919=E918:E$2)))))</f>
        <v> </v>
      </c>
      <c r="J919" s="25" t="str">
        <f>IF(OR(E919="",E919="!!!",F919="NEW"),"",COUNTBLANK(OFFSET(A$1,,,SUMPRODUCT(MAX(ROW(E$2:E919)*(E919=E$2:E919)))))-COUNTBLANK(OFFSET(A$1,,,SUMPRODUCT(MAX(ROW(E$1:E918)*(E2=E$1:E918))))))</f>
        <v> </v>
      </c>
      <c r="K919" s="25" t="str">
        <f>IF(OR(E919="",E919="!!!",F919="NEW"),"",INDEX(J$1:J918,SUMPRODUCT(MAX(ROW(E$1:E918)*(E919=E$1:E918)))))</f>
        <v> </v>
      </c>
      <c r="L919" s="26"/>
    </row>
    <row r="920" spans="1:12">
      <c r="A920" s="20"/>
    </row>
    <row r="921" spans="1:12">
      <c r="A921" s="20" t="s">
        <v>930</v>
      </c>
    </row>
    <row r="922" spans="1:12">
      <c r="A922" s="20" t="s">
        <v>792</v>
      </c>
      <c r="E922" s="21">
        <f>IF(D922="?OLD","!!!","")</f>
        <v/>
      </c>
      <c r="F922" s="22" t="str">
        <f>IF(OR(E922="",E922="!!!"),"",IF(NOT(ISNA(VLOOKUP(E922,E$1:E921,1,FALSE()))),"OLD",IF(AND(E922&lt;&gt;"",E922&lt;&gt;"!!!"),"NEW","")))</f>
        <v> </v>
      </c>
      <c r="G922" s="23" t="str">
        <f>IF(OR(E922="",E922="!!!"),"",IF(OR(J922=0,AND(J922=1,K922=1),AND(J922=1,I922="SBJ"),AND(J922=1,I922=0)),"?IN_FOCUS",IF(J922&lt;=2,"?ACTIVATED",IF(J922&lt;&gt;"","?FAMILIAR",IF(F922="NEW",IF(ISNA(VLOOKUP(E922,#REF!,1,FALSE())),"?TYPE_IDENTIFIABLE","?REFERENTIAL"),"_")))))</f>
        <v> </v>
      </c>
      <c r="H922" s="24" t="str">
        <f>IF(J922&lt;&gt;1,"",IF(I922="SBJ","CB","?"))</f>
        <v> </v>
      </c>
      <c r="I922" s="25" t="str">
        <f>IF(OR(E922="",E922="!!!",F922="NEW"),"",INDEX(B921:B$2,-1+SUMPRODUCT(MAX(ROW(E921:E$2)*(E922=E921:E$2)))))</f>
        <v> </v>
      </c>
      <c r="J922" s="25" t="str">
        <f>IF(OR(E922="",E922="!!!",F922="NEW"),"",COUNTBLANK(OFFSET(A$1,,,SUMPRODUCT(MAX(ROW(E$2:E922)*(E922=E$2:E922)))))-COUNTBLANK(OFFSET(A$1,,,SUMPRODUCT(MAX(ROW(E$1:E921)*(E2=E$1:E921))))))</f>
        <v> </v>
      </c>
      <c r="K922" s="25" t="str">
        <f>IF(OR(E922="",E922="!!!",F922="NEW"),"",INDEX(J$1:J921,SUMPRODUCT(MAX(ROW(E$1:E921)*(E922=E$1:E921)))))</f>
        <v> </v>
      </c>
      <c r="L922" s="26"/>
    </row>
    <row r="923" spans="1:12">
      <c r="A923" s="20" t="s">
        <v>931</v>
      </c>
      <c r="B923" s="27" t="s">
        <v>476</v>
      </c>
      <c r="E923" s="21">
        <f>IF(D923="?OLD","!!!","")</f>
        <v/>
      </c>
      <c r="F923" s="22" t="str">
        <f>IF(OR(E923="",E923="!!!"),"",IF(NOT(ISNA(VLOOKUP(E923,E$1:E922,1,FALSE()))),"OLD",IF(AND(E923&lt;&gt;"",E923&lt;&gt;"!!!"),"NEW","")))</f>
        <v> </v>
      </c>
      <c r="G923" s="23" t="str">
        <f>IF(OR(E923="",E923="!!!"),"",IF(OR(J923=0,AND(J923=1,K923=1),AND(J923=1,I923="SBJ"),AND(J923=1,I923=0)),"?IN_FOCUS",IF(J923&lt;=2,"?ACTIVATED",IF(J923&lt;&gt;"","?FAMILIAR",IF(F923="NEW",IF(ISNA(VLOOKUP(E923,#REF!,1,FALSE())),"?TYPE_IDENTIFIABLE","?REFERENTIAL"),"_")))))</f>
        <v> </v>
      </c>
      <c r="H923" s="24" t="str">
        <f>IF(J923&lt;&gt;1,"",IF(I923="SBJ","CB","?"))</f>
        <v> </v>
      </c>
      <c r="I923" s="25" t="str">
        <f>IF(OR(E923="",E923="!!!",F923="NEW"),"",INDEX(B922:B$2,-1+SUMPRODUCT(MAX(ROW(E922:E$2)*(E923=E922:E$2)))))</f>
        <v> </v>
      </c>
      <c r="J923" s="25" t="str">
        <f>IF(OR(E923="",E923="!!!",F923="NEW"),"",COUNTBLANK(OFFSET(A$1,,,SUMPRODUCT(MAX(ROW(E$2:E923)*(E923=E$2:E923)))))-COUNTBLANK(OFFSET(A$1,,,SUMPRODUCT(MAX(ROW(E$1:E922)*(E2=E$1:E922))))))</f>
        <v> </v>
      </c>
      <c r="K923" s="25" t="str">
        <f>IF(OR(E923="",E923="!!!",F923="NEW"),"",INDEX(J$1:J922,SUMPRODUCT(MAX(ROW(E$1:E922)*(E923=E$1:E922)))))</f>
        <v> </v>
      </c>
      <c r="L923" s="26"/>
    </row>
    <row r="924" spans="1:12">
      <c r="A924" s="20" t="s">
        <v>380</v>
      </c>
      <c r="E924" s="21">
        <f>IF(D924="?OLD","!!!","")</f>
        <v/>
      </c>
      <c r="F924" s="22" t="str">
        <f>IF(OR(E924="",E924="!!!"),"",IF(NOT(ISNA(VLOOKUP(E924,E$1:E923,1,FALSE()))),"OLD",IF(AND(E924&lt;&gt;"",E924&lt;&gt;"!!!"),"NEW","")))</f>
        <v> </v>
      </c>
      <c r="G924" s="23" t="str">
        <f>IF(OR(E924="",E924="!!!"),"",IF(OR(J924=0,AND(J924=1,K924=1),AND(J924=1,I924="SBJ"),AND(J924=1,I924=0)),"?IN_FOCUS",IF(J924&lt;=2,"?ACTIVATED",IF(J924&lt;&gt;"","?FAMILIAR",IF(F924="NEW",IF(ISNA(VLOOKUP(E924,#REF!,1,FALSE())),"?TYPE_IDENTIFIABLE","?REFERENTIAL"),"_")))))</f>
        <v> </v>
      </c>
      <c r="H924" s="24" t="str">
        <f>IF(J924&lt;&gt;1,"",IF(I924="SBJ","CB","?"))</f>
        <v> </v>
      </c>
      <c r="I924" s="25" t="str">
        <f>IF(OR(E924="",E924="!!!",F924="NEW"),"",INDEX(B923:B$2,-1+SUMPRODUCT(MAX(ROW(E923:E$2)*(E924=E923:E$2)))))</f>
        <v> </v>
      </c>
      <c r="J924" s="25" t="str">
        <f>IF(OR(E924="",E924="!!!",F924="NEW"),"",COUNTBLANK(OFFSET(A$1,,,SUMPRODUCT(MAX(ROW(E$2:E924)*(E924=E$2:E924)))))-COUNTBLANK(OFFSET(A$1,,,SUMPRODUCT(MAX(ROW(E$1:E923)*(E2=E$1:E923))))))</f>
        <v> </v>
      </c>
      <c r="K924" s="25" t="str">
        <f>IF(OR(E924="",E924="!!!",F924="NEW"),"",INDEX(J$1:J923,SUMPRODUCT(MAX(ROW(E$1:E923)*(E924=E$1:E923)))))</f>
        <v> </v>
      </c>
      <c r="L924" s="26"/>
    </row>
    <row r="925" spans="1:12">
      <c r="A925" s="20" t="s">
        <v>513</v>
      </c>
      <c r="E925" s="21">
        <f>IF(D925="?OLD","!!!","")</f>
        <v/>
      </c>
      <c r="F925" s="22" t="str">
        <f>IF(OR(E925="",E925="!!!"),"",IF(NOT(ISNA(VLOOKUP(E925,E$1:E924,1,FALSE()))),"OLD",IF(AND(E925&lt;&gt;"",E925&lt;&gt;"!!!"),"NEW","")))</f>
        <v> </v>
      </c>
      <c r="G925" s="23" t="str">
        <f>IF(OR(E925="",E925="!!!"),"",IF(OR(J925=0,AND(J925=1,K925=1),AND(J925=1,I925="SBJ"),AND(J925=1,I925=0)),"?IN_FOCUS",IF(J925&lt;=2,"?ACTIVATED",IF(J925&lt;&gt;"","?FAMILIAR",IF(F925="NEW",IF(ISNA(VLOOKUP(E925,#REF!,1,FALSE())),"?TYPE_IDENTIFIABLE","?REFERENTIAL"),"_")))))</f>
        <v> </v>
      </c>
      <c r="H925" s="24" t="str">
        <f>IF(J925&lt;&gt;1,"",IF(I925="SBJ","CB","?"))</f>
        <v> </v>
      </c>
      <c r="I925" s="25" t="str">
        <f>IF(OR(E925="",E925="!!!",F925="NEW"),"",INDEX(B924:B$2,-1+SUMPRODUCT(MAX(ROW(E924:E$2)*(E925=E924:E$2)))))</f>
        <v> </v>
      </c>
      <c r="J925" s="25" t="str">
        <f>IF(OR(E925="",E925="!!!",F925="NEW"),"",COUNTBLANK(OFFSET(A$1,,,SUMPRODUCT(MAX(ROW(E$2:E925)*(E925=E$2:E925)))))-COUNTBLANK(OFFSET(A$1,,,SUMPRODUCT(MAX(ROW(E$1:E924)*(E2=E$1:E924))))))</f>
        <v> </v>
      </c>
      <c r="K925" s="25" t="str">
        <f>IF(OR(E925="",E925="!!!",F925="NEW"),"",INDEX(J$1:J924,SUMPRODUCT(MAX(ROW(E$1:E924)*(E925=E$1:E924)))))</f>
        <v> </v>
      </c>
      <c r="L925" s="26"/>
    </row>
    <row r="926" spans="1:12">
      <c r="A926" s="20" t="s">
        <v>905</v>
      </c>
      <c r="B926" s="27" t="s">
        <v>473</v>
      </c>
      <c r="C926" s="27" t="s">
        <v>484</v>
      </c>
      <c r="E926" s="21">
        <f>IF(D926="?OLD","!!!","")</f>
        <v/>
      </c>
      <c r="F926" s="22" t="str">
        <f>IF(OR(E926="",E926="!!!"),"",IF(NOT(ISNA(VLOOKUP(E926,E$1:E925,1,FALSE()))),"OLD",IF(AND(E926&lt;&gt;"",E926&lt;&gt;"!!!"),"NEW","")))</f>
        <v> </v>
      </c>
      <c r="G926" s="23" t="str">
        <f>IF(OR(E926="",E926="!!!"),"",IF(OR(J926=0,AND(J926=1,K926=1),AND(J926=1,I926="SBJ"),AND(J926=1,I926=0)),"?IN_FOCUS",IF(J926&lt;=2,"?ACTIVATED",IF(J926&lt;&gt;"","?FAMILIAR",IF(F926="NEW",IF(ISNA(VLOOKUP(E926,#REF!,1,FALSE())),"?TYPE_IDENTIFIABLE","?REFERENTIAL"),"_")))))</f>
        <v> </v>
      </c>
      <c r="H926" s="24" t="str">
        <f>IF(J926&lt;&gt;1,"",IF(I926="SBJ","CB","?"))</f>
        <v> </v>
      </c>
      <c r="I926" s="25" t="str">
        <f>IF(OR(E926="",E926="!!!",F926="NEW"),"",INDEX(B925:B$2,-1+SUMPRODUCT(MAX(ROW(E925:E$2)*(E926=E925:E$2)))))</f>
        <v> </v>
      </c>
      <c r="J926" s="25" t="str">
        <f>IF(OR(E926="",E926="!!!",F926="NEW"),"",COUNTBLANK(OFFSET(A$1,,,SUMPRODUCT(MAX(ROW(E$2:E926)*(E926=E$2:E926)))))-COUNTBLANK(OFFSET(A$1,,,SUMPRODUCT(MAX(ROW(E$1:E925)*(E2=E$1:E925))))))</f>
        <v> </v>
      </c>
      <c r="K926" s="25" t="str">
        <f>IF(OR(E926="",E926="!!!",F926="NEW"),"",INDEX(J$1:J925,SUMPRODUCT(MAX(ROW(E$1:E925)*(E926=E$1:E925)))))</f>
        <v> </v>
      </c>
      <c r="L926" s="26"/>
    </row>
    <row r="927" spans="1:12">
      <c r="A927" s="20" t="s">
        <v>253</v>
      </c>
      <c r="E927" s="21">
        <f>IF(D927="?OLD","!!!","")</f>
        <v/>
      </c>
      <c r="F927" s="22" t="str">
        <f>IF(OR(E927="",E927="!!!"),"",IF(NOT(ISNA(VLOOKUP(E927,E$1:E926,1,FALSE()))),"OLD",IF(AND(E927&lt;&gt;"",E927&lt;&gt;"!!!"),"NEW","")))</f>
        <v> </v>
      </c>
      <c r="G927" s="23" t="str">
        <f>IF(OR(E927="",E927="!!!"),"",IF(OR(J927=0,AND(J927=1,K927=1),AND(J927=1,I927="SBJ"),AND(J927=1,I927=0)),"?IN_FOCUS",IF(J927&lt;=2,"?ACTIVATED",IF(J927&lt;&gt;"","?FAMILIAR",IF(F927="NEW",IF(ISNA(VLOOKUP(E927,#REF!,1,FALSE())),"?TYPE_IDENTIFIABLE","?REFERENTIAL"),"_")))))</f>
        <v> </v>
      </c>
      <c r="H927" s="24" t="str">
        <f>IF(J927&lt;&gt;1,"",IF(I927="SBJ","CB","?"))</f>
        <v> </v>
      </c>
      <c r="I927" s="25" t="str">
        <f>IF(OR(E927="",E927="!!!",F927="NEW"),"",INDEX(B926:B$2,-1+SUMPRODUCT(MAX(ROW(E926:E$2)*(E927=E926:E$2)))))</f>
        <v> </v>
      </c>
      <c r="J927" s="25" t="str">
        <f>IF(OR(E927="",E927="!!!",F927="NEW"),"",COUNTBLANK(OFFSET(A$1,,,SUMPRODUCT(MAX(ROW(E$2:E927)*(E927=E$2:E927)))))-COUNTBLANK(OFFSET(A$1,,,SUMPRODUCT(MAX(ROW(E$1:E926)*(E2=E$1:E926))))))</f>
        <v> </v>
      </c>
      <c r="K927" s="25" t="str">
        <f>IF(OR(E927="",E927="!!!",F927="NEW"),"",INDEX(J$1:J926,SUMPRODUCT(MAX(ROW(E$1:E926)*(E927=E$1:E926)))))</f>
        <v> </v>
      </c>
      <c r="L927" s="26"/>
    </row>
    <row r="928" spans="1:12">
      <c r="A928" s="20" t="s">
        <v>253</v>
      </c>
      <c r="E928" s="21">
        <f>IF(D928="?OLD","!!!","")</f>
        <v/>
      </c>
      <c r="F928" s="22" t="str">
        <f>IF(OR(E928="",E928="!!!"),"",IF(NOT(ISNA(VLOOKUP(E928,E$1:E927,1,FALSE()))),"OLD",IF(AND(E928&lt;&gt;"",E928&lt;&gt;"!!!"),"NEW","")))</f>
        <v> </v>
      </c>
      <c r="G928" s="23" t="str">
        <f>IF(OR(E928="",E928="!!!"),"",IF(OR(J928=0,AND(J928=1,K928=1),AND(J928=1,I928="SBJ"),AND(J928=1,I928=0)),"?IN_FOCUS",IF(J928&lt;=2,"?ACTIVATED",IF(J928&lt;&gt;"","?FAMILIAR",IF(F928="NEW",IF(ISNA(VLOOKUP(E928,#REF!,1,FALSE())),"?TYPE_IDENTIFIABLE","?REFERENTIAL"),"_")))))</f>
        <v> </v>
      </c>
      <c r="H928" s="24" t="str">
        <f>IF(J928&lt;&gt;1,"",IF(I928="SBJ","CB","?"))</f>
        <v> </v>
      </c>
      <c r="I928" s="25" t="str">
        <f>IF(OR(E928="",E928="!!!",F928="NEW"),"",INDEX(B927:B$2,-1+SUMPRODUCT(MAX(ROW(E927:E$2)*(E928=E927:E$2)))))</f>
        <v> </v>
      </c>
      <c r="J928" s="25" t="str">
        <f>IF(OR(E928="",E928="!!!",F928="NEW"),"",COUNTBLANK(OFFSET(A$1,,,SUMPRODUCT(MAX(ROW(E$2:E928)*(E928=E$2:E928)))))-COUNTBLANK(OFFSET(A$1,,,SUMPRODUCT(MAX(ROW(E$1:E927)*(E2=E$1:E927))))))</f>
        <v> </v>
      </c>
      <c r="K928" s="25" t="str">
        <f>IF(OR(E928="",E928="!!!",F928="NEW"),"",INDEX(J$1:J927,SUMPRODUCT(MAX(ROW(E$1:E927)*(E928=E$1:E927)))))</f>
        <v> </v>
      </c>
      <c r="L928" s="26"/>
    </row>
    <row r="929" spans="1:12">
      <c r="A929" s="20" t="s">
        <v>253</v>
      </c>
      <c r="E929" s="21">
        <f>IF(D929="?OLD","!!!","")</f>
        <v/>
      </c>
      <c r="F929" s="22" t="str">
        <f>IF(OR(E929="",E929="!!!"),"",IF(NOT(ISNA(VLOOKUP(E929,E$1:E928,1,FALSE()))),"OLD",IF(AND(E929&lt;&gt;"",E929&lt;&gt;"!!!"),"NEW","")))</f>
        <v> </v>
      </c>
      <c r="G929" s="23" t="str">
        <f>IF(OR(E929="",E929="!!!"),"",IF(OR(J929=0,AND(J929=1,K929=1),AND(J929=1,I929="SBJ"),AND(J929=1,I929=0)),"?IN_FOCUS",IF(J929&lt;=2,"?ACTIVATED",IF(J929&lt;&gt;"","?FAMILIAR",IF(F929="NEW",IF(ISNA(VLOOKUP(E929,#REF!,1,FALSE())),"?TYPE_IDENTIFIABLE","?REFERENTIAL"),"_")))))</f>
        <v> </v>
      </c>
      <c r="H929" s="24" t="str">
        <f>IF(J929&lt;&gt;1,"",IF(I929="SBJ","CB","?"))</f>
        <v> </v>
      </c>
      <c r="I929" s="25" t="str">
        <f>IF(OR(E929="",E929="!!!",F929="NEW"),"",INDEX(B928:B$2,-1+SUMPRODUCT(MAX(ROW(E928:E$2)*(E929=E928:E$2)))))</f>
        <v> </v>
      </c>
      <c r="J929" s="25" t="str">
        <f>IF(OR(E929="",E929="!!!",F929="NEW"),"",COUNTBLANK(OFFSET(A$1,,,SUMPRODUCT(MAX(ROW(E$2:E929)*(E929=E$2:E929)))))-COUNTBLANK(OFFSET(A$1,,,SUMPRODUCT(MAX(ROW(E$1:E928)*(E2=E$1:E928))))))</f>
        <v> </v>
      </c>
      <c r="K929" s="25" t="str">
        <f>IF(OR(E929="",E929="!!!",F929="NEW"),"",INDEX(J$1:J928,SUMPRODUCT(MAX(ROW(E$1:E928)*(E929=E$1:E928)))))</f>
        <v> </v>
      </c>
      <c r="L929" s="26"/>
    </row>
    <row r="930" spans="1:12">
      <c r="A930" s="20"/>
    </row>
    <row r="931" spans="1:12">
      <c r="A931" s="20" t="s">
        <v>932</v>
      </c>
    </row>
    <row r="932" spans="1:12">
      <c r="A932" s="20" t="s">
        <v>686</v>
      </c>
      <c r="E932" s="21">
        <f>IF(D932="?OLD","!!!","")</f>
        <v/>
      </c>
      <c r="F932" s="22" t="str">
        <f>IF(OR(E932="",E932="!!!"),"",IF(NOT(ISNA(VLOOKUP(E932,E$1:E931,1,FALSE()))),"OLD",IF(AND(E932&lt;&gt;"",E932&lt;&gt;"!!!"),"NEW","")))</f>
        <v> </v>
      </c>
      <c r="G932" s="23" t="str">
        <f>IF(OR(E932="",E932="!!!"),"",IF(OR(J932=0,AND(J932=1,K932=1),AND(J932=1,I932="SBJ"),AND(J932=1,I932=0)),"?IN_FOCUS",IF(J932&lt;=2,"?ACTIVATED",IF(J932&lt;&gt;"","?FAMILIAR",IF(F932="NEW",IF(ISNA(VLOOKUP(E932,#REF!,1,FALSE())),"?TYPE_IDENTIFIABLE","?REFERENTIAL"),"_")))))</f>
        <v> </v>
      </c>
      <c r="H932" s="24" t="str">
        <f>IF(J932&lt;&gt;1,"",IF(I932="SBJ","CB","?"))</f>
        <v> </v>
      </c>
      <c r="I932" s="25" t="str">
        <f>IF(OR(E932="",E932="!!!",F932="NEW"),"",INDEX(B931:B$2,-1+SUMPRODUCT(MAX(ROW(E931:E$2)*(E932=E931:E$2)))))</f>
        <v> </v>
      </c>
      <c r="J932" s="25" t="str">
        <f>IF(OR(E932="",E932="!!!",F932="NEW"),"",COUNTBLANK(OFFSET(A$1,,,SUMPRODUCT(MAX(ROW(E$2:E932)*(E932=E$2:E932)))))-COUNTBLANK(OFFSET(A$1,,,SUMPRODUCT(MAX(ROW(E$1:E931)*(E2=E$1:E931))))))</f>
        <v> </v>
      </c>
      <c r="K932" s="25" t="str">
        <f>IF(OR(E932="",E932="!!!",F932="NEW"),"",INDEX(J$1:J931,SUMPRODUCT(MAX(ROW(E$1:E931)*(E932=E$1:E931)))))</f>
        <v> </v>
      </c>
      <c r="L932" s="26"/>
    </row>
    <row r="933" spans="1:12">
      <c r="A933" s="20" t="s">
        <v>249</v>
      </c>
      <c r="B933" s="27" t="s">
        <v>473</v>
      </c>
      <c r="C933" s="27" t="s">
        <v>933</v>
      </c>
      <c r="D933" s="27" t="s">
        <v>478</v>
      </c>
      <c r="E933" s="21">
        <f>IF(D933="?OLD","!!!","")</f>
        <v/>
      </c>
      <c r="F933" s="22" t="str">
        <f>IF(OR(E933="",E933="!!!"),"",IF(NOT(ISNA(VLOOKUP(E933,E$1:E932,1,FALSE()))),"OLD",IF(AND(E933&lt;&gt;"",E933&lt;&gt;"!!!"),"NEW","")))</f>
        <v> </v>
      </c>
      <c r="G933" s="23" t="str">
        <f>IF(OR(E933="",E933="!!!"),"",IF(OR(J933=0,AND(J933=1,K933=1),AND(J933=1,I933="SBJ"),AND(J933=1,I933=0)),"?IN_FOCUS",IF(J933&lt;=2,"?ACTIVATED",IF(J933&lt;&gt;"","?FAMILIAR",IF(F933="NEW",IF(ISNA(VLOOKUP(E933,#REF!,1,FALSE())),"?TYPE_IDENTIFIABLE","?REFERENTIAL"),"_")))))</f>
        <v> </v>
      </c>
      <c r="H933" s="24" t="str">
        <f>IF(J933&lt;&gt;1,"",IF(I933="SBJ","CB","?"))</f>
        <v> </v>
      </c>
      <c r="I933" s="25" t="str">
        <f>IF(OR(E933="",E933="!!!",F933="NEW"),"",INDEX(B932:B$2,-1+SUMPRODUCT(MAX(ROW(E932:E$2)*(E933=E932:E$2)))))</f>
        <v> </v>
      </c>
      <c r="J933" s="25" t="str">
        <f>IF(OR(E933="",E933="!!!",F933="NEW"),"",COUNTBLANK(OFFSET(A$1,,,SUMPRODUCT(MAX(ROW(E$2:E933)*(E933=E$2:E933)))))-COUNTBLANK(OFFSET(A$1,,,SUMPRODUCT(MAX(ROW(E$1:E932)*(E2=E$1:E932))))))</f>
        <v> </v>
      </c>
      <c r="K933" s="25" t="str">
        <f>IF(OR(E933="",E933="!!!",F933="NEW"),"",INDEX(J$1:J932,SUMPRODUCT(MAX(ROW(E$1:E932)*(E933=E$1:E932)))))</f>
        <v> </v>
      </c>
      <c r="L933" s="26"/>
    </row>
    <row r="934" spans="1:12">
      <c r="A934" s="20"/>
    </row>
    <row r="935" spans="1:12">
      <c r="A935" s="20" t="s">
        <v>934</v>
      </c>
    </row>
    <row r="936" spans="1:12">
      <c r="A936" s="20" t="s">
        <v>253</v>
      </c>
      <c r="E936" s="21">
        <f>IF(D936="?OLD","!!!","")</f>
        <v/>
      </c>
      <c r="F936" s="22" t="str">
        <f>IF(OR(E936="",E936="!!!"),"",IF(NOT(ISNA(VLOOKUP(E936,E$1:E935,1,FALSE()))),"OLD",IF(AND(E936&lt;&gt;"",E936&lt;&gt;"!!!"),"NEW","")))</f>
        <v> </v>
      </c>
      <c r="G936" s="23" t="str">
        <f>IF(OR(E936="",E936="!!!"),"",IF(OR(J936=0,AND(J936=1,K936=1),AND(J936=1,I936="SBJ"),AND(J936=1,I936=0)),"?IN_FOCUS",IF(J936&lt;=2,"?ACTIVATED",IF(J936&lt;&gt;"","?FAMILIAR",IF(F936="NEW",IF(ISNA(VLOOKUP(E936,#REF!,1,FALSE())),"?TYPE_IDENTIFIABLE","?REFERENTIAL"),"_")))))</f>
        <v> </v>
      </c>
      <c r="H936" s="24" t="str">
        <f>IF(J936&lt;&gt;1,"",IF(I936="SBJ","CB","?"))</f>
        <v> </v>
      </c>
      <c r="I936" s="25" t="str">
        <f>IF(OR(E936="",E936="!!!",F936="NEW"),"",INDEX(B935:B$2,-1+SUMPRODUCT(MAX(ROW(E935:E$2)*(E936=E935:E$2)))))</f>
        <v> </v>
      </c>
      <c r="J936" s="25" t="str">
        <f>IF(OR(E936="",E936="!!!",F936="NEW"),"",COUNTBLANK(OFFSET(A$1,,,SUMPRODUCT(MAX(ROW(E$2:E936)*(E936=E$2:E936)))))-COUNTBLANK(OFFSET(A$1,,,SUMPRODUCT(MAX(ROW(E$1:E935)*(E2=E$1:E935))))))</f>
        <v> </v>
      </c>
      <c r="K936" s="25" t="str">
        <f>IF(OR(E936="",E936="!!!",F936="NEW"),"",INDEX(J$1:J935,SUMPRODUCT(MAX(ROW(E$1:E935)*(E936=E$1:E935)))))</f>
        <v> </v>
      </c>
      <c r="L936" s="26"/>
    </row>
    <row r="937" spans="1:12">
      <c r="A937" s="20"/>
    </row>
    <row r="938" spans="1:12">
      <c r="A938" s="20" t="s">
        <v>935</v>
      </c>
    </row>
    <row r="939" spans="1:12">
      <c r="A939" s="20" t="s">
        <v>936</v>
      </c>
      <c r="B939" s="27" t="s">
        <v>476</v>
      </c>
      <c r="E939" s="21">
        <f>IF(D939="?OLD","!!!","")</f>
        <v/>
      </c>
      <c r="F939" s="22" t="str">
        <f>IF(OR(E939="",E939="!!!"),"",IF(NOT(ISNA(VLOOKUP(E939,E$1:E938,1,FALSE()))),"OLD",IF(AND(E939&lt;&gt;"",E939&lt;&gt;"!!!"),"NEW","")))</f>
        <v> </v>
      </c>
      <c r="G939" s="23" t="str">
        <f>IF(OR(E939="",E939="!!!"),"",IF(OR(J939=0,AND(J939=1,K939=1),AND(J939=1,I939="SBJ"),AND(J939=1,I939=0)),"?IN_FOCUS",IF(J939&lt;=2,"?ACTIVATED",IF(J939&lt;&gt;"","?FAMILIAR",IF(F939="NEW",IF(ISNA(VLOOKUP(E939,#REF!,1,FALSE())),"?TYPE_IDENTIFIABLE","?REFERENTIAL"),"_")))))</f>
        <v> </v>
      </c>
      <c r="H939" s="24" t="str">
        <f>IF(J939&lt;&gt;1,"",IF(I939="SBJ","CB","?"))</f>
        <v> </v>
      </c>
      <c r="I939" s="25" t="str">
        <f>IF(OR(E939="",E939="!!!",F939="NEW"),"",INDEX(B938:B$2,-1+SUMPRODUCT(MAX(ROW(E938:E$2)*(E939=E938:E$2)))))</f>
        <v> </v>
      </c>
      <c r="J939" s="25" t="str">
        <f>IF(OR(E939="",E939="!!!",F939="NEW"),"",COUNTBLANK(OFFSET(A$1,,,SUMPRODUCT(MAX(ROW(E$2:E939)*(E939=E$2:E939)))))-COUNTBLANK(OFFSET(A$1,,,SUMPRODUCT(MAX(ROW(E$1:E938)*(E2=E$1:E938))))))</f>
        <v> </v>
      </c>
      <c r="K939" s="25" t="str">
        <f>IF(OR(E939="",E939="!!!",F939="NEW"),"",INDEX(J$1:J938,SUMPRODUCT(MAX(ROW(E$1:E938)*(E939=E$1:E938)))))</f>
        <v> </v>
      </c>
      <c r="L939" s="26"/>
    </row>
    <row r="940" spans="1:12">
      <c r="A940" s="20" t="s">
        <v>937</v>
      </c>
      <c r="E940" s="21">
        <f>IF(D940="?OLD","!!!","")</f>
        <v/>
      </c>
      <c r="F940" s="22" t="str">
        <f>IF(OR(E940="",E940="!!!"),"",IF(NOT(ISNA(VLOOKUP(E940,E$1:E939,1,FALSE()))),"OLD",IF(AND(E940&lt;&gt;"",E940&lt;&gt;"!!!"),"NEW","")))</f>
        <v> </v>
      </c>
      <c r="G940" s="23" t="str">
        <f>IF(OR(E940="",E940="!!!"),"",IF(OR(J940=0,AND(J940=1,K940=1),AND(J940=1,I940="SBJ"),AND(J940=1,I940=0)),"?IN_FOCUS",IF(J940&lt;=2,"?ACTIVATED",IF(J940&lt;&gt;"","?FAMILIAR",IF(F940="NEW",IF(ISNA(VLOOKUP(E940,#REF!,1,FALSE())),"?TYPE_IDENTIFIABLE","?REFERENTIAL"),"_")))))</f>
        <v> </v>
      </c>
      <c r="H940" s="24" t="str">
        <f>IF(J940&lt;&gt;1,"",IF(I940="SBJ","CB","?"))</f>
        <v> </v>
      </c>
      <c r="I940" s="25" t="str">
        <f>IF(OR(E940="",E940="!!!",F940="NEW"),"",INDEX(B939:B$2,-1+SUMPRODUCT(MAX(ROW(E939:E$2)*(E940=E939:E$2)))))</f>
        <v> </v>
      </c>
      <c r="J940" s="25" t="str">
        <f>IF(OR(E940="",E940="!!!",F940="NEW"),"",COUNTBLANK(OFFSET(A$1,,,SUMPRODUCT(MAX(ROW(E$2:E940)*(E940=E$2:E940)))))-COUNTBLANK(OFFSET(A$1,,,SUMPRODUCT(MAX(ROW(E$1:E939)*(E2=E$1:E939))))))</f>
        <v> </v>
      </c>
      <c r="K940" s="25" t="str">
        <f>IF(OR(E940="",E940="!!!",F940="NEW"),"",INDEX(J$1:J939,SUMPRODUCT(MAX(ROW(E$1:E939)*(E940=E$1:E939)))))</f>
        <v> </v>
      </c>
      <c r="L940" s="26"/>
    </row>
    <row r="941" spans="1:12">
      <c r="A941" s="20" t="s">
        <v>938</v>
      </c>
      <c r="E941" s="21">
        <f>IF(D941="?OLD","!!!","")</f>
        <v/>
      </c>
      <c r="F941" s="22" t="str">
        <f>IF(OR(E941="",E941="!!!"),"",IF(NOT(ISNA(VLOOKUP(E941,E$1:E940,1,FALSE()))),"OLD",IF(AND(E941&lt;&gt;"",E941&lt;&gt;"!!!"),"NEW","")))</f>
        <v> </v>
      </c>
      <c r="G941" s="23" t="str">
        <f>IF(OR(E941="",E941="!!!"),"",IF(OR(J941=0,AND(J941=1,K941=1),AND(J941=1,I941="SBJ"),AND(J941=1,I941=0)),"?IN_FOCUS",IF(J941&lt;=2,"?ACTIVATED",IF(J941&lt;&gt;"","?FAMILIAR",IF(F941="NEW",IF(ISNA(VLOOKUP(E941,#REF!,1,FALSE())),"?TYPE_IDENTIFIABLE","?REFERENTIAL"),"_")))))</f>
        <v> </v>
      </c>
      <c r="H941" s="24" t="str">
        <f>IF(J941&lt;&gt;1,"",IF(I941="SBJ","CB","?"))</f>
        <v> </v>
      </c>
      <c r="I941" s="25" t="str">
        <f>IF(OR(E941="",E941="!!!",F941="NEW"),"",INDEX(B940:B$2,-1+SUMPRODUCT(MAX(ROW(E940:E$2)*(E941=E940:E$2)))))</f>
        <v> </v>
      </c>
      <c r="J941" s="25" t="str">
        <f>IF(OR(E941="",E941="!!!",F941="NEW"),"",COUNTBLANK(OFFSET(A$1,,,SUMPRODUCT(MAX(ROW(E$2:E941)*(E941=E$2:E941)))))-COUNTBLANK(OFFSET(A$1,,,SUMPRODUCT(MAX(ROW(E$1:E940)*(E2=E$1:E940))))))</f>
        <v> </v>
      </c>
      <c r="K941" s="25" t="str">
        <f>IF(OR(E941="",E941="!!!",F941="NEW"),"",INDEX(J$1:J940,SUMPRODUCT(MAX(ROW(E$1:E940)*(E941=E$1:E940)))))</f>
        <v> </v>
      </c>
      <c r="L941" s="26"/>
    </row>
    <row r="942" spans="1:12">
      <c r="A942" s="20" t="s">
        <v>724</v>
      </c>
      <c r="E942" s="21">
        <f>IF(D942="?OLD","!!!","")</f>
        <v/>
      </c>
      <c r="F942" s="22" t="str">
        <f>IF(OR(E942="",E942="!!!"),"",IF(NOT(ISNA(VLOOKUP(E942,E$1:E941,1,FALSE()))),"OLD",IF(AND(E942&lt;&gt;"",E942&lt;&gt;"!!!"),"NEW","")))</f>
        <v> </v>
      </c>
      <c r="G942" s="23" t="str">
        <f>IF(OR(E942="",E942="!!!"),"",IF(OR(J942=0,AND(J942=1,K942=1),AND(J942=1,I942="SBJ"),AND(J942=1,I942=0)),"?IN_FOCUS",IF(J942&lt;=2,"?ACTIVATED",IF(J942&lt;&gt;"","?FAMILIAR",IF(F942="NEW",IF(ISNA(VLOOKUP(E942,#REF!,1,FALSE())),"?TYPE_IDENTIFIABLE","?REFERENTIAL"),"_")))))</f>
        <v> </v>
      </c>
      <c r="H942" s="24" t="str">
        <f>IF(J942&lt;&gt;1,"",IF(I942="SBJ","CB","?"))</f>
        <v> </v>
      </c>
      <c r="I942" s="25" t="str">
        <f>IF(OR(E942="",E942="!!!",F942="NEW"),"",INDEX(B941:B$2,-1+SUMPRODUCT(MAX(ROW(E941:E$2)*(E942=E941:E$2)))))</f>
        <v> </v>
      </c>
      <c r="J942" s="25" t="str">
        <f>IF(OR(E942="",E942="!!!",F942="NEW"),"",COUNTBLANK(OFFSET(A$1,,,SUMPRODUCT(MAX(ROW(E$2:E942)*(E942=E$2:E942)))))-COUNTBLANK(OFFSET(A$1,,,SUMPRODUCT(MAX(ROW(E$1:E941)*(E2=E$1:E941))))))</f>
        <v> </v>
      </c>
      <c r="K942" s="25" t="str">
        <f>IF(OR(E942="",E942="!!!",F942="NEW"),"",INDEX(J$1:J941,SUMPRODUCT(MAX(ROW(E$1:E941)*(E942=E$1:E941)))))</f>
        <v> </v>
      </c>
      <c r="L942" s="26"/>
    </row>
    <row r="943" spans="1:12">
      <c r="A943" s="20" t="s">
        <v>528</v>
      </c>
      <c r="E943" s="21">
        <f>IF(D943="?OLD","!!!","")</f>
        <v/>
      </c>
      <c r="F943" s="22" t="str">
        <f>IF(OR(E943="",E943="!!!"),"",IF(NOT(ISNA(VLOOKUP(E943,E$1:E942,1,FALSE()))),"OLD",IF(AND(E943&lt;&gt;"",E943&lt;&gt;"!!!"),"NEW","")))</f>
        <v> </v>
      </c>
      <c r="G943" s="23" t="str">
        <f>IF(OR(E943="",E943="!!!"),"",IF(OR(J943=0,AND(J943=1,K943=1),AND(J943=1,I943="SBJ"),AND(J943=1,I943=0)),"?IN_FOCUS",IF(J943&lt;=2,"?ACTIVATED",IF(J943&lt;&gt;"","?FAMILIAR",IF(F943="NEW",IF(ISNA(VLOOKUP(E943,#REF!,1,FALSE())),"?TYPE_IDENTIFIABLE","?REFERENTIAL"),"_")))))</f>
        <v> </v>
      </c>
      <c r="H943" s="24" t="str">
        <f>IF(J943&lt;&gt;1,"",IF(I943="SBJ","CB","?"))</f>
        <v> </v>
      </c>
      <c r="I943" s="25" t="str">
        <f>IF(OR(E943="",E943="!!!",F943="NEW"),"",INDEX(B942:B$2,-1+SUMPRODUCT(MAX(ROW(E942:E$2)*(E943=E942:E$2)))))</f>
        <v> </v>
      </c>
      <c r="J943" s="25" t="str">
        <f>IF(OR(E943="",E943="!!!",F943="NEW"),"",COUNTBLANK(OFFSET(A$1,,,SUMPRODUCT(MAX(ROW(E$2:E943)*(E943=E$2:E943)))))-COUNTBLANK(OFFSET(A$1,,,SUMPRODUCT(MAX(ROW(E$1:E942)*(E2=E$1:E942))))))</f>
        <v> </v>
      </c>
      <c r="K943" s="25" t="str">
        <f>IF(OR(E943="",E943="!!!",F943="NEW"),"",INDEX(J$1:J942,SUMPRODUCT(MAX(ROW(E$1:E942)*(E943=E$1:E942)))))</f>
        <v> </v>
      </c>
      <c r="L943" s="26"/>
    </row>
    <row r="944" spans="1:12">
      <c r="A944" s="20" t="s">
        <v>482</v>
      </c>
      <c r="E944" s="21">
        <f>IF(D944="?OLD","!!!","")</f>
        <v/>
      </c>
      <c r="F944" s="22" t="str">
        <f>IF(OR(E944="",E944="!!!"),"",IF(NOT(ISNA(VLOOKUP(E944,E$1:E943,1,FALSE()))),"OLD",IF(AND(E944&lt;&gt;"",E944&lt;&gt;"!!!"),"NEW","")))</f>
        <v> </v>
      </c>
      <c r="G944" s="23" t="str">
        <f>IF(OR(E944="",E944="!!!"),"",IF(OR(J944=0,AND(J944=1,K944=1),AND(J944=1,I944="SBJ"),AND(J944=1,I944=0)),"?IN_FOCUS",IF(J944&lt;=2,"?ACTIVATED",IF(J944&lt;&gt;"","?FAMILIAR",IF(F944="NEW",IF(ISNA(VLOOKUP(E944,#REF!,1,FALSE())),"?TYPE_IDENTIFIABLE","?REFERENTIAL"),"_")))))</f>
        <v> </v>
      </c>
      <c r="H944" s="24" t="str">
        <f>IF(J944&lt;&gt;1,"",IF(I944="SBJ","CB","?"))</f>
        <v> </v>
      </c>
      <c r="I944" s="25" t="str">
        <f>IF(OR(E944="",E944="!!!",F944="NEW"),"",INDEX(B943:B$2,-1+SUMPRODUCT(MAX(ROW(E943:E$2)*(E944=E943:E$2)))))</f>
        <v> </v>
      </c>
      <c r="J944" s="25" t="str">
        <f>IF(OR(E944="",E944="!!!",F944="NEW"),"",COUNTBLANK(OFFSET(A$1,,,SUMPRODUCT(MAX(ROW(E$2:E944)*(E944=E$2:E944)))))-COUNTBLANK(OFFSET(A$1,,,SUMPRODUCT(MAX(ROW(E$1:E943)*(E2=E$1:E943))))))</f>
        <v> </v>
      </c>
      <c r="K944" s="25" t="str">
        <f>IF(OR(E944="",E944="!!!",F944="NEW"),"",INDEX(J$1:J943,SUMPRODUCT(MAX(ROW(E$1:E943)*(E944=E$1:E943)))))</f>
        <v> </v>
      </c>
      <c r="L944" s="26"/>
    </row>
    <row r="945" spans="1:12">
      <c r="A945" s="20" t="s">
        <v>656</v>
      </c>
      <c r="E945" s="21">
        <f>IF(D945="?OLD","!!!","")</f>
        <v/>
      </c>
      <c r="F945" s="22" t="str">
        <f>IF(OR(E945="",E945="!!!"),"",IF(NOT(ISNA(VLOOKUP(E945,E$1:E944,1,FALSE()))),"OLD",IF(AND(E945&lt;&gt;"",E945&lt;&gt;"!!!"),"NEW","")))</f>
        <v> </v>
      </c>
      <c r="G945" s="23" t="str">
        <f>IF(OR(E945="",E945="!!!"),"",IF(OR(J945=0,AND(J945=1,K945=1),AND(J945=1,I945="SBJ"),AND(J945=1,I945=0)),"?IN_FOCUS",IF(J945&lt;=2,"?ACTIVATED",IF(J945&lt;&gt;"","?FAMILIAR",IF(F945="NEW",IF(ISNA(VLOOKUP(E945,#REF!,1,FALSE())),"?TYPE_IDENTIFIABLE","?REFERENTIAL"),"_")))))</f>
        <v> </v>
      </c>
      <c r="H945" s="24" t="str">
        <f>IF(J945&lt;&gt;1,"",IF(I945="SBJ","CB","?"))</f>
        <v> </v>
      </c>
      <c r="I945" s="25" t="str">
        <f>IF(OR(E945="",E945="!!!",F945="NEW"),"",INDEX(B944:B$2,-1+SUMPRODUCT(MAX(ROW(E944:E$2)*(E945=E944:E$2)))))</f>
        <v> </v>
      </c>
      <c r="J945" s="25" t="str">
        <f>IF(OR(E945="",E945="!!!",F945="NEW"),"",COUNTBLANK(OFFSET(A$1,,,SUMPRODUCT(MAX(ROW(E$2:E945)*(E945=E$2:E945)))))-COUNTBLANK(OFFSET(A$1,,,SUMPRODUCT(MAX(ROW(E$1:E944)*(E2=E$1:E944))))))</f>
        <v> </v>
      </c>
      <c r="K945" s="25" t="str">
        <f>IF(OR(E945="",E945="!!!",F945="NEW"),"",INDEX(J$1:J944,SUMPRODUCT(MAX(ROW(E$1:E944)*(E945=E$1:E944)))))</f>
        <v> </v>
      </c>
      <c r="L945" s="26"/>
    </row>
    <row r="946" spans="1:12">
      <c r="A946" s="20" t="s">
        <v>939</v>
      </c>
      <c r="B946" s="27" t="s">
        <v>483</v>
      </c>
      <c r="E946" s="21">
        <f>IF(D946="?OLD","!!!","")</f>
        <v/>
      </c>
      <c r="F946" s="22" t="str">
        <f>IF(OR(E946="",E946="!!!"),"",IF(NOT(ISNA(VLOOKUP(E946,E$1:E945,1,FALSE()))),"OLD",IF(AND(E946&lt;&gt;"",E946&lt;&gt;"!!!"),"NEW","")))</f>
        <v> </v>
      </c>
      <c r="G946" s="23" t="str">
        <f>IF(OR(E946="",E946="!!!"),"",IF(OR(J946=0,AND(J946=1,K946=1),AND(J946=1,I946="SBJ"),AND(J946=1,I946=0)),"?IN_FOCUS",IF(J946&lt;=2,"?ACTIVATED",IF(J946&lt;&gt;"","?FAMILIAR",IF(F946="NEW",IF(ISNA(VLOOKUP(E946,#REF!,1,FALSE())),"?TYPE_IDENTIFIABLE","?REFERENTIAL"),"_")))))</f>
        <v> </v>
      </c>
      <c r="H946" s="24" t="str">
        <f>IF(J946&lt;&gt;1,"",IF(I946="SBJ","CB","?"))</f>
        <v> </v>
      </c>
      <c r="I946" s="25" t="str">
        <f>IF(OR(E946="",E946="!!!",F946="NEW"),"",INDEX(B945:B$2,-1+SUMPRODUCT(MAX(ROW(E945:E$2)*(E946=E945:E$2)))))</f>
        <v> </v>
      </c>
      <c r="J946" s="25" t="str">
        <f>IF(OR(E946="",E946="!!!",F946="NEW"),"",COUNTBLANK(OFFSET(A$1,,,SUMPRODUCT(MAX(ROW(E$2:E946)*(E946=E$2:E946)))))-COUNTBLANK(OFFSET(A$1,,,SUMPRODUCT(MAX(ROW(E$1:E945)*(E2=E$1:E945))))))</f>
        <v> </v>
      </c>
      <c r="K946" s="25" t="str">
        <f>IF(OR(E946="",E946="!!!",F946="NEW"),"",INDEX(J$1:J945,SUMPRODUCT(MAX(ROW(E$1:E945)*(E946=E$1:E945)))))</f>
        <v> </v>
      </c>
      <c r="L946" s="26"/>
    </row>
    <row r="947" spans="1:12">
      <c r="A947" s="20" t="s">
        <v>940</v>
      </c>
      <c r="E947" s="21">
        <f>IF(D947="?OLD","!!!","")</f>
        <v/>
      </c>
      <c r="F947" s="22" t="str">
        <f>IF(OR(E947="",E947="!!!"),"",IF(NOT(ISNA(VLOOKUP(E947,E$1:E946,1,FALSE()))),"OLD",IF(AND(E947&lt;&gt;"",E947&lt;&gt;"!!!"),"NEW","")))</f>
        <v> </v>
      </c>
      <c r="G947" s="23" t="str">
        <f>IF(OR(E947="",E947="!!!"),"",IF(OR(J947=0,AND(J947=1,K947=1),AND(J947=1,I947="SBJ"),AND(J947=1,I947=0)),"?IN_FOCUS",IF(J947&lt;=2,"?ACTIVATED",IF(J947&lt;&gt;"","?FAMILIAR",IF(F947="NEW",IF(ISNA(VLOOKUP(E947,#REF!,1,FALSE())),"?TYPE_IDENTIFIABLE","?REFERENTIAL"),"_")))))</f>
        <v> </v>
      </c>
      <c r="H947" s="24" t="str">
        <f>IF(J947&lt;&gt;1,"",IF(I947="SBJ","CB","?"))</f>
        <v> </v>
      </c>
      <c r="I947" s="25" t="str">
        <f>IF(OR(E947="",E947="!!!",F947="NEW"),"",INDEX(B946:B$2,-1+SUMPRODUCT(MAX(ROW(E946:E$2)*(E947=E946:E$2)))))</f>
        <v> </v>
      </c>
      <c r="J947" s="25" t="str">
        <f>IF(OR(E947="",E947="!!!",F947="NEW"),"",COUNTBLANK(OFFSET(A$1,,,SUMPRODUCT(MAX(ROW(E$2:E947)*(E947=E$2:E947)))))-COUNTBLANK(OFFSET(A$1,,,SUMPRODUCT(MAX(ROW(E$1:E946)*(E2=E$1:E946))))))</f>
        <v> </v>
      </c>
      <c r="K947" s="25" t="str">
        <f>IF(OR(E947="",E947="!!!",F947="NEW"),"",INDEX(J$1:J946,SUMPRODUCT(MAX(ROW(E$1:E946)*(E947=E$1:E946)))))</f>
        <v> </v>
      </c>
      <c r="L947" s="26"/>
    </row>
    <row r="948" spans="1:12">
      <c r="A948" s="20" t="s">
        <v>886</v>
      </c>
      <c r="E948" s="21">
        <f>IF(D948="?OLD","!!!","")</f>
        <v/>
      </c>
      <c r="F948" s="22" t="str">
        <f>IF(OR(E948="",E948="!!!"),"",IF(NOT(ISNA(VLOOKUP(E948,E$1:E947,1,FALSE()))),"OLD",IF(AND(E948&lt;&gt;"",E948&lt;&gt;"!!!"),"NEW","")))</f>
        <v> </v>
      </c>
      <c r="G948" s="23" t="str">
        <f>IF(OR(E948="",E948="!!!"),"",IF(OR(J948=0,AND(J948=1,K948=1),AND(J948=1,I948="SBJ"),AND(J948=1,I948=0)),"?IN_FOCUS",IF(J948&lt;=2,"?ACTIVATED",IF(J948&lt;&gt;"","?FAMILIAR",IF(F948="NEW",IF(ISNA(VLOOKUP(E948,#REF!,1,FALSE())),"?TYPE_IDENTIFIABLE","?REFERENTIAL"),"_")))))</f>
        <v> </v>
      </c>
      <c r="H948" s="24" t="str">
        <f>IF(J948&lt;&gt;1,"",IF(I948="SBJ","CB","?"))</f>
        <v> </v>
      </c>
      <c r="I948" s="25" t="str">
        <f>IF(OR(E948="",E948="!!!",F948="NEW"),"",INDEX(B947:B$2,-1+SUMPRODUCT(MAX(ROW(E947:E$2)*(E948=E947:E$2)))))</f>
        <v> </v>
      </c>
      <c r="J948" s="25" t="str">
        <f>IF(OR(E948="",E948="!!!",F948="NEW"),"",COUNTBLANK(OFFSET(A$1,,,SUMPRODUCT(MAX(ROW(E$2:E948)*(E948=E$2:E948)))))-COUNTBLANK(OFFSET(A$1,,,SUMPRODUCT(MAX(ROW(E$1:E947)*(E2=E$1:E947))))))</f>
        <v> </v>
      </c>
      <c r="K948" s="25" t="str">
        <f>IF(OR(E948="",E948="!!!",F948="NEW"),"",INDEX(J$1:J947,SUMPRODUCT(MAX(ROW(E$1:E947)*(E948=E$1:E947)))))</f>
        <v> </v>
      </c>
      <c r="L948" s="26"/>
    </row>
    <row r="949" spans="1:12">
      <c r="A949" s="20" t="s">
        <v>941</v>
      </c>
      <c r="B949" s="27" t="s">
        <v>577</v>
      </c>
      <c r="E949" s="21">
        <f>IF(D949="?OLD","!!!","")</f>
        <v/>
      </c>
      <c r="F949" s="22" t="str">
        <f>IF(OR(E949="",E949="!!!"),"",IF(NOT(ISNA(VLOOKUP(E949,E$1:E948,1,FALSE()))),"OLD",IF(AND(E949&lt;&gt;"",E949&lt;&gt;"!!!"),"NEW","")))</f>
        <v> </v>
      </c>
      <c r="G949" s="23" t="str">
        <f>IF(OR(E949="",E949="!!!"),"",IF(OR(J949=0,AND(J949=1,K949=1),AND(J949=1,I949="SBJ"),AND(J949=1,I949=0)),"?IN_FOCUS",IF(J949&lt;=2,"?ACTIVATED",IF(J949&lt;&gt;"","?FAMILIAR",IF(F949="NEW",IF(ISNA(VLOOKUP(E949,#REF!,1,FALSE())),"?TYPE_IDENTIFIABLE","?REFERENTIAL"),"_")))))</f>
        <v> </v>
      </c>
      <c r="H949" s="24" t="str">
        <f>IF(J949&lt;&gt;1,"",IF(I949="SBJ","CB","?"))</f>
        <v> </v>
      </c>
      <c r="I949" s="25" t="str">
        <f>IF(OR(E949="",E949="!!!",F949="NEW"),"",INDEX(B948:B$2,-1+SUMPRODUCT(MAX(ROW(E948:E$2)*(E949=E948:E$2)))))</f>
        <v> </v>
      </c>
      <c r="J949" s="25" t="str">
        <f>IF(OR(E949="",E949="!!!",F949="NEW"),"",COUNTBLANK(OFFSET(A$1,,,SUMPRODUCT(MAX(ROW(E$2:E949)*(E949=E$2:E949)))))-COUNTBLANK(OFFSET(A$1,,,SUMPRODUCT(MAX(ROW(E$1:E948)*(E2=E$1:E948))))))</f>
        <v> </v>
      </c>
      <c r="K949" s="25" t="str">
        <f>IF(OR(E949="",E949="!!!",F949="NEW"),"",INDEX(J$1:J948,SUMPRODUCT(MAX(ROW(E$1:E948)*(E949=E$1:E948)))))</f>
        <v> </v>
      </c>
      <c r="L949" s="26"/>
    </row>
    <row r="950" spans="1:12">
      <c r="A950" s="20" t="s">
        <v>253</v>
      </c>
      <c r="E950" s="21">
        <f>IF(D950="?OLD","!!!","")</f>
        <v/>
      </c>
      <c r="F950" s="22" t="str">
        <f>IF(OR(E950="",E950="!!!"),"",IF(NOT(ISNA(VLOOKUP(E950,E$1:E949,1,FALSE()))),"OLD",IF(AND(E950&lt;&gt;"",E950&lt;&gt;"!!!"),"NEW","")))</f>
        <v> </v>
      </c>
      <c r="G950" s="23" t="str">
        <f>IF(OR(E950="",E950="!!!"),"",IF(OR(J950=0,AND(J950=1,K950=1),AND(J950=1,I950="SBJ"),AND(J950=1,I950=0)),"?IN_FOCUS",IF(J950&lt;=2,"?ACTIVATED",IF(J950&lt;&gt;"","?FAMILIAR",IF(F950="NEW",IF(ISNA(VLOOKUP(E950,#REF!,1,FALSE())),"?TYPE_IDENTIFIABLE","?REFERENTIAL"),"_")))))</f>
        <v> </v>
      </c>
      <c r="H950" s="24" t="str">
        <f>IF(J950&lt;&gt;1,"",IF(I950="SBJ","CB","?"))</f>
        <v> </v>
      </c>
      <c r="I950" s="25" t="str">
        <f>IF(OR(E950="",E950="!!!",F950="NEW"),"",INDEX(B949:B$2,-1+SUMPRODUCT(MAX(ROW(E949:E$2)*(E950=E949:E$2)))))</f>
        <v> </v>
      </c>
      <c r="J950" s="25" t="str">
        <f>IF(OR(E950="",E950="!!!",F950="NEW"),"",COUNTBLANK(OFFSET(A$1,,,SUMPRODUCT(MAX(ROW(E$2:E950)*(E950=E$2:E950)))))-COUNTBLANK(OFFSET(A$1,,,SUMPRODUCT(MAX(ROW(E$1:E949)*(E2=E$1:E949))))))</f>
        <v> </v>
      </c>
      <c r="K950" s="25" t="str">
        <f>IF(OR(E950="",E950="!!!",F950="NEW"),"",INDEX(J$1:J949,SUMPRODUCT(MAX(ROW(E$1:E949)*(E950=E$1:E949)))))</f>
        <v> </v>
      </c>
      <c r="L950" s="26"/>
    </row>
    <row r="951" spans="1:12">
      <c r="A951" s="20"/>
    </row>
    <row r="952" spans="1:12">
      <c r="A952" s="20" t="s">
        <v>942</v>
      </c>
    </row>
    <row r="953" spans="1:12">
      <c r="A953" s="20" t="s">
        <v>943</v>
      </c>
      <c r="E953" s="21">
        <f>IF(D953="?OLD","!!!","")</f>
        <v/>
      </c>
      <c r="F953" s="22" t="str">
        <f>IF(OR(E953="",E953="!!!"),"",IF(NOT(ISNA(VLOOKUP(E953,E$1:E952,1,FALSE()))),"OLD",IF(AND(E953&lt;&gt;"",E953&lt;&gt;"!!!"),"NEW","")))</f>
        <v> </v>
      </c>
      <c r="G953" s="23" t="str">
        <f>IF(OR(E953="",E953="!!!"),"",IF(OR(J953=0,AND(J953=1,K953=1),AND(J953=1,I953="SBJ"),AND(J953=1,I953=0)),"?IN_FOCUS",IF(J953&lt;=2,"?ACTIVATED",IF(J953&lt;&gt;"","?FAMILIAR",IF(F953="NEW",IF(ISNA(VLOOKUP(E953,#REF!,1,FALSE())),"?TYPE_IDENTIFIABLE","?REFERENTIAL"),"_")))))</f>
        <v> </v>
      </c>
      <c r="H953" s="24" t="str">
        <f>IF(J953&lt;&gt;1,"",IF(I953="SBJ","CB","?"))</f>
        <v> </v>
      </c>
      <c r="I953" s="25" t="str">
        <f>IF(OR(E953="",E953="!!!",F953="NEW"),"",INDEX(B952:B$2,-1+SUMPRODUCT(MAX(ROW(E952:E$2)*(E953=E952:E$2)))))</f>
        <v> </v>
      </c>
      <c r="J953" s="25" t="str">
        <f>IF(OR(E953="",E953="!!!",F953="NEW"),"",COUNTBLANK(OFFSET(A$1,,,SUMPRODUCT(MAX(ROW(E$2:E953)*(E953=E$2:E953)))))-COUNTBLANK(OFFSET(A$1,,,SUMPRODUCT(MAX(ROW(E$1:E952)*(E2=E$1:E952))))))</f>
        <v> </v>
      </c>
      <c r="K953" s="25" t="str">
        <f>IF(OR(E953="",E953="!!!",F953="NEW"),"",INDEX(J$1:J952,SUMPRODUCT(MAX(ROW(E$1:E952)*(E953=E$1:E952)))))</f>
        <v> </v>
      </c>
      <c r="L953" s="26"/>
    </row>
    <row r="954" spans="1:12">
      <c r="A954" s="20" t="s">
        <v>482</v>
      </c>
      <c r="E954" s="21">
        <f>IF(D954="?OLD","!!!","")</f>
        <v/>
      </c>
      <c r="F954" s="22" t="str">
        <f>IF(OR(E954="",E954="!!!"),"",IF(NOT(ISNA(VLOOKUP(E954,E$1:E953,1,FALSE()))),"OLD",IF(AND(E954&lt;&gt;"",E954&lt;&gt;"!!!"),"NEW","")))</f>
        <v> </v>
      </c>
      <c r="G954" s="23" t="str">
        <f>IF(OR(E954="",E954="!!!"),"",IF(OR(J954=0,AND(J954=1,K954=1),AND(J954=1,I954="SBJ"),AND(J954=1,I954=0)),"?IN_FOCUS",IF(J954&lt;=2,"?ACTIVATED",IF(J954&lt;&gt;"","?FAMILIAR",IF(F954="NEW",IF(ISNA(VLOOKUP(E954,#REF!,1,FALSE())),"?TYPE_IDENTIFIABLE","?REFERENTIAL"),"_")))))</f>
        <v> </v>
      </c>
      <c r="H954" s="24" t="str">
        <f>IF(J954&lt;&gt;1,"",IF(I954="SBJ","CB","?"))</f>
        <v> </v>
      </c>
      <c r="I954" s="25" t="str">
        <f>IF(OR(E954="",E954="!!!",F954="NEW"),"",INDEX(B953:B$2,-1+SUMPRODUCT(MAX(ROW(E953:E$2)*(E954=E953:E$2)))))</f>
        <v> </v>
      </c>
      <c r="J954" s="25" t="str">
        <f>IF(OR(E954="",E954="!!!",F954="NEW"),"",COUNTBLANK(OFFSET(A$1,,,SUMPRODUCT(MAX(ROW(E$2:E954)*(E954=E$2:E954)))))-COUNTBLANK(OFFSET(A$1,,,SUMPRODUCT(MAX(ROW(E$1:E953)*(E2=E$1:E953))))))</f>
        <v> </v>
      </c>
      <c r="K954" s="25" t="str">
        <f>IF(OR(E954="",E954="!!!",F954="NEW"),"",INDEX(J$1:J953,SUMPRODUCT(MAX(ROW(E$1:E953)*(E954=E$1:E953)))))</f>
        <v> </v>
      </c>
      <c r="L954" s="26"/>
    </row>
    <row r="955" spans="1:12">
      <c r="A955" s="20" t="s">
        <v>944</v>
      </c>
      <c r="E955" s="21">
        <f>IF(D955="?OLD","!!!","")</f>
        <v/>
      </c>
      <c r="F955" s="22" t="str">
        <f>IF(OR(E955="",E955="!!!"),"",IF(NOT(ISNA(VLOOKUP(E955,E$1:E954,1,FALSE()))),"OLD",IF(AND(E955&lt;&gt;"",E955&lt;&gt;"!!!"),"NEW","")))</f>
        <v> </v>
      </c>
      <c r="G955" s="23" t="str">
        <f>IF(OR(E955="",E955="!!!"),"",IF(OR(J955=0,AND(J955=1,K955=1),AND(J955=1,I955="SBJ"),AND(J955=1,I955=0)),"?IN_FOCUS",IF(J955&lt;=2,"?ACTIVATED",IF(J955&lt;&gt;"","?FAMILIAR",IF(F955="NEW",IF(ISNA(VLOOKUP(E955,#REF!,1,FALSE())),"?TYPE_IDENTIFIABLE","?REFERENTIAL"),"_")))))</f>
        <v> </v>
      </c>
      <c r="H955" s="24" t="str">
        <f>IF(J955&lt;&gt;1,"",IF(I955="SBJ","CB","?"))</f>
        <v> </v>
      </c>
      <c r="I955" s="25" t="str">
        <f>IF(OR(E955="",E955="!!!",F955="NEW"),"",INDEX(B954:B$2,-1+SUMPRODUCT(MAX(ROW(E954:E$2)*(E955=E954:E$2)))))</f>
        <v> </v>
      </c>
      <c r="J955" s="25" t="str">
        <f>IF(OR(E955="",E955="!!!",F955="NEW"),"",COUNTBLANK(OFFSET(A$1,,,SUMPRODUCT(MAX(ROW(E$2:E955)*(E955=E$2:E955)))))-COUNTBLANK(OFFSET(A$1,,,SUMPRODUCT(MAX(ROW(E$1:E954)*(E2=E$1:E954))))))</f>
        <v> </v>
      </c>
      <c r="K955" s="25" t="str">
        <f>IF(OR(E955="",E955="!!!",F955="NEW"),"",INDEX(J$1:J954,SUMPRODUCT(MAX(ROW(E$1:E954)*(E955=E$1:E954)))))</f>
        <v> </v>
      </c>
      <c r="L955" s="26"/>
    </row>
    <row r="956" spans="1:12">
      <c r="A956" s="20" t="s">
        <v>945</v>
      </c>
      <c r="E956" s="21">
        <f>IF(D956="?OLD","!!!","")</f>
        <v/>
      </c>
      <c r="F956" s="22" t="str">
        <f>IF(OR(E956="",E956="!!!"),"",IF(NOT(ISNA(VLOOKUP(E956,E$1:E955,1,FALSE()))),"OLD",IF(AND(E956&lt;&gt;"",E956&lt;&gt;"!!!"),"NEW","")))</f>
        <v> </v>
      </c>
      <c r="G956" s="23" t="str">
        <f>IF(OR(E956="",E956="!!!"),"",IF(OR(J956=0,AND(J956=1,K956=1),AND(J956=1,I956="SBJ"),AND(J956=1,I956=0)),"?IN_FOCUS",IF(J956&lt;=2,"?ACTIVATED",IF(J956&lt;&gt;"","?FAMILIAR",IF(F956="NEW",IF(ISNA(VLOOKUP(E956,#REF!,1,FALSE())),"?TYPE_IDENTIFIABLE","?REFERENTIAL"),"_")))))</f>
        <v> </v>
      </c>
      <c r="H956" s="24" t="str">
        <f>IF(J956&lt;&gt;1,"",IF(I956="SBJ","CB","?"))</f>
        <v> </v>
      </c>
      <c r="I956" s="25" t="str">
        <f>IF(OR(E956="",E956="!!!",F956="NEW"),"",INDEX(B955:B$2,-1+SUMPRODUCT(MAX(ROW(E955:E$2)*(E956=E955:E$2)))))</f>
        <v> </v>
      </c>
      <c r="J956" s="25" t="str">
        <f>IF(OR(E956="",E956="!!!",F956="NEW"),"",COUNTBLANK(OFFSET(A$1,,,SUMPRODUCT(MAX(ROW(E$2:E956)*(E956=E$2:E956)))))-COUNTBLANK(OFFSET(A$1,,,SUMPRODUCT(MAX(ROW(E$1:E955)*(E2=E$1:E955))))))</f>
        <v> </v>
      </c>
      <c r="K956" s="25" t="str">
        <f>IF(OR(E956="",E956="!!!",F956="NEW"),"",INDEX(J$1:J955,SUMPRODUCT(MAX(ROW(E$1:E955)*(E956=E$1:E955)))))</f>
        <v> </v>
      </c>
      <c r="L956" s="26"/>
    </row>
    <row r="957" spans="1:12">
      <c r="A957" s="20" t="s">
        <v>481</v>
      </c>
      <c r="B957" s="27" t="s">
        <v>476</v>
      </c>
      <c r="E957" s="21">
        <f>IF(D957="?OLD","!!!","")</f>
        <v/>
      </c>
      <c r="F957" s="22" t="str">
        <f>IF(OR(E957="",E957="!!!"),"",IF(NOT(ISNA(VLOOKUP(E957,E$1:E956,1,FALSE()))),"OLD",IF(AND(E957&lt;&gt;"",E957&lt;&gt;"!!!"),"NEW","")))</f>
        <v> </v>
      </c>
      <c r="G957" s="23" t="str">
        <f>IF(OR(E957="",E957="!!!"),"",IF(OR(J957=0,AND(J957=1,K957=1),AND(J957=1,I957="SBJ"),AND(J957=1,I957=0)),"?IN_FOCUS",IF(J957&lt;=2,"?ACTIVATED",IF(J957&lt;&gt;"","?FAMILIAR",IF(F957="NEW",IF(ISNA(VLOOKUP(E957,#REF!,1,FALSE())),"?TYPE_IDENTIFIABLE","?REFERENTIAL"),"_")))))</f>
        <v> </v>
      </c>
      <c r="H957" s="24" t="str">
        <f>IF(J957&lt;&gt;1,"",IF(I957="SBJ","CB","?"))</f>
        <v> </v>
      </c>
      <c r="I957" s="25" t="str">
        <f>IF(OR(E957="",E957="!!!",F957="NEW"),"",INDEX(B956:B$2,-1+SUMPRODUCT(MAX(ROW(E956:E$2)*(E957=E956:E$2)))))</f>
        <v> </v>
      </c>
      <c r="J957" s="25" t="str">
        <f>IF(OR(E957="",E957="!!!",F957="NEW"),"",COUNTBLANK(OFFSET(A$1,,,SUMPRODUCT(MAX(ROW(E$2:E957)*(E957=E$2:E957)))))-COUNTBLANK(OFFSET(A$1,,,SUMPRODUCT(MAX(ROW(E$1:E956)*(E2=E$1:E956))))))</f>
        <v> </v>
      </c>
      <c r="K957" s="25" t="str">
        <f>IF(OR(E957="",E957="!!!",F957="NEW"),"",INDEX(J$1:J956,SUMPRODUCT(MAX(ROW(E$1:E956)*(E957=E$1:E956)))))</f>
        <v> </v>
      </c>
      <c r="L957" s="26"/>
    </row>
    <row r="958" spans="1:12">
      <c r="A958" s="20" t="s">
        <v>12</v>
      </c>
      <c r="E958" s="21">
        <f>IF(D958="?OLD","!!!","")</f>
        <v/>
      </c>
      <c r="F958" s="22" t="str">
        <f>IF(OR(E958="",E958="!!!"),"",IF(NOT(ISNA(VLOOKUP(E958,E$1:E957,1,FALSE()))),"OLD",IF(AND(E958&lt;&gt;"",E958&lt;&gt;"!!!"),"NEW","")))</f>
        <v> </v>
      </c>
      <c r="G958" s="23" t="str">
        <f>IF(OR(E958="",E958="!!!"),"",IF(OR(J958=0,AND(J958=1,K958=1),AND(J958=1,I958="SBJ"),AND(J958=1,I958=0)),"?IN_FOCUS",IF(J958&lt;=2,"?ACTIVATED",IF(J958&lt;&gt;"","?FAMILIAR",IF(F958="NEW",IF(ISNA(VLOOKUP(E958,#REF!,1,FALSE())),"?TYPE_IDENTIFIABLE","?REFERENTIAL"),"_")))))</f>
        <v> </v>
      </c>
      <c r="H958" s="24" t="str">
        <f>IF(J958&lt;&gt;1,"",IF(I958="SBJ","CB","?"))</f>
        <v> </v>
      </c>
      <c r="I958" s="25" t="str">
        <f>IF(OR(E958="",E958="!!!",F958="NEW"),"",INDEX(B957:B$2,-1+SUMPRODUCT(MAX(ROW(E957:E$2)*(E958=E957:E$2)))))</f>
        <v> </v>
      </c>
      <c r="J958" s="25" t="str">
        <f>IF(OR(E958="",E958="!!!",F958="NEW"),"",COUNTBLANK(OFFSET(A$1,,,SUMPRODUCT(MAX(ROW(E$2:E958)*(E958=E$2:E958)))))-COUNTBLANK(OFFSET(A$1,,,SUMPRODUCT(MAX(ROW(E$1:E957)*(E2=E$1:E957))))))</f>
        <v> </v>
      </c>
      <c r="K958" s="25" t="str">
        <f>IF(OR(E958="",E958="!!!",F958="NEW"),"",INDEX(J$1:J957,SUMPRODUCT(MAX(ROW(E$1:E957)*(E958=E$1:E957)))))</f>
        <v> </v>
      </c>
      <c r="L958" s="26"/>
    </row>
    <row r="959" spans="1:12">
      <c r="A959" s="20" t="s">
        <v>12</v>
      </c>
      <c r="E959" s="21">
        <f>IF(D959="?OLD","!!!","")</f>
        <v/>
      </c>
      <c r="F959" s="22" t="str">
        <f>IF(OR(E959="",E959="!!!"),"",IF(NOT(ISNA(VLOOKUP(E959,E$1:E958,1,FALSE()))),"OLD",IF(AND(E959&lt;&gt;"",E959&lt;&gt;"!!!"),"NEW","")))</f>
        <v> </v>
      </c>
      <c r="G959" s="23" t="str">
        <f>IF(OR(E959="",E959="!!!"),"",IF(OR(J959=0,AND(J959=1,K959=1),AND(J959=1,I959="SBJ"),AND(J959=1,I959=0)),"?IN_FOCUS",IF(J959&lt;=2,"?ACTIVATED",IF(J959&lt;&gt;"","?FAMILIAR",IF(F959="NEW",IF(ISNA(VLOOKUP(E959,#REF!,1,FALSE())),"?TYPE_IDENTIFIABLE","?REFERENTIAL"),"_")))))</f>
        <v> </v>
      </c>
      <c r="H959" s="24" t="str">
        <f>IF(J959&lt;&gt;1,"",IF(I959="SBJ","CB","?"))</f>
        <v> </v>
      </c>
      <c r="I959" s="25" t="str">
        <f>IF(OR(E959="",E959="!!!",F959="NEW"),"",INDEX(B958:B$2,-1+SUMPRODUCT(MAX(ROW(E958:E$2)*(E959=E958:E$2)))))</f>
        <v> </v>
      </c>
      <c r="J959" s="25" t="str">
        <f>IF(OR(E959="",E959="!!!",F959="NEW"),"",COUNTBLANK(OFFSET(A$1,,,SUMPRODUCT(MAX(ROW(E$2:E959)*(E959=E$2:E959)))))-COUNTBLANK(OFFSET(A$1,,,SUMPRODUCT(MAX(ROW(E$1:E958)*(E2=E$1:E958))))))</f>
        <v> </v>
      </c>
      <c r="K959" s="25" t="str">
        <f>IF(OR(E959="",E959="!!!",F959="NEW"),"",INDEX(J$1:J958,SUMPRODUCT(MAX(ROW(E$1:E958)*(E959=E$1:E958)))))</f>
        <v> </v>
      </c>
      <c r="L959" s="26"/>
    </row>
    <row r="960" spans="1:12">
      <c r="A960" s="20" t="s">
        <v>728</v>
      </c>
      <c r="B960" s="27" t="s">
        <v>473</v>
      </c>
      <c r="C960" s="27" t="s">
        <v>497</v>
      </c>
      <c r="D960" s="27" t="s">
        <v>478</v>
      </c>
      <c r="E960" s="21">
        <f>IF(D960="?OLD","!!!","")</f>
        <v/>
      </c>
      <c r="F960" s="22" t="str">
        <f>IF(OR(E960="",E960="!!!"),"",IF(NOT(ISNA(VLOOKUP(E960,E$1:E959,1,FALSE()))),"OLD",IF(AND(E960&lt;&gt;"",E960&lt;&gt;"!!!"),"NEW","")))</f>
        <v> </v>
      </c>
      <c r="G960" s="23" t="str">
        <f>IF(OR(E960="",E960="!!!"),"",IF(OR(J960=0,AND(J960=1,K960=1),AND(J960=1,I960="SBJ"),AND(J960=1,I960=0)),"?IN_FOCUS",IF(J960&lt;=2,"?ACTIVATED",IF(J960&lt;&gt;"","?FAMILIAR",IF(F960="NEW",IF(ISNA(VLOOKUP(E960,#REF!,1,FALSE())),"?TYPE_IDENTIFIABLE","?REFERENTIAL"),"_")))))</f>
        <v> </v>
      </c>
      <c r="H960" s="24" t="str">
        <f>IF(J960&lt;&gt;1,"",IF(I960="SBJ","CB","?"))</f>
        <v> </v>
      </c>
      <c r="I960" s="25" t="str">
        <f>IF(OR(E960="",E960="!!!",F960="NEW"),"",INDEX(B959:B$2,-1+SUMPRODUCT(MAX(ROW(E959:E$2)*(E960=E959:E$2)))))</f>
        <v> </v>
      </c>
      <c r="J960" s="25" t="str">
        <f>IF(OR(E960="",E960="!!!",F960="NEW"),"",COUNTBLANK(OFFSET(A$1,,,SUMPRODUCT(MAX(ROW(E$2:E960)*(E960=E$2:E960)))))-COUNTBLANK(OFFSET(A$1,,,SUMPRODUCT(MAX(ROW(E$1:E959)*(E2=E$1:E959))))))</f>
        <v> </v>
      </c>
      <c r="K960" s="25" t="str">
        <f>IF(OR(E960="",E960="!!!",F960="NEW"),"",INDEX(J$1:J959,SUMPRODUCT(MAX(ROW(E$1:E959)*(E960=E$1:E959)))))</f>
        <v> </v>
      </c>
      <c r="L960" s="26"/>
    </row>
    <row r="961" spans="1:12">
      <c r="A961" s="20" t="s">
        <v>946</v>
      </c>
      <c r="E961" s="21">
        <f>IF(D961="?OLD","!!!","")</f>
        <v/>
      </c>
      <c r="F961" s="22" t="str">
        <f>IF(OR(E961="",E961="!!!"),"",IF(NOT(ISNA(VLOOKUP(E961,E$1:E960,1,FALSE()))),"OLD",IF(AND(E961&lt;&gt;"",E961&lt;&gt;"!!!"),"NEW","")))</f>
        <v> </v>
      </c>
      <c r="G961" s="23" t="str">
        <f>IF(OR(E961="",E961="!!!"),"",IF(OR(J961=0,AND(J961=1,K961=1),AND(J961=1,I961="SBJ"),AND(J961=1,I961=0)),"?IN_FOCUS",IF(J961&lt;=2,"?ACTIVATED",IF(J961&lt;&gt;"","?FAMILIAR",IF(F961="NEW",IF(ISNA(VLOOKUP(E961,#REF!,1,FALSE())),"?TYPE_IDENTIFIABLE","?REFERENTIAL"),"_")))))</f>
        <v> </v>
      </c>
      <c r="H961" s="24" t="str">
        <f>IF(J961&lt;&gt;1,"",IF(I961="SBJ","CB","?"))</f>
        <v> </v>
      </c>
      <c r="I961" s="25" t="str">
        <f>IF(OR(E961="",E961="!!!",F961="NEW"),"",INDEX(B960:B$2,-1+SUMPRODUCT(MAX(ROW(E960:E$2)*(E961=E960:E$2)))))</f>
        <v> </v>
      </c>
      <c r="J961" s="25" t="str">
        <f>IF(OR(E961="",E961="!!!",F961="NEW"),"",COUNTBLANK(OFFSET(A$1,,,SUMPRODUCT(MAX(ROW(E$2:E961)*(E961=E$2:E961)))))-COUNTBLANK(OFFSET(A$1,,,SUMPRODUCT(MAX(ROW(E$1:E960)*(E2=E$1:E960))))))</f>
        <v> </v>
      </c>
      <c r="K961" s="25" t="str">
        <f>IF(OR(E961="",E961="!!!",F961="NEW"),"",INDEX(J$1:J960,SUMPRODUCT(MAX(ROW(E$1:E960)*(E961=E$1:E960)))))</f>
        <v> </v>
      </c>
      <c r="L961" s="26"/>
    </row>
    <row r="962" spans="1:12">
      <c r="A962" s="20" t="s">
        <v>253</v>
      </c>
      <c r="E962" s="21">
        <f>IF(D962="?OLD","!!!","")</f>
        <v/>
      </c>
      <c r="F962" s="22" t="str">
        <f>IF(OR(E962="",E962="!!!"),"",IF(NOT(ISNA(VLOOKUP(E962,E$1:E961,1,FALSE()))),"OLD",IF(AND(E962&lt;&gt;"",E962&lt;&gt;"!!!"),"NEW","")))</f>
        <v> </v>
      </c>
      <c r="G962" s="23" t="str">
        <f>IF(OR(E962="",E962="!!!"),"",IF(OR(J962=0,AND(J962=1,K962=1),AND(J962=1,I962="SBJ"),AND(J962=1,I962=0)),"?IN_FOCUS",IF(J962&lt;=2,"?ACTIVATED",IF(J962&lt;&gt;"","?FAMILIAR",IF(F962="NEW",IF(ISNA(VLOOKUP(E962,#REF!,1,FALSE())),"?TYPE_IDENTIFIABLE","?REFERENTIAL"),"_")))))</f>
        <v> </v>
      </c>
      <c r="H962" s="24" t="str">
        <f>IF(J962&lt;&gt;1,"",IF(I962="SBJ","CB","?"))</f>
        <v> </v>
      </c>
      <c r="I962" s="25" t="str">
        <f>IF(OR(E962="",E962="!!!",F962="NEW"),"",INDEX(B961:B$2,-1+SUMPRODUCT(MAX(ROW(E961:E$2)*(E962=E961:E$2)))))</f>
        <v> </v>
      </c>
      <c r="J962" s="25" t="str">
        <f>IF(OR(E962="",E962="!!!",F962="NEW"),"",COUNTBLANK(OFFSET(A$1,,,SUMPRODUCT(MAX(ROW(E$2:E962)*(E962=E$2:E962)))))-COUNTBLANK(OFFSET(A$1,,,SUMPRODUCT(MAX(ROW(E$1:E961)*(E2=E$1:E961))))))</f>
        <v> </v>
      </c>
      <c r="K962" s="25" t="str">
        <f>IF(OR(E962="",E962="!!!",F962="NEW"),"",INDEX(J$1:J961,SUMPRODUCT(MAX(ROW(E$1:E961)*(E962=E$1:E961)))))</f>
        <v> </v>
      </c>
      <c r="L962" s="26"/>
    </row>
    <row r="963" spans="1:12">
      <c r="A963" s="20"/>
    </row>
    <row r="964" spans="1:12">
      <c r="A964" s="20" t="s">
        <v>947</v>
      </c>
    </row>
    <row r="965" spans="1:12">
      <c r="A965" s="20" t="s">
        <v>948</v>
      </c>
      <c r="E965" s="21">
        <f>IF(D965="?OLD","!!!","")</f>
        <v/>
      </c>
      <c r="F965" s="22" t="str">
        <f>IF(OR(E965="",E965="!!!"),"",IF(NOT(ISNA(VLOOKUP(E965,E$1:E964,1,FALSE()))),"OLD",IF(AND(E965&lt;&gt;"",E965&lt;&gt;"!!!"),"NEW","")))</f>
        <v> </v>
      </c>
      <c r="G965" s="23" t="str">
        <f>IF(OR(E965="",E965="!!!"),"",IF(OR(J965=0,AND(J965=1,K965=1),AND(J965=1,I965="SBJ"),AND(J965=1,I965=0)),"?IN_FOCUS",IF(J965&lt;=2,"?ACTIVATED",IF(J965&lt;&gt;"","?FAMILIAR",IF(F965="NEW",IF(ISNA(VLOOKUP(E965,#REF!,1,FALSE())),"?TYPE_IDENTIFIABLE","?REFERENTIAL"),"_")))))</f>
        <v> </v>
      </c>
      <c r="H965" s="24" t="str">
        <f>IF(J965&lt;&gt;1,"",IF(I965="SBJ","CB","?"))</f>
        <v> </v>
      </c>
      <c r="I965" s="25" t="str">
        <f>IF(OR(E965="",E965="!!!",F965="NEW"),"",INDEX(B964:B$2,-1+SUMPRODUCT(MAX(ROW(E964:E$2)*(E965=E964:E$2)))))</f>
        <v> </v>
      </c>
      <c r="J965" s="25" t="str">
        <f>IF(OR(E965="",E965="!!!",F965="NEW"),"",COUNTBLANK(OFFSET(A$1,,,SUMPRODUCT(MAX(ROW(E$2:E965)*(E965=E$2:E965)))))-COUNTBLANK(OFFSET(A$1,,,SUMPRODUCT(MAX(ROW(E$1:E964)*(E2=E$1:E964))))))</f>
        <v> </v>
      </c>
      <c r="K965" s="25" t="str">
        <f>IF(OR(E965="",E965="!!!",F965="NEW"),"",INDEX(J$1:J964,SUMPRODUCT(MAX(ROW(E$1:E964)*(E965=E$1:E964)))))</f>
        <v> </v>
      </c>
      <c r="L965" s="26"/>
    </row>
    <row r="966" spans="1:12">
      <c r="A966" s="20" t="s">
        <v>515</v>
      </c>
      <c r="E966" s="21">
        <f>IF(D966="?OLD","!!!","")</f>
        <v/>
      </c>
      <c r="F966" s="22" t="str">
        <f>IF(OR(E966="",E966="!!!"),"",IF(NOT(ISNA(VLOOKUP(E966,E$1:E965,1,FALSE()))),"OLD",IF(AND(E966&lt;&gt;"",E966&lt;&gt;"!!!"),"NEW","")))</f>
        <v> </v>
      </c>
      <c r="G966" s="23" t="str">
        <f>IF(OR(E966="",E966="!!!"),"",IF(OR(J966=0,AND(J966=1,K966=1),AND(J966=1,I966="SBJ"),AND(J966=1,I966=0)),"?IN_FOCUS",IF(J966&lt;=2,"?ACTIVATED",IF(J966&lt;&gt;"","?FAMILIAR",IF(F966="NEW",IF(ISNA(VLOOKUP(E966,#REF!,1,FALSE())),"?TYPE_IDENTIFIABLE","?REFERENTIAL"),"_")))))</f>
        <v> </v>
      </c>
      <c r="H966" s="24" t="str">
        <f>IF(J966&lt;&gt;1,"",IF(I966="SBJ","CB","?"))</f>
        <v> </v>
      </c>
      <c r="I966" s="25" t="str">
        <f>IF(OR(E966="",E966="!!!",F966="NEW"),"",INDEX(B965:B$2,-1+SUMPRODUCT(MAX(ROW(E965:E$2)*(E966=E965:E$2)))))</f>
        <v> </v>
      </c>
      <c r="J966" s="25" t="str">
        <f>IF(OR(E966="",E966="!!!",F966="NEW"),"",COUNTBLANK(OFFSET(A$1,,,SUMPRODUCT(MAX(ROW(E$2:E966)*(E966=E$2:E966)))))-COUNTBLANK(OFFSET(A$1,,,SUMPRODUCT(MAX(ROW(E$1:E965)*(E2=E$1:E965))))))</f>
        <v> </v>
      </c>
      <c r="K966" s="25" t="str">
        <f>IF(OR(E966="",E966="!!!",F966="NEW"),"",INDEX(J$1:J965,SUMPRODUCT(MAX(ROW(E$1:E965)*(E966=E$1:E965)))))</f>
        <v> </v>
      </c>
      <c r="L966" s="26"/>
    </row>
    <row r="967" spans="1:12">
      <c r="A967" s="20"/>
    </row>
    <row r="968" spans="1:12">
      <c r="A968" s="20" t="s">
        <v>949</v>
      </c>
    </row>
    <row r="969" spans="1:12">
      <c r="A969" s="20" t="s">
        <v>950</v>
      </c>
      <c r="B969" s="27" t="s">
        <v>476</v>
      </c>
      <c r="E969" s="21">
        <f>IF(D969="?OLD","!!!","")</f>
        <v/>
      </c>
      <c r="F969" s="22" t="str">
        <f>IF(OR(E969="",E969="!!!"),"",IF(NOT(ISNA(VLOOKUP(E969,E$1:E968,1,FALSE()))),"OLD",IF(AND(E969&lt;&gt;"",E969&lt;&gt;"!!!"),"NEW","")))</f>
        <v> </v>
      </c>
      <c r="G969" s="23" t="str">
        <f>IF(OR(E969="",E969="!!!"),"",IF(OR(J969=0,AND(J969=1,K969=1),AND(J969=1,I969="SBJ"),AND(J969=1,I969=0)),"?IN_FOCUS",IF(J969&lt;=2,"?ACTIVATED",IF(J969&lt;&gt;"","?FAMILIAR",IF(F969="NEW",IF(ISNA(VLOOKUP(E969,#REF!,1,FALSE())),"?TYPE_IDENTIFIABLE","?REFERENTIAL"),"_")))))</f>
        <v> </v>
      </c>
      <c r="H969" s="24" t="str">
        <f>IF(J969&lt;&gt;1,"",IF(I969="SBJ","CB","?"))</f>
        <v> </v>
      </c>
      <c r="I969" s="25" t="str">
        <f>IF(OR(E969="",E969="!!!",F969="NEW"),"",INDEX(B968:B$2,-1+SUMPRODUCT(MAX(ROW(E968:E$2)*(E969=E968:E$2)))))</f>
        <v> </v>
      </c>
      <c r="J969" s="25" t="str">
        <f>IF(OR(E969="",E969="!!!",F969="NEW"),"",COUNTBLANK(OFFSET(A$1,,,SUMPRODUCT(MAX(ROW(E$2:E969)*(E969=E$2:E969)))))-COUNTBLANK(OFFSET(A$1,,,SUMPRODUCT(MAX(ROW(E$1:E968)*(E2=E$1:E968))))))</f>
        <v> </v>
      </c>
      <c r="K969" s="25" t="str">
        <f>IF(OR(E969="",E969="!!!",F969="NEW"),"",INDEX(J$1:J968,SUMPRODUCT(MAX(ROW(E$1:E968)*(E969=E$1:E968)))))</f>
        <v> </v>
      </c>
      <c r="L969" s="26"/>
    </row>
    <row r="970" spans="1:12">
      <c r="A970" s="20" t="s">
        <v>534</v>
      </c>
      <c r="E970" s="21">
        <f>IF(D970="?OLD","!!!","")</f>
        <v/>
      </c>
      <c r="F970" s="22" t="str">
        <f>IF(OR(E970="",E970="!!!"),"",IF(NOT(ISNA(VLOOKUP(E970,E$1:E969,1,FALSE()))),"OLD",IF(AND(E970&lt;&gt;"",E970&lt;&gt;"!!!"),"NEW","")))</f>
        <v> </v>
      </c>
      <c r="G970" s="23" t="str">
        <f>IF(OR(E970="",E970="!!!"),"",IF(OR(J970=0,AND(J970=1,K970=1),AND(J970=1,I970="SBJ"),AND(J970=1,I970=0)),"?IN_FOCUS",IF(J970&lt;=2,"?ACTIVATED",IF(J970&lt;&gt;"","?FAMILIAR",IF(F970="NEW",IF(ISNA(VLOOKUP(E970,#REF!,1,FALSE())),"?TYPE_IDENTIFIABLE","?REFERENTIAL"),"_")))))</f>
        <v> </v>
      </c>
      <c r="H970" s="24" t="str">
        <f>IF(J970&lt;&gt;1,"",IF(I970="SBJ","CB","?"))</f>
        <v> </v>
      </c>
      <c r="I970" s="25" t="str">
        <f>IF(OR(E970="",E970="!!!",F970="NEW"),"",INDEX(B969:B$2,-1+SUMPRODUCT(MAX(ROW(E969:E$2)*(E970=E969:E$2)))))</f>
        <v> </v>
      </c>
      <c r="J970" s="25" t="str">
        <f>IF(OR(E970="",E970="!!!",F970="NEW"),"",COUNTBLANK(OFFSET(A$1,,,SUMPRODUCT(MAX(ROW(E$2:E970)*(E970=E$2:E970)))))-COUNTBLANK(OFFSET(A$1,,,SUMPRODUCT(MAX(ROW(E$1:E969)*(E2=E$1:E969))))))</f>
        <v> </v>
      </c>
      <c r="K970" s="25" t="str">
        <f>IF(OR(E970="",E970="!!!",F970="NEW"),"",INDEX(J$1:J969,SUMPRODUCT(MAX(ROW(E$1:E969)*(E970=E$1:E969)))))</f>
        <v> </v>
      </c>
      <c r="L970" s="26"/>
    </row>
    <row r="971" spans="1:12">
      <c r="A971" s="20" t="s">
        <v>951</v>
      </c>
      <c r="E971" s="21">
        <f>IF(D971="?OLD","!!!","")</f>
        <v/>
      </c>
      <c r="F971" s="22" t="str">
        <f>IF(OR(E971="",E971="!!!"),"",IF(NOT(ISNA(VLOOKUP(E971,E$1:E970,1,FALSE()))),"OLD",IF(AND(E971&lt;&gt;"",E971&lt;&gt;"!!!"),"NEW","")))</f>
        <v> </v>
      </c>
      <c r="G971" s="23" t="str">
        <f>IF(OR(E971="",E971="!!!"),"",IF(OR(J971=0,AND(J971=1,K971=1),AND(J971=1,I971="SBJ"),AND(J971=1,I971=0)),"?IN_FOCUS",IF(J971&lt;=2,"?ACTIVATED",IF(J971&lt;&gt;"","?FAMILIAR",IF(F971="NEW",IF(ISNA(VLOOKUP(E971,#REF!,1,FALSE())),"?TYPE_IDENTIFIABLE","?REFERENTIAL"),"_")))))</f>
        <v> </v>
      </c>
      <c r="H971" s="24" t="str">
        <f>IF(J971&lt;&gt;1,"",IF(I971="SBJ","CB","?"))</f>
        <v> </v>
      </c>
      <c r="I971" s="25" t="str">
        <f>IF(OR(E971="",E971="!!!",F971="NEW"),"",INDEX(B970:B$2,-1+SUMPRODUCT(MAX(ROW(E970:E$2)*(E971=E970:E$2)))))</f>
        <v> </v>
      </c>
      <c r="J971" s="25" t="str">
        <f>IF(OR(E971="",E971="!!!",F971="NEW"),"",COUNTBLANK(OFFSET(A$1,,,SUMPRODUCT(MAX(ROW(E$2:E971)*(E971=E$2:E971)))))-COUNTBLANK(OFFSET(A$1,,,SUMPRODUCT(MAX(ROW(E$1:E970)*(E2=E$1:E970))))))</f>
        <v> </v>
      </c>
      <c r="K971" s="25" t="str">
        <f>IF(OR(E971="",E971="!!!",F971="NEW"),"",INDEX(J$1:J970,SUMPRODUCT(MAX(ROW(E$1:E970)*(E971=E$1:E970)))))</f>
        <v> </v>
      </c>
      <c r="L971" s="26"/>
    </row>
    <row r="972" spans="1:12">
      <c r="A972" s="20" t="s">
        <v>952</v>
      </c>
      <c r="B972" s="27" t="s">
        <v>711</v>
      </c>
      <c r="C972" s="27" t="s">
        <v>474</v>
      </c>
      <c r="E972" s="21">
        <f>IF(D972="?OLD","!!!","")</f>
        <v/>
      </c>
      <c r="F972" s="22" t="str">
        <f>IF(OR(E972="",E972="!!!"),"",IF(NOT(ISNA(VLOOKUP(E972,E$1:E971,1,FALSE()))),"OLD",IF(AND(E972&lt;&gt;"",E972&lt;&gt;"!!!"),"NEW","")))</f>
        <v> </v>
      </c>
      <c r="G972" s="23" t="str">
        <f>IF(OR(E972="",E972="!!!"),"",IF(OR(J972=0,AND(J972=1,K972=1),AND(J972=1,I972="SBJ"),AND(J972=1,I972=0)),"?IN_FOCUS",IF(J972&lt;=2,"?ACTIVATED",IF(J972&lt;&gt;"","?FAMILIAR",IF(F972="NEW",IF(ISNA(VLOOKUP(E972,#REF!,1,FALSE())),"?TYPE_IDENTIFIABLE","?REFERENTIAL"),"_")))))</f>
        <v> </v>
      </c>
      <c r="H972" s="24" t="str">
        <f>IF(J972&lt;&gt;1,"",IF(I972="SBJ","CB","?"))</f>
        <v> </v>
      </c>
      <c r="I972" s="25" t="str">
        <f>IF(OR(E972="",E972="!!!",F972="NEW"),"",INDEX(B971:B$2,-1+SUMPRODUCT(MAX(ROW(E971:E$2)*(E972=E971:E$2)))))</f>
        <v> </v>
      </c>
      <c r="J972" s="25" t="str">
        <f>IF(OR(E972="",E972="!!!",F972="NEW"),"",COUNTBLANK(OFFSET(A$1,,,SUMPRODUCT(MAX(ROW(E$2:E972)*(E972=E$2:E972)))))-COUNTBLANK(OFFSET(A$1,,,SUMPRODUCT(MAX(ROW(E$1:E971)*(E2=E$1:E971))))))</f>
        <v> </v>
      </c>
      <c r="K972" s="25" t="str">
        <f>IF(OR(E972="",E972="!!!",F972="NEW"),"",INDEX(J$1:J971,SUMPRODUCT(MAX(ROW(E$1:E971)*(E972=E$1:E971)))))</f>
        <v> </v>
      </c>
      <c r="L972" s="26"/>
    </row>
    <row r="973" spans="1:12">
      <c r="A973" s="20" t="s">
        <v>12</v>
      </c>
      <c r="E973" s="21">
        <f>IF(D973="?OLD","!!!","")</f>
        <v/>
      </c>
      <c r="F973" s="22" t="str">
        <f>IF(OR(E973="",E973="!!!"),"",IF(NOT(ISNA(VLOOKUP(E973,E$1:E972,1,FALSE()))),"OLD",IF(AND(E973&lt;&gt;"",E973&lt;&gt;"!!!"),"NEW","")))</f>
        <v> </v>
      </c>
      <c r="G973" s="23" t="str">
        <f>IF(OR(E973="",E973="!!!"),"",IF(OR(J973=0,AND(J973=1,K973=1),AND(J973=1,I973="SBJ"),AND(J973=1,I973=0)),"?IN_FOCUS",IF(J973&lt;=2,"?ACTIVATED",IF(J973&lt;&gt;"","?FAMILIAR",IF(F973="NEW",IF(ISNA(VLOOKUP(E973,#REF!,1,FALSE())),"?TYPE_IDENTIFIABLE","?REFERENTIAL"),"_")))))</f>
        <v> </v>
      </c>
      <c r="H973" s="24" t="str">
        <f>IF(J973&lt;&gt;1,"",IF(I973="SBJ","CB","?"))</f>
        <v> </v>
      </c>
      <c r="I973" s="25" t="str">
        <f>IF(OR(E973="",E973="!!!",F973="NEW"),"",INDEX(B972:B$2,-1+SUMPRODUCT(MAX(ROW(E972:E$2)*(E973=E972:E$2)))))</f>
        <v> </v>
      </c>
      <c r="J973" s="25" t="str">
        <f>IF(OR(E973="",E973="!!!",F973="NEW"),"",COUNTBLANK(OFFSET(A$1,,,SUMPRODUCT(MAX(ROW(E$2:E973)*(E973=E$2:E973)))))-COUNTBLANK(OFFSET(A$1,,,SUMPRODUCT(MAX(ROW(E$1:E972)*(E2=E$1:E972))))))</f>
        <v> </v>
      </c>
      <c r="K973" s="25" t="str">
        <f>IF(OR(E973="",E973="!!!",F973="NEW"),"",INDEX(J$1:J972,SUMPRODUCT(MAX(ROW(E$1:E972)*(E973=E$1:E972)))))</f>
        <v> </v>
      </c>
      <c r="L973" s="26"/>
    </row>
    <row r="974" spans="1:12">
      <c r="A974" s="20" t="s">
        <v>953</v>
      </c>
      <c r="E974" s="21">
        <f>IF(D974="?OLD","!!!","")</f>
        <v/>
      </c>
      <c r="F974" s="22" t="str">
        <f>IF(OR(E974="",E974="!!!"),"",IF(NOT(ISNA(VLOOKUP(E974,E$1:E973,1,FALSE()))),"OLD",IF(AND(E974&lt;&gt;"",E974&lt;&gt;"!!!"),"NEW","")))</f>
        <v> </v>
      </c>
      <c r="G974" s="23" t="str">
        <f>IF(OR(E974="",E974="!!!"),"",IF(OR(J974=0,AND(J974=1,K974=1),AND(J974=1,I974="SBJ"),AND(J974=1,I974=0)),"?IN_FOCUS",IF(J974&lt;=2,"?ACTIVATED",IF(J974&lt;&gt;"","?FAMILIAR",IF(F974="NEW",IF(ISNA(VLOOKUP(E974,#REF!,1,FALSE())),"?TYPE_IDENTIFIABLE","?REFERENTIAL"),"_")))))</f>
        <v> </v>
      </c>
      <c r="H974" s="24" t="str">
        <f>IF(J974&lt;&gt;1,"",IF(I974="SBJ","CB","?"))</f>
        <v> </v>
      </c>
      <c r="I974" s="25" t="str">
        <f>IF(OR(E974="",E974="!!!",F974="NEW"),"",INDEX(B973:B$2,-1+SUMPRODUCT(MAX(ROW(E973:E$2)*(E974=E973:E$2)))))</f>
        <v> </v>
      </c>
      <c r="J974" s="25" t="str">
        <f>IF(OR(E974="",E974="!!!",F974="NEW"),"",COUNTBLANK(OFFSET(A$1,,,SUMPRODUCT(MAX(ROW(E$2:E974)*(E974=E$2:E974)))))-COUNTBLANK(OFFSET(A$1,,,SUMPRODUCT(MAX(ROW(E$1:E973)*(E2=E$1:E973))))))</f>
        <v> </v>
      </c>
      <c r="K974" s="25" t="str">
        <f>IF(OR(E974="",E974="!!!",F974="NEW"),"",INDEX(J$1:J973,SUMPRODUCT(MAX(ROW(E$1:E973)*(E974=E$1:E973)))))</f>
        <v> </v>
      </c>
      <c r="L974" s="26"/>
    </row>
    <row r="975" spans="1:12">
      <c r="A975" s="20" t="s">
        <v>954</v>
      </c>
      <c r="E975" s="21">
        <f>IF(D975="?OLD","!!!","")</f>
        <v/>
      </c>
      <c r="F975" s="22" t="str">
        <f>IF(OR(E975="",E975="!!!"),"",IF(NOT(ISNA(VLOOKUP(E975,E$1:E974,1,FALSE()))),"OLD",IF(AND(E975&lt;&gt;"",E975&lt;&gt;"!!!"),"NEW","")))</f>
        <v> </v>
      </c>
      <c r="G975" s="23" t="str">
        <f>IF(OR(E975="",E975="!!!"),"",IF(OR(J975=0,AND(J975=1,K975=1),AND(J975=1,I975="SBJ"),AND(J975=1,I975=0)),"?IN_FOCUS",IF(J975&lt;=2,"?ACTIVATED",IF(J975&lt;&gt;"","?FAMILIAR",IF(F975="NEW",IF(ISNA(VLOOKUP(E975,#REF!,1,FALSE())),"?TYPE_IDENTIFIABLE","?REFERENTIAL"),"_")))))</f>
        <v> </v>
      </c>
      <c r="H975" s="24" t="str">
        <f>IF(J975&lt;&gt;1,"",IF(I975="SBJ","CB","?"))</f>
        <v> </v>
      </c>
      <c r="I975" s="25" t="str">
        <f>IF(OR(E975="",E975="!!!",F975="NEW"),"",INDEX(B974:B$2,-1+SUMPRODUCT(MAX(ROW(E974:E$2)*(E975=E974:E$2)))))</f>
        <v> </v>
      </c>
      <c r="J975" s="25" t="str">
        <f>IF(OR(E975="",E975="!!!",F975="NEW"),"",COUNTBLANK(OFFSET(A$1,,,SUMPRODUCT(MAX(ROW(E$2:E975)*(E975=E$2:E975)))))-COUNTBLANK(OFFSET(A$1,,,SUMPRODUCT(MAX(ROW(E$1:E974)*(E2=E$1:E974))))))</f>
        <v> </v>
      </c>
      <c r="K975" s="25" t="str">
        <f>IF(OR(E975="",E975="!!!",F975="NEW"),"",INDEX(J$1:J974,SUMPRODUCT(MAX(ROW(E$1:E974)*(E975=E$1:E974)))))</f>
        <v> </v>
      </c>
      <c r="L975" s="26"/>
    </row>
    <row r="976" spans="1:12">
      <c r="A976" s="20" t="s">
        <v>955</v>
      </c>
      <c r="E976" s="21">
        <f>IF(D976="?OLD","!!!","")</f>
        <v/>
      </c>
      <c r="F976" s="22" t="str">
        <f>IF(OR(E976="",E976="!!!"),"",IF(NOT(ISNA(VLOOKUP(E976,E$1:E975,1,FALSE()))),"OLD",IF(AND(E976&lt;&gt;"",E976&lt;&gt;"!!!"),"NEW","")))</f>
        <v> </v>
      </c>
      <c r="G976" s="23" t="str">
        <f>IF(OR(E976="",E976="!!!"),"",IF(OR(J976=0,AND(J976=1,K976=1),AND(J976=1,I976="SBJ"),AND(J976=1,I976=0)),"?IN_FOCUS",IF(J976&lt;=2,"?ACTIVATED",IF(J976&lt;&gt;"","?FAMILIAR",IF(F976="NEW",IF(ISNA(VLOOKUP(E976,#REF!,1,FALSE())),"?TYPE_IDENTIFIABLE","?REFERENTIAL"),"_")))))</f>
        <v> </v>
      </c>
      <c r="H976" s="24" t="str">
        <f>IF(J976&lt;&gt;1,"",IF(I976="SBJ","CB","?"))</f>
        <v> </v>
      </c>
      <c r="I976" s="25" t="str">
        <f>IF(OR(E976="",E976="!!!",F976="NEW"),"",INDEX(B975:B$2,-1+SUMPRODUCT(MAX(ROW(E975:E$2)*(E976=E975:E$2)))))</f>
        <v> </v>
      </c>
      <c r="J976" s="25" t="str">
        <f>IF(OR(E976="",E976="!!!",F976="NEW"),"",COUNTBLANK(OFFSET(A$1,,,SUMPRODUCT(MAX(ROW(E$2:E976)*(E976=E$2:E976)))))-COUNTBLANK(OFFSET(A$1,,,SUMPRODUCT(MAX(ROW(E$1:E975)*(E2=E$1:E975))))))</f>
        <v> </v>
      </c>
      <c r="K976" s="25" t="str">
        <f>IF(OR(E976="",E976="!!!",F976="NEW"),"",INDEX(J$1:J975,SUMPRODUCT(MAX(ROW(E$1:E975)*(E976=E$1:E975)))))</f>
        <v> </v>
      </c>
      <c r="L976" s="26"/>
    </row>
    <row r="977" spans="1:12">
      <c r="A977" s="20" t="s">
        <v>956</v>
      </c>
      <c r="B977" s="27" t="s">
        <v>722</v>
      </c>
      <c r="C977" s="27" t="s">
        <v>474</v>
      </c>
      <c r="E977" s="21">
        <f>IF(D977="?OLD","!!!","")</f>
        <v/>
      </c>
      <c r="F977" s="22" t="str">
        <f>IF(OR(E977="",E977="!!!"),"",IF(NOT(ISNA(VLOOKUP(E977,E$1:E976,1,FALSE()))),"OLD",IF(AND(E977&lt;&gt;"",E977&lt;&gt;"!!!"),"NEW","")))</f>
        <v> </v>
      </c>
      <c r="G977" s="23" t="str">
        <f>IF(OR(E977="",E977="!!!"),"",IF(OR(J977=0,AND(J977=1,K977=1),AND(J977=1,I977="SBJ"),AND(J977=1,I977=0)),"?IN_FOCUS",IF(J977&lt;=2,"?ACTIVATED",IF(J977&lt;&gt;"","?FAMILIAR",IF(F977="NEW",IF(ISNA(VLOOKUP(E977,#REF!,1,FALSE())),"?TYPE_IDENTIFIABLE","?REFERENTIAL"),"_")))))</f>
        <v> </v>
      </c>
      <c r="H977" s="24" t="str">
        <f>IF(J977&lt;&gt;1,"",IF(I977="SBJ","CB","?"))</f>
        <v> </v>
      </c>
      <c r="I977" s="25" t="str">
        <f>IF(OR(E977="",E977="!!!",F977="NEW"),"",INDEX(B976:B$2,-1+SUMPRODUCT(MAX(ROW(E976:E$2)*(E977=E976:E$2)))))</f>
        <v> </v>
      </c>
      <c r="J977" s="25" t="str">
        <f>IF(OR(E977="",E977="!!!",F977="NEW"),"",COUNTBLANK(OFFSET(A$1,,,SUMPRODUCT(MAX(ROW(E$2:E977)*(E977=E$2:E977)))))-COUNTBLANK(OFFSET(A$1,,,SUMPRODUCT(MAX(ROW(E$1:E976)*(E2=E$1:E976))))))</f>
        <v> </v>
      </c>
      <c r="K977" s="25" t="str">
        <f>IF(OR(E977="",E977="!!!",F977="NEW"),"",INDEX(J$1:J976,SUMPRODUCT(MAX(ROW(E$1:E976)*(E977=E$1:E976)))))</f>
        <v> </v>
      </c>
      <c r="L977" s="26"/>
    </row>
    <row r="978" spans="1:12">
      <c r="A978" s="20" t="s">
        <v>482</v>
      </c>
      <c r="E978" s="21">
        <f>IF(D978="?OLD","!!!","")</f>
        <v/>
      </c>
      <c r="F978" s="22" t="str">
        <f>IF(OR(E978="",E978="!!!"),"",IF(NOT(ISNA(VLOOKUP(E978,E$1:E977,1,FALSE()))),"OLD",IF(AND(E978&lt;&gt;"",E978&lt;&gt;"!!!"),"NEW","")))</f>
        <v> </v>
      </c>
      <c r="G978" s="23" t="str">
        <f>IF(OR(E978="",E978="!!!"),"",IF(OR(J978=0,AND(J978=1,K978=1),AND(J978=1,I978="SBJ"),AND(J978=1,I978=0)),"?IN_FOCUS",IF(J978&lt;=2,"?ACTIVATED",IF(J978&lt;&gt;"","?FAMILIAR",IF(F978="NEW",IF(ISNA(VLOOKUP(E978,#REF!,1,FALSE())),"?TYPE_IDENTIFIABLE","?REFERENTIAL"),"_")))))</f>
        <v> </v>
      </c>
      <c r="H978" s="24" t="str">
        <f>IF(J978&lt;&gt;1,"",IF(I978="SBJ","CB","?"))</f>
        <v> </v>
      </c>
      <c r="I978" s="25" t="str">
        <f>IF(OR(E978="",E978="!!!",F978="NEW"),"",INDEX(B977:B$2,-1+SUMPRODUCT(MAX(ROW(E977:E$2)*(E978=E977:E$2)))))</f>
        <v> </v>
      </c>
      <c r="J978" s="25" t="str">
        <f>IF(OR(E978="",E978="!!!",F978="NEW"),"",COUNTBLANK(OFFSET(A$1,,,SUMPRODUCT(MAX(ROW(E$2:E978)*(E978=E$2:E978)))))-COUNTBLANK(OFFSET(A$1,,,SUMPRODUCT(MAX(ROW(E$1:E977)*(E2=E$1:E977))))))</f>
        <v> </v>
      </c>
      <c r="K978" s="25" t="str">
        <f>IF(OR(E978="",E978="!!!",F978="NEW"),"",INDEX(J$1:J977,SUMPRODUCT(MAX(ROW(E$1:E977)*(E978=E$1:E977)))))</f>
        <v> </v>
      </c>
      <c r="L978" s="26"/>
    </row>
    <row r="979" spans="1:12">
      <c r="A979" s="20" t="s">
        <v>957</v>
      </c>
      <c r="E979" s="21">
        <f>IF(D979="?OLD","!!!","")</f>
        <v/>
      </c>
      <c r="F979" s="22" t="str">
        <f>IF(OR(E979="",E979="!!!"),"",IF(NOT(ISNA(VLOOKUP(E979,E$1:E978,1,FALSE()))),"OLD",IF(AND(E979&lt;&gt;"",E979&lt;&gt;"!!!"),"NEW","")))</f>
        <v> </v>
      </c>
      <c r="G979" s="23" t="str">
        <f>IF(OR(E979="",E979="!!!"),"",IF(OR(J979=0,AND(J979=1,K979=1),AND(J979=1,I979="SBJ"),AND(J979=1,I979=0)),"?IN_FOCUS",IF(J979&lt;=2,"?ACTIVATED",IF(J979&lt;&gt;"","?FAMILIAR",IF(F979="NEW",IF(ISNA(VLOOKUP(E979,#REF!,1,FALSE())),"?TYPE_IDENTIFIABLE","?REFERENTIAL"),"_")))))</f>
        <v> </v>
      </c>
      <c r="H979" s="24" t="str">
        <f>IF(J979&lt;&gt;1,"",IF(I979="SBJ","CB","?"))</f>
        <v> </v>
      </c>
      <c r="I979" s="25" t="str">
        <f>IF(OR(E979="",E979="!!!",F979="NEW"),"",INDEX(B978:B$2,-1+SUMPRODUCT(MAX(ROW(E978:E$2)*(E979=E978:E$2)))))</f>
        <v> </v>
      </c>
      <c r="J979" s="25" t="str">
        <f>IF(OR(E979="",E979="!!!",F979="NEW"),"",COUNTBLANK(OFFSET(A$1,,,SUMPRODUCT(MAX(ROW(E$2:E979)*(E979=E$2:E979)))))-COUNTBLANK(OFFSET(A$1,,,SUMPRODUCT(MAX(ROW(E$1:E978)*(E2=E$1:E978))))))</f>
        <v> </v>
      </c>
      <c r="K979" s="25" t="str">
        <f>IF(OR(E979="",E979="!!!",F979="NEW"),"",INDEX(J$1:J978,SUMPRODUCT(MAX(ROW(E$1:E978)*(E979=E$1:E978)))))</f>
        <v> </v>
      </c>
      <c r="L979" s="26"/>
    </row>
    <row r="980" spans="1:12">
      <c r="A980" s="20" t="s">
        <v>958</v>
      </c>
      <c r="B980" s="27" t="s">
        <v>521</v>
      </c>
      <c r="E980" s="21">
        <f>IF(D980="?OLD","!!!","")</f>
        <v/>
      </c>
      <c r="F980" s="22" t="str">
        <f>IF(OR(E980="",E980="!!!"),"",IF(NOT(ISNA(VLOOKUP(E980,E$1:E979,1,FALSE()))),"OLD",IF(AND(E980&lt;&gt;"",E980&lt;&gt;"!!!"),"NEW","")))</f>
        <v> </v>
      </c>
      <c r="G980" s="23" t="str">
        <f>IF(OR(E980="",E980="!!!"),"",IF(OR(J980=0,AND(J980=1,K980=1),AND(J980=1,I980="SBJ"),AND(J980=1,I980=0)),"?IN_FOCUS",IF(J980&lt;=2,"?ACTIVATED",IF(J980&lt;&gt;"","?FAMILIAR",IF(F980="NEW",IF(ISNA(VLOOKUP(E980,#REF!,1,FALSE())),"?TYPE_IDENTIFIABLE","?REFERENTIAL"),"_")))))</f>
        <v> </v>
      </c>
      <c r="H980" s="24" t="str">
        <f>IF(J980&lt;&gt;1,"",IF(I980="SBJ","CB","?"))</f>
        <v> </v>
      </c>
      <c r="I980" s="25" t="str">
        <f>IF(OR(E980="",E980="!!!",F980="NEW"),"",INDEX(B979:B$2,-1+SUMPRODUCT(MAX(ROW(E979:E$2)*(E980=E979:E$2)))))</f>
        <v> </v>
      </c>
      <c r="J980" s="25" t="str">
        <f>IF(OR(E980="",E980="!!!",F980="NEW"),"",COUNTBLANK(OFFSET(A$1,,,SUMPRODUCT(MAX(ROW(E$2:E980)*(E980=E$2:E980)))))-COUNTBLANK(OFFSET(A$1,,,SUMPRODUCT(MAX(ROW(E$1:E979)*(E2=E$1:E979))))))</f>
        <v> </v>
      </c>
      <c r="K980" s="25" t="str">
        <f>IF(OR(E980="",E980="!!!",F980="NEW"),"",INDEX(J$1:J979,SUMPRODUCT(MAX(ROW(E$1:E979)*(E980=E$1:E979)))))</f>
        <v> </v>
      </c>
      <c r="L980" s="26"/>
    </row>
    <row r="981" spans="1:12">
      <c r="A981" s="20" t="s">
        <v>253</v>
      </c>
      <c r="E981" s="21">
        <f>IF(D981="?OLD","!!!","")</f>
        <v/>
      </c>
      <c r="F981" s="22" t="str">
        <f>IF(OR(E981="",E981="!!!"),"",IF(NOT(ISNA(VLOOKUP(E981,E$1:E980,1,FALSE()))),"OLD",IF(AND(E981&lt;&gt;"",E981&lt;&gt;"!!!"),"NEW","")))</f>
        <v> </v>
      </c>
      <c r="G981" s="23" t="str">
        <f>IF(OR(E981="",E981="!!!"),"",IF(OR(J981=0,AND(J981=1,K981=1),AND(J981=1,I981="SBJ"),AND(J981=1,I981=0)),"?IN_FOCUS",IF(J981&lt;=2,"?ACTIVATED",IF(J981&lt;&gt;"","?FAMILIAR",IF(F981="NEW",IF(ISNA(VLOOKUP(E981,#REF!,1,FALSE())),"?TYPE_IDENTIFIABLE","?REFERENTIAL"),"_")))))</f>
        <v> </v>
      </c>
      <c r="H981" s="24" t="str">
        <f>IF(J981&lt;&gt;1,"",IF(I981="SBJ","CB","?"))</f>
        <v> </v>
      </c>
      <c r="I981" s="25" t="str">
        <f>IF(OR(E981="",E981="!!!",F981="NEW"),"",INDEX(B980:B$2,-1+SUMPRODUCT(MAX(ROW(E980:E$2)*(E981=E980:E$2)))))</f>
        <v> </v>
      </c>
      <c r="J981" s="25" t="str">
        <f>IF(OR(E981="",E981="!!!",F981="NEW"),"",COUNTBLANK(OFFSET(A$1,,,SUMPRODUCT(MAX(ROW(E$2:E981)*(E981=E$2:E981)))))-COUNTBLANK(OFFSET(A$1,,,SUMPRODUCT(MAX(ROW(E$1:E980)*(E2=E$1:E980))))))</f>
        <v> </v>
      </c>
      <c r="K981" s="25" t="str">
        <f>IF(OR(E981="",E981="!!!",F981="NEW"),"",INDEX(J$1:J980,SUMPRODUCT(MAX(ROW(E$1:E980)*(E981=E$1:E980)))))</f>
        <v> </v>
      </c>
      <c r="L981" s="26"/>
    </row>
    <row r="982" spans="1:12">
      <c r="A982" s="20" t="s">
        <v>253</v>
      </c>
      <c r="E982" s="21">
        <f>IF(D982="?OLD","!!!","")</f>
        <v/>
      </c>
      <c r="F982" s="22" t="str">
        <f>IF(OR(E982="",E982="!!!"),"",IF(NOT(ISNA(VLOOKUP(E982,E$1:E981,1,FALSE()))),"OLD",IF(AND(E982&lt;&gt;"",E982&lt;&gt;"!!!"),"NEW","")))</f>
        <v> </v>
      </c>
      <c r="G982" s="23" t="str">
        <f>IF(OR(E982="",E982="!!!"),"",IF(OR(J982=0,AND(J982=1,K982=1),AND(J982=1,I982="SBJ"),AND(J982=1,I982=0)),"?IN_FOCUS",IF(J982&lt;=2,"?ACTIVATED",IF(J982&lt;&gt;"","?FAMILIAR",IF(F982="NEW",IF(ISNA(VLOOKUP(E982,#REF!,1,FALSE())),"?TYPE_IDENTIFIABLE","?REFERENTIAL"),"_")))))</f>
        <v> </v>
      </c>
      <c r="H982" s="24" t="str">
        <f>IF(J982&lt;&gt;1,"",IF(I982="SBJ","CB","?"))</f>
        <v> </v>
      </c>
      <c r="I982" s="25" t="str">
        <f>IF(OR(E982="",E982="!!!",F982="NEW"),"",INDEX(B981:B$2,-1+SUMPRODUCT(MAX(ROW(E981:E$2)*(E982=E981:E$2)))))</f>
        <v> </v>
      </c>
      <c r="J982" s="25" t="str">
        <f>IF(OR(E982="",E982="!!!",F982="NEW"),"",COUNTBLANK(OFFSET(A$1,,,SUMPRODUCT(MAX(ROW(E$2:E982)*(E982=E$2:E982)))))-COUNTBLANK(OFFSET(A$1,,,SUMPRODUCT(MAX(ROW(E$1:E981)*(E2=E$1:E981))))))</f>
        <v> </v>
      </c>
      <c r="K982" s="25" t="str">
        <f>IF(OR(E982="",E982="!!!",F982="NEW"),"",INDEX(J$1:J981,SUMPRODUCT(MAX(ROW(E$1:E981)*(E982=E$1:E981)))))</f>
        <v> </v>
      </c>
      <c r="L982" s="26"/>
    </row>
    <row r="983" spans="1:12">
      <c r="A983" s="20" t="s">
        <v>253</v>
      </c>
      <c r="E983" s="21">
        <f>IF(D983="?OLD","!!!","")</f>
        <v/>
      </c>
      <c r="F983" s="22" t="str">
        <f>IF(OR(E983="",E983="!!!"),"",IF(NOT(ISNA(VLOOKUP(E983,E$1:E982,1,FALSE()))),"OLD",IF(AND(E983&lt;&gt;"",E983&lt;&gt;"!!!"),"NEW","")))</f>
        <v> </v>
      </c>
      <c r="G983" s="23" t="str">
        <f>IF(OR(E983="",E983="!!!"),"",IF(OR(J983=0,AND(J983=1,K983=1),AND(J983=1,I983="SBJ"),AND(J983=1,I983=0)),"?IN_FOCUS",IF(J983&lt;=2,"?ACTIVATED",IF(J983&lt;&gt;"","?FAMILIAR",IF(F983="NEW",IF(ISNA(VLOOKUP(E983,#REF!,1,FALSE())),"?TYPE_IDENTIFIABLE","?REFERENTIAL"),"_")))))</f>
        <v> </v>
      </c>
      <c r="H983" s="24" t="str">
        <f>IF(J983&lt;&gt;1,"",IF(I983="SBJ","CB","?"))</f>
        <v> </v>
      </c>
      <c r="I983" s="25" t="str">
        <f>IF(OR(E983="",E983="!!!",F983="NEW"),"",INDEX(B982:B$2,-1+SUMPRODUCT(MAX(ROW(E982:E$2)*(E983=E982:E$2)))))</f>
        <v> </v>
      </c>
      <c r="J983" s="25" t="str">
        <f>IF(OR(E983="",E983="!!!",F983="NEW"),"",COUNTBLANK(OFFSET(A$1,,,SUMPRODUCT(MAX(ROW(E$2:E983)*(E983=E$2:E983)))))-COUNTBLANK(OFFSET(A$1,,,SUMPRODUCT(MAX(ROW(E$1:E982)*(E2=E$1:E982))))))</f>
        <v> </v>
      </c>
      <c r="K983" s="25" t="str">
        <f>IF(OR(E983="",E983="!!!",F983="NEW"),"",INDEX(J$1:J982,SUMPRODUCT(MAX(ROW(E$1:E982)*(E983=E$1:E982)))))</f>
        <v> </v>
      </c>
      <c r="L983" s="26"/>
    </row>
    <row r="984" spans="1:12">
      <c r="A984" s="20"/>
    </row>
    <row r="985" spans="1:12">
      <c r="A985" s="20" t="s">
        <v>959</v>
      </c>
    </row>
    <row r="986" spans="1:12">
      <c r="A986" s="20" t="s">
        <v>581</v>
      </c>
      <c r="E986" s="21">
        <f>IF(D986="?OLD","!!!","")</f>
        <v/>
      </c>
      <c r="F986" s="22" t="str">
        <f>IF(OR(E986="",E986="!!!"),"",IF(NOT(ISNA(VLOOKUP(E986,E$1:E985,1,FALSE()))),"OLD",IF(AND(E986&lt;&gt;"",E986&lt;&gt;"!!!"),"NEW","")))</f>
        <v> </v>
      </c>
      <c r="G986" s="23" t="str">
        <f>IF(OR(E986="",E986="!!!"),"",IF(OR(J986=0,AND(J986=1,K986=1),AND(J986=1,I986="SBJ"),AND(J986=1,I986=0)),"?IN_FOCUS",IF(J986&lt;=2,"?ACTIVATED",IF(J986&lt;&gt;"","?FAMILIAR",IF(F986="NEW",IF(ISNA(VLOOKUP(E986,#REF!,1,FALSE())),"?TYPE_IDENTIFIABLE","?REFERENTIAL"),"_")))))</f>
        <v> </v>
      </c>
      <c r="H986" s="24" t="str">
        <f>IF(J986&lt;&gt;1,"",IF(I986="SBJ","CB","?"))</f>
        <v> </v>
      </c>
      <c r="I986" s="25" t="str">
        <f>IF(OR(E986="",E986="!!!",F986="NEW"),"",INDEX(B985:B$2,-1+SUMPRODUCT(MAX(ROW(E985:E$2)*(E986=E985:E$2)))))</f>
        <v> </v>
      </c>
      <c r="J986" s="25" t="str">
        <f>IF(OR(E986="",E986="!!!",F986="NEW"),"",COUNTBLANK(OFFSET(A$1,,,SUMPRODUCT(MAX(ROW(E$2:E986)*(E986=E$2:E986)))))-COUNTBLANK(OFFSET(A$1,,,SUMPRODUCT(MAX(ROW(E$1:E985)*(E2=E$1:E985))))))</f>
        <v> </v>
      </c>
      <c r="K986" s="25" t="str">
        <f>IF(OR(E986="",E986="!!!",F986="NEW"),"",INDEX(J$1:J985,SUMPRODUCT(MAX(ROW(E$1:E985)*(E986=E$1:E985)))))</f>
        <v> </v>
      </c>
      <c r="L986" s="26"/>
    </row>
    <row r="987" spans="1:12">
      <c r="A987" s="20" t="s">
        <v>728</v>
      </c>
      <c r="B987" s="27" t="s">
        <v>476</v>
      </c>
      <c r="C987" s="27" t="s">
        <v>497</v>
      </c>
      <c r="D987" s="27" t="s">
        <v>478</v>
      </c>
      <c r="E987" s="21">
        <f>IF(D987="?OLD","!!!","")</f>
        <v/>
      </c>
      <c r="F987" s="22" t="str">
        <f>IF(OR(E987="",E987="!!!"),"",IF(NOT(ISNA(VLOOKUP(E987,E$1:E986,1,FALSE()))),"OLD",IF(AND(E987&lt;&gt;"",E987&lt;&gt;"!!!"),"NEW","")))</f>
        <v> </v>
      </c>
      <c r="G987" s="23" t="str">
        <f>IF(OR(E987="",E987="!!!"),"",IF(OR(J987=0,AND(J987=1,K987=1),AND(J987=1,I987="SBJ"),AND(J987=1,I987=0)),"?IN_FOCUS",IF(J987&lt;=2,"?ACTIVATED",IF(J987&lt;&gt;"","?FAMILIAR",IF(F987="NEW",IF(ISNA(VLOOKUP(E987,#REF!,1,FALSE())),"?TYPE_IDENTIFIABLE","?REFERENTIAL"),"_")))))</f>
        <v> </v>
      </c>
      <c r="H987" s="24" t="str">
        <f>IF(J987&lt;&gt;1,"",IF(I987="SBJ","CB","?"))</f>
        <v> </v>
      </c>
      <c r="I987" s="25" t="str">
        <f>IF(OR(E987="",E987="!!!",F987="NEW"),"",INDEX(B986:B$2,-1+SUMPRODUCT(MAX(ROW(E986:E$2)*(E987=E986:E$2)))))</f>
        <v> </v>
      </c>
      <c r="J987" s="25" t="str">
        <f>IF(OR(E987="",E987="!!!",F987="NEW"),"",COUNTBLANK(OFFSET(A$1,,,SUMPRODUCT(MAX(ROW(E$2:E987)*(E987=E$2:E987)))))-COUNTBLANK(OFFSET(A$1,,,SUMPRODUCT(MAX(ROW(E$1:E986)*(E2=E$1:E986))))))</f>
        <v> </v>
      </c>
      <c r="K987" s="25" t="str">
        <f>IF(OR(E987="",E987="!!!",F987="NEW"),"",INDEX(J$1:J986,SUMPRODUCT(MAX(ROW(E$1:E986)*(E987=E$1:E986)))))</f>
        <v> </v>
      </c>
      <c r="L987" s="26"/>
    </row>
    <row r="988" spans="1:12">
      <c r="A988" s="20" t="s">
        <v>265</v>
      </c>
      <c r="E988" s="21">
        <f>IF(D988="?OLD","!!!","")</f>
        <v/>
      </c>
      <c r="F988" s="22" t="str">
        <f>IF(OR(E988="",E988="!!!"),"",IF(NOT(ISNA(VLOOKUP(E988,E$1:E987,1,FALSE()))),"OLD",IF(AND(E988&lt;&gt;"",E988&lt;&gt;"!!!"),"NEW","")))</f>
        <v> </v>
      </c>
      <c r="G988" s="23" t="str">
        <f>IF(OR(E988="",E988="!!!"),"",IF(OR(J988=0,AND(J988=1,K988=1),AND(J988=1,I988="SBJ"),AND(J988=1,I988=0)),"?IN_FOCUS",IF(J988&lt;=2,"?ACTIVATED",IF(J988&lt;&gt;"","?FAMILIAR",IF(F988="NEW",IF(ISNA(VLOOKUP(E988,#REF!,1,FALSE())),"?TYPE_IDENTIFIABLE","?REFERENTIAL"),"_")))))</f>
        <v> </v>
      </c>
      <c r="H988" s="24" t="str">
        <f>IF(J988&lt;&gt;1,"",IF(I988="SBJ","CB","?"))</f>
        <v> </v>
      </c>
      <c r="I988" s="25" t="str">
        <f>IF(OR(E988="",E988="!!!",F988="NEW"),"",INDEX(B987:B$2,-1+SUMPRODUCT(MAX(ROW(E987:E$2)*(E988=E987:E$2)))))</f>
        <v> </v>
      </c>
      <c r="J988" s="25" t="str">
        <f>IF(OR(E988="",E988="!!!",F988="NEW"),"",COUNTBLANK(OFFSET(A$1,,,SUMPRODUCT(MAX(ROW(E$2:E988)*(E988=E$2:E988)))))-COUNTBLANK(OFFSET(A$1,,,SUMPRODUCT(MAX(ROW(E$1:E987)*(E2=E$1:E987))))))</f>
        <v> </v>
      </c>
      <c r="K988" s="25" t="str">
        <f>IF(OR(E988="",E988="!!!",F988="NEW"),"",INDEX(J$1:J987,SUMPRODUCT(MAX(ROW(E$1:E987)*(E988=E$1:E987)))))</f>
        <v> </v>
      </c>
      <c r="L988" s="26"/>
    </row>
    <row r="989" spans="1:12">
      <c r="A989" s="20" t="s">
        <v>960</v>
      </c>
      <c r="E989" s="21">
        <f>IF(D989="?OLD","!!!","")</f>
        <v/>
      </c>
      <c r="F989" s="22" t="str">
        <f>IF(OR(E989="",E989="!!!"),"",IF(NOT(ISNA(VLOOKUP(E989,E$1:E988,1,FALSE()))),"OLD",IF(AND(E989&lt;&gt;"",E989&lt;&gt;"!!!"),"NEW","")))</f>
        <v> </v>
      </c>
      <c r="G989" s="23" t="str">
        <f>IF(OR(E989="",E989="!!!"),"",IF(OR(J989=0,AND(J989=1,K989=1),AND(J989=1,I989="SBJ"),AND(J989=1,I989=0)),"?IN_FOCUS",IF(J989&lt;=2,"?ACTIVATED",IF(J989&lt;&gt;"","?FAMILIAR",IF(F989="NEW",IF(ISNA(VLOOKUP(E989,#REF!,1,FALSE())),"?TYPE_IDENTIFIABLE","?REFERENTIAL"),"_")))))</f>
        <v> </v>
      </c>
      <c r="H989" s="24" t="str">
        <f>IF(J989&lt;&gt;1,"",IF(I989="SBJ","CB","?"))</f>
        <v> </v>
      </c>
      <c r="I989" s="25" t="str">
        <f>IF(OR(E989="",E989="!!!",F989="NEW"),"",INDEX(B988:B$2,-1+SUMPRODUCT(MAX(ROW(E988:E$2)*(E989=E988:E$2)))))</f>
        <v> </v>
      </c>
      <c r="J989" s="25" t="str">
        <f>IF(OR(E989="",E989="!!!",F989="NEW"),"",COUNTBLANK(OFFSET(A$1,,,SUMPRODUCT(MAX(ROW(E$2:E989)*(E989=E$2:E989)))))-COUNTBLANK(OFFSET(A$1,,,SUMPRODUCT(MAX(ROW(E$1:E988)*(E2=E$1:E988))))))</f>
        <v> </v>
      </c>
      <c r="K989" s="25" t="str">
        <f>IF(OR(E989="",E989="!!!",F989="NEW"),"",INDEX(J$1:J988,SUMPRODUCT(MAX(ROW(E$1:E988)*(E989=E$1:E988)))))</f>
        <v> </v>
      </c>
      <c r="L989" s="26"/>
    </row>
    <row r="990" spans="1:12">
      <c r="A990" s="20" t="s">
        <v>961</v>
      </c>
      <c r="E990" s="21">
        <f>IF(D990="?OLD","!!!","")</f>
        <v/>
      </c>
      <c r="F990" s="22" t="str">
        <f>IF(OR(E990="",E990="!!!"),"",IF(NOT(ISNA(VLOOKUP(E990,E$1:E989,1,FALSE()))),"OLD",IF(AND(E990&lt;&gt;"",E990&lt;&gt;"!!!"),"NEW","")))</f>
        <v> </v>
      </c>
      <c r="G990" s="23" t="str">
        <f>IF(OR(E990="",E990="!!!"),"",IF(OR(J990=0,AND(J990=1,K990=1),AND(J990=1,I990="SBJ"),AND(J990=1,I990=0)),"?IN_FOCUS",IF(J990&lt;=2,"?ACTIVATED",IF(J990&lt;&gt;"","?FAMILIAR",IF(F990="NEW",IF(ISNA(VLOOKUP(E990,#REF!,1,FALSE())),"?TYPE_IDENTIFIABLE","?REFERENTIAL"),"_")))))</f>
        <v> </v>
      </c>
      <c r="H990" s="24" t="str">
        <f>IF(J990&lt;&gt;1,"",IF(I990="SBJ","CB","?"))</f>
        <v> </v>
      </c>
      <c r="I990" s="25" t="str">
        <f>IF(OR(E990="",E990="!!!",F990="NEW"),"",INDEX(B989:B$2,-1+SUMPRODUCT(MAX(ROW(E989:E$2)*(E990=E989:E$2)))))</f>
        <v> </v>
      </c>
      <c r="J990" s="25" t="str">
        <f>IF(OR(E990="",E990="!!!",F990="NEW"),"",COUNTBLANK(OFFSET(A$1,,,SUMPRODUCT(MAX(ROW(E$2:E990)*(E990=E$2:E990)))))-COUNTBLANK(OFFSET(A$1,,,SUMPRODUCT(MAX(ROW(E$1:E989)*(E2=E$1:E989))))))</f>
        <v> </v>
      </c>
      <c r="K990" s="25" t="str">
        <f>IF(OR(E990="",E990="!!!",F990="NEW"),"",INDEX(J$1:J989,SUMPRODUCT(MAX(ROW(E$1:E989)*(E990=E$1:E989)))))</f>
        <v> </v>
      </c>
      <c r="L990" s="26"/>
    </row>
    <row r="991" spans="1:12">
      <c r="A991" s="20" t="s">
        <v>724</v>
      </c>
      <c r="E991" s="21">
        <f>IF(D991="?OLD","!!!","")</f>
        <v/>
      </c>
      <c r="F991" s="22" t="str">
        <f>IF(OR(E991="",E991="!!!"),"",IF(NOT(ISNA(VLOOKUP(E991,E$1:E990,1,FALSE()))),"OLD",IF(AND(E991&lt;&gt;"",E991&lt;&gt;"!!!"),"NEW","")))</f>
        <v> </v>
      </c>
      <c r="G991" s="23" t="str">
        <f>IF(OR(E991="",E991="!!!"),"",IF(OR(J991=0,AND(J991=1,K991=1),AND(J991=1,I991="SBJ"),AND(J991=1,I991=0)),"?IN_FOCUS",IF(J991&lt;=2,"?ACTIVATED",IF(J991&lt;&gt;"","?FAMILIAR",IF(F991="NEW",IF(ISNA(VLOOKUP(E991,#REF!,1,FALSE())),"?TYPE_IDENTIFIABLE","?REFERENTIAL"),"_")))))</f>
        <v> </v>
      </c>
      <c r="H991" s="24" t="str">
        <f>IF(J991&lt;&gt;1,"",IF(I991="SBJ","CB","?"))</f>
        <v> </v>
      </c>
      <c r="I991" s="25" t="str">
        <f>IF(OR(E991="",E991="!!!",F991="NEW"),"",INDEX(B990:B$2,-1+SUMPRODUCT(MAX(ROW(E990:E$2)*(E991=E990:E$2)))))</f>
        <v> </v>
      </c>
      <c r="J991" s="25" t="str">
        <f>IF(OR(E991="",E991="!!!",F991="NEW"),"",COUNTBLANK(OFFSET(A$1,,,SUMPRODUCT(MAX(ROW(E$2:E991)*(E991=E$2:E991)))))-COUNTBLANK(OFFSET(A$1,,,SUMPRODUCT(MAX(ROW(E$1:E990)*(E2=E$1:E990))))))</f>
        <v> </v>
      </c>
      <c r="K991" s="25" t="str">
        <f>IF(OR(E991="",E991="!!!",F991="NEW"),"",INDEX(J$1:J990,SUMPRODUCT(MAX(ROW(E$1:E990)*(E991=E$1:E990)))))</f>
        <v> </v>
      </c>
      <c r="L991" s="26"/>
    </row>
    <row r="992" spans="1:12">
      <c r="A992" s="20" t="s">
        <v>962</v>
      </c>
      <c r="B992" s="27" t="s">
        <v>473</v>
      </c>
      <c r="C992" s="27" t="s">
        <v>477</v>
      </c>
      <c r="D992" s="27" t="s">
        <v>478</v>
      </c>
      <c r="E992" s="21">
        <f>IF(D992="?OLD","!!!","")</f>
        <v/>
      </c>
      <c r="F992" s="22" t="str">
        <f>IF(OR(E992="",E992="!!!"),"",IF(NOT(ISNA(VLOOKUP(E992,E$1:E991,1,FALSE()))),"OLD",IF(AND(E992&lt;&gt;"",E992&lt;&gt;"!!!"),"NEW","")))</f>
        <v> </v>
      </c>
      <c r="G992" s="23" t="str">
        <f>IF(OR(E992="",E992="!!!"),"",IF(OR(J992=0,AND(J992=1,K992=1),AND(J992=1,I992="SBJ"),AND(J992=1,I992=0)),"?IN_FOCUS",IF(J992&lt;=2,"?ACTIVATED",IF(J992&lt;&gt;"","?FAMILIAR",IF(F992="NEW",IF(ISNA(VLOOKUP(E992,#REF!,1,FALSE())),"?TYPE_IDENTIFIABLE","?REFERENTIAL"),"_")))))</f>
        <v> </v>
      </c>
      <c r="H992" s="24" t="str">
        <f>IF(J992&lt;&gt;1,"",IF(I992="SBJ","CB","?"))</f>
        <v> </v>
      </c>
      <c r="I992" s="25" t="str">
        <f>IF(OR(E992="",E992="!!!",F992="NEW"),"",INDEX(B991:B$2,-1+SUMPRODUCT(MAX(ROW(E991:E$2)*(E992=E991:E$2)))))</f>
        <v> </v>
      </c>
      <c r="J992" s="25" t="str">
        <f>IF(OR(E992="",E992="!!!",F992="NEW"),"",COUNTBLANK(OFFSET(A$1,,,SUMPRODUCT(MAX(ROW(E$2:E992)*(E992=E$2:E992)))))-COUNTBLANK(OFFSET(A$1,,,SUMPRODUCT(MAX(ROW(E$1:E991)*(E2=E$1:E991))))))</f>
        <v> </v>
      </c>
      <c r="K992" s="25" t="str">
        <f>IF(OR(E992="",E992="!!!",F992="NEW"),"",INDEX(J$1:J991,SUMPRODUCT(MAX(ROW(E$1:E991)*(E992=E$1:E991)))))</f>
        <v> </v>
      </c>
      <c r="L992" s="26"/>
    </row>
    <row r="993" spans="1:12">
      <c r="A993" s="20" t="s">
        <v>482</v>
      </c>
      <c r="E993" s="21">
        <f>IF(D993="?OLD","!!!","")</f>
        <v/>
      </c>
      <c r="F993" s="22" t="str">
        <f>IF(OR(E993="",E993="!!!"),"",IF(NOT(ISNA(VLOOKUP(E993,E$1:E992,1,FALSE()))),"OLD",IF(AND(E993&lt;&gt;"",E993&lt;&gt;"!!!"),"NEW","")))</f>
        <v> </v>
      </c>
      <c r="G993" s="23" t="str">
        <f>IF(OR(E993="",E993="!!!"),"",IF(OR(J993=0,AND(J993=1,K993=1),AND(J993=1,I993="SBJ"),AND(J993=1,I993=0)),"?IN_FOCUS",IF(J993&lt;=2,"?ACTIVATED",IF(J993&lt;&gt;"","?FAMILIAR",IF(F993="NEW",IF(ISNA(VLOOKUP(E993,#REF!,1,FALSE())),"?TYPE_IDENTIFIABLE","?REFERENTIAL"),"_")))))</f>
        <v> </v>
      </c>
      <c r="H993" s="24" t="str">
        <f>IF(J993&lt;&gt;1,"",IF(I993="SBJ","CB","?"))</f>
        <v> </v>
      </c>
      <c r="I993" s="25" t="str">
        <f>IF(OR(E993="",E993="!!!",F993="NEW"),"",INDEX(B992:B$2,-1+SUMPRODUCT(MAX(ROW(E992:E$2)*(E993=E992:E$2)))))</f>
        <v> </v>
      </c>
      <c r="J993" s="25" t="str">
        <f>IF(OR(E993="",E993="!!!",F993="NEW"),"",COUNTBLANK(OFFSET(A$1,,,SUMPRODUCT(MAX(ROW(E$2:E993)*(E993=E$2:E993)))))-COUNTBLANK(OFFSET(A$1,,,SUMPRODUCT(MAX(ROW(E$1:E992)*(E2=E$1:E992))))))</f>
        <v> </v>
      </c>
      <c r="K993" s="25" t="str">
        <f>IF(OR(E993="",E993="!!!",F993="NEW"),"",INDEX(J$1:J992,SUMPRODUCT(MAX(ROW(E$1:E992)*(E993=E$1:E992)))))</f>
        <v> </v>
      </c>
      <c r="L993" s="26"/>
    </row>
    <row r="994" spans="1:12">
      <c r="A994" s="20" t="s">
        <v>963</v>
      </c>
      <c r="E994" s="21">
        <f>IF(D994="?OLD","!!!","")</f>
        <v/>
      </c>
      <c r="F994" s="22" t="str">
        <f>IF(OR(E994="",E994="!!!"),"",IF(NOT(ISNA(VLOOKUP(E994,E$1:E993,1,FALSE()))),"OLD",IF(AND(E994&lt;&gt;"",E994&lt;&gt;"!!!"),"NEW","")))</f>
        <v> </v>
      </c>
      <c r="G994" s="23" t="str">
        <f>IF(OR(E994="",E994="!!!"),"",IF(OR(J994=0,AND(J994=1,K994=1),AND(J994=1,I994="SBJ"),AND(J994=1,I994=0)),"?IN_FOCUS",IF(J994&lt;=2,"?ACTIVATED",IF(J994&lt;&gt;"","?FAMILIAR",IF(F994="NEW",IF(ISNA(VLOOKUP(E994,#REF!,1,FALSE())),"?TYPE_IDENTIFIABLE","?REFERENTIAL"),"_")))))</f>
        <v> </v>
      </c>
      <c r="H994" s="24" t="str">
        <f>IF(J994&lt;&gt;1,"",IF(I994="SBJ","CB","?"))</f>
        <v> </v>
      </c>
      <c r="I994" s="25" t="str">
        <f>IF(OR(E994="",E994="!!!",F994="NEW"),"",INDEX(B993:B$2,-1+SUMPRODUCT(MAX(ROW(E993:E$2)*(E994=E993:E$2)))))</f>
        <v> </v>
      </c>
      <c r="J994" s="25" t="str">
        <f>IF(OR(E994="",E994="!!!",F994="NEW"),"",COUNTBLANK(OFFSET(A$1,,,SUMPRODUCT(MAX(ROW(E$2:E994)*(E994=E$2:E994)))))-COUNTBLANK(OFFSET(A$1,,,SUMPRODUCT(MAX(ROW(E$1:E993)*(E2=E$1:E993))))))</f>
        <v> </v>
      </c>
      <c r="K994" s="25" t="str">
        <f>IF(OR(E994="",E994="!!!",F994="NEW"),"",INDEX(J$1:J993,SUMPRODUCT(MAX(ROW(E$1:E993)*(E994=E$1:E993)))))</f>
        <v> </v>
      </c>
      <c r="L994" s="26"/>
    </row>
    <row r="995" spans="1:12">
      <c r="A995" s="20" t="s">
        <v>964</v>
      </c>
      <c r="E995" s="21">
        <f>IF(D995="?OLD","!!!","")</f>
        <v/>
      </c>
      <c r="F995" s="22" t="str">
        <f>IF(OR(E995="",E995="!!!"),"",IF(NOT(ISNA(VLOOKUP(E995,E$1:E994,1,FALSE()))),"OLD",IF(AND(E995&lt;&gt;"",E995&lt;&gt;"!!!"),"NEW","")))</f>
        <v> </v>
      </c>
      <c r="G995" s="23" t="str">
        <f>IF(OR(E995="",E995="!!!"),"",IF(OR(J995=0,AND(J995=1,K995=1),AND(J995=1,I995="SBJ"),AND(J995=1,I995=0)),"?IN_FOCUS",IF(J995&lt;=2,"?ACTIVATED",IF(J995&lt;&gt;"","?FAMILIAR",IF(F995="NEW",IF(ISNA(VLOOKUP(E995,#REF!,1,FALSE())),"?TYPE_IDENTIFIABLE","?REFERENTIAL"),"_")))))</f>
        <v> </v>
      </c>
      <c r="H995" s="24" t="str">
        <f>IF(J995&lt;&gt;1,"",IF(I995="SBJ","CB","?"))</f>
        <v> </v>
      </c>
      <c r="I995" s="25" t="str">
        <f>IF(OR(E995="",E995="!!!",F995="NEW"),"",INDEX(B994:B$2,-1+SUMPRODUCT(MAX(ROW(E994:E$2)*(E995=E994:E$2)))))</f>
        <v> </v>
      </c>
      <c r="J995" s="25" t="str">
        <f>IF(OR(E995="",E995="!!!",F995="NEW"),"",COUNTBLANK(OFFSET(A$1,,,SUMPRODUCT(MAX(ROW(E$2:E995)*(E995=E$2:E995)))))-COUNTBLANK(OFFSET(A$1,,,SUMPRODUCT(MAX(ROW(E$1:E994)*(E2=E$1:E994))))))</f>
        <v> </v>
      </c>
      <c r="K995" s="25" t="str">
        <f>IF(OR(E995="",E995="!!!",F995="NEW"),"",INDEX(J$1:J994,SUMPRODUCT(MAX(ROW(E$1:E994)*(E995=E$1:E994)))))</f>
        <v> </v>
      </c>
      <c r="L995" s="26"/>
    </row>
    <row r="996" spans="1:12">
      <c r="A996" s="20" t="s">
        <v>482</v>
      </c>
      <c r="E996" s="21">
        <f>IF(D996="?OLD","!!!","")</f>
        <v/>
      </c>
      <c r="F996" s="22" t="str">
        <f>IF(OR(E996="",E996="!!!"),"",IF(NOT(ISNA(VLOOKUP(E996,E$1:E995,1,FALSE()))),"OLD",IF(AND(E996&lt;&gt;"",E996&lt;&gt;"!!!"),"NEW","")))</f>
        <v> </v>
      </c>
      <c r="G996" s="23" t="str">
        <f>IF(OR(E996="",E996="!!!"),"",IF(OR(J996=0,AND(J996=1,K996=1),AND(J996=1,I996="SBJ"),AND(J996=1,I996=0)),"?IN_FOCUS",IF(J996&lt;=2,"?ACTIVATED",IF(J996&lt;&gt;"","?FAMILIAR",IF(F996="NEW",IF(ISNA(VLOOKUP(E996,#REF!,1,FALSE())),"?TYPE_IDENTIFIABLE","?REFERENTIAL"),"_")))))</f>
        <v> </v>
      </c>
      <c r="H996" s="24" t="str">
        <f>IF(J996&lt;&gt;1,"",IF(I996="SBJ","CB","?"))</f>
        <v> </v>
      </c>
      <c r="I996" s="25" t="str">
        <f>IF(OR(E996="",E996="!!!",F996="NEW"),"",INDEX(B995:B$2,-1+SUMPRODUCT(MAX(ROW(E995:E$2)*(E996=E995:E$2)))))</f>
        <v> </v>
      </c>
      <c r="J996" s="25" t="str">
        <f>IF(OR(E996="",E996="!!!",F996="NEW"),"",COUNTBLANK(OFFSET(A$1,,,SUMPRODUCT(MAX(ROW(E$2:E996)*(E996=E$2:E996)))))-COUNTBLANK(OFFSET(A$1,,,SUMPRODUCT(MAX(ROW(E$1:E995)*(E2=E$1:E995))))))</f>
        <v> </v>
      </c>
      <c r="K996" s="25" t="str">
        <f>IF(OR(E996="",E996="!!!",F996="NEW"),"",INDEX(J$1:J995,SUMPRODUCT(MAX(ROW(E$1:E995)*(E996=E$1:E995)))))</f>
        <v> </v>
      </c>
      <c r="L996" s="26"/>
    </row>
    <row r="997" spans="1:12">
      <c r="A997" s="20" t="s">
        <v>905</v>
      </c>
      <c r="E997" s="21">
        <f>IF(D997="?OLD","!!!","")</f>
        <v/>
      </c>
      <c r="F997" s="22" t="str">
        <f>IF(OR(E997="",E997="!!!"),"",IF(NOT(ISNA(VLOOKUP(E997,E$1:E996,1,FALSE()))),"OLD",IF(AND(E997&lt;&gt;"",E997&lt;&gt;"!!!"),"NEW","")))</f>
        <v> </v>
      </c>
      <c r="G997" s="23" t="str">
        <f>IF(OR(E997="",E997="!!!"),"",IF(OR(J997=0,AND(J997=1,K997=1),AND(J997=1,I997="SBJ"),AND(J997=1,I997=0)),"?IN_FOCUS",IF(J997&lt;=2,"?ACTIVATED",IF(J997&lt;&gt;"","?FAMILIAR",IF(F997="NEW",IF(ISNA(VLOOKUP(E997,#REF!,1,FALSE())),"?TYPE_IDENTIFIABLE","?REFERENTIAL"),"_")))))</f>
        <v> </v>
      </c>
      <c r="H997" s="24" t="str">
        <f>IF(J997&lt;&gt;1,"",IF(I997="SBJ","CB","?"))</f>
        <v> </v>
      </c>
      <c r="I997" s="25" t="str">
        <f>IF(OR(E997="",E997="!!!",F997="NEW"),"",INDEX(B996:B$2,-1+SUMPRODUCT(MAX(ROW(E996:E$2)*(E997=E996:E$2)))))</f>
        <v> </v>
      </c>
      <c r="J997" s="25" t="str">
        <f>IF(OR(E997="",E997="!!!",F997="NEW"),"",COUNTBLANK(OFFSET(A$1,,,SUMPRODUCT(MAX(ROW(E$2:E997)*(E997=E$2:E997)))))-COUNTBLANK(OFFSET(A$1,,,SUMPRODUCT(MAX(ROW(E$1:E996)*(E2=E$1:E996))))))</f>
        <v> </v>
      </c>
      <c r="K997" s="25" t="str">
        <f>IF(OR(E997="",E997="!!!",F997="NEW"),"",INDEX(J$1:J996,SUMPRODUCT(MAX(ROW(E$1:E996)*(E997=E$1:E996)))))</f>
        <v> </v>
      </c>
      <c r="L997" s="26"/>
    </row>
    <row r="998" spans="1:12">
      <c r="A998" s="20" t="s">
        <v>892</v>
      </c>
      <c r="E998" s="21">
        <f>IF(D998="?OLD","!!!","")</f>
        <v/>
      </c>
      <c r="F998" s="22" t="str">
        <f>IF(OR(E998="",E998="!!!"),"",IF(NOT(ISNA(VLOOKUP(E998,E$1:E997,1,FALSE()))),"OLD",IF(AND(E998&lt;&gt;"",E998&lt;&gt;"!!!"),"NEW","")))</f>
        <v> </v>
      </c>
      <c r="G998" s="23" t="str">
        <f>IF(OR(E998="",E998="!!!"),"",IF(OR(J998=0,AND(J998=1,K998=1),AND(J998=1,I998="SBJ"),AND(J998=1,I998=0)),"?IN_FOCUS",IF(J998&lt;=2,"?ACTIVATED",IF(J998&lt;&gt;"","?FAMILIAR",IF(F998="NEW",IF(ISNA(VLOOKUP(E998,#REF!,1,FALSE())),"?TYPE_IDENTIFIABLE","?REFERENTIAL"),"_")))))</f>
        <v> </v>
      </c>
      <c r="H998" s="24" t="str">
        <f>IF(J998&lt;&gt;1,"",IF(I998="SBJ","CB","?"))</f>
        <v> </v>
      </c>
      <c r="I998" s="25" t="str">
        <f>IF(OR(E998="",E998="!!!",F998="NEW"),"",INDEX(B997:B$2,-1+SUMPRODUCT(MAX(ROW(E997:E$2)*(E998=E997:E$2)))))</f>
        <v> </v>
      </c>
      <c r="J998" s="25" t="str">
        <f>IF(OR(E998="",E998="!!!",F998="NEW"),"",COUNTBLANK(OFFSET(A$1,,,SUMPRODUCT(MAX(ROW(E$2:E998)*(E998=E$2:E998)))))-COUNTBLANK(OFFSET(A$1,,,SUMPRODUCT(MAX(ROW(E$1:E997)*(E2=E$1:E997))))))</f>
        <v> </v>
      </c>
      <c r="K998" s="25" t="str">
        <f>IF(OR(E998="",E998="!!!",F998="NEW"),"",INDEX(J$1:J997,SUMPRODUCT(MAX(ROW(E$1:E997)*(E998=E$1:E997)))))</f>
        <v> </v>
      </c>
      <c r="L998" s="26"/>
    </row>
    <row r="999" spans="1:12">
      <c r="A999" s="20" t="s">
        <v>210</v>
      </c>
      <c r="E999" s="21">
        <f>IF(D999="?OLD","!!!","")</f>
        <v/>
      </c>
      <c r="F999" s="22" t="str">
        <f>IF(OR(E999="",E999="!!!"),"",IF(NOT(ISNA(VLOOKUP(E999,E$1:E998,1,FALSE()))),"OLD",IF(AND(E999&lt;&gt;"",E999&lt;&gt;"!!!"),"NEW","")))</f>
        <v> </v>
      </c>
      <c r="G999" s="23" t="str">
        <f>IF(OR(E999="",E999="!!!"),"",IF(OR(J999=0,AND(J999=1,K999=1),AND(J999=1,I999="SBJ"),AND(J999=1,I999=0)),"?IN_FOCUS",IF(J999&lt;=2,"?ACTIVATED",IF(J999&lt;&gt;"","?FAMILIAR",IF(F999="NEW",IF(ISNA(VLOOKUP(E999,#REF!,1,FALSE())),"?TYPE_IDENTIFIABLE","?REFERENTIAL"),"_")))))</f>
        <v> </v>
      </c>
      <c r="H999" s="24" t="str">
        <f>IF(J999&lt;&gt;1,"",IF(I999="SBJ","CB","?"))</f>
        <v> </v>
      </c>
      <c r="I999" s="25" t="str">
        <f>IF(OR(E999="",E999="!!!",F999="NEW"),"",INDEX(B998:B$2,-1+SUMPRODUCT(MAX(ROW(E998:E$2)*(E999=E998:E$2)))))</f>
        <v> </v>
      </c>
      <c r="J999" s="25" t="str">
        <f>IF(OR(E999="",E999="!!!",F999="NEW"),"",COUNTBLANK(OFFSET(A$1,,,SUMPRODUCT(MAX(ROW(E$2:E999)*(E999=E$2:E999)))))-COUNTBLANK(OFFSET(A$1,,,SUMPRODUCT(MAX(ROW(E$1:E998)*(E2=E$1:E998))))))</f>
        <v> </v>
      </c>
      <c r="K999" s="25" t="str">
        <f>IF(OR(E999="",E999="!!!",F999="NEW"),"",INDEX(J$1:J998,SUMPRODUCT(MAX(ROW(E$1:E998)*(E999=E$1:E998)))))</f>
        <v> </v>
      </c>
      <c r="L999" s="26"/>
    </row>
    <row r="1000" spans="1:12">
      <c r="A1000" s="20" t="s">
        <v>253</v>
      </c>
      <c r="E1000" s="21">
        <f>IF(D1000="?OLD","!!!","")</f>
        <v/>
      </c>
      <c r="F1000" s="22" t="str">
        <f>IF(OR(E1000="",E1000="!!!"),"",IF(NOT(ISNA(VLOOKUP(E1000,E$1:E999,1,FALSE()))),"OLD",IF(AND(E1000&lt;&gt;"",E1000&lt;&gt;"!!!"),"NEW","")))</f>
        <v> </v>
      </c>
      <c r="G1000" s="23" t="str">
        <f>IF(OR(E1000="",E1000="!!!"),"",IF(OR(J1000=0,AND(J1000=1,K1000=1),AND(J1000=1,I1000="SBJ"),AND(J1000=1,I1000=0)),"?IN_FOCUS",IF(J1000&lt;=2,"?ACTIVATED",IF(J1000&lt;&gt;"","?FAMILIAR",IF(F1000="NEW",IF(ISNA(VLOOKUP(E1000,#REF!,1,FALSE())),"?TYPE_IDENTIFIABLE","?REFERENTIAL"),"_")))))</f>
        <v> </v>
      </c>
      <c r="H1000" s="24" t="str">
        <f>IF(J1000&lt;&gt;1,"",IF(I1000="SBJ","CB","?"))</f>
        <v> </v>
      </c>
      <c r="I1000" s="25" t="str">
        <f>IF(OR(E1000="",E1000="!!!",F1000="NEW"),"",INDEX(B999:B$2,-1+SUMPRODUCT(MAX(ROW(E999:E$2)*(E1000=E999:E$2)))))</f>
        <v> </v>
      </c>
      <c r="J1000" s="25" t="str">
        <f>IF(OR(E1000="",E1000="!!!",F1000="NEW"),"",COUNTBLANK(OFFSET(A$1,,,SUMPRODUCT(MAX(ROW(E$2:E1000)*(E1000=E$2:E1000)))))-COUNTBLANK(OFFSET(A$1,,,SUMPRODUCT(MAX(ROW(E$1:E999)*(E2=E$1:E999))))))</f>
        <v> </v>
      </c>
      <c r="K1000" s="25" t="str">
        <f>IF(OR(E1000="",E1000="!!!",F1000="NEW"),"",INDEX(J$1:J999,SUMPRODUCT(MAX(ROW(E$1:E999)*(E1000=E$1:E999)))))</f>
        <v> </v>
      </c>
      <c r="L1000" s="26"/>
    </row>
    <row r="1001" spans="1:12">
      <c r="A1001" s="20"/>
    </row>
    <row r="1002" spans="1:12">
      <c r="A1002" s="20" t="s">
        <v>965</v>
      </c>
    </row>
    <row r="1003" spans="1:12">
      <c r="A1003" s="20" t="s">
        <v>966</v>
      </c>
      <c r="E1003" s="21">
        <f>IF(D1003="?OLD","!!!","")</f>
        <v/>
      </c>
      <c r="F1003" s="22" t="str">
        <f>IF(OR(E1003="",E1003="!!!"),"",IF(NOT(ISNA(VLOOKUP(E1003,E$1:E1002,1,FALSE()))),"OLD",IF(AND(E1003&lt;&gt;"",E1003&lt;&gt;"!!!"),"NEW","")))</f>
        <v> </v>
      </c>
      <c r="G1003" s="23" t="str">
        <f>IF(OR(E1003="",E1003="!!!"),"",IF(OR(J1003=0,AND(J1003=1,K1003=1),AND(J1003=1,I1003="SBJ"),AND(J1003=1,I1003=0)),"?IN_FOCUS",IF(J1003&lt;=2,"?ACTIVATED",IF(J1003&lt;&gt;"","?FAMILIAR",IF(F1003="NEW",IF(ISNA(VLOOKUP(E1003,#REF!,1,FALSE())),"?TYPE_IDENTIFIABLE","?REFERENTIAL"),"_")))))</f>
        <v> </v>
      </c>
      <c r="H1003" s="24" t="str">
        <f>IF(J1003&lt;&gt;1,"",IF(I1003="SBJ","CB","?"))</f>
        <v> </v>
      </c>
      <c r="I1003" s="25" t="str">
        <f>IF(OR(E1003="",E1003="!!!",F1003="NEW"),"",INDEX(B1002:B$2,-1+SUMPRODUCT(MAX(ROW(E1002:E$2)*(E1003=E1002:E$2)))))</f>
        <v> </v>
      </c>
      <c r="J1003" s="25" t="str">
        <f>IF(OR(E1003="",E1003="!!!",F1003="NEW"),"",COUNTBLANK(OFFSET(A$1,,,SUMPRODUCT(MAX(ROW(E$2:E1003)*(E1003=E$2:E1003)))))-COUNTBLANK(OFFSET(A$1,,,SUMPRODUCT(MAX(ROW(E$1:E1002)*(E2=E$1:E1002))))))</f>
        <v> </v>
      </c>
      <c r="K1003" s="25" t="str">
        <f>IF(OR(E1003="",E1003="!!!",F1003="NEW"),"",INDEX(J$1:J1002,SUMPRODUCT(MAX(ROW(E$1:E1002)*(E1003=E$1:E1002)))))</f>
        <v> </v>
      </c>
      <c r="L1003" s="26"/>
    </row>
    <row r="1004" spans="1:12">
      <c r="A1004" s="20" t="s">
        <v>927</v>
      </c>
      <c r="B1004" s="27" t="s">
        <v>476</v>
      </c>
      <c r="C1004" s="27" t="s">
        <v>690</v>
      </c>
      <c r="D1004" s="27" t="s">
        <v>478</v>
      </c>
      <c r="E1004" s="21">
        <f>IF(D1004="?OLD","!!!","")</f>
        <v/>
      </c>
      <c r="F1004" s="22" t="str">
        <f>IF(OR(E1004="",E1004="!!!"),"",IF(NOT(ISNA(VLOOKUP(E1004,E$1:E1003,1,FALSE()))),"OLD",IF(AND(E1004&lt;&gt;"",E1004&lt;&gt;"!!!"),"NEW","")))</f>
        <v> </v>
      </c>
      <c r="G1004" s="23" t="str">
        <f>IF(OR(E1004="",E1004="!!!"),"",IF(OR(J1004=0,AND(J1004=1,K1004=1),AND(J1004=1,I1004="SBJ"),AND(J1004=1,I1004=0)),"?IN_FOCUS",IF(J1004&lt;=2,"?ACTIVATED",IF(J1004&lt;&gt;"","?FAMILIAR",IF(F1004="NEW",IF(ISNA(VLOOKUP(E1004,#REF!,1,FALSE())),"?TYPE_IDENTIFIABLE","?REFERENTIAL"),"_")))))</f>
        <v> </v>
      </c>
      <c r="H1004" s="24" t="str">
        <f>IF(J1004&lt;&gt;1,"",IF(I1004="SBJ","CB","?"))</f>
        <v> </v>
      </c>
      <c r="I1004" s="25" t="str">
        <f>IF(OR(E1004="",E1004="!!!",F1004="NEW"),"",INDEX(B1003:B$2,-1+SUMPRODUCT(MAX(ROW(E1003:E$2)*(E1004=E1003:E$2)))))</f>
        <v> </v>
      </c>
      <c r="J1004" s="25" t="str">
        <f>IF(OR(E1004="",E1004="!!!",F1004="NEW"),"",COUNTBLANK(OFFSET(A$1,,,SUMPRODUCT(MAX(ROW(E$2:E1004)*(E1004=E$2:E1004)))))-COUNTBLANK(OFFSET(A$1,,,SUMPRODUCT(MAX(ROW(E$1:E1003)*(E2=E$1:E1003))))))</f>
        <v> </v>
      </c>
      <c r="K1004" s="25" t="str">
        <f>IF(OR(E1004="",E1004="!!!",F1004="NEW"),"",INDEX(J$1:J1003,SUMPRODUCT(MAX(ROW(E$1:E1003)*(E1004=E$1:E1003)))))</f>
        <v> </v>
      </c>
      <c r="L1004" s="26"/>
    </row>
    <row r="1005" spans="1:12">
      <c r="A1005" s="20" t="s">
        <v>588</v>
      </c>
      <c r="E1005" s="21">
        <f>IF(D1005="?OLD","!!!","")</f>
        <v/>
      </c>
      <c r="F1005" s="22" t="str">
        <f>IF(OR(E1005="",E1005="!!!"),"",IF(NOT(ISNA(VLOOKUP(E1005,E$1:E1004,1,FALSE()))),"OLD",IF(AND(E1005&lt;&gt;"",E1005&lt;&gt;"!!!"),"NEW","")))</f>
        <v> </v>
      </c>
      <c r="G1005" s="23" t="str">
        <f>IF(OR(E1005="",E1005="!!!"),"",IF(OR(J1005=0,AND(J1005=1,K1005=1),AND(J1005=1,I1005="SBJ"),AND(J1005=1,I1005=0)),"?IN_FOCUS",IF(J1005&lt;=2,"?ACTIVATED",IF(J1005&lt;&gt;"","?FAMILIAR",IF(F1005="NEW",IF(ISNA(VLOOKUP(E1005,#REF!,1,FALSE())),"?TYPE_IDENTIFIABLE","?REFERENTIAL"),"_")))))</f>
        <v> </v>
      </c>
      <c r="H1005" s="24" t="str">
        <f>IF(J1005&lt;&gt;1,"",IF(I1005="SBJ","CB","?"))</f>
        <v> </v>
      </c>
      <c r="I1005" s="25" t="str">
        <f>IF(OR(E1005="",E1005="!!!",F1005="NEW"),"",INDEX(B1004:B$2,-1+SUMPRODUCT(MAX(ROW(E1004:E$2)*(E1005=E1004:E$2)))))</f>
        <v> </v>
      </c>
      <c r="J1005" s="25" t="str">
        <f>IF(OR(E1005="",E1005="!!!",F1005="NEW"),"",COUNTBLANK(OFFSET(A$1,,,SUMPRODUCT(MAX(ROW(E$2:E1005)*(E1005=E$2:E1005)))))-COUNTBLANK(OFFSET(A$1,,,SUMPRODUCT(MAX(ROW(E$1:E1004)*(E2=E$1:E1004))))))</f>
        <v> </v>
      </c>
      <c r="K1005" s="25" t="str">
        <f>IF(OR(E1005="",E1005="!!!",F1005="NEW"),"",INDEX(J$1:J1004,SUMPRODUCT(MAX(ROW(E$1:E1004)*(E1005=E$1:E1004)))))</f>
        <v> </v>
      </c>
      <c r="L1005" s="26"/>
    </row>
    <row r="1006" spans="1:12">
      <c r="A1006" s="20" t="s">
        <v>724</v>
      </c>
      <c r="E1006" s="21">
        <f>IF(D1006="?OLD","!!!","")</f>
        <v/>
      </c>
      <c r="F1006" s="22" t="str">
        <f>IF(OR(E1006="",E1006="!!!"),"",IF(NOT(ISNA(VLOOKUP(E1006,E$1:E1005,1,FALSE()))),"OLD",IF(AND(E1006&lt;&gt;"",E1006&lt;&gt;"!!!"),"NEW","")))</f>
        <v> </v>
      </c>
      <c r="G1006" s="23" t="str">
        <f>IF(OR(E1006="",E1006="!!!"),"",IF(OR(J1006=0,AND(J1006=1,K1006=1),AND(J1006=1,I1006="SBJ"),AND(J1006=1,I1006=0)),"?IN_FOCUS",IF(J1006&lt;=2,"?ACTIVATED",IF(J1006&lt;&gt;"","?FAMILIAR",IF(F1006="NEW",IF(ISNA(VLOOKUP(E1006,#REF!,1,FALSE())),"?TYPE_IDENTIFIABLE","?REFERENTIAL"),"_")))))</f>
        <v> </v>
      </c>
      <c r="H1006" s="24" t="str">
        <f>IF(J1006&lt;&gt;1,"",IF(I1006="SBJ","CB","?"))</f>
        <v> </v>
      </c>
      <c r="I1006" s="25" t="str">
        <f>IF(OR(E1006="",E1006="!!!",F1006="NEW"),"",INDEX(B1005:B$2,-1+SUMPRODUCT(MAX(ROW(E1005:E$2)*(E1006=E1005:E$2)))))</f>
        <v> </v>
      </c>
      <c r="J1006" s="25" t="str">
        <f>IF(OR(E1006="",E1006="!!!",F1006="NEW"),"",COUNTBLANK(OFFSET(A$1,,,SUMPRODUCT(MAX(ROW(E$2:E1006)*(E1006=E$2:E1006)))))-COUNTBLANK(OFFSET(A$1,,,SUMPRODUCT(MAX(ROW(E$1:E1005)*(E2=E$1:E1005))))))</f>
        <v> </v>
      </c>
      <c r="K1006" s="25" t="str">
        <f>IF(OR(E1006="",E1006="!!!",F1006="NEW"),"",INDEX(J$1:J1005,SUMPRODUCT(MAX(ROW(E$1:E1005)*(E1006=E$1:E1005)))))</f>
        <v> </v>
      </c>
      <c r="L1006" s="26"/>
    </row>
    <row r="1007" spans="1:12">
      <c r="A1007" s="20" t="s">
        <v>967</v>
      </c>
      <c r="E1007" s="21">
        <f>IF(D1007="?OLD","!!!","")</f>
        <v/>
      </c>
      <c r="F1007" s="22" t="str">
        <f>IF(OR(E1007="",E1007="!!!"),"",IF(NOT(ISNA(VLOOKUP(E1007,E$1:E1006,1,FALSE()))),"OLD",IF(AND(E1007&lt;&gt;"",E1007&lt;&gt;"!!!"),"NEW","")))</f>
        <v> </v>
      </c>
      <c r="G1007" s="23" t="str">
        <f>IF(OR(E1007="",E1007="!!!"),"",IF(OR(J1007=0,AND(J1007=1,K1007=1),AND(J1007=1,I1007="SBJ"),AND(J1007=1,I1007=0)),"?IN_FOCUS",IF(J1007&lt;=2,"?ACTIVATED",IF(J1007&lt;&gt;"","?FAMILIAR",IF(F1007="NEW",IF(ISNA(VLOOKUP(E1007,#REF!,1,FALSE())),"?TYPE_IDENTIFIABLE","?REFERENTIAL"),"_")))))</f>
        <v> </v>
      </c>
      <c r="H1007" s="24" t="str">
        <f>IF(J1007&lt;&gt;1,"",IF(I1007="SBJ","CB","?"))</f>
        <v> </v>
      </c>
      <c r="I1007" s="25" t="str">
        <f>IF(OR(E1007="",E1007="!!!",F1007="NEW"),"",INDEX(B1006:B$2,-1+SUMPRODUCT(MAX(ROW(E1006:E$2)*(E1007=E1006:E$2)))))</f>
        <v> </v>
      </c>
      <c r="J1007" s="25" t="str">
        <f>IF(OR(E1007="",E1007="!!!",F1007="NEW"),"",COUNTBLANK(OFFSET(A$1,,,SUMPRODUCT(MAX(ROW(E$2:E1007)*(E1007=E$2:E1007)))))-COUNTBLANK(OFFSET(A$1,,,SUMPRODUCT(MAX(ROW(E$1:E1006)*(E2=E$1:E1006))))))</f>
        <v> </v>
      </c>
      <c r="K1007" s="25" t="str">
        <f>IF(OR(E1007="",E1007="!!!",F1007="NEW"),"",INDEX(J$1:J1006,SUMPRODUCT(MAX(ROW(E$1:E1006)*(E1007=E$1:E1006)))))</f>
        <v> </v>
      </c>
      <c r="L1007" s="26"/>
    </row>
    <row r="1008" spans="1:12">
      <c r="A1008" s="20" t="s">
        <v>482</v>
      </c>
      <c r="E1008" s="21">
        <f>IF(D1008="?OLD","!!!","")</f>
        <v/>
      </c>
      <c r="F1008" s="22" t="str">
        <f>IF(OR(E1008="",E1008="!!!"),"",IF(NOT(ISNA(VLOOKUP(E1008,E$1:E1007,1,FALSE()))),"OLD",IF(AND(E1008&lt;&gt;"",E1008&lt;&gt;"!!!"),"NEW","")))</f>
        <v> </v>
      </c>
      <c r="G1008" s="23" t="str">
        <f>IF(OR(E1008="",E1008="!!!"),"",IF(OR(J1008=0,AND(J1008=1,K1008=1),AND(J1008=1,I1008="SBJ"),AND(J1008=1,I1008=0)),"?IN_FOCUS",IF(J1008&lt;=2,"?ACTIVATED",IF(J1008&lt;&gt;"","?FAMILIAR",IF(F1008="NEW",IF(ISNA(VLOOKUP(E1008,#REF!,1,FALSE())),"?TYPE_IDENTIFIABLE","?REFERENTIAL"),"_")))))</f>
        <v> </v>
      </c>
      <c r="H1008" s="24" t="str">
        <f>IF(J1008&lt;&gt;1,"",IF(I1008="SBJ","CB","?"))</f>
        <v> </v>
      </c>
      <c r="I1008" s="25" t="str">
        <f>IF(OR(E1008="",E1008="!!!",F1008="NEW"),"",INDEX(B1007:B$2,-1+SUMPRODUCT(MAX(ROW(E1007:E$2)*(E1008=E1007:E$2)))))</f>
        <v> </v>
      </c>
      <c r="J1008" s="25" t="str">
        <f>IF(OR(E1008="",E1008="!!!",F1008="NEW"),"",COUNTBLANK(OFFSET(A$1,,,SUMPRODUCT(MAX(ROW(E$2:E1008)*(E1008=E$2:E1008)))))-COUNTBLANK(OFFSET(A$1,,,SUMPRODUCT(MAX(ROW(E$1:E1007)*(E2=E$1:E1007))))))</f>
        <v> </v>
      </c>
      <c r="K1008" s="25" t="str">
        <f>IF(OR(E1008="",E1008="!!!",F1008="NEW"),"",INDEX(J$1:J1007,SUMPRODUCT(MAX(ROW(E$1:E1007)*(E1008=E$1:E1007)))))</f>
        <v> </v>
      </c>
      <c r="L1008" s="26"/>
    </row>
    <row r="1009" spans="1:12">
      <c r="A1009" s="20" t="s">
        <v>587</v>
      </c>
      <c r="B1009" s="27" t="s">
        <v>573</v>
      </c>
      <c r="C1009" s="27" t="s">
        <v>484</v>
      </c>
      <c r="E1009" s="21">
        <f>IF(D1009="?OLD","!!!","")</f>
        <v/>
      </c>
      <c r="F1009" s="22" t="str">
        <f>IF(OR(E1009="",E1009="!!!"),"",IF(NOT(ISNA(VLOOKUP(E1009,E$1:E1008,1,FALSE()))),"OLD",IF(AND(E1009&lt;&gt;"",E1009&lt;&gt;"!!!"),"NEW","")))</f>
        <v> </v>
      </c>
      <c r="G1009" s="23" t="str">
        <f>IF(OR(E1009="",E1009="!!!"),"",IF(OR(J1009=0,AND(J1009=1,K1009=1),AND(J1009=1,I1009="SBJ"),AND(J1009=1,I1009=0)),"?IN_FOCUS",IF(J1009&lt;=2,"?ACTIVATED",IF(J1009&lt;&gt;"","?FAMILIAR",IF(F1009="NEW",IF(ISNA(VLOOKUP(E1009,#REF!,1,FALSE())),"?TYPE_IDENTIFIABLE","?REFERENTIAL"),"_")))))</f>
        <v> </v>
      </c>
      <c r="H1009" s="24" t="str">
        <f>IF(J1009&lt;&gt;1,"",IF(I1009="SBJ","CB","?"))</f>
        <v> </v>
      </c>
      <c r="I1009" s="25" t="str">
        <f>IF(OR(E1009="",E1009="!!!",F1009="NEW"),"",INDEX(B1008:B$2,-1+SUMPRODUCT(MAX(ROW(E1008:E$2)*(E1009=E1008:E$2)))))</f>
        <v> </v>
      </c>
      <c r="J1009" s="25" t="str">
        <f>IF(OR(E1009="",E1009="!!!",F1009="NEW"),"",COUNTBLANK(OFFSET(A$1,,,SUMPRODUCT(MAX(ROW(E$2:E1009)*(E1009=E$2:E1009)))))-COUNTBLANK(OFFSET(A$1,,,SUMPRODUCT(MAX(ROW(E$1:E1008)*(E2=E$1:E1008))))))</f>
        <v> </v>
      </c>
      <c r="K1009" s="25" t="str">
        <f>IF(OR(E1009="",E1009="!!!",F1009="NEW"),"",INDEX(J$1:J1008,SUMPRODUCT(MAX(ROW(E$1:E1008)*(E1009=E$1:E1008)))))</f>
        <v> </v>
      </c>
      <c r="L1009" s="26"/>
    </row>
    <row r="1010" spans="1:12">
      <c r="A1010" s="20" t="s">
        <v>475</v>
      </c>
      <c r="B1010" s="27" t="s">
        <v>538</v>
      </c>
      <c r="C1010" s="27" t="s">
        <v>477</v>
      </c>
      <c r="D1010" s="27" t="s">
        <v>478</v>
      </c>
      <c r="E1010" s="21">
        <f>IF(D1010="?OLD","!!!","")</f>
        <v/>
      </c>
      <c r="F1010" s="22" t="str">
        <f>IF(OR(E1010="",E1010="!!!"),"",IF(NOT(ISNA(VLOOKUP(E1010,E$1:E1009,1,FALSE()))),"OLD",IF(AND(E1010&lt;&gt;"",E1010&lt;&gt;"!!!"),"NEW","")))</f>
        <v> </v>
      </c>
      <c r="G1010" s="23" t="str">
        <f>IF(OR(E1010="",E1010="!!!"),"",IF(OR(J1010=0,AND(J1010=1,K1010=1),AND(J1010=1,I1010="SBJ"),AND(J1010=1,I1010=0)),"?IN_FOCUS",IF(J1010&lt;=2,"?ACTIVATED",IF(J1010&lt;&gt;"","?FAMILIAR",IF(F1010="NEW",IF(ISNA(VLOOKUP(E1010,#REF!,1,FALSE())),"?TYPE_IDENTIFIABLE","?REFERENTIAL"),"_")))))</f>
        <v> </v>
      </c>
      <c r="H1010" s="24" t="str">
        <f>IF(J1010&lt;&gt;1,"",IF(I1010="SBJ","CB","?"))</f>
        <v> </v>
      </c>
      <c r="I1010" s="25" t="str">
        <f>IF(OR(E1010="",E1010="!!!",F1010="NEW"),"",INDEX(B1009:B$2,-1+SUMPRODUCT(MAX(ROW(E1009:E$2)*(E1010=E1009:E$2)))))</f>
        <v> </v>
      </c>
      <c r="J1010" s="25" t="str">
        <f>IF(OR(E1010="",E1010="!!!",F1010="NEW"),"",COUNTBLANK(OFFSET(A$1,,,SUMPRODUCT(MAX(ROW(E$2:E1010)*(E1010=E$2:E1010)))))-COUNTBLANK(OFFSET(A$1,,,SUMPRODUCT(MAX(ROW(E$1:E1009)*(E2=E$1:E1009))))))</f>
        <v> </v>
      </c>
      <c r="K1010" s="25" t="str">
        <f>IF(OR(E1010="",E1010="!!!",F1010="NEW"),"",INDEX(J$1:J1009,SUMPRODUCT(MAX(ROW(E$1:E1009)*(E1010=E$1:E1009)))))</f>
        <v> </v>
      </c>
      <c r="L1010" s="26"/>
    </row>
    <row r="1011" spans="1:12">
      <c r="A1011" s="20" t="s">
        <v>582</v>
      </c>
      <c r="E1011" s="21">
        <f>IF(D1011="?OLD","!!!","")</f>
        <v/>
      </c>
      <c r="F1011" s="22" t="str">
        <f>IF(OR(E1011="",E1011="!!!"),"",IF(NOT(ISNA(VLOOKUP(E1011,E$1:E1010,1,FALSE()))),"OLD",IF(AND(E1011&lt;&gt;"",E1011&lt;&gt;"!!!"),"NEW","")))</f>
        <v> </v>
      </c>
      <c r="G1011" s="23" t="str">
        <f>IF(OR(E1011="",E1011="!!!"),"",IF(OR(J1011=0,AND(J1011=1,K1011=1),AND(J1011=1,I1011="SBJ"),AND(J1011=1,I1011=0)),"?IN_FOCUS",IF(J1011&lt;=2,"?ACTIVATED",IF(J1011&lt;&gt;"","?FAMILIAR",IF(F1011="NEW",IF(ISNA(VLOOKUP(E1011,#REF!,1,FALSE())),"?TYPE_IDENTIFIABLE","?REFERENTIAL"),"_")))))</f>
        <v> </v>
      </c>
      <c r="H1011" s="24" t="str">
        <f>IF(J1011&lt;&gt;1,"",IF(I1011="SBJ","CB","?"))</f>
        <v> </v>
      </c>
      <c r="I1011" s="25" t="str">
        <f>IF(OR(E1011="",E1011="!!!",F1011="NEW"),"",INDEX(B1010:B$2,-1+SUMPRODUCT(MAX(ROW(E1010:E$2)*(E1011=E1010:E$2)))))</f>
        <v> </v>
      </c>
      <c r="J1011" s="25" t="str">
        <f>IF(OR(E1011="",E1011="!!!",F1011="NEW"),"",COUNTBLANK(OFFSET(A$1,,,SUMPRODUCT(MAX(ROW(E$2:E1011)*(E1011=E$2:E1011)))))-COUNTBLANK(OFFSET(A$1,,,SUMPRODUCT(MAX(ROW(E$1:E1010)*(E2=E$1:E1010))))))</f>
        <v> </v>
      </c>
      <c r="K1011" s="25" t="str">
        <f>IF(OR(E1011="",E1011="!!!",F1011="NEW"),"",INDEX(J$1:J1010,SUMPRODUCT(MAX(ROW(E$1:E1010)*(E1011=E$1:E1010)))))</f>
        <v> </v>
      </c>
      <c r="L1011" s="26"/>
    </row>
    <row r="1012" spans="1:12">
      <c r="A1012" s="20" t="s">
        <v>576</v>
      </c>
      <c r="B1012" s="27" t="s">
        <v>573</v>
      </c>
      <c r="C1012" s="27" t="s">
        <v>477</v>
      </c>
      <c r="D1012" s="27" t="s">
        <v>478</v>
      </c>
      <c r="E1012" s="21">
        <f>IF(D1012="?OLD","!!!","")</f>
        <v/>
      </c>
      <c r="F1012" s="22" t="str">
        <f>IF(OR(E1012="",E1012="!!!"),"",IF(NOT(ISNA(VLOOKUP(E1012,E$1:E1011,1,FALSE()))),"OLD",IF(AND(E1012&lt;&gt;"",E1012&lt;&gt;"!!!"),"NEW","")))</f>
        <v> </v>
      </c>
      <c r="G1012" s="23" t="str">
        <f>IF(OR(E1012="",E1012="!!!"),"",IF(OR(J1012=0,AND(J1012=1,K1012=1),AND(J1012=1,I1012="SBJ"),AND(J1012=1,I1012=0)),"?IN_FOCUS",IF(J1012&lt;=2,"?ACTIVATED",IF(J1012&lt;&gt;"","?FAMILIAR",IF(F1012="NEW",IF(ISNA(VLOOKUP(E1012,#REF!,1,FALSE())),"?TYPE_IDENTIFIABLE","?REFERENTIAL"),"_")))))</f>
        <v> </v>
      </c>
      <c r="H1012" s="24" t="str">
        <f>IF(J1012&lt;&gt;1,"",IF(I1012="SBJ","CB","?"))</f>
        <v> </v>
      </c>
      <c r="I1012" s="25" t="str">
        <f>IF(OR(E1012="",E1012="!!!",F1012="NEW"),"",INDEX(B1011:B$2,-1+SUMPRODUCT(MAX(ROW(E1011:E$2)*(E1012=E1011:E$2)))))</f>
        <v> </v>
      </c>
      <c r="J1012" s="25" t="str">
        <f>IF(OR(E1012="",E1012="!!!",F1012="NEW"),"",COUNTBLANK(OFFSET(A$1,,,SUMPRODUCT(MAX(ROW(E$2:E1012)*(E1012=E$2:E1012)))))-COUNTBLANK(OFFSET(A$1,,,SUMPRODUCT(MAX(ROW(E$1:E1011)*(E2=E$1:E1011))))))</f>
        <v> </v>
      </c>
      <c r="K1012" s="25" t="str">
        <f>IF(OR(E1012="",E1012="!!!",F1012="NEW"),"",INDEX(J$1:J1011,SUMPRODUCT(MAX(ROW(E$1:E1011)*(E1012=E$1:E1011)))))</f>
        <v> </v>
      </c>
      <c r="L1012" s="26"/>
    </row>
    <row r="1013" spans="1:12">
      <c r="A1013" s="20" t="s">
        <v>482</v>
      </c>
      <c r="E1013" s="21">
        <f>IF(D1013="?OLD","!!!","")</f>
        <v/>
      </c>
      <c r="F1013" s="22" t="str">
        <f>IF(OR(E1013="",E1013="!!!"),"",IF(NOT(ISNA(VLOOKUP(E1013,E$1:E1012,1,FALSE()))),"OLD",IF(AND(E1013&lt;&gt;"",E1013&lt;&gt;"!!!"),"NEW","")))</f>
        <v> </v>
      </c>
      <c r="G1013" s="23" t="str">
        <f>IF(OR(E1013="",E1013="!!!"),"",IF(OR(J1013=0,AND(J1013=1,K1013=1),AND(J1013=1,I1013="SBJ"),AND(J1013=1,I1013=0)),"?IN_FOCUS",IF(J1013&lt;=2,"?ACTIVATED",IF(J1013&lt;&gt;"","?FAMILIAR",IF(F1013="NEW",IF(ISNA(VLOOKUP(E1013,#REF!,1,FALSE())),"?TYPE_IDENTIFIABLE","?REFERENTIAL"),"_")))))</f>
        <v> </v>
      </c>
      <c r="H1013" s="24" t="str">
        <f>IF(J1013&lt;&gt;1,"",IF(I1013="SBJ","CB","?"))</f>
        <v> </v>
      </c>
      <c r="I1013" s="25" t="str">
        <f>IF(OR(E1013="",E1013="!!!",F1013="NEW"),"",INDEX(B1012:B$2,-1+SUMPRODUCT(MAX(ROW(E1012:E$2)*(E1013=E1012:E$2)))))</f>
        <v> </v>
      </c>
      <c r="J1013" s="25" t="str">
        <f>IF(OR(E1013="",E1013="!!!",F1013="NEW"),"",COUNTBLANK(OFFSET(A$1,,,SUMPRODUCT(MAX(ROW(E$2:E1013)*(E1013=E$2:E1013)))))-COUNTBLANK(OFFSET(A$1,,,SUMPRODUCT(MAX(ROW(E$1:E1012)*(E2=E$1:E1012))))))</f>
        <v> </v>
      </c>
      <c r="K1013" s="25" t="str">
        <f>IF(OR(E1013="",E1013="!!!",F1013="NEW"),"",INDEX(J$1:J1012,SUMPRODUCT(MAX(ROW(E$1:E1012)*(E1013=E$1:E1012)))))</f>
        <v> </v>
      </c>
      <c r="L1013" s="26"/>
    </row>
    <row r="1014" spans="1:12">
      <c r="A1014" s="20" t="s">
        <v>734</v>
      </c>
      <c r="E1014" s="21">
        <f>IF(D1014="?OLD","!!!","")</f>
        <v/>
      </c>
      <c r="F1014" s="22" t="str">
        <f>IF(OR(E1014="",E1014="!!!"),"",IF(NOT(ISNA(VLOOKUP(E1014,E$1:E1013,1,FALSE()))),"OLD",IF(AND(E1014&lt;&gt;"",E1014&lt;&gt;"!!!"),"NEW","")))</f>
        <v> </v>
      </c>
      <c r="G1014" s="23" t="str">
        <f>IF(OR(E1014="",E1014="!!!"),"",IF(OR(J1014=0,AND(J1014=1,K1014=1),AND(J1014=1,I1014="SBJ"),AND(J1014=1,I1014=0)),"?IN_FOCUS",IF(J1014&lt;=2,"?ACTIVATED",IF(J1014&lt;&gt;"","?FAMILIAR",IF(F1014="NEW",IF(ISNA(VLOOKUP(E1014,#REF!,1,FALSE())),"?TYPE_IDENTIFIABLE","?REFERENTIAL"),"_")))))</f>
        <v> </v>
      </c>
      <c r="H1014" s="24" t="str">
        <f>IF(J1014&lt;&gt;1,"",IF(I1014="SBJ","CB","?"))</f>
        <v> </v>
      </c>
      <c r="I1014" s="25" t="str">
        <f>IF(OR(E1014="",E1014="!!!",F1014="NEW"),"",INDEX(B1013:B$2,-1+SUMPRODUCT(MAX(ROW(E1013:E$2)*(E1014=E1013:E$2)))))</f>
        <v> </v>
      </c>
      <c r="J1014" s="25" t="str">
        <f>IF(OR(E1014="",E1014="!!!",F1014="NEW"),"",COUNTBLANK(OFFSET(A$1,,,SUMPRODUCT(MAX(ROW(E$2:E1014)*(E1014=E$2:E1014)))))-COUNTBLANK(OFFSET(A$1,,,SUMPRODUCT(MAX(ROW(E$1:E1013)*(E2=E$1:E1013))))))</f>
        <v> </v>
      </c>
      <c r="K1014" s="25" t="str">
        <f>IF(OR(E1014="",E1014="!!!",F1014="NEW"),"",INDEX(J$1:J1013,SUMPRODUCT(MAX(ROW(E$1:E1013)*(E1014=E$1:E1013)))))</f>
        <v> </v>
      </c>
      <c r="L1014" s="26"/>
    </row>
    <row r="1015" spans="1:12">
      <c r="A1015" s="20" t="s">
        <v>721</v>
      </c>
      <c r="E1015" s="21">
        <f>IF(D1015="?OLD","!!!","")</f>
        <v/>
      </c>
      <c r="F1015" s="22" t="str">
        <f>IF(OR(E1015="",E1015="!!!"),"",IF(NOT(ISNA(VLOOKUP(E1015,E$1:E1014,1,FALSE()))),"OLD",IF(AND(E1015&lt;&gt;"",E1015&lt;&gt;"!!!"),"NEW","")))</f>
        <v> </v>
      </c>
      <c r="G1015" s="23" t="str">
        <f>IF(OR(E1015="",E1015="!!!"),"",IF(OR(J1015=0,AND(J1015=1,K1015=1),AND(J1015=1,I1015="SBJ"),AND(J1015=1,I1015=0)),"?IN_FOCUS",IF(J1015&lt;=2,"?ACTIVATED",IF(J1015&lt;&gt;"","?FAMILIAR",IF(F1015="NEW",IF(ISNA(VLOOKUP(E1015,#REF!,1,FALSE())),"?TYPE_IDENTIFIABLE","?REFERENTIAL"),"_")))))</f>
        <v> </v>
      </c>
      <c r="H1015" s="24" t="str">
        <f>IF(J1015&lt;&gt;1,"",IF(I1015="SBJ","CB","?"))</f>
        <v> </v>
      </c>
      <c r="I1015" s="25" t="str">
        <f>IF(OR(E1015="",E1015="!!!",F1015="NEW"),"",INDEX(B1014:B$2,-1+SUMPRODUCT(MAX(ROW(E1014:E$2)*(E1015=E1014:E$2)))))</f>
        <v> </v>
      </c>
      <c r="J1015" s="25" t="str">
        <f>IF(OR(E1015="",E1015="!!!",F1015="NEW"),"",COUNTBLANK(OFFSET(A$1,,,SUMPRODUCT(MAX(ROW(E$2:E1015)*(E1015=E$2:E1015)))))-COUNTBLANK(OFFSET(A$1,,,SUMPRODUCT(MAX(ROW(E$1:E1014)*(E2=E$1:E1014))))))</f>
        <v> </v>
      </c>
      <c r="K1015" s="25" t="str">
        <f>IF(OR(E1015="",E1015="!!!",F1015="NEW"),"",INDEX(J$1:J1014,SUMPRODUCT(MAX(ROW(E$1:E1014)*(E1015=E$1:E1014)))))</f>
        <v> </v>
      </c>
      <c r="L1015" s="26"/>
    </row>
    <row r="1016" spans="1:12">
      <c r="A1016" s="20" t="s">
        <v>968</v>
      </c>
      <c r="B1016" s="27" t="s">
        <v>543</v>
      </c>
      <c r="C1016" s="27" t="s">
        <v>477</v>
      </c>
      <c r="D1016" s="27" t="s">
        <v>478</v>
      </c>
      <c r="E1016" s="21">
        <f>IF(D1016="?OLD","!!!","")</f>
        <v/>
      </c>
      <c r="F1016" s="22" t="str">
        <f>IF(OR(E1016="",E1016="!!!"),"",IF(NOT(ISNA(VLOOKUP(E1016,E$1:E1015,1,FALSE()))),"OLD",IF(AND(E1016&lt;&gt;"",E1016&lt;&gt;"!!!"),"NEW","")))</f>
        <v> </v>
      </c>
      <c r="G1016" s="23" t="str">
        <f>IF(OR(E1016="",E1016="!!!"),"",IF(OR(J1016=0,AND(J1016=1,K1016=1),AND(J1016=1,I1016="SBJ"),AND(J1016=1,I1016=0)),"?IN_FOCUS",IF(J1016&lt;=2,"?ACTIVATED",IF(J1016&lt;&gt;"","?FAMILIAR",IF(F1016="NEW",IF(ISNA(VLOOKUP(E1016,#REF!,1,FALSE())),"?TYPE_IDENTIFIABLE","?REFERENTIAL"),"_")))))</f>
        <v> </v>
      </c>
      <c r="H1016" s="24" t="str">
        <f>IF(J1016&lt;&gt;1,"",IF(I1016="SBJ","CB","?"))</f>
        <v> </v>
      </c>
      <c r="I1016" s="25" t="str">
        <f>IF(OR(E1016="",E1016="!!!",F1016="NEW"),"",INDEX(B1015:B$2,-1+SUMPRODUCT(MAX(ROW(E1015:E$2)*(E1016=E1015:E$2)))))</f>
        <v> </v>
      </c>
      <c r="J1016" s="25" t="str">
        <f>IF(OR(E1016="",E1016="!!!",F1016="NEW"),"",COUNTBLANK(OFFSET(A$1,,,SUMPRODUCT(MAX(ROW(E$2:E1016)*(E1016=E$2:E1016)))))-COUNTBLANK(OFFSET(A$1,,,SUMPRODUCT(MAX(ROW(E$1:E1015)*(E2=E$1:E1015))))))</f>
        <v> </v>
      </c>
      <c r="K1016" s="25" t="str">
        <f>IF(OR(E1016="",E1016="!!!",F1016="NEW"),"",INDEX(J$1:J1015,SUMPRODUCT(MAX(ROW(E$1:E1015)*(E1016=E$1:E1015)))))</f>
        <v> </v>
      </c>
      <c r="L1016" s="26"/>
    </row>
    <row r="1017" spans="1:12">
      <c r="A1017" s="20" t="s">
        <v>969</v>
      </c>
      <c r="E1017" s="21">
        <f>IF(D1017="?OLD","!!!","")</f>
        <v/>
      </c>
      <c r="F1017" s="22" t="str">
        <f>IF(OR(E1017="",E1017="!!!"),"",IF(NOT(ISNA(VLOOKUP(E1017,E$1:E1016,1,FALSE()))),"OLD",IF(AND(E1017&lt;&gt;"",E1017&lt;&gt;"!!!"),"NEW","")))</f>
        <v> </v>
      </c>
      <c r="G1017" s="23" t="str">
        <f>IF(OR(E1017="",E1017="!!!"),"",IF(OR(J1017=0,AND(J1017=1,K1017=1),AND(J1017=1,I1017="SBJ"),AND(J1017=1,I1017=0)),"?IN_FOCUS",IF(J1017&lt;=2,"?ACTIVATED",IF(J1017&lt;&gt;"","?FAMILIAR",IF(F1017="NEW",IF(ISNA(VLOOKUP(E1017,#REF!,1,FALSE())),"?TYPE_IDENTIFIABLE","?REFERENTIAL"),"_")))))</f>
        <v> </v>
      </c>
      <c r="H1017" s="24" t="str">
        <f>IF(J1017&lt;&gt;1,"",IF(I1017="SBJ","CB","?"))</f>
        <v> </v>
      </c>
      <c r="I1017" s="25" t="str">
        <f>IF(OR(E1017="",E1017="!!!",F1017="NEW"),"",INDEX(B1016:B$2,-1+SUMPRODUCT(MAX(ROW(E1016:E$2)*(E1017=E1016:E$2)))))</f>
        <v> </v>
      </c>
      <c r="J1017" s="25" t="str">
        <f>IF(OR(E1017="",E1017="!!!",F1017="NEW"),"",COUNTBLANK(OFFSET(A$1,,,SUMPRODUCT(MAX(ROW(E$2:E1017)*(E1017=E$2:E1017)))))-COUNTBLANK(OFFSET(A$1,,,SUMPRODUCT(MAX(ROW(E$1:E1016)*(E2=E$1:E1016))))))</f>
        <v> </v>
      </c>
      <c r="K1017" s="25" t="str">
        <f>IF(OR(E1017="",E1017="!!!",F1017="NEW"),"",INDEX(J$1:J1016,SUMPRODUCT(MAX(ROW(E$1:E1016)*(E1017=E$1:E1016)))))</f>
        <v> </v>
      </c>
      <c r="L1017" s="26"/>
    </row>
    <row r="1018" spans="1:12">
      <c r="A1018" s="20" t="s">
        <v>970</v>
      </c>
      <c r="B1018" s="27" t="s">
        <v>511</v>
      </c>
      <c r="C1018" s="27" t="s">
        <v>795</v>
      </c>
      <c r="D1018" s="27" t="s">
        <v>478</v>
      </c>
      <c r="E1018" s="21">
        <f>IF(D1018="?OLD","!!!","")</f>
        <v/>
      </c>
      <c r="F1018" s="22" t="str">
        <f>IF(OR(E1018="",E1018="!!!"),"",IF(NOT(ISNA(VLOOKUP(E1018,E$1:E1017,1,FALSE()))),"OLD",IF(AND(E1018&lt;&gt;"",E1018&lt;&gt;"!!!"),"NEW","")))</f>
        <v> </v>
      </c>
      <c r="G1018" s="23" t="str">
        <f>IF(OR(E1018="",E1018="!!!"),"",IF(OR(J1018=0,AND(J1018=1,K1018=1),AND(J1018=1,I1018="SBJ"),AND(J1018=1,I1018=0)),"?IN_FOCUS",IF(J1018&lt;=2,"?ACTIVATED",IF(J1018&lt;&gt;"","?FAMILIAR",IF(F1018="NEW",IF(ISNA(VLOOKUP(E1018,#REF!,1,FALSE())),"?TYPE_IDENTIFIABLE","?REFERENTIAL"),"_")))))</f>
        <v> </v>
      </c>
      <c r="H1018" s="24" t="str">
        <f>IF(J1018&lt;&gt;1,"",IF(I1018="SBJ","CB","?"))</f>
        <v> </v>
      </c>
      <c r="I1018" s="25" t="str">
        <f>IF(OR(E1018="",E1018="!!!",F1018="NEW"),"",INDEX(B1017:B$2,-1+SUMPRODUCT(MAX(ROW(E1017:E$2)*(E1018=E1017:E$2)))))</f>
        <v> </v>
      </c>
      <c r="J1018" s="25" t="str">
        <f>IF(OR(E1018="",E1018="!!!",F1018="NEW"),"",COUNTBLANK(OFFSET(A$1,,,SUMPRODUCT(MAX(ROW(E$2:E1018)*(E1018=E$2:E1018)))))-COUNTBLANK(OFFSET(A$1,,,SUMPRODUCT(MAX(ROW(E$1:E1017)*(E2=E$1:E1017))))))</f>
        <v> </v>
      </c>
      <c r="K1018" s="25" t="str">
        <f>IF(OR(E1018="",E1018="!!!",F1018="NEW"),"",INDEX(J$1:J1017,SUMPRODUCT(MAX(ROW(E$1:E1017)*(E1018=E$1:E1017)))))</f>
        <v> </v>
      </c>
      <c r="L1018" s="26"/>
    </row>
    <row r="1019" spans="1:12">
      <c r="A1019" s="20" t="s">
        <v>253</v>
      </c>
      <c r="E1019" s="21">
        <f>IF(D1019="?OLD","!!!","")</f>
        <v/>
      </c>
      <c r="F1019" s="22" t="str">
        <f>IF(OR(E1019="",E1019="!!!"),"",IF(NOT(ISNA(VLOOKUP(E1019,E$1:E1018,1,FALSE()))),"OLD",IF(AND(E1019&lt;&gt;"",E1019&lt;&gt;"!!!"),"NEW","")))</f>
        <v> </v>
      </c>
      <c r="G1019" s="23" t="str">
        <f>IF(OR(E1019="",E1019="!!!"),"",IF(OR(J1019=0,AND(J1019=1,K1019=1),AND(J1019=1,I1019="SBJ"),AND(J1019=1,I1019=0)),"?IN_FOCUS",IF(J1019&lt;=2,"?ACTIVATED",IF(J1019&lt;&gt;"","?FAMILIAR",IF(F1019="NEW",IF(ISNA(VLOOKUP(E1019,#REF!,1,FALSE())),"?TYPE_IDENTIFIABLE","?REFERENTIAL"),"_")))))</f>
        <v> </v>
      </c>
      <c r="H1019" s="24" t="str">
        <f>IF(J1019&lt;&gt;1,"",IF(I1019="SBJ","CB","?"))</f>
        <v> </v>
      </c>
      <c r="I1019" s="25" t="str">
        <f>IF(OR(E1019="",E1019="!!!",F1019="NEW"),"",INDEX(B1018:B$2,-1+SUMPRODUCT(MAX(ROW(E1018:E$2)*(E1019=E1018:E$2)))))</f>
        <v> </v>
      </c>
      <c r="J1019" s="25" t="str">
        <f>IF(OR(E1019="",E1019="!!!",F1019="NEW"),"",COUNTBLANK(OFFSET(A$1,,,SUMPRODUCT(MAX(ROW(E$2:E1019)*(E1019=E$2:E1019)))))-COUNTBLANK(OFFSET(A$1,,,SUMPRODUCT(MAX(ROW(E$1:E1018)*(E2=E$1:E1018))))))</f>
        <v> </v>
      </c>
      <c r="K1019" s="25" t="str">
        <f>IF(OR(E1019="",E1019="!!!",F1019="NEW"),"",INDEX(J$1:J1018,SUMPRODUCT(MAX(ROW(E$1:E1018)*(E1019=E$1:E1018)))))</f>
        <v> </v>
      </c>
      <c r="L1019" s="26"/>
    </row>
    <row r="1020" spans="1:12">
      <c r="A1020" s="20"/>
    </row>
    <row r="1021" spans="1:12">
      <c r="A1021" s="20" t="s">
        <v>971</v>
      </c>
    </row>
    <row r="1022" spans="1:12">
      <c r="A1022" s="20" t="s">
        <v>972</v>
      </c>
      <c r="B1022" s="27" t="s">
        <v>476</v>
      </c>
      <c r="E1022" s="21">
        <f>IF(D1022="?OLD","!!!","")</f>
        <v/>
      </c>
      <c r="F1022" s="22" t="str">
        <f>IF(OR(E1022="",E1022="!!!"),"",IF(NOT(ISNA(VLOOKUP(E1022,E$1:E1021,1,FALSE()))),"OLD",IF(AND(E1022&lt;&gt;"",E1022&lt;&gt;"!!!"),"NEW","")))</f>
        <v> </v>
      </c>
      <c r="G1022" s="23" t="str">
        <f>IF(OR(E1022="",E1022="!!!"),"",IF(OR(J1022=0,AND(J1022=1,K1022=1),AND(J1022=1,I1022="SBJ"),AND(J1022=1,I1022=0)),"?IN_FOCUS",IF(J1022&lt;=2,"?ACTIVATED",IF(J1022&lt;&gt;"","?FAMILIAR",IF(F1022="NEW",IF(ISNA(VLOOKUP(E1022,#REF!,1,FALSE())),"?TYPE_IDENTIFIABLE","?REFERENTIAL"),"_")))))</f>
        <v> </v>
      </c>
      <c r="H1022" s="24" t="str">
        <f>IF(J1022&lt;&gt;1,"",IF(I1022="SBJ","CB","?"))</f>
        <v> </v>
      </c>
      <c r="I1022" s="25" t="str">
        <f>IF(OR(E1022="",E1022="!!!",F1022="NEW"),"",INDEX(B1021:B$2,-1+SUMPRODUCT(MAX(ROW(E1021:E$2)*(E1022=E1021:E$2)))))</f>
        <v> </v>
      </c>
      <c r="J1022" s="25" t="str">
        <f>IF(OR(E1022="",E1022="!!!",F1022="NEW"),"",COUNTBLANK(OFFSET(A$1,,,SUMPRODUCT(MAX(ROW(E$2:E1022)*(E1022=E$2:E1022)))))-COUNTBLANK(OFFSET(A$1,,,SUMPRODUCT(MAX(ROW(E$1:E1021)*(E2=E$1:E1021))))))</f>
        <v> </v>
      </c>
      <c r="K1022" s="25" t="str">
        <f>IF(OR(E1022="",E1022="!!!",F1022="NEW"),"",INDEX(J$1:J1021,SUMPRODUCT(MAX(ROW(E$1:E1021)*(E1022=E$1:E1021)))))</f>
        <v> </v>
      </c>
      <c r="L1022" s="26"/>
    </row>
    <row r="1023" spans="1:12">
      <c r="A1023" s="20" t="s">
        <v>513</v>
      </c>
      <c r="E1023" s="21">
        <f>IF(D1023="?OLD","!!!","")</f>
        <v/>
      </c>
      <c r="F1023" s="22" t="str">
        <f>IF(OR(E1023="",E1023="!!!"),"",IF(NOT(ISNA(VLOOKUP(E1023,E$1:E1022,1,FALSE()))),"OLD",IF(AND(E1023&lt;&gt;"",E1023&lt;&gt;"!!!"),"NEW","")))</f>
        <v> </v>
      </c>
      <c r="G1023" s="23" t="str">
        <f>IF(OR(E1023="",E1023="!!!"),"",IF(OR(J1023=0,AND(J1023=1,K1023=1),AND(J1023=1,I1023="SBJ"),AND(J1023=1,I1023=0)),"?IN_FOCUS",IF(J1023&lt;=2,"?ACTIVATED",IF(J1023&lt;&gt;"","?FAMILIAR",IF(F1023="NEW",IF(ISNA(VLOOKUP(E1023,#REF!,1,FALSE())),"?TYPE_IDENTIFIABLE","?REFERENTIAL"),"_")))))</f>
        <v> </v>
      </c>
      <c r="H1023" s="24" t="str">
        <f>IF(J1023&lt;&gt;1,"",IF(I1023="SBJ","CB","?"))</f>
        <v> </v>
      </c>
      <c r="I1023" s="25" t="str">
        <f>IF(OR(E1023="",E1023="!!!",F1023="NEW"),"",INDEX(B1022:B$2,-1+SUMPRODUCT(MAX(ROW(E1022:E$2)*(E1023=E1022:E$2)))))</f>
        <v> </v>
      </c>
      <c r="J1023" s="25" t="str">
        <f>IF(OR(E1023="",E1023="!!!",F1023="NEW"),"",COUNTBLANK(OFFSET(A$1,,,SUMPRODUCT(MAX(ROW(E$2:E1023)*(E1023=E$2:E1023)))))-COUNTBLANK(OFFSET(A$1,,,SUMPRODUCT(MAX(ROW(E$1:E1022)*(E2=E$1:E1022))))))</f>
        <v> </v>
      </c>
      <c r="K1023" s="25" t="str">
        <f>IF(OR(E1023="",E1023="!!!",F1023="NEW"),"",INDEX(J$1:J1022,SUMPRODUCT(MAX(ROW(E$1:E1022)*(E1023=E$1:E1022)))))</f>
        <v> </v>
      </c>
      <c r="L1023" s="26"/>
    </row>
    <row r="1024" spans="1:12">
      <c r="A1024" s="20" t="s">
        <v>772</v>
      </c>
      <c r="B1024" s="27" t="s">
        <v>473</v>
      </c>
      <c r="C1024" s="27" t="s">
        <v>497</v>
      </c>
      <c r="D1024" s="27" t="s">
        <v>478</v>
      </c>
      <c r="E1024" s="21">
        <f>IF(D1024="?OLD","!!!","")</f>
        <v/>
      </c>
      <c r="F1024" s="22" t="str">
        <f>IF(OR(E1024="",E1024="!!!"),"",IF(NOT(ISNA(VLOOKUP(E1024,E$1:E1023,1,FALSE()))),"OLD",IF(AND(E1024&lt;&gt;"",E1024&lt;&gt;"!!!"),"NEW","")))</f>
        <v> </v>
      </c>
      <c r="G1024" s="23" t="str">
        <f>IF(OR(E1024="",E1024="!!!"),"",IF(OR(J1024=0,AND(J1024=1,K1024=1),AND(J1024=1,I1024="SBJ"),AND(J1024=1,I1024=0)),"?IN_FOCUS",IF(J1024&lt;=2,"?ACTIVATED",IF(J1024&lt;&gt;"","?FAMILIAR",IF(F1024="NEW",IF(ISNA(VLOOKUP(E1024,#REF!,1,FALSE())),"?TYPE_IDENTIFIABLE","?REFERENTIAL"),"_")))))</f>
        <v> </v>
      </c>
      <c r="H1024" s="24" t="str">
        <f>IF(J1024&lt;&gt;1,"",IF(I1024="SBJ","CB","?"))</f>
        <v> </v>
      </c>
      <c r="I1024" s="25" t="str">
        <f>IF(OR(E1024="",E1024="!!!",F1024="NEW"),"",INDEX(B1023:B$2,-1+SUMPRODUCT(MAX(ROW(E1023:E$2)*(E1024=E1023:E$2)))))</f>
        <v> </v>
      </c>
      <c r="J1024" s="25" t="str">
        <f>IF(OR(E1024="",E1024="!!!",F1024="NEW"),"",COUNTBLANK(OFFSET(A$1,,,SUMPRODUCT(MAX(ROW(E$2:E1024)*(E1024=E$2:E1024)))))-COUNTBLANK(OFFSET(A$1,,,SUMPRODUCT(MAX(ROW(E$1:E1023)*(E2=E$1:E1023))))))</f>
        <v> </v>
      </c>
      <c r="K1024" s="25" t="str">
        <f>IF(OR(E1024="",E1024="!!!",F1024="NEW"),"",INDEX(J$1:J1023,SUMPRODUCT(MAX(ROW(E$1:E1023)*(E1024=E$1:E1023)))))</f>
        <v> </v>
      </c>
      <c r="L1024" s="26"/>
    </row>
    <row r="1025" spans="1:12">
      <c r="A1025" s="20" t="s">
        <v>482</v>
      </c>
      <c r="E1025" s="21">
        <f>IF(D1025="?OLD","!!!","")</f>
        <v/>
      </c>
      <c r="F1025" s="22" t="str">
        <f>IF(OR(E1025="",E1025="!!!"),"",IF(NOT(ISNA(VLOOKUP(E1025,E$1:E1024,1,FALSE()))),"OLD",IF(AND(E1025&lt;&gt;"",E1025&lt;&gt;"!!!"),"NEW","")))</f>
        <v> </v>
      </c>
      <c r="G1025" s="23" t="str">
        <f>IF(OR(E1025="",E1025="!!!"),"",IF(OR(J1025=0,AND(J1025=1,K1025=1),AND(J1025=1,I1025="SBJ"),AND(J1025=1,I1025=0)),"?IN_FOCUS",IF(J1025&lt;=2,"?ACTIVATED",IF(J1025&lt;&gt;"","?FAMILIAR",IF(F1025="NEW",IF(ISNA(VLOOKUP(E1025,#REF!,1,FALSE())),"?TYPE_IDENTIFIABLE","?REFERENTIAL"),"_")))))</f>
        <v> </v>
      </c>
      <c r="H1025" s="24" t="str">
        <f>IF(J1025&lt;&gt;1,"",IF(I1025="SBJ","CB","?"))</f>
        <v> </v>
      </c>
      <c r="I1025" s="25" t="str">
        <f>IF(OR(E1025="",E1025="!!!",F1025="NEW"),"",INDEX(B1024:B$2,-1+SUMPRODUCT(MAX(ROW(E1024:E$2)*(E1025=E1024:E$2)))))</f>
        <v> </v>
      </c>
      <c r="J1025" s="25" t="str">
        <f>IF(OR(E1025="",E1025="!!!",F1025="NEW"),"",COUNTBLANK(OFFSET(A$1,,,SUMPRODUCT(MAX(ROW(E$2:E1025)*(E1025=E$2:E1025)))))-COUNTBLANK(OFFSET(A$1,,,SUMPRODUCT(MAX(ROW(E$1:E1024)*(E2=E$1:E1024))))))</f>
        <v> </v>
      </c>
      <c r="K1025" s="25" t="str">
        <f>IF(OR(E1025="",E1025="!!!",F1025="NEW"),"",INDEX(J$1:J1024,SUMPRODUCT(MAX(ROW(E$1:E1024)*(E1025=E$1:E1024)))))</f>
        <v> </v>
      </c>
      <c r="L1025" s="26"/>
    </row>
    <row r="1026" spans="1:12">
      <c r="A1026" s="20" t="s">
        <v>218</v>
      </c>
      <c r="E1026" s="21">
        <f>IF(D1026="?OLD","!!!","")</f>
        <v/>
      </c>
      <c r="F1026" s="22" t="str">
        <f>IF(OR(E1026="",E1026="!!!"),"",IF(NOT(ISNA(VLOOKUP(E1026,E$1:E1025,1,FALSE()))),"OLD",IF(AND(E1026&lt;&gt;"",E1026&lt;&gt;"!!!"),"NEW","")))</f>
        <v> </v>
      </c>
      <c r="G1026" s="23" t="str">
        <f>IF(OR(E1026="",E1026="!!!"),"",IF(OR(J1026=0,AND(J1026=1,K1026=1),AND(J1026=1,I1026="SBJ"),AND(J1026=1,I1026=0)),"?IN_FOCUS",IF(J1026&lt;=2,"?ACTIVATED",IF(J1026&lt;&gt;"","?FAMILIAR",IF(F1026="NEW",IF(ISNA(VLOOKUP(E1026,#REF!,1,FALSE())),"?TYPE_IDENTIFIABLE","?REFERENTIAL"),"_")))))</f>
        <v> </v>
      </c>
      <c r="H1026" s="24" t="str">
        <f>IF(J1026&lt;&gt;1,"",IF(I1026="SBJ","CB","?"))</f>
        <v> </v>
      </c>
      <c r="I1026" s="25" t="str">
        <f>IF(OR(E1026="",E1026="!!!",F1026="NEW"),"",INDEX(B1025:B$2,-1+SUMPRODUCT(MAX(ROW(E1025:E$2)*(E1026=E1025:E$2)))))</f>
        <v> </v>
      </c>
      <c r="J1026" s="25" t="str">
        <f>IF(OR(E1026="",E1026="!!!",F1026="NEW"),"",COUNTBLANK(OFFSET(A$1,,,SUMPRODUCT(MAX(ROW(E$2:E1026)*(E1026=E$2:E1026)))))-COUNTBLANK(OFFSET(A$1,,,SUMPRODUCT(MAX(ROW(E$1:E1025)*(E2=E$1:E1025))))))</f>
        <v> </v>
      </c>
      <c r="K1026" s="25" t="str">
        <f>IF(OR(E1026="",E1026="!!!",F1026="NEW"),"",INDEX(J$1:J1025,SUMPRODUCT(MAX(ROW(E$1:E1025)*(E1026=E$1:E1025)))))</f>
        <v> </v>
      </c>
      <c r="L1026" s="26"/>
    </row>
    <row r="1027" spans="1:12">
      <c r="A1027" s="20" t="s">
        <v>892</v>
      </c>
      <c r="E1027" s="21">
        <f>IF(D1027="?OLD","!!!","")</f>
        <v/>
      </c>
      <c r="F1027" s="22" t="str">
        <f>IF(OR(E1027="",E1027="!!!"),"",IF(NOT(ISNA(VLOOKUP(E1027,E$1:E1026,1,FALSE()))),"OLD",IF(AND(E1027&lt;&gt;"",E1027&lt;&gt;"!!!"),"NEW","")))</f>
        <v> </v>
      </c>
      <c r="G1027" s="23" t="str">
        <f>IF(OR(E1027="",E1027="!!!"),"",IF(OR(J1027=0,AND(J1027=1,K1027=1),AND(J1027=1,I1027="SBJ"),AND(J1027=1,I1027=0)),"?IN_FOCUS",IF(J1027&lt;=2,"?ACTIVATED",IF(J1027&lt;&gt;"","?FAMILIAR",IF(F1027="NEW",IF(ISNA(VLOOKUP(E1027,#REF!,1,FALSE())),"?TYPE_IDENTIFIABLE","?REFERENTIAL"),"_")))))</f>
        <v> </v>
      </c>
      <c r="H1027" s="24" t="str">
        <f>IF(J1027&lt;&gt;1,"",IF(I1027="SBJ","CB","?"))</f>
        <v> </v>
      </c>
      <c r="I1027" s="25" t="str">
        <f>IF(OR(E1027="",E1027="!!!",F1027="NEW"),"",INDEX(B1026:B$2,-1+SUMPRODUCT(MAX(ROW(E1026:E$2)*(E1027=E1026:E$2)))))</f>
        <v> </v>
      </c>
      <c r="J1027" s="25" t="str">
        <f>IF(OR(E1027="",E1027="!!!",F1027="NEW"),"",COUNTBLANK(OFFSET(A$1,,,SUMPRODUCT(MAX(ROW(E$2:E1027)*(E1027=E$2:E1027)))))-COUNTBLANK(OFFSET(A$1,,,SUMPRODUCT(MAX(ROW(E$1:E1026)*(E2=E$1:E1026))))))</f>
        <v> </v>
      </c>
      <c r="K1027" s="25" t="str">
        <f>IF(OR(E1027="",E1027="!!!",F1027="NEW"),"",INDEX(J$1:J1026,SUMPRODUCT(MAX(ROW(E$1:E1026)*(E1027=E$1:E1026)))))</f>
        <v> </v>
      </c>
      <c r="L1027" s="26"/>
    </row>
    <row r="1028" spans="1:12">
      <c r="A1028" s="20" t="s">
        <v>210</v>
      </c>
      <c r="B1028" s="27" t="s">
        <v>483</v>
      </c>
      <c r="E1028" s="21">
        <f>IF(D1028="?OLD","!!!","")</f>
        <v/>
      </c>
      <c r="F1028" s="22" t="str">
        <f>IF(OR(E1028="",E1028="!!!"),"",IF(NOT(ISNA(VLOOKUP(E1028,E$1:E1027,1,FALSE()))),"OLD",IF(AND(E1028&lt;&gt;"",E1028&lt;&gt;"!!!"),"NEW","")))</f>
        <v> </v>
      </c>
      <c r="G1028" s="23" t="str">
        <f>IF(OR(E1028="",E1028="!!!"),"",IF(OR(J1028=0,AND(J1028=1,K1028=1),AND(J1028=1,I1028="SBJ"),AND(J1028=1,I1028=0)),"?IN_FOCUS",IF(J1028&lt;=2,"?ACTIVATED",IF(J1028&lt;&gt;"","?FAMILIAR",IF(F1028="NEW",IF(ISNA(VLOOKUP(E1028,#REF!,1,FALSE())),"?TYPE_IDENTIFIABLE","?REFERENTIAL"),"_")))))</f>
        <v> </v>
      </c>
      <c r="H1028" s="24" t="str">
        <f>IF(J1028&lt;&gt;1,"",IF(I1028="SBJ","CB","?"))</f>
        <v> </v>
      </c>
      <c r="I1028" s="25" t="str">
        <f>IF(OR(E1028="",E1028="!!!",F1028="NEW"),"",INDEX(B1027:B$2,-1+SUMPRODUCT(MAX(ROW(E1027:E$2)*(E1028=E1027:E$2)))))</f>
        <v> </v>
      </c>
      <c r="J1028" s="25" t="str">
        <f>IF(OR(E1028="",E1028="!!!",F1028="NEW"),"",COUNTBLANK(OFFSET(A$1,,,SUMPRODUCT(MAX(ROW(E$2:E1028)*(E1028=E$2:E1028)))))-COUNTBLANK(OFFSET(A$1,,,SUMPRODUCT(MAX(ROW(E$1:E1027)*(E2=E$1:E1027))))))</f>
        <v> </v>
      </c>
      <c r="K1028" s="25" t="str">
        <f>IF(OR(E1028="",E1028="!!!",F1028="NEW"),"",INDEX(J$1:J1027,SUMPRODUCT(MAX(ROW(E$1:E1027)*(E1028=E$1:E1027)))))</f>
        <v> </v>
      </c>
      <c r="L1028" s="26"/>
    </row>
    <row r="1029" spans="1:12">
      <c r="A1029" s="20" t="s">
        <v>973</v>
      </c>
      <c r="E1029" s="21">
        <f>IF(D1029="?OLD","!!!","")</f>
        <v/>
      </c>
      <c r="F1029" s="22" t="str">
        <f>IF(OR(E1029="",E1029="!!!"),"",IF(NOT(ISNA(VLOOKUP(E1029,E$1:E1028,1,FALSE()))),"OLD",IF(AND(E1029&lt;&gt;"",E1029&lt;&gt;"!!!"),"NEW","")))</f>
        <v> </v>
      </c>
      <c r="G1029" s="23" t="str">
        <f>IF(OR(E1029="",E1029="!!!"),"",IF(OR(J1029=0,AND(J1029=1,K1029=1),AND(J1029=1,I1029="SBJ"),AND(J1029=1,I1029=0)),"?IN_FOCUS",IF(J1029&lt;=2,"?ACTIVATED",IF(J1029&lt;&gt;"","?FAMILIAR",IF(F1029="NEW",IF(ISNA(VLOOKUP(E1029,#REF!,1,FALSE())),"?TYPE_IDENTIFIABLE","?REFERENTIAL"),"_")))))</f>
        <v> </v>
      </c>
      <c r="H1029" s="24" t="str">
        <f>IF(J1029&lt;&gt;1,"",IF(I1029="SBJ","CB","?"))</f>
        <v> </v>
      </c>
      <c r="I1029" s="25" t="str">
        <f>IF(OR(E1029="",E1029="!!!",F1029="NEW"),"",INDEX(B1028:B$2,-1+SUMPRODUCT(MAX(ROW(E1028:E$2)*(E1029=E1028:E$2)))))</f>
        <v> </v>
      </c>
      <c r="J1029" s="25" t="str">
        <f>IF(OR(E1029="",E1029="!!!",F1029="NEW"),"",COUNTBLANK(OFFSET(A$1,,,SUMPRODUCT(MAX(ROW(E$2:E1029)*(E1029=E$2:E1029)))))-COUNTBLANK(OFFSET(A$1,,,SUMPRODUCT(MAX(ROW(E$1:E1028)*(E2=E$1:E1028))))))</f>
        <v> </v>
      </c>
      <c r="K1029" s="25" t="str">
        <f>IF(OR(E1029="",E1029="!!!",F1029="NEW"),"",INDEX(J$1:J1028,SUMPRODUCT(MAX(ROW(E$1:E1028)*(E1029=E$1:E1028)))))</f>
        <v> </v>
      </c>
      <c r="L1029" s="26"/>
    </row>
    <row r="1030" spans="1:12">
      <c r="A1030" s="20" t="s">
        <v>893</v>
      </c>
      <c r="E1030" s="21">
        <f>IF(D1030="?OLD","!!!","")</f>
        <v/>
      </c>
      <c r="F1030" s="22" t="str">
        <f>IF(OR(E1030="",E1030="!!!"),"",IF(NOT(ISNA(VLOOKUP(E1030,E$1:E1029,1,FALSE()))),"OLD",IF(AND(E1030&lt;&gt;"",E1030&lt;&gt;"!!!"),"NEW","")))</f>
        <v> </v>
      </c>
      <c r="G1030" s="23" t="str">
        <f>IF(OR(E1030="",E1030="!!!"),"",IF(OR(J1030=0,AND(J1030=1,K1030=1),AND(J1030=1,I1030="SBJ"),AND(J1030=1,I1030=0)),"?IN_FOCUS",IF(J1030&lt;=2,"?ACTIVATED",IF(J1030&lt;&gt;"","?FAMILIAR",IF(F1030="NEW",IF(ISNA(VLOOKUP(E1030,#REF!,1,FALSE())),"?TYPE_IDENTIFIABLE","?REFERENTIAL"),"_")))))</f>
        <v> </v>
      </c>
      <c r="H1030" s="24" t="str">
        <f>IF(J1030&lt;&gt;1,"",IF(I1030="SBJ","CB","?"))</f>
        <v> </v>
      </c>
      <c r="I1030" s="25" t="str">
        <f>IF(OR(E1030="",E1030="!!!",F1030="NEW"),"",INDEX(B1029:B$2,-1+SUMPRODUCT(MAX(ROW(E1029:E$2)*(E1030=E1029:E$2)))))</f>
        <v> </v>
      </c>
      <c r="J1030" s="25" t="str">
        <f>IF(OR(E1030="",E1030="!!!",F1030="NEW"),"",COUNTBLANK(OFFSET(A$1,,,SUMPRODUCT(MAX(ROW(E$2:E1030)*(E1030=E$2:E1030)))))-COUNTBLANK(OFFSET(A$1,,,SUMPRODUCT(MAX(ROW(E$1:E1029)*(E2=E$1:E1029))))))</f>
        <v> </v>
      </c>
      <c r="K1030" s="25" t="str">
        <f>IF(OR(E1030="",E1030="!!!",F1030="NEW"),"",INDEX(J$1:J1029,SUMPRODUCT(MAX(ROW(E$1:E1029)*(E1030=E$1:E1029)))))</f>
        <v> </v>
      </c>
      <c r="L1030" s="26"/>
    </row>
    <row r="1031" spans="1:12">
      <c r="A1031" s="20" t="s">
        <v>482</v>
      </c>
      <c r="E1031" s="21">
        <f>IF(D1031="?OLD","!!!","")</f>
        <v/>
      </c>
      <c r="F1031" s="22" t="str">
        <f>IF(OR(E1031="",E1031="!!!"),"",IF(NOT(ISNA(VLOOKUP(E1031,E$1:E1030,1,FALSE()))),"OLD",IF(AND(E1031&lt;&gt;"",E1031&lt;&gt;"!!!"),"NEW","")))</f>
        <v> </v>
      </c>
      <c r="G1031" s="23" t="str">
        <f>IF(OR(E1031="",E1031="!!!"),"",IF(OR(J1031=0,AND(J1031=1,K1031=1),AND(J1031=1,I1031="SBJ"),AND(J1031=1,I1031=0)),"?IN_FOCUS",IF(J1031&lt;=2,"?ACTIVATED",IF(J1031&lt;&gt;"","?FAMILIAR",IF(F1031="NEW",IF(ISNA(VLOOKUP(E1031,#REF!,1,FALSE())),"?TYPE_IDENTIFIABLE","?REFERENTIAL"),"_")))))</f>
        <v> </v>
      </c>
      <c r="H1031" s="24" t="str">
        <f>IF(J1031&lt;&gt;1,"",IF(I1031="SBJ","CB","?"))</f>
        <v> </v>
      </c>
      <c r="I1031" s="25" t="str">
        <f>IF(OR(E1031="",E1031="!!!",F1031="NEW"),"",INDEX(B1030:B$2,-1+SUMPRODUCT(MAX(ROW(E1030:E$2)*(E1031=E1030:E$2)))))</f>
        <v> </v>
      </c>
      <c r="J1031" s="25" t="str">
        <f>IF(OR(E1031="",E1031="!!!",F1031="NEW"),"",COUNTBLANK(OFFSET(A$1,,,SUMPRODUCT(MAX(ROW(E$2:E1031)*(E1031=E$2:E1031)))))-COUNTBLANK(OFFSET(A$1,,,SUMPRODUCT(MAX(ROW(E$1:E1030)*(E2=E$1:E1030))))))</f>
        <v> </v>
      </c>
      <c r="K1031" s="25" t="str">
        <f>IF(OR(E1031="",E1031="!!!",F1031="NEW"),"",INDEX(J$1:J1030,SUMPRODUCT(MAX(ROW(E$1:E1030)*(E1031=E$1:E1030)))))</f>
        <v> </v>
      </c>
      <c r="L1031" s="26"/>
    </row>
    <row r="1032" spans="1:12">
      <c r="A1032" s="20" t="s">
        <v>905</v>
      </c>
      <c r="E1032" s="21">
        <f>IF(D1032="?OLD","!!!","")</f>
        <v/>
      </c>
      <c r="F1032" s="22" t="str">
        <f>IF(OR(E1032="",E1032="!!!"),"",IF(NOT(ISNA(VLOOKUP(E1032,E$1:E1031,1,FALSE()))),"OLD",IF(AND(E1032&lt;&gt;"",E1032&lt;&gt;"!!!"),"NEW","")))</f>
        <v> </v>
      </c>
      <c r="G1032" s="23" t="str">
        <f>IF(OR(E1032="",E1032="!!!"),"",IF(OR(J1032=0,AND(J1032=1,K1032=1),AND(J1032=1,I1032="SBJ"),AND(J1032=1,I1032=0)),"?IN_FOCUS",IF(J1032&lt;=2,"?ACTIVATED",IF(J1032&lt;&gt;"","?FAMILIAR",IF(F1032="NEW",IF(ISNA(VLOOKUP(E1032,#REF!,1,FALSE())),"?TYPE_IDENTIFIABLE","?REFERENTIAL"),"_")))))</f>
        <v> </v>
      </c>
      <c r="H1032" s="24" t="str">
        <f>IF(J1032&lt;&gt;1,"",IF(I1032="SBJ","CB","?"))</f>
        <v> </v>
      </c>
      <c r="I1032" s="25" t="str">
        <f>IF(OR(E1032="",E1032="!!!",F1032="NEW"),"",INDEX(B1031:B$2,-1+SUMPRODUCT(MAX(ROW(E1031:E$2)*(E1032=E1031:E$2)))))</f>
        <v> </v>
      </c>
      <c r="J1032" s="25" t="str">
        <f>IF(OR(E1032="",E1032="!!!",F1032="NEW"),"",COUNTBLANK(OFFSET(A$1,,,SUMPRODUCT(MAX(ROW(E$2:E1032)*(E1032=E$2:E1032)))))-COUNTBLANK(OFFSET(A$1,,,SUMPRODUCT(MAX(ROW(E$1:E1031)*(E2=E$1:E1031))))))</f>
        <v> </v>
      </c>
      <c r="K1032" s="25" t="str">
        <f>IF(OR(E1032="",E1032="!!!",F1032="NEW"),"",INDEX(J$1:J1031,SUMPRODUCT(MAX(ROW(E$1:E1031)*(E1032=E$1:E1031)))))</f>
        <v> </v>
      </c>
      <c r="L1032" s="26"/>
    </row>
    <row r="1033" spans="1:12">
      <c r="A1033" s="20" t="s">
        <v>974</v>
      </c>
      <c r="B1033" s="27" t="s">
        <v>632</v>
      </c>
      <c r="E1033" s="21">
        <f>IF(D1033="?OLD","!!!","")</f>
        <v/>
      </c>
      <c r="F1033" s="22" t="str">
        <f>IF(OR(E1033="",E1033="!!!"),"",IF(NOT(ISNA(VLOOKUP(E1033,E$1:E1032,1,FALSE()))),"OLD",IF(AND(E1033&lt;&gt;"",E1033&lt;&gt;"!!!"),"NEW","")))</f>
        <v> </v>
      </c>
      <c r="G1033" s="23" t="str">
        <f>IF(OR(E1033="",E1033="!!!"),"",IF(OR(J1033=0,AND(J1033=1,K1033=1),AND(J1033=1,I1033="SBJ"),AND(J1033=1,I1033=0)),"?IN_FOCUS",IF(J1033&lt;=2,"?ACTIVATED",IF(J1033&lt;&gt;"","?FAMILIAR",IF(F1033="NEW",IF(ISNA(VLOOKUP(E1033,#REF!,1,FALSE())),"?TYPE_IDENTIFIABLE","?REFERENTIAL"),"_")))))</f>
        <v> </v>
      </c>
      <c r="H1033" s="24" t="str">
        <f>IF(J1033&lt;&gt;1,"",IF(I1033="SBJ","CB","?"))</f>
        <v> </v>
      </c>
      <c r="I1033" s="25" t="str">
        <f>IF(OR(E1033="",E1033="!!!",F1033="NEW"),"",INDEX(B1032:B$2,-1+SUMPRODUCT(MAX(ROW(E1032:E$2)*(E1033=E1032:E$2)))))</f>
        <v> </v>
      </c>
      <c r="J1033" s="25" t="str">
        <f>IF(OR(E1033="",E1033="!!!",F1033="NEW"),"",COUNTBLANK(OFFSET(A$1,,,SUMPRODUCT(MAX(ROW(E$2:E1033)*(E1033=E$2:E1033)))))-COUNTBLANK(OFFSET(A$1,,,SUMPRODUCT(MAX(ROW(E$1:E1032)*(E2=E$1:E1032))))))</f>
        <v> </v>
      </c>
      <c r="K1033" s="25" t="str">
        <f>IF(OR(E1033="",E1033="!!!",F1033="NEW"),"",INDEX(J$1:J1032,SUMPRODUCT(MAX(ROW(E$1:E1032)*(E1033=E$1:E1032)))))</f>
        <v> </v>
      </c>
      <c r="L1033" s="26"/>
    </row>
    <row r="1034" spans="1:12">
      <c r="A1034" s="20" t="s">
        <v>482</v>
      </c>
      <c r="E1034" s="21">
        <f>IF(D1034="?OLD","!!!","")</f>
        <v/>
      </c>
      <c r="F1034" s="22" t="str">
        <f>IF(OR(E1034="",E1034="!!!"),"",IF(NOT(ISNA(VLOOKUP(E1034,E$1:E1033,1,FALSE()))),"OLD",IF(AND(E1034&lt;&gt;"",E1034&lt;&gt;"!!!"),"NEW","")))</f>
        <v> </v>
      </c>
      <c r="G1034" s="23" t="str">
        <f>IF(OR(E1034="",E1034="!!!"),"",IF(OR(J1034=0,AND(J1034=1,K1034=1),AND(J1034=1,I1034="SBJ"),AND(J1034=1,I1034=0)),"?IN_FOCUS",IF(J1034&lt;=2,"?ACTIVATED",IF(J1034&lt;&gt;"","?FAMILIAR",IF(F1034="NEW",IF(ISNA(VLOOKUP(E1034,#REF!,1,FALSE())),"?TYPE_IDENTIFIABLE","?REFERENTIAL"),"_")))))</f>
        <v> </v>
      </c>
      <c r="H1034" s="24" t="str">
        <f>IF(J1034&lt;&gt;1,"",IF(I1034="SBJ","CB","?"))</f>
        <v> </v>
      </c>
      <c r="I1034" s="25" t="str">
        <f>IF(OR(E1034="",E1034="!!!",F1034="NEW"),"",INDEX(B1033:B$2,-1+SUMPRODUCT(MAX(ROW(E1033:E$2)*(E1034=E1033:E$2)))))</f>
        <v> </v>
      </c>
      <c r="J1034" s="25" t="str">
        <f>IF(OR(E1034="",E1034="!!!",F1034="NEW"),"",COUNTBLANK(OFFSET(A$1,,,SUMPRODUCT(MAX(ROW(E$2:E1034)*(E1034=E$2:E1034)))))-COUNTBLANK(OFFSET(A$1,,,SUMPRODUCT(MAX(ROW(E$1:E1033)*(E2=E$1:E1033))))))</f>
        <v> </v>
      </c>
      <c r="K1034" s="25" t="str">
        <f>IF(OR(E1034="",E1034="!!!",F1034="NEW"),"",INDEX(J$1:J1033,SUMPRODUCT(MAX(ROW(E$1:E1033)*(E1034=E$1:E1033)))))</f>
        <v> </v>
      </c>
      <c r="L1034" s="26"/>
    </row>
    <row r="1035" spans="1:12">
      <c r="A1035" s="20" t="s">
        <v>974</v>
      </c>
      <c r="E1035" s="21">
        <f>IF(D1035="?OLD","!!!","")</f>
        <v/>
      </c>
      <c r="F1035" s="22" t="str">
        <f>IF(OR(E1035="",E1035="!!!"),"",IF(NOT(ISNA(VLOOKUP(E1035,E$1:E1034,1,FALSE()))),"OLD",IF(AND(E1035&lt;&gt;"",E1035&lt;&gt;"!!!"),"NEW","")))</f>
        <v> </v>
      </c>
      <c r="G1035" s="23" t="str">
        <f>IF(OR(E1035="",E1035="!!!"),"",IF(OR(J1035=0,AND(J1035=1,K1035=1),AND(J1035=1,I1035="SBJ"),AND(J1035=1,I1035=0)),"?IN_FOCUS",IF(J1035&lt;=2,"?ACTIVATED",IF(J1035&lt;&gt;"","?FAMILIAR",IF(F1035="NEW",IF(ISNA(VLOOKUP(E1035,#REF!,1,FALSE())),"?TYPE_IDENTIFIABLE","?REFERENTIAL"),"_")))))</f>
        <v> </v>
      </c>
      <c r="H1035" s="24" t="str">
        <f>IF(J1035&lt;&gt;1,"",IF(I1035="SBJ","CB","?"))</f>
        <v> </v>
      </c>
      <c r="I1035" s="25" t="str">
        <f>IF(OR(E1035="",E1035="!!!",F1035="NEW"),"",INDEX(B1034:B$2,-1+SUMPRODUCT(MAX(ROW(E1034:E$2)*(E1035=E1034:E$2)))))</f>
        <v> </v>
      </c>
      <c r="J1035" s="25" t="str">
        <f>IF(OR(E1035="",E1035="!!!",F1035="NEW"),"",COUNTBLANK(OFFSET(A$1,,,SUMPRODUCT(MAX(ROW(E$2:E1035)*(E1035=E$2:E1035)))))-COUNTBLANK(OFFSET(A$1,,,SUMPRODUCT(MAX(ROW(E$1:E1034)*(E2=E$1:E1034))))))</f>
        <v> </v>
      </c>
      <c r="K1035" s="25" t="str">
        <f>IF(OR(E1035="",E1035="!!!",F1035="NEW"),"",INDEX(J$1:J1034,SUMPRODUCT(MAX(ROW(E$1:E1034)*(E1035=E$1:E1034)))))</f>
        <v> </v>
      </c>
      <c r="L1035" s="26"/>
    </row>
    <row r="1036" spans="1:12">
      <c r="A1036" s="20" t="s">
        <v>973</v>
      </c>
      <c r="E1036" s="21">
        <f>IF(D1036="?OLD","!!!","")</f>
        <v/>
      </c>
      <c r="F1036" s="22" t="str">
        <f>IF(OR(E1036="",E1036="!!!"),"",IF(NOT(ISNA(VLOOKUP(E1036,E$1:E1035,1,FALSE()))),"OLD",IF(AND(E1036&lt;&gt;"",E1036&lt;&gt;"!!!"),"NEW","")))</f>
        <v> </v>
      </c>
      <c r="G1036" s="23" t="str">
        <f>IF(OR(E1036="",E1036="!!!"),"",IF(OR(J1036=0,AND(J1036=1,K1036=1),AND(J1036=1,I1036="SBJ"),AND(J1036=1,I1036=0)),"?IN_FOCUS",IF(J1036&lt;=2,"?ACTIVATED",IF(J1036&lt;&gt;"","?FAMILIAR",IF(F1036="NEW",IF(ISNA(VLOOKUP(E1036,#REF!,1,FALSE())),"?TYPE_IDENTIFIABLE","?REFERENTIAL"),"_")))))</f>
        <v> </v>
      </c>
      <c r="H1036" s="24" t="str">
        <f>IF(J1036&lt;&gt;1,"",IF(I1036="SBJ","CB","?"))</f>
        <v> </v>
      </c>
      <c r="I1036" s="25" t="str">
        <f>IF(OR(E1036="",E1036="!!!",F1036="NEW"),"",INDEX(B1035:B$2,-1+SUMPRODUCT(MAX(ROW(E1035:E$2)*(E1036=E1035:E$2)))))</f>
        <v> </v>
      </c>
      <c r="J1036" s="25" t="str">
        <f>IF(OR(E1036="",E1036="!!!",F1036="NEW"),"",COUNTBLANK(OFFSET(A$1,,,SUMPRODUCT(MAX(ROW(E$2:E1036)*(E1036=E$2:E1036)))))-COUNTBLANK(OFFSET(A$1,,,SUMPRODUCT(MAX(ROW(E$1:E1035)*(E2=E$1:E1035))))))</f>
        <v> </v>
      </c>
      <c r="K1036" s="25" t="str">
        <f>IF(OR(E1036="",E1036="!!!",F1036="NEW"),"",INDEX(J$1:J1035,SUMPRODUCT(MAX(ROW(E$1:E1035)*(E1036=E$1:E1035)))))</f>
        <v> </v>
      </c>
      <c r="L1036" s="26"/>
    </row>
    <row r="1037" spans="1:12">
      <c r="A1037" s="20" t="s">
        <v>893</v>
      </c>
      <c r="E1037" s="21">
        <f>IF(D1037="?OLD","!!!","")</f>
        <v/>
      </c>
      <c r="F1037" s="22" t="str">
        <f>IF(OR(E1037="",E1037="!!!"),"",IF(NOT(ISNA(VLOOKUP(E1037,E$1:E1036,1,FALSE()))),"OLD",IF(AND(E1037&lt;&gt;"",E1037&lt;&gt;"!!!"),"NEW","")))</f>
        <v> </v>
      </c>
      <c r="G1037" s="23" t="str">
        <f>IF(OR(E1037="",E1037="!!!"),"",IF(OR(J1037=0,AND(J1037=1,K1037=1),AND(J1037=1,I1037="SBJ"),AND(J1037=1,I1037=0)),"?IN_FOCUS",IF(J1037&lt;=2,"?ACTIVATED",IF(J1037&lt;&gt;"","?FAMILIAR",IF(F1037="NEW",IF(ISNA(VLOOKUP(E1037,#REF!,1,FALSE())),"?TYPE_IDENTIFIABLE","?REFERENTIAL"),"_")))))</f>
        <v> </v>
      </c>
      <c r="H1037" s="24" t="str">
        <f>IF(J1037&lt;&gt;1,"",IF(I1037="SBJ","CB","?"))</f>
        <v> </v>
      </c>
      <c r="I1037" s="25" t="str">
        <f>IF(OR(E1037="",E1037="!!!",F1037="NEW"),"",INDEX(B1036:B$2,-1+SUMPRODUCT(MAX(ROW(E1036:E$2)*(E1037=E1036:E$2)))))</f>
        <v> </v>
      </c>
      <c r="J1037" s="25" t="str">
        <f>IF(OR(E1037="",E1037="!!!",F1037="NEW"),"",COUNTBLANK(OFFSET(A$1,,,SUMPRODUCT(MAX(ROW(E$2:E1037)*(E1037=E$2:E1037)))))-COUNTBLANK(OFFSET(A$1,,,SUMPRODUCT(MAX(ROW(E$1:E1036)*(E2=E$1:E1036))))))</f>
        <v> </v>
      </c>
      <c r="K1037" s="25" t="str">
        <f>IF(OR(E1037="",E1037="!!!",F1037="NEW"),"",INDEX(J$1:J1036,SUMPRODUCT(MAX(ROW(E$1:E1036)*(E1037=E$1:E1036)))))</f>
        <v> </v>
      </c>
      <c r="L1037" s="26"/>
    </row>
    <row r="1038" spans="1:12">
      <c r="A1038" s="20" t="s">
        <v>482</v>
      </c>
      <c r="E1038" s="21">
        <f>IF(D1038="?OLD","!!!","")</f>
        <v/>
      </c>
      <c r="F1038" s="22" t="str">
        <f>IF(OR(E1038="",E1038="!!!"),"",IF(NOT(ISNA(VLOOKUP(E1038,E$1:E1037,1,FALSE()))),"OLD",IF(AND(E1038&lt;&gt;"",E1038&lt;&gt;"!!!"),"NEW","")))</f>
        <v> </v>
      </c>
      <c r="G1038" s="23" t="str">
        <f>IF(OR(E1038="",E1038="!!!"),"",IF(OR(J1038=0,AND(J1038=1,K1038=1),AND(J1038=1,I1038="SBJ"),AND(J1038=1,I1038=0)),"?IN_FOCUS",IF(J1038&lt;=2,"?ACTIVATED",IF(J1038&lt;&gt;"","?FAMILIAR",IF(F1038="NEW",IF(ISNA(VLOOKUP(E1038,#REF!,1,FALSE())),"?TYPE_IDENTIFIABLE","?REFERENTIAL"),"_")))))</f>
        <v> </v>
      </c>
      <c r="H1038" s="24" t="str">
        <f>IF(J1038&lt;&gt;1,"",IF(I1038="SBJ","CB","?"))</f>
        <v> </v>
      </c>
      <c r="I1038" s="25" t="str">
        <f>IF(OR(E1038="",E1038="!!!",F1038="NEW"),"",INDEX(B1037:B$2,-1+SUMPRODUCT(MAX(ROW(E1037:E$2)*(E1038=E1037:E$2)))))</f>
        <v> </v>
      </c>
      <c r="J1038" s="25" t="str">
        <f>IF(OR(E1038="",E1038="!!!",F1038="NEW"),"",COUNTBLANK(OFFSET(A$1,,,SUMPRODUCT(MAX(ROW(E$2:E1038)*(E1038=E$2:E1038)))))-COUNTBLANK(OFFSET(A$1,,,SUMPRODUCT(MAX(ROW(E$1:E1037)*(E2=E$1:E1037))))))</f>
        <v> </v>
      </c>
      <c r="K1038" s="25" t="str">
        <f>IF(OR(E1038="",E1038="!!!",F1038="NEW"),"",INDEX(J$1:J1037,SUMPRODUCT(MAX(ROW(E$1:E1037)*(E1038=E$1:E1037)))))</f>
        <v> </v>
      </c>
      <c r="L1038" s="26"/>
    </row>
    <row r="1039" spans="1:12">
      <c r="A1039" s="20" t="s">
        <v>905</v>
      </c>
      <c r="E1039" s="21">
        <f>IF(D1039="?OLD","!!!","")</f>
        <v/>
      </c>
      <c r="F1039" s="22" t="str">
        <f>IF(OR(E1039="",E1039="!!!"),"",IF(NOT(ISNA(VLOOKUP(E1039,E$1:E1038,1,FALSE()))),"OLD",IF(AND(E1039&lt;&gt;"",E1039&lt;&gt;"!!!"),"NEW","")))</f>
        <v> </v>
      </c>
      <c r="G1039" s="23" t="str">
        <f>IF(OR(E1039="",E1039="!!!"),"",IF(OR(J1039=0,AND(J1039=1,K1039=1),AND(J1039=1,I1039="SBJ"),AND(J1039=1,I1039=0)),"?IN_FOCUS",IF(J1039&lt;=2,"?ACTIVATED",IF(J1039&lt;&gt;"","?FAMILIAR",IF(F1039="NEW",IF(ISNA(VLOOKUP(E1039,#REF!,1,FALSE())),"?TYPE_IDENTIFIABLE","?REFERENTIAL"),"_")))))</f>
        <v> </v>
      </c>
      <c r="H1039" s="24" t="str">
        <f>IF(J1039&lt;&gt;1,"",IF(I1039="SBJ","CB","?"))</f>
        <v> </v>
      </c>
      <c r="I1039" s="25" t="str">
        <f>IF(OR(E1039="",E1039="!!!",F1039="NEW"),"",INDEX(B1038:B$2,-1+SUMPRODUCT(MAX(ROW(E1038:E$2)*(E1039=E1038:E$2)))))</f>
        <v> </v>
      </c>
      <c r="J1039" s="25" t="str">
        <f>IF(OR(E1039="",E1039="!!!",F1039="NEW"),"",COUNTBLANK(OFFSET(A$1,,,SUMPRODUCT(MAX(ROW(E$2:E1039)*(E1039=E$2:E1039)))))-COUNTBLANK(OFFSET(A$1,,,SUMPRODUCT(MAX(ROW(E$1:E1038)*(E2=E$1:E1038))))))</f>
        <v> </v>
      </c>
      <c r="K1039" s="25" t="str">
        <f>IF(OR(E1039="",E1039="!!!",F1039="NEW"),"",INDEX(J$1:J1038,SUMPRODUCT(MAX(ROW(E$1:E1038)*(E1039=E$1:E1038)))))</f>
        <v> </v>
      </c>
      <c r="L1039" s="26"/>
    </row>
    <row r="1040" spans="1:12">
      <c r="A1040" s="20" t="s">
        <v>909</v>
      </c>
      <c r="E1040" s="21">
        <f>IF(D1040="?OLD","!!!","")</f>
        <v/>
      </c>
      <c r="F1040" s="22" t="str">
        <f>IF(OR(E1040="",E1040="!!!"),"",IF(NOT(ISNA(VLOOKUP(E1040,E$1:E1039,1,FALSE()))),"OLD",IF(AND(E1040&lt;&gt;"",E1040&lt;&gt;"!!!"),"NEW","")))</f>
        <v> </v>
      </c>
      <c r="G1040" s="23" t="str">
        <f>IF(OR(E1040="",E1040="!!!"),"",IF(OR(J1040=0,AND(J1040=1,K1040=1),AND(J1040=1,I1040="SBJ"),AND(J1040=1,I1040=0)),"?IN_FOCUS",IF(J1040&lt;=2,"?ACTIVATED",IF(J1040&lt;&gt;"","?FAMILIAR",IF(F1040="NEW",IF(ISNA(VLOOKUP(E1040,#REF!,1,FALSE())),"?TYPE_IDENTIFIABLE","?REFERENTIAL"),"_")))))</f>
        <v> </v>
      </c>
      <c r="H1040" s="24" t="str">
        <f>IF(J1040&lt;&gt;1,"",IF(I1040="SBJ","CB","?"))</f>
        <v> </v>
      </c>
      <c r="I1040" s="25" t="str">
        <f>IF(OR(E1040="",E1040="!!!",F1040="NEW"),"",INDEX(B1039:B$2,-1+SUMPRODUCT(MAX(ROW(E1039:E$2)*(E1040=E1039:E$2)))))</f>
        <v> </v>
      </c>
      <c r="J1040" s="25" t="str">
        <f>IF(OR(E1040="",E1040="!!!",F1040="NEW"),"",COUNTBLANK(OFFSET(A$1,,,SUMPRODUCT(MAX(ROW(E$2:E1040)*(E1040=E$2:E1040)))))-COUNTBLANK(OFFSET(A$1,,,SUMPRODUCT(MAX(ROW(E$1:E1039)*(E2=E$1:E1039))))))</f>
        <v> </v>
      </c>
      <c r="K1040" s="25" t="str">
        <f>IF(OR(E1040="",E1040="!!!",F1040="NEW"),"",INDEX(J$1:J1039,SUMPRODUCT(MAX(ROW(E$1:E1039)*(E1040=E$1:E1039)))))</f>
        <v> </v>
      </c>
      <c r="L1040" s="26"/>
    </row>
    <row r="1041" spans="1:12">
      <c r="A1041" s="20" t="s">
        <v>482</v>
      </c>
      <c r="E1041" s="21">
        <f>IF(D1041="?OLD","!!!","")</f>
        <v/>
      </c>
      <c r="F1041" s="22" t="str">
        <f>IF(OR(E1041="",E1041="!!!"),"",IF(NOT(ISNA(VLOOKUP(E1041,E$1:E1040,1,FALSE()))),"OLD",IF(AND(E1041&lt;&gt;"",E1041&lt;&gt;"!!!"),"NEW","")))</f>
        <v> </v>
      </c>
      <c r="G1041" s="23" t="str">
        <f>IF(OR(E1041="",E1041="!!!"),"",IF(OR(J1041=0,AND(J1041=1,K1041=1),AND(J1041=1,I1041="SBJ"),AND(J1041=1,I1041=0)),"?IN_FOCUS",IF(J1041&lt;=2,"?ACTIVATED",IF(J1041&lt;&gt;"","?FAMILIAR",IF(F1041="NEW",IF(ISNA(VLOOKUP(E1041,#REF!,1,FALSE())),"?TYPE_IDENTIFIABLE","?REFERENTIAL"),"_")))))</f>
        <v> </v>
      </c>
      <c r="H1041" s="24" t="str">
        <f>IF(J1041&lt;&gt;1,"",IF(I1041="SBJ","CB","?"))</f>
        <v> </v>
      </c>
      <c r="I1041" s="25" t="str">
        <f>IF(OR(E1041="",E1041="!!!",F1041="NEW"),"",INDEX(B1040:B$2,-1+SUMPRODUCT(MAX(ROW(E1040:E$2)*(E1041=E1040:E$2)))))</f>
        <v> </v>
      </c>
      <c r="J1041" s="25" t="str">
        <f>IF(OR(E1041="",E1041="!!!",F1041="NEW"),"",COUNTBLANK(OFFSET(A$1,,,SUMPRODUCT(MAX(ROW(E$2:E1041)*(E1041=E$2:E1041)))))-COUNTBLANK(OFFSET(A$1,,,SUMPRODUCT(MAX(ROW(E$1:E1040)*(E2=E$1:E1040))))))</f>
        <v> </v>
      </c>
      <c r="K1041" s="25" t="str">
        <f>IF(OR(E1041="",E1041="!!!",F1041="NEW"),"",INDEX(J$1:J1040,SUMPRODUCT(MAX(ROW(E$1:E1040)*(E1041=E$1:E1040)))))</f>
        <v> </v>
      </c>
      <c r="L1041" s="26"/>
    </row>
    <row r="1042" spans="1:12">
      <c r="A1042" s="20" t="s">
        <v>22</v>
      </c>
      <c r="E1042" s="21">
        <f>IF(D1042="?OLD","!!!","")</f>
        <v/>
      </c>
      <c r="F1042" s="22" t="str">
        <f>IF(OR(E1042="",E1042="!!!"),"",IF(NOT(ISNA(VLOOKUP(E1042,E$1:E1041,1,FALSE()))),"OLD",IF(AND(E1042&lt;&gt;"",E1042&lt;&gt;"!!!"),"NEW","")))</f>
        <v> </v>
      </c>
      <c r="G1042" s="23" t="str">
        <f>IF(OR(E1042="",E1042="!!!"),"",IF(OR(J1042=0,AND(J1042=1,K1042=1),AND(J1042=1,I1042="SBJ"),AND(J1042=1,I1042=0)),"?IN_FOCUS",IF(J1042&lt;=2,"?ACTIVATED",IF(J1042&lt;&gt;"","?FAMILIAR",IF(F1042="NEW",IF(ISNA(VLOOKUP(E1042,#REF!,1,FALSE())),"?TYPE_IDENTIFIABLE","?REFERENTIAL"),"_")))))</f>
        <v> </v>
      </c>
      <c r="H1042" s="24" t="str">
        <f>IF(J1042&lt;&gt;1,"",IF(I1042="SBJ","CB","?"))</f>
        <v> </v>
      </c>
      <c r="I1042" s="25" t="str">
        <f>IF(OR(E1042="",E1042="!!!",F1042="NEW"),"",INDEX(B1041:B$2,-1+SUMPRODUCT(MAX(ROW(E1041:E$2)*(E1042=E1041:E$2)))))</f>
        <v> </v>
      </c>
      <c r="J1042" s="25" t="str">
        <f>IF(OR(E1042="",E1042="!!!",F1042="NEW"),"",COUNTBLANK(OFFSET(A$1,,,SUMPRODUCT(MAX(ROW(E$2:E1042)*(E1042=E$2:E1042)))))-COUNTBLANK(OFFSET(A$1,,,SUMPRODUCT(MAX(ROW(E$1:E1041)*(E2=E$1:E1041))))))</f>
        <v> </v>
      </c>
      <c r="K1042" s="25" t="str">
        <f>IF(OR(E1042="",E1042="!!!",F1042="NEW"),"",INDEX(J$1:J1041,SUMPRODUCT(MAX(ROW(E$1:E1041)*(E1042=E$1:E1041)))))</f>
        <v> </v>
      </c>
      <c r="L1042" s="26"/>
    </row>
    <row r="1043" spans="1:12">
      <c r="A1043" s="20" t="s">
        <v>909</v>
      </c>
      <c r="E1043" s="21">
        <f>IF(D1043="?OLD","!!!","")</f>
        <v/>
      </c>
      <c r="F1043" s="22" t="str">
        <f>IF(OR(E1043="",E1043="!!!"),"",IF(NOT(ISNA(VLOOKUP(E1043,E$1:E1042,1,FALSE()))),"OLD",IF(AND(E1043&lt;&gt;"",E1043&lt;&gt;"!!!"),"NEW","")))</f>
        <v> </v>
      </c>
      <c r="G1043" s="23" t="str">
        <f>IF(OR(E1043="",E1043="!!!"),"",IF(OR(J1043=0,AND(J1043=1,K1043=1),AND(J1043=1,I1043="SBJ"),AND(J1043=1,I1043=0)),"?IN_FOCUS",IF(J1043&lt;=2,"?ACTIVATED",IF(J1043&lt;&gt;"","?FAMILIAR",IF(F1043="NEW",IF(ISNA(VLOOKUP(E1043,#REF!,1,FALSE())),"?TYPE_IDENTIFIABLE","?REFERENTIAL"),"_")))))</f>
        <v> </v>
      </c>
      <c r="H1043" s="24" t="str">
        <f>IF(J1043&lt;&gt;1,"",IF(I1043="SBJ","CB","?"))</f>
        <v> </v>
      </c>
      <c r="I1043" s="25" t="str">
        <f>IF(OR(E1043="",E1043="!!!",F1043="NEW"),"",INDEX(B1042:B$2,-1+SUMPRODUCT(MAX(ROW(E1042:E$2)*(E1043=E1042:E$2)))))</f>
        <v> </v>
      </c>
      <c r="J1043" s="25" t="str">
        <f>IF(OR(E1043="",E1043="!!!",F1043="NEW"),"",COUNTBLANK(OFFSET(A$1,,,SUMPRODUCT(MAX(ROW(E$2:E1043)*(E1043=E$2:E1043)))))-COUNTBLANK(OFFSET(A$1,,,SUMPRODUCT(MAX(ROW(E$1:E1042)*(E2=E$1:E1042))))))</f>
        <v> </v>
      </c>
      <c r="K1043" s="25" t="str">
        <f>IF(OR(E1043="",E1043="!!!",F1043="NEW"),"",INDEX(J$1:J1042,SUMPRODUCT(MAX(ROW(E$1:E1042)*(E1043=E$1:E1042)))))</f>
        <v> </v>
      </c>
      <c r="L1043" s="26"/>
    </row>
    <row r="1044" spans="1:12">
      <c r="A1044" s="20" t="s">
        <v>12</v>
      </c>
      <c r="E1044" s="21">
        <f>IF(D1044="?OLD","!!!","")</f>
        <v/>
      </c>
      <c r="F1044" s="22" t="str">
        <f>IF(OR(E1044="",E1044="!!!"),"",IF(NOT(ISNA(VLOOKUP(E1044,E$1:E1043,1,FALSE()))),"OLD",IF(AND(E1044&lt;&gt;"",E1044&lt;&gt;"!!!"),"NEW","")))</f>
        <v> </v>
      </c>
      <c r="G1044" s="23" t="str">
        <f>IF(OR(E1044="",E1044="!!!"),"",IF(OR(J1044=0,AND(J1044=1,K1044=1),AND(J1044=1,I1044="SBJ"),AND(J1044=1,I1044=0)),"?IN_FOCUS",IF(J1044&lt;=2,"?ACTIVATED",IF(J1044&lt;&gt;"","?FAMILIAR",IF(F1044="NEW",IF(ISNA(VLOOKUP(E1044,#REF!,1,FALSE())),"?TYPE_IDENTIFIABLE","?REFERENTIAL"),"_")))))</f>
        <v> </v>
      </c>
      <c r="H1044" s="24" t="str">
        <f>IF(J1044&lt;&gt;1,"",IF(I1044="SBJ","CB","?"))</f>
        <v> </v>
      </c>
      <c r="I1044" s="25" t="str">
        <f>IF(OR(E1044="",E1044="!!!",F1044="NEW"),"",INDEX(B1043:B$2,-1+SUMPRODUCT(MAX(ROW(E1043:E$2)*(E1044=E1043:E$2)))))</f>
        <v> </v>
      </c>
      <c r="J1044" s="25" t="str">
        <f>IF(OR(E1044="",E1044="!!!",F1044="NEW"),"",COUNTBLANK(OFFSET(A$1,,,SUMPRODUCT(MAX(ROW(E$2:E1044)*(E1044=E$2:E1044)))))-COUNTBLANK(OFFSET(A$1,,,SUMPRODUCT(MAX(ROW(E$1:E1043)*(E2=E$1:E1043))))))</f>
        <v> </v>
      </c>
      <c r="K1044" s="25" t="str">
        <f>IF(OR(E1044="",E1044="!!!",F1044="NEW"),"",INDEX(J$1:J1043,SUMPRODUCT(MAX(ROW(E$1:E1043)*(E1044=E$1:E1043)))))</f>
        <v> </v>
      </c>
      <c r="L1044" s="26"/>
    </row>
    <row r="1045" spans="1:12">
      <c r="A1045" s="20" t="s">
        <v>905</v>
      </c>
      <c r="E1045" s="21">
        <f>IF(D1045="?OLD","!!!","")</f>
        <v/>
      </c>
      <c r="F1045" s="22" t="str">
        <f>IF(OR(E1045="",E1045="!!!"),"",IF(NOT(ISNA(VLOOKUP(E1045,E$1:E1044,1,FALSE()))),"OLD",IF(AND(E1045&lt;&gt;"",E1045&lt;&gt;"!!!"),"NEW","")))</f>
        <v> </v>
      </c>
      <c r="G1045" s="23" t="str">
        <f>IF(OR(E1045="",E1045="!!!"),"",IF(OR(J1045=0,AND(J1045=1,K1045=1),AND(J1045=1,I1045="SBJ"),AND(J1045=1,I1045=0)),"?IN_FOCUS",IF(J1045&lt;=2,"?ACTIVATED",IF(J1045&lt;&gt;"","?FAMILIAR",IF(F1045="NEW",IF(ISNA(VLOOKUP(E1045,#REF!,1,FALSE())),"?TYPE_IDENTIFIABLE","?REFERENTIAL"),"_")))))</f>
        <v> </v>
      </c>
      <c r="H1045" s="24" t="str">
        <f>IF(J1045&lt;&gt;1,"",IF(I1045="SBJ","CB","?"))</f>
        <v> </v>
      </c>
      <c r="I1045" s="25" t="str">
        <f>IF(OR(E1045="",E1045="!!!",F1045="NEW"),"",INDEX(B1044:B$2,-1+SUMPRODUCT(MAX(ROW(E1044:E$2)*(E1045=E1044:E$2)))))</f>
        <v> </v>
      </c>
      <c r="J1045" s="25" t="str">
        <f>IF(OR(E1045="",E1045="!!!",F1045="NEW"),"",COUNTBLANK(OFFSET(A$1,,,SUMPRODUCT(MAX(ROW(E$2:E1045)*(E1045=E$2:E1045)))))-COUNTBLANK(OFFSET(A$1,,,SUMPRODUCT(MAX(ROW(E$1:E1044)*(E2=E$1:E1044))))))</f>
        <v> </v>
      </c>
      <c r="K1045" s="25" t="str">
        <f>IF(OR(E1045="",E1045="!!!",F1045="NEW"),"",INDEX(J$1:J1044,SUMPRODUCT(MAX(ROW(E$1:E1044)*(E1045=E$1:E1044)))))</f>
        <v> </v>
      </c>
      <c r="L1045" s="26"/>
    </row>
    <row r="1046" spans="1:12">
      <c r="A1046" s="20" t="s">
        <v>946</v>
      </c>
      <c r="E1046" s="21">
        <f>IF(D1046="?OLD","!!!","")</f>
        <v/>
      </c>
      <c r="F1046" s="22" t="str">
        <f>IF(OR(E1046="",E1046="!!!"),"",IF(NOT(ISNA(VLOOKUP(E1046,E$1:E1045,1,FALSE()))),"OLD",IF(AND(E1046&lt;&gt;"",E1046&lt;&gt;"!!!"),"NEW","")))</f>
        <v> </v>
      </c>
      <c r="G1046" s="23" t="str">
        <f>IF(OR(E1046="",E1046="!!!"),"",IF(OR(J1046=0,AND(J1046=1,K1046=1),AND(J1046=1,I1046="SBJ"),AND(J1046=1,I1046=0)),"?IN_FOCUS",IF(J1046&lt;=2,"?ACTIVATED",IF(J1046&lt;&gt;"","?FAMILIAR",IF(F1046="NEW",IF(ISNA(VLOOKUP(E1046,#REF!,1,FALSE())),"?TYPE_IDENTIFIABLE","?REFERENTIAL"),"_")))))</f>
        <v> </v>
      </c>
      <c r="H1046" s="24" t="str">
        <f>IF(J1046&lt;&gt;1,"",IF(I1046="SBJ","CB","?"))</f>
        <v> </v>
      </c>
      <c r="I1046" s="25" t="str">
        <f>IF(OR(E1046="",E1046="!!!",F1046="NEW"),"",INDEX(B1045:B$2,-1+SUMPRODUCT(MAX(ROW(E1045:E$2)*(E1046=E1045:E$2)))))</f>
        <v> </v>
      </c>
      <c r="J1046" s="25" t="str">
        <f>IF(OR(E1046="",E1046="!!!",F1046="NEW"),"",COUNTBLANK(OFFSET(A$1,,,SUMPRODUCT(MAX(ROW(E$2:E1046)*(E1046=E$2:E1046)))))-COUNTBLANK(OFFSET(A$1,,,SUMPRODUCT(MAX(ROW(E$1:E1045)*(E2=E$1:E1045))))))</f>
        <v> </v>
      </c>
      <c r="K1046" s="25" t="str">
        <f>IF(OR(E1046="",E1046="!!!",F1046="NEW"),"",INDEX(J$1:J1045,SUMPRODUCT(MAX(ROW(E$1:E1045)*(E1046=E$1:E1045)))))</f>
        <v> </v>
      </c>
      <c r="L1046" s="26"/>
    </row>
    <row r="1047" spans="1:12">
      <c r="A1047" s="20" t="s">
        <v>253</v>
      </c>
      <c r="E1047" s="21">
        <f>IF(D1047="?OLD","!!!","")</f>
        <v/>
      </c>
      <c r="F1047" s="22" t="str">
        <f>IF(OR(E1047="",E1047="!!!"),"",IF(NOT(ISNA(VLOOKUP(E1047,E$1:E1046,1,FALSE()))),"OLD",IF(AND(E1047&lt;&gt;"",E1047&lt;&gt;"!!!"),"NEW","")))</f>
        <v> </v>
      </c>
      <c r="G1047" s="23" t="str">
        <f>IF(OR(E1047="",E1047="!!!"),"",IF(OR(J1047=0,AND(J1047=1,K1047=1),AND(J1047=1,I1047="SBJ"),AND(J1047=1,I1047=0)),"?IN_FOCUS",IF(J1047&lt;=2,"?ACTIVATED",IF(J1047&lt;&gt;"","?FAMILIAR",IF(F1047="NEW",IF(ISNA(VLOOKUP(E1047,#REF!,1,FALSE())),"?TYPE_IDENTIFIABLE","?REFERENTIAL"),"_")))))</f>
        <v> </v>
      </c>
      <c r="H1047" s="24" t="str">
        <f>IF(J1047&lt;&gt;1,"",IF(I1047="SBJ","CB","?"))</f>
        <v> </v>
      </c>
      <c r="I1047" s="25" t="str">
        <f>IF(OR(E1047="",E1047="!!!",F1047="NEW"),"",INDEX(B1046:B$2,-1+SUMPRODUCT(MAX(ROW(E1046:E$2)*(E1047=E1046:E$2)))))</f>
        <v> </v>
      </c>
      <c r="J1047" s="25" t="str">
        <f>IF(OR(E1047="",E1047="!!!",F1047="NEW"),"",COUNTBLANK(OFFSET(A$1,,,SUMPRODUCT(MAX(ROW(E$2:E1047)*(E1047=E$2:E1047)))))-COUNTBLANK(OFFSET(A$1,,,SUMPRODUCT(MAX(ROW(E$1:E1046)*(E2=E$1:E1046))))))</f>
        <v> </v>
      </c>
      <c r="K1047" s="25" t="str">
        <f>IF(OR(E1047="",E1047="!!!",F1047="NEW"),"",INDEX(J$1:J1046,SUMPRODUCT(MAX(ROW(E$1:E1046)*(E1047=E$1:E1046)))))</f>
        <v> </v>
      </c>
      <c r="L1047" s="26"/>
    </row>
    <row r="1048" spans="1:12">
      <c r="A1048" s="20"/>
    </row>
    <row r="1049" spans="1:12">
      <c r="A1049" s="20" t="s">
        <v>975</v>
      </c>
    </row>
    <row r="1050" spans="1:12">
      <c r="A1050" s="20" t="s">
        <v>976</v>
      </c>
      <c r="B1050" s="27" t="s">
        <v>476</v>
      </c>
      <c r="C1050" s="27" t="s">
        <v>633</v>
      </c>
      <c r="E1050" s="21">
        <f>IF(D1050="?OLD","!!!","")</f>
        <v/>
      </c>
      <c r="F1050" s="22" t="str">
        <f>IF(OR(E1050="",E1050="!!!"),"",IF(NOT(ISNA(VLOOKUP(E1050,E$1:E1049,1,FALSE()))),"OLD",IF(AND(E1050&lt;&gt;"",E1050&lt;&gt;"!!!"),"NEW","")))</f>
        <v> </v>
      </c>
      <c r="G1050" s="23" t="str">
        <f>IF(OR(E1050="",E1050="!!!"),"",IF(OR(J1050=0,AND(J1050=1,K1050=1),AND(J1050=1,I1050="SBJ"),AND(J1050=1,I1050=0)),"?IN_FOCUS",IF(J1050&lt;=2,"?ACTIVATED",IF(J1050&lt;&gt;"","?FAMILIAR",IF(F1050="NEW",IF(ISNA(VLOOKUP(E1050,#REF!,1,FALSE())),"?TYPE_IDENTIFIABLE","?REFERENTIAL"),"_")))))</f>
        <v> </v>
      </c>
      <c r="H1050" s="24" t="str">
        <f>IF(J1050&lt;&gt;1,"",IF(I1050="SBJ","CB","?"))</f>
        <v> </v>
      </c>
      <c r="I1050" s="25" t="str">
        <f>IF(OR(E1050="",E1050="!!!",F1050="NEW"),"",INDEX(B1049:B$2,-1+SUMPRODUCT(MAX(ROW(E1049:E$2)*(E1050=E1049:E$2)))))</f>
        <v> </v>
      </c>
      <c r="J1050" s="25" t="str">
        <f>IF(OR(E1050="",E1050="!!!",F1050="NEW"),"",COUNTBLANK(OFFSET(A$1,,,SUMPRODUCT(MAX(ROW(E$2:E1050)*(E1050=E$2:E1050)))))-COUNTBLANK(OFFSET(A$1,,,SUMPRODUCT(MAX(ROW(E$1:E1049)*(E2=E$1:E1049))))))</f>
        <v> </v>
      </c>
      <c r="K1050" s="25" t="str">
        <f>IF(OR(E1050="",E1050="!!!",F1050="NEW"),"",INDEX(J$1:J1049,SUMPRODUCT(MAX(ROW(E$1:E1049)*(E1050=E$1:E1049)))))</f>
        <v> </v>
      </c>
      <c r="L1050" s="26"/>
    </row>
    <row r="1051" spans="1:12">
      <c r="A1051" s="20" t="s">
        <v>709</v>
      </c>
      <c r="E1051" s="21">
        <f>IF(D1051="?OLD","!!!","")</f>
        <v/>
      </c>
      <c r="F1051" s="22" t="str">
        <f>IF(OR(E1051="",E1051="!!!"),"",IF(NOT(ISNA(VLOOKUP(E1051,E$1:E1050,1,FALSE()))),"OLD",IF(AND(E1051&lt;&gt;"",E1051&lt;&gt;"!!!"),"NEW","")))</f>
        <v> </v>
      </c>
      <c r="G1051" s="23" t="str">
        <f>IF(OR(E1051="",E1051="!!!"),"",IF(OR(J1051=0,AND(J1051=1,K1051=1),AND(J1051=1,I1051="SBJ"),AND(J1051=1,I1051=0)),"?IN_FOCUS",IF(J1051&lt;=2,"?ACTIVATED",IF(J1051&lt;&gt;"","?FAMILIAR",IF(F1051="NEW",IF(ISNA(VLOOKUP(E1051,#REF!,1,FALSE())),"?TYPE_IDENTIFIABLE","?REFERENTIAL"),"_")))))</f>
        <v> </v>
      </c>
      <c r="H1051" s="24" t="str">
        <f>IF(J1051&lt;&gt;1,"",IF(I1051="SBJ","CB","?"))</f>
        <v> </v>
      </c>
      <c r="I1051" s="25" t="str">
        <f>IF(OR(E1051="",E1051="!!!",F1051="NEW"),"",INDEX(B1050:B$2,-1+SUMPRODUCT(MAX(ROW(E1050:E$2)*(E1051=E1050:E$2)))))</f>
        <v> </v>
      </c>
      <c r="J1051" s="25" t="str">
        <f>IF(OR(E1051="",E1051="!!!",F1051="NEW"),"",COUNTBLANK(OFFSET(A$1,,,SUMPRODUCT(MAX(ROW(E$2:E1051)*(E1051=E$2:E1051)))))-COUNTBLANK(OFFSET(A$1,,,SUMPRODUCT(MAX(ROW(E$1:E1050)*(E2=E$1:E1050))))))</f>
        <v> </v>
      </c>
      <c r="K1051" s="25" t="str">
        <f>IF(OR(E1051="",E1051="!!!",F1051="NEW"),"",INDEX(J$1:J1050,SUMPRODUCT(MAX(ROW(E$1:E1050)*(E1051=E$1:E1050)))))</f>
        <v> </v>
      </c>
      <c r="L1051" s="26"/>
    </row>
    <row r="1052" spans="1:12">
      <c r="A1052" s="20" t="s">
        <v>977</v>
      </c>
      <c r="B1052" s="27" t="s">
        <v>473</v>
      </c>
      <c r="C1052" s="27" t="s">
        <v>497</v>
      </c>
      <c r="D1052" s="27" t="s">
        <v>478</v>
      </c>
      <c r="E1052" s="21">
        <f>IF(D1052="?OLD","!!!","")</f>
        <v/>
      </c>
      <c r="F1052" s="22" t="str">
        <f>IF(OR(E1052="",E1052="!!!"),"",IF(NOT(ISNA(VLOOKUP(E1052,E$1:E1051,1,FALSE()))),"OLD",IF(AND(E1052&lt;&gt;"",E1052&lt;&gt;"!!!"),"NEW","")))</f>
        <v> </v>
      </c>
      <c r="G1052" s="23" t="str">
        <f>IF(OR(E1052="",E1052="!!!"),"",IF(OR(J1052=0,AND(J1052=1,K1052=1),AND(J1052=1,I1052="SBJ"),AND(J1052=1,I1052=0)),"?IN_FOCUS",IF(J1052&lt;=2,"?ACTIVATED",IF(J1052&lt;&gt;"","?FAMILIAR",IF(F1052="NEW",IF(ISNA(VLOOKUP(E1052,#REF!,1,FALSE())),"?TYPE_IDENTIFIABLE","?REFERENTIAL"),"_")))))</f>
        <v> </v>
      </c>
      <c r="H1052" s="24" t="str">
        <f>IF(J1052&lt;&gt;1,"",IF(I1052="SBJ","CB","?"))</f>
        <v> </v>
      </c>
      <c r="I1052" s="25" t="str">
        <f>IF(OR(E1052="",E1052="!!!",F1052="NEW"),"",INDEX(B1051:B$2,-1+SUMPRODUCT(MAX(ROW(E1051:E$2)*(E1052=E1051:E$2)))))</f>
        <v> </v>
      </c>
      <c r="J1052" s="25" t="str">
        <f>IF(OR(E1052="",E1052="!!!",F1052="NEW"),"",COUNTBLANK(OFFSET(A$1,,,SUMPRODUCT(MAX(ROW(E$2:E1052)*(E1052=E$2:E1052)))))-COUNTBLANK(OFFSET(A$1,,,SUMPRODUCT(MAX(ROW(E$1:E1051)*(E2=E$1:E1051))))))</f>
        <v> </v>
      </c>
      <c r="K1052" s="25" t="str">
        <f>IF(OR(E1052="",E1052="!!!",F1052="NEW"),"",INDEX(J$1:J1051,SUMPRODUCT(MAX(ROW(E$1:E1051)*(E1052=E$1:E1051)))))</f>
        <v> </v>
      </c>
      <c r="L1052" s="26"/>
    </row>
    <row r="1053" spans="1:12">
      <c r="A1053" s="20" t="s">
        <v>724</v>
      </c>
      <c r="E1053" s="21">
        <f>IF(D1053="?OLD","!!!","")</f>
        <v/>
      </c>
      <c r="F1053" s="22" t="str">
        <f>IF(OR(E1053="",E1053="!!!"),"",IF(NOT(ISNA(VLOOKUP(E1053,E$1:E1052,1,FALSE()))),"OLD",IF(AND(E1053&lt;&gt;"",E1053&lt;&gt;"!!!"),"NEW","")))</f>
        <v> </v>
      </c>
      <c r="G1053" s="23" t="str">
        <f>IF(OR(E1053="",E1053="!!!"),"",IF(OR(J1053=0,AND(J1053=1,K1053=1),AND(J1053=1,I1053="SBJ"),AND(J1053=1,I1053=0)),"?IN_FOCUS",IF(J1053&lt;=2,"?ACTIVATED",IF(J1053&lt;&gt;"","?FAMILIAR",IF(F1053="NEW",IF(ISNA(VLOOKUP(E1053,#REF!,1,FALSE())),"?TYPE_IDENTIFIABLE","?REFERENTIAL"),"_")))))</f>
        <v> </v>
      </c>
      <c r="H1053" s="24" t="str">
        <f>IF(J1053&lt;&gt;1,"",IF(I1053="SBJ","CB","?"))</f>
        <v> </v>
      </c>
      <c r="I1053" s="25" t="str">
        <f>IF(OR(E1053="",E1053="!!!",F1053="NEW"),"",INDEX(B1052:B$2,-1+SUMPRODUCT(MAX(ROW(E1052:E$2)*(E1053=E1052:E$2)))))</f>
        <v> </v>
      </c>
      <c r="J1053" s="25" t="str">
        <f>IF(OR(E1053="",E1053="!!!",F1053="NEW"),"",COUNTBLANK(OFFSET(A$1,,,SUMPRODUCT(MAX(ROW(E$2:E1053)*(E1053=E$2:E1053)))))-COUNTBLANK(OFFSET(A$1,,,SUMPRODUCT(MAX(ROW(E$1:E1052)*(E2=E$1:E1052))))))</f>
        <v> </v>
      </c>
      <c r="K1053" s="25" t="str">
        <f>IF(OR(E1053="",E1053="!!!",F1053="NEW"),"",INDEX(J$1:J1052,SUMPRODUCT(MAX(ROW(E$1:E1052)*(E1053=E$1:E1052)))))</f>
        <v> </v>
      </c>
      <c r="L1053" s="26"/>
    </row>
    <row r="1054" spans="1:12">
      <c r="A1054" s="20" t="s">
        <v>665</v>
      </c>
      <c r="E1054" s="21">
        <f>IF(D1054="?OLD","!!!","")</f>
        <v/>
      </c>
      <c r="F1054" s="22" t="str">
        <f>IF(OR(E1054="",E1054="!!!"),"",IF(NOT(ISNA(VLOOKUP(E1054,E$1:E1053,1,FALSE()))),"OLD",IF(AND(E1054&lt;&gt;"",E1054&lt;&gt;"!!!"),"NEW","")))</f>
        <v> </v>
      </c>
      <c r="G1054" s="23" t="str">
        <f>IF(OR(E1054="",E1054="!!!"),"",IF(OR(J1054=0,AND(J1054=1,K1054=1),AND(J1054=1,I1054="SBJ"),AND(J1054=1,I1054=0)),"?IN_FOCUS",IF(J1054&lt;=2,"?ACTIVATED",IF(J1054&lt;&gt;"","?FAMILIAR",IF(F1054="NEW",IF(ISNA(VLOOKUP(E1054,#REF!,1,FALSE())),"?TYPE_IDENTIFIABLE","?REFERENTIAL"),"_")))))</f>
        <v> </v>
      </c>
      <c r="H1054" s="24" t="str">
        <f>IF(J1054&lt;&gt;1,"",IF(I1054="SBJ","CB","?"))</f>
        <v> </v>
      </c>
      <c r="I1054" s="25" t="str">
        <f>IF(OR(E1054="",E1054="!!!",F1054="NEW"),"",INDEX(B1053:B$2,-1+SUMPRODUCT(MAX(ROW(E1053:E$2)*(E1054=E1053:E$2)))))</f>
        <v> </v>
      </c>
      <c r="J1054" s="25" t="str">
        <f>IF(OR(E1054="",E1054="!!!",F1054="NEW"),"",COUNTBLANK(OFFSET(A$1,,,SUMPRODUCT(MAX(ROW(E$2:E1054)*(E1054=E$2:E1054)))))-COUNTBLANK(OFFSET(A$1,,,SUMPRODUCT(MAX(ROW(E$1:E1053)*(E2=E$1:E1053))))))</f>
        <v> </v>
      </c>
      <c r="K1054" s="25" t="str">
        <f>IF(OR(E1054="",E1054="!!!",F1054="NEW"),"",INDEX(J$1:J1053,SUMPRODUCT(MAX(ROW(E$1:E1053)*(E1054=E$1:E1053)))))</f>
        <v> </v>
      </c>
      <c r="L1054" s="26"/>
    </row>
    <row r="1055" spans="1:12">
      <c r="A1055" s="20" t="s">
        <v>666</v>
      </c>
      <c r="E1055" s="21">
        <f>IF(D1055="?OLD","!!!","")</f>
        <v/>
      </c>
      <c r="F1055" s="22" t="str">
        <f>IF(OR(E1055="",E1055="!!!"),"",IF(NOT(ISNA(VLOOKUP(E1055,E$1:E1054,1,FALSE()))),"OLD",IF(AND(E1055&lt;&gt;"",E1055&lt;&gt;"!!!"),"NEW","")))</f>
        <v> </v>
      </c>
      <c r="G1055" s="23" t="str">
        <f>IF(OR(E1055="",E1055="!!!"),"",IF(OR(J1055=0,AND(J1055=1,K1055=1),AND(J1055=1,I1055="SBJ"),AND(J1055=1,I1055=0)),"?IN_FOCUS",IF(J1055&lt;=2,"?ACTIVATED",IF(J1055&lt;&gt;"","?FAMILIAR",IF(F1055="NEW",IF(ISNA(VLOOKUP(E1055,#REF!,1,FALSE())),"?TYPE_IDENTIFIABLE","?REFERENTIAL"),"_")))))</f>
        <v> </v>
      </c>
      <c r="H1055" s="24" t="str">
        <f>IF(J1055&lt;&gt;1,"",IF(I1055="SBJ","CB","?"))</f>
        <v> </v>
      </c>
      <c r="I1055" s="25" t="str">
        <f>IF(OR(E1055="",E1055="!!!",F1055="NEW"),"",INDEX(B1054:B$2,-1+SUMPRODUCT(MAX(ROW(E1054:E$2)*(E1055=E1054:E$2)))))</f>
        <v> </v>
      </c>
      <c r="J1055" s="25" t="str">
        <f>IF(OR(E1055="",E1055="!!!",F1055="NEW"),"",COUNTBLANK(OFFSET(A$1,,,SUMPRODUCT(MAX(ROW(E$2:E1055)*(E1055=E$2:E1055)))))-COUNTBLANK(OFFSET(A$1,,,SUMPRODUCT(MAX(ROW(E$1:E1054)*(E2=E$1:E1054))))))</f>
        <v> </v>
      </c>
      <c r="K1055" s="25" t="str">
        <f>IF(OR(E1055="",E1055="!!!",F1055="NEW"),"",INDEX(J$1:J1054,SUMPRODUCT(MAX(ROW(E$1:E1054)*(E1055=E$1:E1054)))))</f>
        <v> </v>
      </c>
      <c r="L1055" s="26"/>
    </row>
    <row r="1056" spans="1:12">
      <c r="A1056" s="20" t="s">
        <v>493</v>
      </c>
      <c r="E1056" s="21">
        <f>IF(D1056="?OLD","!!!","")</f>
        <v/>
      </c>
      <c r="F1056" s="22" t="str">
        <f>IF(OR(E1056="",E1056="!!!"),"",IF(NOT(ISNA(VLOOKUP(E1056,E$1:E1055,1,FALSE()))),"OLD",IF(AND(E1056&lt;&gt;"",E1056&lt;&gt;"!!!"),"NEW","")))</f>
        <v> </v>
      </c>
      <c r="G1056" s="23" t="str">
        <f>IF(OR(E1056="",E1056="!!!"),"",IF(OR(J1056=0,AND(J1056=1,K1056=1),AND(J1056=1,I1056="SBJ"),AND(J1056=1,I1056=0)),"?IN_FOCUS",IF(J1056&lt;=2,"?ACTIVATED",IF(J1056&lt;&gt;"","?FAMILIAR",IF(F1056="NEW",IF(ISNA(VLOOKUP(E1056,#REF!,1,FALSE())),"?TYPE_IDENTIFIABLE","?REFERENTIAL"),"_")))))</f>
        <v> </v>
      </c>
      <c r="H1056" s="24" t="str">
        <f>IF(J1056&lt;&gt;1,"",IF(I1056="SBJ","CB","?"))</f>
        <v> </v>
      </c>
      <c r="I1056" s="25" t="str">
        <f>IF(OR(E1056="",E1056="!!!",F1056="NEW"),"",INDEX(B1055:B$2,-1+SUMPRODUCT(MAX(ROW(E1055:E$2)*(E1056=E1055:E$2)))))</f>
        <v> </v>
      </c>
      <c r="J1056" s="25" t="str">
        <f>IF(OR(E1056="",E1056="!!!",F1056="NEW"),"",COUNTBLANK(OFFSET(A$1,,,SUMPRODUCT(MAX(ROW(E$2:E1056)*(E1056=E$2:E1056)))))-COUNTBLANK(OFFSET(A$1,,,SUMPRODUCT(MAX(ROW(E$1:E1055)*(E2=E$1:E1055))))))</f>
        <v> </v>
      </c>
      <c r="K1056" s="25" t="str">
        <f>IF(OR(E1056="",E1056="!!!",F1056="NEW"),"",INDEX(J$1:J1055,SUMPRODUCT(MAX(ROW(E$1:E1055)*(E1056=E$1:E1055)))))</f>
        <v> </v>
      </c>
      <c r="L1056" s="26"/>
    </row>
    <row r="1057" spans="1:12">
      <c r="A1057" s="20" t="s">
        <v>978</v>
      </c>
      <c r="E1057" s="21">
        <f>IF(D1057="?OLD","!!!","")</f>
        <v/>
      </c>
      <c r="F1057" s="22" t="str">
        <f>IF(OR(E1057="",E1057="!!!"),"",IF(NOT(ISNA(VLOOKUP(E1057,E$1:E1056,1,FALSE()))),"OLD",IF(AND(E1057&lt;&gt;"",E1057&lt;&gt;"!!!"),"NEW","")))</f>
        <v> </v>
      </c>
      <c r="G1057" s="23" t="str">
        <f>IF(OR(E1057="",E1057="!!!"),"",IF(OR(J1057=0,AND(J1057=1,K1057=1),AND(J1057=1,I1057="SBJ"),AND(J1057=1,I1057=0)),"?IN_FOCUS",IF(J1057&lt;=2,"?ACTIVATED",IF(J1057&lt;&gt;"","?FAMILIAR",IF(F1057="NEW",IF(ISNA(VLOOKUP(E1057,#REF!,1,FALSE())),"?TYPE_IDENTIFIABLE","?REFERENTIAL"),"_")))))</f>
        <v> </v>
      </c>
      <c r="H1057" s="24" t="str">
        <f>IF(J1057&lt;&gt;1,"",IF(I1057="SBJ","CB","?"))</f>
        <v> </v>
      </c>
      <c r="I1057" s="25" t="str">
        <f>IF(OR(E1057="",E1057="!!!",F1057="NEW"),"",INDEX(B1056:B$2,-1+SUMPRODUCT(MAX(ROW(E1056:E$2)*(E1057=E1056:E$2)))))</f>
        <v> </v>
      </c>
      <c r="J1057" s="25" t="str">
        <f>IF(OR(E1057="",E1057="!!!",F1057="NEW"),"",COUNTBLANK(OFFSET(A$1,,,SUMPRODUCT(MAX(ROW(E$2:E1057)*(E1057=E$2:E1057)))))-COUNTBLANK(OFFSET(A$1,,,SUMPRODUCT(MAX(ROW(E$1:E1056)*(E2=E$1:E1056))))))</f>
        <v> </v>
      </c>
      <c r="K1057" s="25" t="str">
        <f>IF(OR(E1057="",E1057="!!!",F1057="NEW"),"",INDEX(J$1:J1056,SUMPRODUCT(MAX(ROW(E$1:E1056)*(E1057=E$1:E1056)))))</f>
        <v> </v>
      </c>
      <c r="L1057" s="26"/>
    </row>
    <row r="1058" spans="1:12">
      <c r="A1058" s="20" t="s">
        <v>253</v>
      </c>
      <c r="E1058" s="21">
        <f>IF(D1058="?OLD","!!!","")</f>
        <v/>
      </c>
      <c r="F1058" s="22" t="str">
        <f>IF(OR(E1058="",E1058="!!!"),"",IF(NOT(ISNA(VLOOKUP(E1058,E$1:E1057,1,FALSE()))),"OLD",IF(AND(E1058&lt;&gt;"",E1058&lt;&gt;"!!!"),"NEW","")))</f>
        <v> </v>
      </c>
      <c r="G1058" s="23" t="str">
        <f>IF(OR(E1058="",E1058="!!!"),"",IF(OR(J1058=0,AND(J1058=1,K1058=1),AND(J1058=1,I1058="SBJ"),AND(J1058=1,I1058=0)),"?IN_FOCUS",IF(J1058&lt;=2,"?ACTIVATED",IF(J1058&lt;&gt;"","?FAMILIAR",IF(F1058="NEW",IF(ISNA(VLOOKUP(E1058,#REF!,1,FALSE())),"?TYPE_IDENTIFIABLE","?REFERENTIAL"),"_")))))</f>
        <v> </v>
      </c>
      <c r="H1058" s="24" t="str">
        <f>IF(J1058&lt;&gt;1,"",IF(I1058="SBJ","CB","?"))</f>
        <v> </v>
      </c>
      <c r="I1058" s="25" t="str">
        <f>IF(OR(E1058="",E1058="!!!",F1058="NEW"),"",INDEX(B1057:B$2,-1+SUMPRODUCT(MAX(ROW(E1057:E$2)*(E1058=E1057:E$2)))))</f>
        <v> </v>
      </c>
      <c r="J1058" s="25" t="str">
        <f>IF(OR(E1058="",E1058="!!!",F1058="NEW"),"",COUNTBLANK(OFFSET(A$1,,,SUMPRODUCT(MAX(ROW(E$2:E1058)*(E1058=E$2:E1058)))))-COUNTBLANK(OFFSET(A$1,,,SUMPRODUCT(MAX(ROW(E$1:E1057)*(E2=E$1:E1057))))))</f>
        <v> </v>
      </c>
      <c r="K1058" s="25" t="str">
        <f>IF(OR(E1058="",E1058="!!!",F1058="NEW"),"",INDEX(J$1:J1057,SUMPRODUCT(MAX(ROW(E$1:E1057)*(E1058=E$1:E1057)))))</f>
        <v> </v>
      </c>
      <c r="L1058" s="26"/>
    </row>
    <row r="1059" spans="1:12">
      <c r="A1059" s="20"/>
    </row>
    <row r="1060" spans="1:12">
      <c r="A1060" s="20" t="s">
        <v>979</v>
      </c>
    </row>
    <row r="1061" spans="1:12">
      <c r="A1061" s="20" t="s">
        <v>980</v>
      </c>
      <c r="B1061" s="27" t="s">
        <v>521</v>
      </c>
      <c r="C1061" s="27" t="s">
        <v>477</v>
      </c>
      <c r="D1061" s="27" t="s">
        <v>478</v>
      </c>
      <c r="E1061" s="21">
        <f>IF(D1061="?OLD","!!!","")</f>
        <v/>
      </c>
      <c r="F1061" s="22" t="str">
        <f>IF(OR(E1061="",E1061="!!!"),"",IF(NOT(ISNA(VLOOKUP(E1061,E$1:E1060,1,FALSE()))),"OLD",IF(AND(E1061&lt;&gt;"",E1061&lt;&gt;"!!!"),"NEW","")))</f>
        <v> </v>
      </c>
      <c r="G1061" s="23" t="str">
        <f>IF(OR(E1061="",E1061="!!!"),"",IF(OR(J1061=0,AND(J1061=1,K1061=1),AND(J1061=1,I1061="SBJ"),AND(J1061=1,I1061=0)),"?IN_FOCUS",IF(J1061&lt;=2,"?ACTIVATED",IF(J1061&lt;&gt;"","?FAMILIAR",IF(F1061="NEW",IF(ISNA(VLOOKUP(E1061,#REF!,1,FALSE())),"?TYPE_IDENTIFIABLE","?REFERENTIAL"),"_")))))</f>
        <v> </v>
      </c>
      <c r="H1061" s="24" t="str">
        <f>IF(J1061&lt;&gt;1,"",IF(I1061="SBJ","CB","?"))</f>
        <v> </v>
      </c>
      <c r="I1061" s="25" t="str">
        <f>IF(OR(E1061="",E1061="!!!",F1061="NEW"),"",INDEX(B1060:B$2,-1+SUMPRODUCT(MAX(ROW(E1060:E$2)*(E1061=E1060:E$2)))))</f>
        <v> </v>
      </c>
      <c r="J1061" s="25" t="str">
        <f>IF(OR(E1061="",E1061="!!!",F1061="NEW"),"",COUNTBLANK(OFFSET(A$1,,,SUMPRODUCT(MAX(ROW(E$2:E1061)*(E1061=E$2:E1061)))))-COUNTBLANK(OFFSET(A$1,,,SUMPRODUCT(MAX(ROW(E$1:E1060)*(E2=E$1:E1060))))))</f>
        <v> </v>
      </c>
      <c r="K1061" s="25" t="str">
        <f>IF(OR(E1061="",E1061="!!!",F1061="NEW"),"",INDEX(J$1:J1060,SUMPRODUCT(MAX(ROW(E$1:E1060)*(E1061=E$1:E1060)))))</f>
        <v> </v>
      </c>
      <c r="L1061" s="26"/>
    </row>
    <row r="1062" spans="1:12">
      <c r="A1062" s="20" t="s">
        <v>978</v>
      </c>
      <c r="E1062" s="21">
        <f>IF(D1062="?OLD","!!!","")</f>
        <v/>
      </c>
      <c r="F1062" s="22" t="str">
        <f>IF(OR(E1062="",E1062="!!!"),"",IF(NOT(ISNA(VLOOKUP(E1062,E$1:E1061,1,FALSE()))),"OLD",IF(AND(E1062&lt;&gt;"",E1062&lt;&gt;"!!!"),"NEW","")))</f>
        <v> </v>
      </c>
      <c r="G1062" s="23" t="str">
        <f>IF(OR(E1062="",E1062="!!!"),"",IF(OR(J1062=0,AND(J1062=1,K1062=1),AND(J1062=1,I1062="SBJ"),AND(J1062=1,I1062=0)),"?IN_FOCUS",IF(J1062&lt;=2,"?ACTIVATED",IF(J1062&lt;&gt;"","?FAMILIAR",IF(F1062="NEW",IF(ISNA(VLOOKUP(E1062,#REF!,1,FALSE())),"?TYPE_IDENTIFIABLE","?REFERENTIAL"),"_")))))</f>
        <v> </v>
      </c>
      <c r="H1062" s="24" t="str">
        <f>IF(J1062&lt;&gt;1,"",IF(I1062="SBJ","CB","?"))</f>
        <v> </v>
      </c>
      <c r="I1062" s="25" t="str">
        <f>IF(OR(E1062="",E1062="!!!",F1062="NEW"),"",INDEX(B1061:B$2,-1+SUMPRODUCT(MAX(ROW(E1061:E$2)*(E1062=E1061:E$2)))))</f>
        <v> </v>
      </c>
      <c r="J1062" s="25" t="str">
        <f>IF(OR(E1062="",E1062="!!!",F1062="NEW"),"",COUNTBLANK(OFFSET(A$1,,,SUMPRODUCT(MAX(ROW(E$2:E1062)*(E1062=E$2:E1062)))))-COUNTBLANK(OFFSET(A$1,,,SUMPRODUCT(MAX(ROW(E$1:E1061)*(E2=E$1:E1061))))))</f>
        <v> </v>
      </c>
      <c r="K1062" s="25" t="str">
        <f>IF(OR(E1062="",E1062="!!!",F1062="NEW"),"",INDEX(J$1:J1061,SUMPRODUCT(MAX(ROW(E$1:E1061)*(E1062=E$1:E1061)))))</f>
        <v> </v>
      </c>
      <c r="L1062" s="26"/>
    </row>
    <row r="1063" spans="1:12">
      <c r="A1063" s="20" t="s">
        <v>776</v>
      </c>
      <c r="E1063" s="21">
        <f>IF(D1063="?OLD","!!!","")</f>
        <v/>
      </c>
      <c r="F1063" s="22" t="str">
        <f>IF(OR(E1063="",E1063="!!!"),"",IF(NOT(ISNA(VLOOKUP(E1063,E$1:E1062,1,FALSE()))),"OLD",IF(AND(E1063&lt;&gt;"",E1063&lt;&gt;"!!!"),"NEW","")))</f>
        <v> </v>
      </c>
      <c r="G1063" s="23" t="str">
        <f>IF(OR(E1063="",E1063="!!!"),"",IF(OR(J1063=0,AND(J1063=1,K1063=1),AND(J1063=1,I1063="SBJ"),AND(J1063=1,I1063=0)),"?IN_FOCUS",IF(J1063&lt;=2,"?ACTIVATED",IF(J1063&lt;&gt;"","?FAMILIAR",IF(F1063="NEW",IF(ISNA(VLOOKUP(E1063,#REF!,1,FALSE())),"?TYPE_IDENTIFIABLE","?REFERENTIAL"),"_")))))</f>
        <v> </v>
      </c>
      <c r="H1063" s="24" t="str">
        <f>IF(J1063&lt;&gt;1,"",IF(I1063="SBJ","CB","?"))</f>
        <v> </v>
      </c>
      <c r="I1063" s="25" t="str">
        <f>IF(OR(E1063="",E1063="!!!",F1063="NEW"),"",INDEX(B1062:B$2,-1+SUMPRODUCT(MAX(ROW(E1062:E$2)*(E1063=E1062:E$2)))))</f>
        <v> </v>
      </c>
      <c r="J1063" s="25" t="str">
        <f>IF(OR(E1063="",E1063="!!!",F1063="NEW"),"",COUNTBLANK(OFFSET(A$1,,,SUMPRODUCT(MAX(ROW(E$2:E1063)*(E1063=E$2:E1063)))))-COUNTBLANK(OFFSET(A$1,,,SUMPRODUCT(MAX(ROW(E$1:E1062)*(E2=E$1:E1062))))))</f>
        <v> </v>
      </c>
      <c r="K1063" s="25" t="str">
        <f>IF(OR(E1063="",E1063="!!!",F1063="NEW"),"",INDEX(J$1:J1062,SUMPRODUCT(MAX(ROW(E$1:E1062)*(E1063=E$1:E1062)))))</f>
        <v> </v>
      </c>
      <c r="L1063" s="26"/>
    </row>
    <row r="1064" spans="1:12">
      <c r="A1064" s="20" t="s">
        <v>981</v>
      </c>
      <c r="B1064" s="27" t="s">
        <v>476</v>
      </c>
      <c r="E1064" s="21">
        <f>IF(D1064="?OLD","!!!","")</f>
        <v/>
      </c>
      <c r="F1064" s="22" t="str">
        <f>IF(OR(E1064="",E1064="!!!"),"",IF(NOT(ISNA(VLOOKUP(E1064,E$1:E1063,1,FALSE()))),"OLD",IF(AND(E1064&lt;&gt;"",E1064&lt;&gt;"!!!"),"NEW","")))</f>
        <v> </v>
      </c>
      <c r="G1064" s="23" t="str">
        <f>IF(OR(E1064="",E1064="!!!"),"",IF(OR(J1064=0,AND(J1064=1,K1064=1),AND(J1064=1,I1064="SBJ"),AND(J1064=1,I1064=0)),"?IN_FOCUS",IF(J1064&lt;=2,"?ACTIVATED",IF(J1064&lt;&gt;"","?FAMILIAR",IF(F1064="NEW",IF(ISNA(VLOOKUP(E1064,#REF!,1,FALSE())),"?TYPE_IDENTIFIABLE","?REFERENTIAL"),"_")))))</f>
        <v> </v>
      </c>
      <c r="H1064" s="24" t="str">
        <f>IF(J1064&lt;&gt;1,"",IF(I1064="SBJ","CB","?"))</f>
        <v> </v>
      </c>
      <c r="I1064" s="25" t="str">
        <f>IF(OR(E1064="",E1064="!!!",F1064="NEW"),"",INDEX(B1063:B$2,-1+SUMPRODUCT(MAX(ROW(E1063:E$2)*(E1064=E1063:E$2)))))</f>
        <v> </v>
      </c>
      <c r="J1064" s="25" t="str">
        <f>IF(OR(E1064="",E1064="!!!",F1064="NEW"),"",COUNTBLANK(OFFSET(A$1,,,SUMPRODUCT(MAX(ROW(E$2:E1064)*(E1064=E$2:E1064)))))-COUNTBLANK(OFFSET(A$1,,,SUMPRODUCT(MAX(ROW(E$1:E1063)*(E2=E$1:E1063))))))</f>
        <v> </v>
      </c>
      <c r="K1064" s="25" t="str">
        <f>IF(OR(E1064="",E1064="!!!",F1064="NEW"),"",INDEX(J$1:J1063,SUMPRODUCT(MAX(ROW(E$1:E1063)*(E1064=E$1:E1063)))))</f>
        <v> </v>
      </c>
      <c r="L1064" s="26"/>
    </row>
    <row r="1065" spans="1:12">
      <c r="A1065" s="20" t="s">
        <v>513</v>
      </c>
      <c r="E1065" s="21">
        <f>IF(D1065="?OLD","!!!","")</f>
        <v/>
      </c>
      <c r="F1065" s="22" t="str">
        <f>IF(OR(E1065="",E1065="!!!"),"",IF(NOT(ISNA(VLOOKUP(E1065,E$1:E1064,1,FALSE()))),"OLD",IF(AND(E1065&lt;&gt;"",E1065&lt;&gt;"!!!"),"NEW","")))</f>
        <v> </v>
      </c>
      <c r="G1065" s="23" t="str">
        <f>IF(OR(E1065="",E1065="!!!"),"",IF(OR(J1065=0,AND(J1065=1,K1065=1),AND(J1065=1,I1065="SBJ"),AND(J1065=1,I1065=0)),"?IN_FOCUS",IF(J1065&lt;=2,"?ACTIVATED",IF(J1065&lt;&gt;"","?FAMILIAR",IF(F1065="NEW",IF(ISNA(VLOOKUP(E1065,#REF!,1,FALSE())),"?TYPE_IDENTIFIABLE","?REFERENTIAL"),"_")))))</f>
        <v> </v>
      </c>
      <c r="H1065" s="24" t="str">
        <f>IF(J1065&lt;&gt;1,"",IF(I1065="SBJ","CB","?"))</f>
        <v> </v>
      </c>
      <c r="I1065" s="25" t="str">
        <f>IF(OR(E1065="",E1065="!!!",F1065="NEW"),"",INDEX(B1064:B$2,-1+SUMPRODUCT(MAX(ROW(E1064:E$2)*(E1065=E1064:E$2)))))</f>
        <v> </v>
      </c>
      <c r="J1065" s="25" t="str">
        <f>IF(OR(E1065="",E1065="!!!",F1065="NEW"),"",COUNTBLANK(OFFSET(A$1,,,SUMPRODUCT(MAX(ROW(E$2:E1065)*(E1065=E$2:E1065)))))-COUNTBLANK(OFFSET(A$1,,,SUMPRODUCT(MAX(ROW(E$1:E1064)*(E2=E$1:E1064))))))</f>
        <v> </v>
      </c>
      <c r="K1065" s="25" t="str">
        <f>IF(OR(E1065="",E1065="!!!",F1065="NEW"),"",INDEX(J$1:J1064,SUMPRODUCT(MAX(ROW(E$1:E1064)*(E1065=E$1:E1064)))))</f>
        <v> </v>
      </c>
      <c r="L1065" s="26"/>
    </row>
    <row r="1066" spans="1:12">
      <c r="A1066" s="20" t="s">
        <v>537</v>
      </c>
      <c r="E1066" s="21">
        <f>IF(D1066="?OLD","!!!","")</f>
        <v/>
      </c>
      <c r="F1066" s="22" t="str">
        <f>IF(OR(E1066="",E1066="!!!"),"",IF(NOT(ISNA(VLOOKUP(E1066,E$1:E1065,1,FALSE()))),"OLD",IF(AND(E1066&lt;&gt;"",E1066&lt;&gt;"!!!"),"NEW","")))</f>
        <v> </v>
      </c>
      <c r="G1066" s="23" t="str">
        <f>IF(OR(E1066="",E1066="!!!"),"",IF(OR(J1066=0,AND(J1066=1,K1066=1),AND(J1066=1,I1066="SBJ"),AND(J1066=1,I1066=0)),"?IN_FOCUS",IF(J1066&lt;=2,"?ACTIVATED",IF(J1066&lt;&gt;"","?FAMILIAR",IF(F1066="NEW",IF(ISNA(VLOOKUP(E1066,#REF!,1,FALSE())),"?TYPE_IDENTIFIABLE","?REFERENTIAL"),"_")))))</f>
        <v> </v>
      </c>
      <c r="H1066" s="24" t="str">
        <f>IF(J1066&lt;&gt;1,"",IF(I1066="SBJ","CB","?"))</f>
        <v> </v>
      </c>
      <c r="I1066" s="25" t="str">
        <f>IF(OR(E1066="",E1066="!!!",F1066="NEW"),"",INDEX(B1065:B$2,-1+SUMPRODUCT(MAX(ROW(E1065:E$2)*(E1066=E1065:E$2)))))</f>
        <v> </v>
      </c>
      <c r="J1066" s="25" t="str">
        <f>IF(OR(E1066="",E1066="!!!",F1066="NEW"),"",COUNTBLANK(OFFSET(A$1,,,SUMPRODUCT(MAX(ROW(E$2:E1066)*(E1066=E$2:E1066)))))-COUNTBLANK(OFFSET(A$1,,,SUMPRODUCT(MAX(ROW(E$1:E1065)*(E2=E$1:E1065))))))</f>
        <v> </v>
      </c>
      <c r="K1066" s="25" t="str">
        <f>IF(OR(E1066="",E1066="!!!",F1066="NEW"),"",INDEX(J$1:J1065,SUMPRODUCT(MAX(ROW(E$1:E1065)*(E1066=E$1:E1065)))))</f>
        <v> </v>
      </c>
      <c r="L1066" s="26"/>
    </row>
    <row r="1067" spans="1:12">
      <c r="A1067" s="20" t="s">
        <v>253</v>
      </c>
      <c r="E1067" s="21">
        <f>IF(D1067="?OLD","!!!","")</f>
        <v/>
      </c>
      <c r="F1067" s="22" t="str">
        <f>IF(OR(E1067="",E1067="!!!"),"",IF(NOT(ISNA(VLOOKUP(E1067,E$1:E1066,1,FALSE()))),"OLD",IF(AND(E1067&lt;&gt;"",E1067&lt;&gt;"!!!"),"NEW","")))</f>
        <v> </v>
      </c>
      <c r="G1067" s="23" t="str">
        <f>IF(OR(E1067="",E1067="!!!"),"",IF(OR(J1067=0,AND(J1067=1,K1067=1),AND(J1067=1,I1067="SBJ"),AND(J1067=1,I1067=0)),"?IN_FOCUS",IF(J1067&lt;=2,"?ACTIVATED",IF(J1067&lt;&gt;"","?FAMILIAR",IF(F1067="NEW",IF(ISNA(VLOOKUP(E1067,#REF!,1,FALSE())),"?TYPE_IDENTIFIABLE","?REFERENTIAL"),"_")))))</f>
        <v> </v>
      </c>
      <c r="H1067" s="24" t="str">
        <f>IF(J1067&lt;&gt;1,"",IF(I1067="SBJ","CB","?"))</f>
        <v> </v>
      </c>
      <c r="I1067" s="25" t="str">
        <f>IF(OR(E1067="",E1067="!!!",F1067="NEW"),"",INDEX(B1066:B$2,-1+SUMPRODUCT(MAX(ROW(E1066:E$2)*(E1067=E1066:E$2)))))</f>
        <v> </v>
      </c>
      <c r="J1067" s="25" t="str">
        <f>IF(OR(E1067="",E1067="!!!",F1067="NEW"),"",COUNTBLANK(OFFSET(A$1,,,SUMPRODUCT(MAX(ROW(E$2:E1067)*(E1067=E$2:E1067)))))-COUNTBLANK(OFFSET(A$1,,,SUMPRODUCT(MAX(ROW(E$1:E1066)*(E2=E$1:E1066))))))</f>
        <v> </v>
      </c>
      <c r="K1067" s="25" t="str">
        <f>IF(OR(E1067="",E1067="!!!",F1067="NEW"),"",INDEX(J$1:J1066,SUMPRODUCT(MAX(ROW(E$1:E1066)*(E1067=E$1:E1066)))))</f>
        <v> </v>
      </c>
      <c r="L1067" s="26"/>
    </row>
    <row r="1068" spans="1:12">
      <c r="A1068" s="20"/>
    </row>
    <row r="1069" spans="1:12">
      <c r="A1069" s="20" t="s">
        <v>982</v>
      </c>
    </row>
    <row r="1070" spans="1:12">
      <c r="A1070" s="20" t="s">
        <v>983</v>
      </c>
      <c r="E1070" s="21">
        <f>IF(D1070="?OLD","!!!","")</f>
        <v/>
      </c>
      <c r="F1070" s="22" t="str">
        <f>IF(OR(E1070="",E1070="!!!"),"",IF(NOT(ISNA(VLOOKUP(E1070,E$1:E1069,1,FALSE()))),"OLD",IF(AND(E1070&lt;&gt;"",E1070&lt;&gt;"!!!"),"NEW","")))</f>
        <v> </v>
      </c>
      <c r="G1070" s="23" t="str">
        <f>IF(OR(E1070="",E1070="!!!"),"",IF(OR(J1070=0,AND(J1070=1,K1070=1),AND(J1070=1,I1070="SBJ"),AND(J1070=1,I1070=0)),"?IN_FOCUS",IF(J1070&lt;=2,"?ACTIVATED",IF(J1070&lt;&gt;"","?FAMILIAR",IF(F1070="NEW",IF(ISNA(VLOOKUP(E1070,#REF!,1,FALSE())),"?TYPE_IDENTIFIABLE","?REFERENTIAL"),"_")))))</f>
        <v> </v>
      </c>
      <c r="H1070" s="24" t="str">
        <f>IF(J1070&lt;&gt;1,"",IF(I1070="SBJ","CB","?"))</f>
        <v> </v>
      </c>
      <c r="I1070" s="25" t="str">
        <f>IF(OR(E1070="",E1070="!!!",F1070="NEW"),"",INDEX(B1069:B$2,-1+SUMPRODUCT(MAX(ROW(E1069:E$2)*(E1070=E1069:E$2)))))</f>
        <v> </v>
      </c>
      <c r="J1070" s="25" t="str">
        <f>IF(OR(E1070="",E1070="!!!",F1070="NEW"),"",COUNTBLANK(OFFSET(A$1,,,SUMPRODUCT(MAX(ROW(E$2:E1070)*(E1070=E$2:E1070)))))-COUNTBLANK(OFFSET(A$1,,,SUMPRODUCT(MAX(ROW(E$1:E1069)*(E2=E$1:E1069))))))</f>
        <v> </v>
      </c>
      <c r="K1070" s="25" t="str">
        <f>IF(OR(E1070="",E1070="!!!",F1070="NEW"),"",INDEX(J$1:J1069,SUMPRODUCT(MAX(ROW(E$1:E1069)*(E1070=E$1:E1069)))))</f>
        <v> </v>
      </c>
      <c r="L1070" s="26"/>
    </row>
    <row r="1071" spans="1:12">
      <c r="A1071" s="20" t="s">
        <v>984</v>
      </c>
      <c r="B1071" s="27" t="s">
        <v>476</v>
      </c>
      <c r="C1071" s="27" t="s">
        <v>477</v>
      </c>
      <c r="D1071" s="27" t="s">
        <v>478</v>
      </c>
      <c r="E1071" s="21">
        <f>IF(D1071="?OLD","!!!","")</f>
        <v/>
      </c>
      <c r="F1071" s="22" t="str">
        <f>IF(OR(E1071="",E1071="!!!"),"",IF(NOT(ISNA(VLOOKUP(E1071,E$1:E1070,1,FALSE()))),"OLD",IF(AND(E1071&lt;&gt;"",E1071&lt;&gt;"!!!"),"NEW","")))</f>
        <v> </v>
      </c>
      <c r="G1071" s="23" t="str">
        <f>IF(OR(E1071="",E1071="!!!"),"",IF(OR(J1071=0,AND(J1071=1,K1071=1),AND(J1071=1,I1071="SBJ"),AND(J1071=1,I1071=0)),"?IN_FOCUS",IF(J1071&lt;=2,"?ACTIVATED",IF(J1071&lt;&gt;"","?FAMILIAR",IF(F1071="NEW",IF(ISNA(VLOOKUP(E1071,#REF!,1,FALSE())),"?TYPE_IDENTIFIABLE","?REFERENTIAL"),"_")))))</f>
        <v> </v>
      </c>
      <c r="H1071" s="24" t="str">
        <f>IF(J1071&lt;&gt;1,"",IF(I1071="SBJ","CB","?"))</f>
        <v> </v>
      </c>
      <c r="I1071" s="25" t="str">
        <f>IF(OR(E1071="",E1071="!!!",F1071="NEW"),"",INDEX(B1070:B$2,-1+SUMPRODUCT(MAX(ROW(E1070:E$2)*(E1071=E1070:E$2)))))</f>
        <v> </v>
      </c>
      <c r="J1071" s="25" t="str">
        <f>IF(OR(E1071="",E1071="!!!",F1071="NEW"),"",COUNTBLANK(OFFSET(A$1,,,SUMPRODUCT(MAX(ROW(E$2:E1071)*(E1071=E$2:E1071)))))-COUNTBLANK(OFFSET(A$1,,,SUMPRODUCT(MAX(ROW(E$1:E1070)*(E2=E$1:E1070))))))</f>
        <v> </v>
      </c>
      <c r="K1071" s="25" t="str">
        <f>IF(OR(E1071="",E1071="!!!",F1071="NEW"),"",INDEX(J$1:J1070,SUMPRODUCT(MAX(ROW(E$1:E1070)*(E1071=E$1:E1070)))))</f>
        <v> </v>
      </c>
      <c r="L1071" s="26"/>
    </row>
    <row r="1072" spans="1:12">
      <c r="A1072" s="20" t="s">
        <v>961</v>
      </c>
      <c r="E1072" s="21">
        <f>IF(D1072="?OLD","!!!","")</f>
        <v/>
      </c>
      <c r="F1072" s="22" t="str">
        <f>IF(OR(E1072="",E1072="!!!"),"",IF(NOT(ISNA(VLOOKUP(E1072,E$1:E1071,1,FALSE()))),"OLD",IF(AND(E1072&lt;&gt;"",E1072&lt;&gt;"!!!"),"NEW","")))</f>
        <v> </v>
      </c>
      <c r="G1072" s="23" t="str">
        <f>IF(OR(E1072="",E1072="!!!"),"",IF(OR(J1072=0,AND(J1072=1,K1072=1),AND(J1072=1,I1072="SBJ"),AND(J1072=1,I1072=0)),"?IN_FOCUS",IF(J1072&lt;=2,"?ACTIVATED",IF(J1072&lt;&gt;"","?FAMILIAR",IF(F1072="NEW",IF(ISNA(VLOOKUP(E1072,#REF!,1,FALSE())),"?TYPE_IDENTIFIABLE","?REFERENTIAL"),"_")))))</f>
        <v> </v>
      </c>
      <c r="H1072" s="24" t="str">
        <f>IF(J1072&lt;&gt;1,"",IF(I1072="SBJ","CB","?"))</f>
        <v> </v>
      </c>
      <c r="I1072" s="25" t="str">
        <f>IF(OR(E1072="",E1072="!!!",F1072="NEW"),"",INDEX(B1071:B$2,-1+SUMPRODUCT(MAX(ROW(E1071:E$2)*(E1072=E1071:E$2)))))</f>
        <v> </v>
      </c>
      <c r="J1072" s="25" t="str">
        <f>IF(OR(E1072="",E1072="!!!",F1072="NEW"),"",COUNTBLANK(OFFSET(A$1,,,SUMPRODUCT(MAX(ROW(E$2:E1072)*(E1072=E$2:E1072)))))-COUNTBLANK(OFFSET(A$1,,,SUMPRODUCT(MAX(ROW(E$1:E1071)*(E2=E$1:E1071))))))</f>
        <v> </v>
      </c>
      <c r="K1072" s="25" t="str">
        <f>IF(OR(E1072="",E1072="!!!",F1072="NEW"),"",INDEX(J$1:J1071,SUMPRODUCT(MAX(ROW(E$1:E1071)*(E1072=E$1:E1071)))))</f>
        <v> </v>
      </c>
      <c r="L1072" s="26"/>
    </row>
    <row r="1073" spans="1:12">
      <c r="A1073" s="20" t="s">
        <v>724</v>
      </c>
      <c r="E1073" s="21">
        <f>IF(D1073="?OLD","!!!","")</f>
        <v/>
      </c>
      <c r="F1073" s="22" t="str">
        <f>IF(OR(E1073="",E1073="!!!"),"",IF(NOT(ISNA(VLOOKUP(E1073,E$1:E1072,1,FALSE()))),"OLD",IF(AND(E1073&lt;&gt;"",E1073&lt;&gt;"!!!"),"NEW","")))</f>
        <v> </v>
      </c>
      <c r="G1073" s="23" t="str">
        <f>IF(OR(E1073="",E1073="!!!"),"",IF(OR(J1073=0,AND(J1073=1,K1073=1),AND(J1073=1,I1073="SBJ"),AND(J1073=1,I1073=0)),"?IN_FOCUS",IF(J1073&lt;=2,"?ACTIVATED",IF(J1073&lt;&gt;"","?FAMILIAR",IF(F1073="NEW",IF(ISNA(VLOOKUP(E1073,#REF!,1,FALSE())),"?TYPE_IDENTIFIABLE","?REFERENTIAL"),"_")))))</f>
        <v> </v>
      </c>
      <c r="H1073" s="24" t="str">
        <f>IF(J1073&lt;&gt;1,"",IF(I1073="SBJ","CB","?"))</f>
        <v> </v>
      </c>
      <c r="I1073" s="25" t="str">
        <f>IF(OR(E1073="",E1073="!!!",F1073="NEW"),"",INDEX(B1072:B$2,-1+SUMPRODUCT(MAX(ROW(E1072:E$2)*(E1073=E1072:E$2)))))</f>
        <v> </v>
      </c>
      <c r="J1073" s="25" t="str">
        <f>IF(OR(E1073="",E1073="!!!",F1073="NEW"),"",COUNTBLANK(OFFSET(A$1,,,SUMPRODUCT(MAX(ROW(E$2:E1073)*(E1073=E$2:E1073)))))-COUNTBLANK(OFFSET(A$1,,,SUMPRODUCT(MAX(ROW(E$1:E1072)*(E2=E$1:E1072))))))</f>
        <v> </v>
      </c>
      <c r="K1073" s="25" t="str">
        <f>IF(OR(E1073="",E1073="!!!",F1073="NEW"),"",INDEX(J$1:J1072,SUMPRODUCT(MAX(ROW(E$1:E1072)*(E1073=E$1:E1072)))))</f>
        <v> </v>
      </c>
      <c r="L1073" s="26"/>
    </row>
    <row r="1074" spans="1:12">
      <c r="A1074" s="20" t="s">
        <v>985</v>
      </c>
      <c r="E1074" s="21">
        <f>IF(D1074="?OLD","!!!","")</f>
        <v/>
      </c>
      <c r="F1074" s="22" t="str">
        <f>IF(OR(E1074="",E1074="!!!"),"",IF(NOT(ISNA(VLOOKUP(E1074,E$1:E1073,1,FALSE()))),"OLD",IF(AND(E1074&lt;&gt;"",E1074&lt;&gt;"!!!"),"NEW","")))</f>
        <v> </v>
      </c>
      <c r="G1074" s="23" t="str">
        <f>IF(OR(E1074="",E1074="!!!"),"",IF(OR(J1074=0,AND(J1074=1,K1074=1),AND(J1074=1,I1074="SBJ"),AND(J1074=1,I1074=0)),"?IN_FOCUS",IF(J1074&lt;=2,"?ACTIVATED",IF(J1074&lt;&gt;"","?FAMILIAR",IF(F1074="NEW",IF(ISNA(VLOOKUP(E1074,#REF!,1,FALSE())),"?TYPE_IDENTIFIABLE","?REFERENTIAL"),"_")))))</f>
        <v> </v>
      </c>
      <c r="H1074" s="24" t="str">
        <f>IF(J1074&lt;&gt;1,"",IF(I1074="SBJ","CB","?"))</f>
        <v> </v>
      </c>
      <c r="I1074" s="25" t="str">
        <f>IF(OR(E1074="",E1074="!!!",F1074="NEW"),"",INDEX(B1073:B$2,-1+SUMPRODUCT(MAX(ROW(E1073:E$2)*(E1074=E1073:E$2)))))</f>
        <v> </v>
      </c>
      <c r="J1074" s="25" t="str">
        <f>IF(OR(E1074="",E1074="!!!",F1074="NEW"),"",COUNTBLANK(OFFSET(A$1,,,SUMPRODUCT(MAX(ROW(E$2:E1074)*(E1074=E$2:E1074)))))-COUNTBLANK(OFFSET(A$1,,,SUMPRODUCT(MAX(ROW(E$1:E1073)*(E2=E$1:E1073))))))</f>
        <v> </v>
      </c>
      <c r="K1074" s="25" t="str">
        <f>IF(OR(E1074="",E1074="!!!",F1074="NEW"),"",INDEX(J$1:J1073,SUMPRODUCT(MAX(ROW(E$1:E1073)*(E1074=E$1:E1073)))))</f>
        <v> </v>
      </c>
      <c r="L1074" s="26"/>
    </row>
    <row r="1075" spans="1:12">
      <c r="A1075" s="20" t="s">
        <v>253</v>
      </c>
      <c r="E1075" s="21">
        <f>IF(D1075="?OLD","!!!","")</f>
        <v/>
      </c>
      <c r="F1075" s="22" t="str">
        <f>IF(OR(E1075="",E1075="!!!"),"",IF(NOT(ISNA(VLOOKUP(E1075,E$1:E1074,1,FALSE()))),"OLD",IF(AND(E1075&lt;&gt;"",E1075&lt;&gt;"!!!"),"NEW","")))</f>
        <v> </v>
      </c>
      <c r="G1075" s="23" t="str">
        <f>IF(OR(E1075="",E1075="!!!"),"",IF(OR(J1075=0,AND(J1075=1,K1075=1),AND(J1075=1,I1075="SBJ"),AND(J1075=1,I1075=0)),"?IN_FOCUS",IF(J1075&lt;=2,"?ACTIVATED",IF(J1075&lt;&gt;"","?FAMILIAR",IF(F1075="NEW",IF(ISNA(VLOOKUP(E1075,#REF!,1,FALSE())),"?TYPE_IDENTIFIABLE","?REFERENTIAL"),"_")))))</f>
        <v> </v>
      </c>
      <c r="H1075" s="24" t="str">
        <f>IF(J1075&lt;&gt;1,"",IF(I1075="SBJ","CB","?"))</f>
        <v> </v>
      </c>
      <c r="I1075" s="25" t="str">
        <f>IF(OR(E1075="",E1075="!!!",F1075="NEW"),"",INDEX(B1074:B$2,-1+SUMPRODUCT(MAX(ROW(E1074:E$2)*(E1075=E1074:E$2)))))</f>
        <v> </v>
      </c>
      <c r="J1075" s="25" t="str">
        <f>IF(OR(E1075="",E1075="!!!",F1075="NEW"),"",COUNTBLANK(OFFSET(A$1,,,SUMPRODUCT(MAX(ROW(E$2:E1075)*(E1075=E$2:E1075)))))-COUNTBLANK(OFFSET(A$1,,,SUMPRODUCT(MAX(ROW(E$1:E1074)*(E2=E$1:E1074))))))</f>
        <v> </v>
      </c>
      <c r="K1075" s="25" t="str">
        <f>IF(OR(E1075="",E1075="!!!",F1075="NEW"),"",INDEX(J$1:J1074,SUMPRODUCT(MAX(ROW(E$1:E1074)*(E1075=E$1:E1074)))))</f>
        <v> </v>
      </c>
      <c r="L1075" s="26"/>
    </row>
    <row r="1076" spans="1:12">
      <c r="A1076" s="20"/>
    </row>
    <row r="1077" spans="1:12">
      <c r="A1077" s="20" t="s">
        <v>986</v>
      </c>
    </row>
    <row r="1078" spans="1:12">
      <c r="A1078" s="20" t="s">
        <v>987</v>
      </c>
      <c r="B1078" s="27" t="s">
        <v>521</v>
      </c>
      <c r="C1078" s="27" t="s">
        <v>477</v>
      </c>
      <c r="D1078" s="27" t="s">
        <v>478</v>
      </c>
      <c r="E1078" s="21">
        <f>IF(D1078="?OLD","!!!","")</f>
        <v/>
      </c>
      <c r="F1078" s="22" t="str">
        <f>IF(OR(E1078="",E1078="!!!"),"",IF(NOT(ISNA(VLOOKUP(E1078,E$1:E1077,1,FALSE()))),"OLD",IF(AND(E1078&lt;&gt;"",E1078&lt;&gt;"!!!"),"NEW","")))</f>
        <v> </v>
      </c>
      <c r="G1078" s="23" t="str">
        <f>IF(OR(E1078="",E1078="!!!"),"",IF(OR(J1078=0,AND(J1078=1,K1078=1),AND(J1078=1,I1078="SBJ"),AND(J1078=1,I1078=0)),"?IN_FOCUS",IF(J1078&lt;=2,"?ACTIVATED",IF(J1078&lt;&gt;"","?FAMILIAR",IF(F1078="NEW",IF(ISNA(VLOOKUP(E1078,#REF!,1,FALSE())),"?TYPE_IDENTIFIABLE","?REFERENTIAL"),"_")))))</f>
        <v> </v>
      </c>
      <c r="H1078" s="24" t="str">
        <f>IF(J1078&lt;&gt;1,"",IF(I1078="SBJ","CB","?"))</f>
        <v> </v>
      </c>
      <c r="I1078" s="25" t="str">
        <f>IF(OR(E1078="",E1078="!!!",F1078="NEW"),"",INDEX(B1077:B$2,-1+SUMPRODUCT(MAX(ROW(E1077:E$2)*(E1078=E1077:E$2)))))</f>
        <v> </v>
      </c>
      <c r="J1078" s="25" t="str">
        <f>IF(OR(E1078="",E1078="!!!",F1078="NEW"),"",COUNTBLANK(OFFSET(A$1,,,SUMPRODUCT(MAX(ROW(E$2:E1078)*(E1078=E$2:E1078)))))-COUNTBLANK(OFFSET(A$1,,,SUMPRODUCT(MAX(ROW(E$1:E1077)*(E2=E$1:E1077))))))</f>
        <v> </v>
      </c>
      <c r="K1078" s="25" t="str">
        <f>IF(OR(E1078="",E1078="!!!",F1078="NEW"),"",INDEX(J$1:J1077,SUMPRODUCT(MAX(ROW(E$1:E1077)*(E1078=E$1:E1077)))))</f>
        <v> </v>
      </c>
      <c r="L1078" s="26"/>
    </row>
    <row r="1079" spans="1:12">
      <c r="A1079" s="20" t="s">
        <v>988</v>
      </c>
      <c r="E1079" s="21">
        <f>IF(D1079="?OLD","!!!","")</f>
        <v/>
      </c>
      <c r="F1079" s="22" t="str">
        <f>IF(OR(E1079="",E1079="!!!"),"",IF(NOT(ISNA(VLOOKUP(E1079,E$1:E1078,1,FALSE()))),"OLD",IF(AND(E1079&lt;&gt;"",E1079&lt;&gt;"!!!"),"NEW","")))</f>
        <v> </v>
      </c>
      <c r="G1079" s="23" t="str">
        <f>IF(OR(E1079="",E1079="!!!"),"",IF(OR(J1079=0,AND(J1079=1,K1079=1),AND(J1079=1,I1079="SBJ"),AND(J1079=1,I1079=0)),"?IN_FOCUS",IF(J1079&lt;=2,"?ACTIVATED",IF(J1079&lt;&gt;"","?FAMILIAR",IF(F1079="NEW",IF(ISNA(VLOOKUP(E1079,#REF!,1,FALSE())),"?TYPE_IDENTIFIABLE","?REFERENTIAL"),"_")))))</f>
        <v> </v>
      </c>
      <c r="H1079" s="24" t="str">
        <f>IF(J1079&lt;&gt;1,"",IF(I1079="SBJ","CB","?"))</f>
        <v> </v>
      </c>
      <c r="I1079" s="25" t="str">
        <f>IF(OR(E1079="",E1079="!!!",F1079="NEW"),"",INDEX(B1078:B$2,-1+SUMPRODUCT(MAX(ROW(E1078:E$2)*(E1079=E1078:E$2)))))</f>
        <v> </v>
      </c>
      <c r="J1079" s="25" t="str">
        <f>IF(OR(E1079="",E1079="!!!",F1079="NEW"),"",COUNTBLANK(OFFSET(A$1,,,SUMPRODUCT(MAX(ROW(E$2:E1079)*(E1079=E$2:E1079)))))-COUNTBLANK(OFFSET(A$1,,,SUMPRODUCT(MAX(ROW(E$1:E1078)*(E2=E$1:E1078))))))</f>
        <v> </v>
      </c>
      <c r="K1079" s="25" t="str">
        <f>IF(OR(E1079="",E1079="!!!",F1079="NEW"),"",INDEX(J$1:J1078,SUMPRODUCT(MAX(ROW(E$1:E1078)*(E1079=E$1:E1078)))))</f>
        <v> </v>
      </c>
      <c r="L1079" s="26"/>
    </row>
    <row r="1080" spans="1:12">
      <c r="A1080" s="20" t="s">
        <v>699</v>
      </c>
      <c r="E1080" s="21">
        <f>IF(D1080="?OLD","!!!","")</f>
        <v/>
      </c>
      <c r="F1080" s="22" t="str">
        <f>IF(OR(E1080="",E1080="!!!"),"",IF(NOT(ISNA(VLOOKUP(E1080,E$1:E1079,1,FALSE()))),"OLD",IF(AND(E1080&lt;&gt;"",E1080&lt;&gt;"!!!"),"NEW","")))</f>
        <v> </v>
      </c>
      <c r="G1080" s="23" t="str">
        <f>IF(OR(E1080="",E1080="!!!"),"",IF(OR(J1080=0,AND(J1080=1,K1080=1),AND(J1080=1,I1080="SBJ"),AND(J1080=1,I1080=0)),"?IN_FOCUS",IF(J1080&lt;=2,"?ACTIVATED",IF(J1080&lt;&gt;"","?FAMILIAR",IF(F1080="NEW",IF(ISNA(VLOOKUP(E1080,#REF!,1,FALSE())),"?TYPE_IDENTIFIABLE","?REFERENTIAL"),"_")))))</f>
        <v> </v>
      </c>
      <c r="H1080" s="24" t="str">
        <f>IF(J1080&lt;&gt;1,"",IF(I1080="SBJ","CB","?"))</f>
        <v> </v>
      </c>
      <c r="I1080" s="25" t="str">
        <f>IF(OR(E1080="",E1080="!!!",F1080="NEW"),"",INDEX(B1079:B$2,-1+SUMPRODUCT(MAX(ROW(E1079:E$2)*(E1080=E1079:E$2)))))</f>
        <v> </v>
      </c>
      <c r="J1080" s="25" t="str">
        <f>IF(OR(E1080="",E1080="!!!",F1080="NEW"),"",COUNTBLANK(OFFSET(A$1,,,SUMPRODUCT(MAX(ROW(E$2:E1080)*(E1080=E$2:E1080)))))-COUNTBLANK(OFFSET(A$1,,,SUMPRODUCT(MAX(ROW(E$1:E1079)*(E2=E$1:E1079))))))</f>
        <v> </v>
      </c>
      <c r="K1080" s="25" t="str">
        <f>IF(OR(E1080="",E1080="!!!",F1080="NEW"),"",INDEX(J$1:J1079,SUMPRODUCT(MAX(ROW(E$1:E1079)*(E1080=E$1:E1079)))))</f>
        <v> </v>
      </c>
      <c r="L1080" s="26"/>
    </row>
    <row r="1081" spans="1:12">
      <c r="A1081" s="20" t="s">
        <v>482</v>
      </c>
      <c r="E1081" s="21">
        <f>IF(D1081="?OLD","!!!","")</f>
        <v/>
      </c>
      <c r="F1081" s="22" t="str">
        <f>IF(OR(E1081="",E1081="!!!"),"",IF(NOT(ISNA(VLOOKUP(E1081,E$1:E1080,1,FALSE()))),"OLD",IF(AND(E1081&lt;&gt;"",E1081&lt;&gt;"!!!"),"NEW","")))</f>
        <v> </v>
      </c>
      <c r="G1081" s="23" t="str">
        <f>IF(OR(E1081="",E1081="!!!"),"",IF(OR(J1081=0,AND(J1081=1,K1081=1),AND(J1081=1,I1081="SBJ"),AND(J1081=1,I1081=0)),"?IN_FOCUS",IF(J1081&lt;=2,"?ACTIVATED",IF(J1081&lt;&gt;"","?FAMILIAR",IF(F1081="NEW",IF(ISNA(VLOOKUP(E1081,#REF!,1,FALSE())),"?TYPE_IDENTIFIABLE","?REFERENTIAL"),"_")))))</f>
        <v> </v>
      </c>
      <c r="H1081" s="24" t="str">
        <f>IF(J1081&lt;&gt;1,"",IF(I1081="SBJ","CB","?"))</f>
        <v> </v>
      </c>
      <c r="I1081" s="25" t="str">
        <f>IF(OR(E1081="",E1081="!!!",F1081="NEW"),"",INDEX(B1080:B$2,-1+SUMPRODUCT(MAX(ROW(E1080:E$2)*(E1081=E1080:E$2)))))</f>
        <v> </v>
      </c>
      <c r="J1081" s="25" t="str">
        <f>IF(OR(E1081="",E1081="!!!",F1081="NEW"),"",COUNTBLANK(OFFSET(A$1,,,SUMPRODUCT(MAX(ROW(E$2:E1081)*(E1081=E$2:E1081)))))-COUNTBLANK(OFFSET(A$1,,,SUMPRODUCT(MAX(ROW(E$1:E1080)*(E2=E$1:E1080))))))</f>
        <v> </v>
      </c>
      <c r="K1081" s="25" t="str">
        <f>IF(OR(E1081="",E1081="!!!",F1081="NEW"),"",INDEX(J$1:J1080,SUMPRODUCT(MAX(ROW(E$1:E1080)*(E1081=E$1:E1080)))))</f>
        <v> </v>
      </c>
      <c r="L1081" s="26"/>
    </row>
    <row r="1082" spans="1:12">
      <c r="A1082" s="20" t="s">
        <v>989</v>
      </c>
      <c r="E1082" s="21">
        <f>IF(D1082="?OLD","!!!","")</f>
        <v/>
      </c>
      <c r="F1082" s="22" t="str">
        <f>IF(OR(E1082="",E1082="!!!"),"",IF(NOT(ISNA(VLOOKUP(E1082,E$1:E1081,1,FALSE()))),"OLD",IF(AND(E1082&lt;&gt;"",E1082&lt;&gt;"!!!"),"NEW","")))</f>
        <v> </v>
      </c>
      <c r="G1082" s="23" t="str">
        <f>IF(OR(E1082="",E1082="!!!"),"",IF(OR(J1082=0,AND(J1082=1,K1082=1),AND(J1082=1,I1082="SBJ"),AND(J1082=1,I1082=0)),"?IN_FOCUS",IF(J1082&lt;=2,"?ACTIVATED",IF(J1082&lt;&gt;"","?FAMILIAR",IF(F1082="NEW",IF(ISNA(VLOOKUP(E1082,#REF!,1,FALSE())),"?TYPE_IDENTIFIABLE","?REFERENTIAL"),"_")))))</f>
        <v> </v>
      </c>
      <c r="H1082" s="24" t="str">
        <f>IF(J1082&lt;&gt;1,"",IF(I1082="SBJ","CB","?"))</f>
        <v> </v>
      </c>
      <c r="I1082" s="25" t="str">
        <f>IF(OR(E1082="",E1082="!!!",F1082="NEW"),"",INDEX(B1081:B$2,-1+SUMPRODUCT(MAX(ROW(E1081:E$2)*(E1082=E1081:E$2)))))</f>
        <v> </v>
      </c>
      <c r="J1082" s="25" t="str">
        <f>IF(OR(E1082="",E1082="!!!",F1082="NEW"),"",COUNTBLANK(OFFSET(A$1,,,SUMPRODUCT(MAX(ROW(E$2:E1082)*(E1082=E$2:E1082)))))-COUNTBLANK(OFFSET(A$1,,,SUMPRODUCT(MAX(ROW(E$1:E1081)*(E2=E$1:E1081))))))</f>
        <v> </v>
      </c>
      <c r="K1082" s="25" t="str">
        <f>IF(OR(E1082="",E1082="!!!",F1082="NEW"),"",INDEX(J$1:J1081,SUMPRODUCT(MAX(ROW(E$1:E1081)*(E1082=E$1:E1081)))))</f>
        <v> </v>
      </c>
      <c r="L1082" s="26"/>
    </row>
    <row r="1083" spans="1:12">
      <c r="A1083" s="20" t="s">
        <v>796</v>
      </c>
      <c r="E1083" s="21">
        <f>IF(D1083="?OLD","!!!","")</f>
        <v/>
      </c>
      <c r="F1083" s="22" t="str">
        <f>IF(OR(E1083="",E1083="!!!"),"",IF(NOT(ISNA(VLOOKUP(E1083,E$1:E1082,1,FALSE()))),"OLD",IF(AND(E1083&lt;&gt;"",E1083&lt;&gt;"!!!"),"NEW","")))</f>
        <v> </v>
      </c>
      <c r="G1083" s="23" t="str">
        <f>IF(OR(E1083="",E1083="!!!"),"",IF(OR(J1083=0,AND(J1083=1,K1083=1),AND(J1083=1,I1083="SBJ"),AND(J1083=1,I1083=0)),"?IN_FOCUS",IF(J1083&lt;=2,"?ACTIVATED",IF(J1083&lt;&gt;"","?FAMILIAR",IF(F1083="NEW",IF(ISNA(VLOOKUP(E1083,#REF!,1,FALSE())),"?TYPE_IDENTIFIABLE","?REFERENTIAL"),"_")))))</f>
        <v> </v>
      </c>
      <c r="H1083" s="24" t="str">
        <f>IF(J1083&lt;&gt;1,"",IF(I1083="SBJ","CB","?"))</f>
        <v> </v>
      </c>
      <c r="I1083" s="25" t="str">
        <f>IF(OR(E1083="",E1083="!!!",F1083="NEW"),"",INDEX(B1082:B$2,-1+SUMPRODUCT(MAX(ROW(E1082:E$2)*(E1083=E1082:E$2)))))</f>
        <v> </v>
      </c>
      <c r="J1083" s="25" t="str">
        <f>IF(OR(E1083="",E1083="!!!",F1083="NEW"),"",COUNTBLANK(OFFSET(A$1,,,SUMPRODUCT(MAX(ROW(E$2:E1083)*(E1083=E$2:E1083)))))-COUNTBLANK(OFFSET(A$1,,,SUMPRODUCT(MAX(ROW(E$1:E1082)*(E2=E$1:E1082))))))</f>
        <v> </v>
      </c>
      <c r="K1083" s="25" t="str">
        <f>IF(OR(E1083="",E1083="!!!",F1083="NEW"),"",INDEX(J$1:J1082,SUMPRODUCT(MAX(ROW(E$1:E1082)*(E1083=E$1:E1082)))))</f>
        <v> </v>
      </c>
      <c r="L1083" s="26"/>
    </row>
    <row r="1084" spans="1:12">
      <c r="A1084" s="20" t="s">
        <v>475</v>
      </c>
      <c r="B1084" s="27" t="s">
        <v>538</v>
      </c>
      <c r="C1084" s="27" t="s">
        <v>477</v>
      </c>
      <c r="D1084" s="27" t="s">
        <v>478</v>
      </c>
      <c r="E1084" s="21">
        <f>IF(D1084="?OLD","!!!","")</f>
        <v/>
      </c>
      <c r="F1084" s="22" t="str">
        <f>IF(OR(E1084="",E1084="!!!"),"",IF(NOT(ISNA(VLOOKUP(E1084,E$1:E1083,1,FALSE()))),"OLD",IF(AND(E1084&lt;&gt;"",E1084&lt;&gt;"!!!"),"NEW","")))</f>
        <v> </v>
      </c>
      <c r="G1084" s="23" t="str">
        <f>IF(OR(E1084="",E1084="!!!"),"",IF(OR(J1084=0,AND(J1084=1,K1084=1),AND(J1084=1,I1084="SBJ"),AND(J1084=1,I1084=0)),"?IN_FOCUS",IF(J1084&lt;=2,"?ACTIVATED",IF(J1084&lt;&gt;"","?FAMILIAR",IF(F1084="NEW",IF(ISNA(VLOOKUP(E1084,#REF!,1,FALSE())),"?TYPE_IDENTIFIABLE","?REFERENTIAL"),"_")))))</f>
        <v> </v>
      </c>
      <c r="H1084" s="24" t="str">
        <f>IF(J1084&lt;&gt;1,"",IF(I1084="SBJ","CB","?"))</f>
        <v> </v>
      </c>
      <c r="I1084" s="25" t="str">
        <f>IF(OR(E1084="",E1084="!!!",F1084="NEW"),"",INDEX(B1083:B$2,-1+SUMPRODUCT(MAX(ROW(E1083:E$2)*(E1084=E1083:E$2)))))</f>
        <v> </v>
      </c>
      <c r="J1084" s="25" t="str">
        <f>IF(OR(E1084="",E1084="!!!",F1084="NEW"),"",COUNTBLANK(OFFSET(A$1,,,SUMPRODUCT(MAX(ROW(E$2:E1084)*(E1084=E$2:E1084)))))-COUNTBLANK(OFFSET(A$1,,,SUMPRODUCT(MAX(ROW(E$1:E1083)*(E2=E$1:E1083))))))</f>
        <v> </v>
      </c>
      <c r="K1084" s="25" t="str">
        <f>IF(OR(E1084="",E1084="!!!",F1084="NEW"),"",INDEX(J$1:J1083,SUMPRODUCT(MAX(ROW(E$1:E1083)*(E1084=E$1:E1083)))))</f>
        <v> </v>
      </c>
      <c r="L1084" s="26"/>
    </row>
    <row r="1085" spans="1:12">
      <c r="A1085" s="20" t="s">
        <v>990</v>
      </c>
      <c r="E1085" s="21">
        <f>IF(D1085="?OLD","!!!","")</f>
        <v/>
      </c>
      <c r="F1085" s="22" t="str">
        <f>IF(OR(E1085="",E1085="!!!"),"",IF(NOT(ISNA(VLOOKUP(E1085,E$1:E1084,1,FALSE()))),"OLD",IF(AND(E1085&lt;&gt;"",E1085&lt;&gt;"!!!"),"NEW","")))</f>
        <v> </v>
      </c>
      <c r="G1085" s="23" t="str">
        <f>IF(OR(E1085="",E1085="!!!"),"",IF(OR(J1085=0,AND(J1085=1,K1085=1),AND(J1085=1,I1085="SBJ"),AND(J1085=1,I1085=0)),"?IN_FOCUS",IF(J1085&lt;=2,"?ACTIVATED",IF(J1085&lt;&gt;"","?FAMILIAR",IF(F1085="NEW",IF(ISNA(VLOOKUP(E1085,#REF!,1,FALSE())),"?TYPE_IDENTIFIABLE","?REFERENTIAL"),"_")))))</f>
        <v> </v>
      </c>
      <c r="H1085" s="24" t="str">
        <f>IF(J1085&lt;&gt;1,"",IF(I1085="SBJ","CB","?"))</f>
        <v> </v>
      </c>
      <c r="I1085" s="25" t="str">
        <f>IF(OR(E1085="",E1085="!!!",F1085="NEW"),"",INDEX(B1084:B$2,-1+SUMPRODUCT(MAX(ROW(E1084:E$2)*(E1085=E1084:E$2)))))</f>
        <v> </v>
      </c>
      <c r="J1085" s="25" t="str">
        <f>IF(OR(E1085="",E1085="!!!",F1085="NEW"),"",COUNTBLANK(OFFSET(A$1,,,SUMPRODUCT(MAX(ROW(E$2:E1085)*(E1085=E$2:E1085)))))-COUNTBLANK(OFFSET(A$1,,,SUMPRODUCT(MAX(ROW(E$1:E1084)*(E2=E$1:E1084))))))</f>
        <v> </v>
      </c>
      <c r="K1085" s="25" t="str">
        <f>IF(OR(E1085="",E1085="!!!",F1085="NEW"),"",INDEX(J$1:J1084,SUMPRODUCT(MAX(ROW(E$1:E1084)*(E1085=E$1:E1084)))))</f>
        <v> </v>
      </c>
      <c r="L1085" s="26"/>
    </row>
    <row r="1086" spans="1:12">
      <c r="A1086" s="20" t="s">
        <v>817</v>
      </c>
      <c r="E1086" s="21">
        <f>IF(D1086="?OLD","!!!","")</f>
        <v/>
      </c>
      <c r="F1086" s="22" t="str">
        <f>IF(OR(E1086="",E1086="!!!"),"",IF(NOT(ISNA(VLOOKUP(E1086,E$1:E1085,1,FALSE()))),"OLD",IF(AND(E1086&lt;&gt;"",E1086&lt;&gt;"!!!"),"NEW","")))</f>
        <v> </v>
      </c>
      <c r="G1086" s="23" t="str">
        <f>IF(OR(E1086="",E1086="!!!"),"",IF(OR(J1086=0,AND(J1086=1,K1086=1),AND(J1086=1,I1086="SBJ"),AND(J1086=1,I1086=0)),"?IN_FOCUS",IF(J1086&lt;=2,"?ACTIVATED",IF(J1086&lt;&gt;"","?FAMILIAR",IF(F1086="NEW",IF(ISNA(VLOOKUP(E1086,#REF!,1,FALSE())),"?TYPE_IDENTIFIABLE","?REFERENTIAL"),"_")))))</f>
        <v> </v>
      </c>
      <c r="H1086" s="24" t="str">
        <f>IF(J1086&lt;&gt;1,"",IF(I1086="SBJ","CB","?"))</f>
        <v> </v>
      </c>
      <c r="I1086" s="25" t="str">
        <f>IF(OR(E1086="",E1086="!!!",F1086="NEW"),"",INDEX(B1085:B$2,-1+SUMPRODUCT(MAX(ROW(E1085:E$2)*(E1086=E1085:E$2)))))</f>
        <v> </v>
      </c>
      <c r="J1086" s="25" t="str">
        <f>IF(OR(E1086="",E1086="!!!",F1086="NEW"),"",COUNTBLANK(OFFSET(A$1,,,SUMPRODUCT(MAX(ROW(E$2:E1086)*(E1086=E$2:E1086)))))-COUNTBLANK(OFFSET(A$1,,,SUMPRODUCT(MAX(ROW(E$1:E1085)*(E2=E$1:E1085))))))</f>
        <v> </v>
      </c>
      <c r="K1086" s="25" t="str">
        <f>IF(OR(E1086="",E1086="!!!",F1086="NEW"),"",INDEX(J$1:J1085,SUMPRODUCT(MAX(ROW(E$1:E1085)*(E1086=E$1:E1085)))))</f>
        <v> </v>
      </c>
      <c r="L1086" s="26"/>
    </row>
    <row r="1087" spans="1:12">
      <c r="A1087" s="20" t="s">
        <v>991</v>
      </c>
      <c r="B1087" s="27" t="s">
        <v>692</v>
      </c>
      <c r="C1087" s="27" t="s">
        <v>690</v>
      </c>
      <c r="D1087" s="27" t="s">
        <v>478</v>
      </c>
      <c r="E1087" s="21">
        <f>IF(D1087="?OLD","!!!","")</f>
        <v/>
      </c>
      <c r="F1087" s="22" t="str">
        <f>IF(OR(E1087="",E1087="!!!"),"",IF(NOT(ISNA(VLOOKUP(E1087,E$1:E1086,1,FALSE()))),"OLD",IF(AND(E1087&lt;&gt;"",E1087&lt;&gt;"!!!"),"NEW","")))</f>
        <v> </v>
      </c>
      <c r="G1087" s="23" t="str">
        <f>IF(OR(E1087="",E1087="!!!"),"",IF(OR(J1087=0,AND(J1087=1,K1087=1),AND(J1087=1,I1087="SBJ"),AND(J1087=1,I1087=0)),"?IN_FOCUS",IF(J1087&lt;=2,"?ACTIVATED",IF(J1087&lt;&gt;"","?FAMILIAR",IF(F1087="NEW",IF(ISNA(VLOOKUP(E1087,#REF!,1,FALSE())),"?TYPE_IDENTIFIABLE","?REFERENTIAL"),"_")))))</f>
        <v> </v>
      </c>
      <c r="H1087" s="24" t="str">
        <f>IF(J1087&lt;&gt;1,"",IF(I1087="SBJ","CB","?"))</f>
        <v> </v>
      </c>
      <c r="I1087" s="25" t="str">
        <f>IF(OR(E1087="",E1087="!!!",F1087="NEW"),"",INDEX(B1086:B$2,-1+SUMPRODUCT(MAX(ROW(E1086:E$2)*(E1087=E1086:E$2)))))</f>
        <v> </v>
      </c>
      <c r="J1087" s="25" t="str">
        <f>IF(OR(E1087="",E1087="!!!",F1087="NEW"),"",COUNTBLANK(OFFSET(A$1,,,SUMPRODUCT(MAX(ROW(E$2:E1087)*(E1087=E$2:E1087)))))-COUNTBLANK(OFFSET(A$1,,,SUMPRODUCT(MAX(ROW(E$1:E1086)*(E2=E$1:E1086))))))</f>
        <v> </v>
      </c>
      <c r="K1087" s="25" t="str">
        <f>IF(OR(E1087="",E1087="!!!",F1087="NEW"),"",INDEX(J$1:J1086,SUMPRODUCT(MAX(ROW(E$1:E1086)*(E1087=E$1:E1086)))))</f>
        <v> </v>
      </c>
      <c r="L1087" s="26"/>
    </row>
    <row r="1088" spans="1:12">
      <c r="A1088" s="20" t="s">
        <v>513</v>
      </c>
      <c r="E1088" s="21">
        <f>IF(D1088="?OLD","!!!","")</f>
        <v/>
      </c>
      <c r="F1088" s="22" t="str">
        <f>IF(OR(E1088="",E1088="!!!"),"",IF(NOT(ISNA(VLOOKUP(E1088,E$1:E1087,1,FALSE()))),"OLD",IF(AND(E1088&lt;&gt;"",E1088&lt;&gt;"!!!"),"NEW","")))</f>
        <v> </v>
      </c>
      <c r="G1088" s="23" t="str">
        <f>IF(OR(E1088="",E1088="!!!"),"",IF(OR(J1088=0,AND(J1088=1,K1088=1),AND(J1088=1,I1088="SBJ"),AND(J1088=1,I1088=0)),"?IN_FOCUS",IF(J1088&lt;=2,"?ACTIVATED",IF(J1088&lt;&gt;"","?FAMILIAR",IF(F1088="NEW",IF(ISNA(VLOOKUP(E1088,#REF!,1,FALSE())),"?TYPE_IDENTIFIABLE","?REFERENTIAL"),"_")))))</f>
        <v> </v>
      </c>
      <c r="H1088" s="24" t="str">
        <f>IF(J1088&lt;&gt;1,"",IF(I1088="SBJ","CB","?"))</f>
        <v> </v>
      </c>
      <c r="I1088" s="25" t="str">
        <f>IF(OR(E1088="",E1088="!!!",F1088="NEW"),"",INDEX(B1087:B$2,-1+SUMPRODUCT(MAX(ROW(E1087:E$2)*(E1088=E1087:E$2)))))</f>
        <v> </v>
      </c>
      <c r="J1088" s="25" t="str">
        <f>IF(OR(E1088="",E1088="!!!",F1088="NEW"),"",COUNTBLANK(OFFSET(A$1,,,SUMPRODUCT(MAX(ROW(E$2:E1088)*(E1088=E$2:E1088)))))-COUNTBLANK(OFFSET(A$1,,,SUMPRODUCT(MAX(ROW(E$1:E1087)*(E2=E$1:E1087))))))</f>
        <v> </v>
      </c>
      <c r="K1088" s="25" t="str">
        <f>IF(OR(E1088="",E1088="!!!",F1088="NEW"),"",INDEX(J$1:J1087,SUMPRODUCT(MAX(ROW(E$1:E1087)*(E1088=E$1:E1087)))))</f>
        <v> </v>
      </c>
      <c r="L1088" s="26"/>
    </row>
    <row r="1089" spans="1:12">
      <c r="A1089" s="20" t="s">
        <v>47</v>
      </c>
      <c r="E1089" s="21">
        <f>IF(D1089="?OLD","!!!","")</f>
        <v/>
      </c>
      <c r="F1089" s="22" t="str">
        <f>IF(OR(E1089="",E1089="!!!"),"",IF(NOT(ISNA(VLOOKUP(E1089,E$1:E1088,1,FALSE()))),"OLD",IF(AND(E1089&lt;&gt;"",E1089&lt;&gt;"!!!"),"NEW","")))</f>
        <v> </v>
      </c>
      <c r="G1089" s="23" t="str">
        <f>IF(OR(E1089="",E1089="!!!"),"",IF(OR(J1089=0,AND(J1089=1,K1089=1),AND(J1089=1,I1089="SBJ"),AND(J1089=1,I1089=0)),"?IN_FOCUS",IF(J1089&lt;=2,"?ACTIVATED",IF(J1089&lt;&gt;"","?FAMILIAR",IF(F1089="NEW",IF(ISNA(VLOOKUP(E1089,#REF!,1,FALSE())),"?TYPE_IDENTIFIABLE","?REFERENTIAL"),"_")))))</f>
        <v> </v>
      </c>
      <c r="H1089" s="24" t="str">
        <f>IF(J1089&lt;&gt;1,"",IF(I1089="SBJ","CB","?"))</f>
        <v> </v>
      </c>
      <c r="I1089" s="25" t="str">
        <f>IF(OR(E1089="",E1089="!!!",F1089="NEW"),"",INDEX(B1088:B$2,-1+SUMPRODUCT(MAX(ROW(E1088:E$2)*(E1089=E1088:E$2)))))</f>
        <v> </v>
      </c>
      <c r="J1089" s="25" t="str">
        <f>IF(OR(E1089="",E1089="!!!",F1089="NEW"),"",COUNTBLANK(OFFSET(A$1,,,SUMPRODUCT(MAX(ROW(E$2:E1089)*(E1089=E$2:E1089)))))-COUNTBLANK(OFFSET(A$1,,,SUMPRODUCT(MAX(ROW(E$1:E1088)*(E2=E$1:E1088))))))</f>
        <v> </v>
      </c>
      <c r="K1089" s="25" t="str">
        <f>IF(OR(E1089="",E1089="!!!",F1089="NEW"),"",INDEX(J$1:J1088,SUMPRODUCT(MAX(ROW(E$1:E1088)*(E1089=E$1:E1088)))))</f>
        <v> </v>
      </c>
      <c r="L1089" s="26"/>
    </row>
    <row r="1090" spans="1:12">
      <c r="A1090" s="20" t="s">
        <v>482</v>
      </c>
      <c r="E1090" s="21">
        <f>IF(D1090="?OLD","!!!","")</f>
        <v/>
      </c>
      <c r="F1090" s="22" t="str">
        <f>IF(OR(E1090="",E1090="!!!"),"",IF(NOT(ISNA(VLOOKUP(E1090,E$1:E1089,1,FALSE()))),"OLD",IF(AND(E1090&lt;&gt;"",E1090&lt;&gt;"!!!"),"NEW","")))</f>
        <v> </v>
      </c>
      <c r="G1090" s="23" t="str">
        <f>IF(OR(E1090="",E1090="!!!"),"",IF(OR(J1090=0,AND(J1090=1,K1090=1),AND(J1090=1,I1090="SBJ"),AND(J1090=1,I1090=0)),"?IN_FOCUS",IF(J1090&lt;=2,"?ACTIVATED",IF(J1090&lt;&gt;"","?FAMILIAR",IF(F1090="NEW",IF(ISNA(VLOOKUP(E1090,#REF!,1,FALSE())),"?TYPE_IDENTIFIABLE","?REFERENTIAL"),"_")))))</f>
        <v> </v>
      </c>
      <c r="H1090" s="24" t="str">
        <f>IF(J1090&lt;&gt;1,"",IF(I1090="SBJ","CB","?"))</f>
        <v> </v>
      </c>
      <c r="I1090" s="25" t="str">
        <f>IF(OR(E1090="",E1090="!!!",F1090="NEW"),"",INDEX(B1089:B$2,-1+SUMPRODUCT(MAX(ROW(E1089:E$2)*(E1090=E1089:E$2)))))</f>
        <v> </v>
      </c>
      <c r="J1090" s="25" t="str">
        <f>IF(OR(E1090="",E1090="!!!",F1090="NEW"),"",COUNTBLANK(OFFSET(A$1,,,SUMPRODUCT(MAX(ROW(E$2:E1090)*(E1090=E$2:E1090)))))-COUNTBLANK(OFFSET(A$1,,,SUMPRODUCT(MAX(ROW(E$1:E1089)*(E2=E$1:E1089))))))</f>
        <v> </v>
      </c>
      <c r="K1090" s="25" t="str">
        <f>IF(OR(E1090="",E1090="!!!",F1090="NEW"),"",INDEX(J$1:J1089,SUMPRODUCT(MAX(ROW(E$1:E1089)*(E1090=E$1:E1089)))))</f>
        <v> </v>
      </c>
      <c r="L1090" s="26"/>
    </row>
    <row r="1091" spans="1:12">
      <c r="A1091" s="20" t="s">
        <v>656</v>
      </c>
      <c r="E1091" s="21">
        <f>IF(D1091="?OLD","!!!","")</f>
        <v/>
      </c>
      <c r="F1091" s="22" t="str">
        <f>IF(OR(E1091="",E1091="!!!"),"",IF(NOT(ISNA(VLOOKUP(E1091,E$1:E1090,1,FALSE()))),"OLD",IF(AND(E1091&lt;&gt;"",E1091&lt;&gt;"!!!"),"NEW","")))</f>
        <v> </v>
      </c>
      <c r="G1091" s="23" t="str">
        <f>IF(OR(E1091="",E1091="!!!"),"",IF(OR(J1091=0,AND(J1091=1,K1091=1),AND(J1091=1,I1091="SBJ"),AND(J1091=1,I1091=0)),"?IN_FOCUS",IF(J1091&lt;=2,"?ACTIVATED",IF(J1091&lt;&gt;"","?FAMILIAR",IF(F1091="NEW",IF(ISNA(VLOOKUP(E1091,#REF!,1,FALSE())),"?TYPE_IDENTIFIABLE","?REFERENTIAL"),"_")))))</f>
        <v> </v>
      </c>
      <c r="H1091" s="24" t="str">
        <f>IF(J1091&lt;&gt;1,"",IF(I1091="SBJ","CB","?"))</f>
        <v> </v>
      </c>
      <c r="I1091" s="25" t="str">
        <f>IF(OR(E1091="",E1091="!!!",F1091="NEW"),"",INDEX(B1090:B$2,-1+SUMPRODUCT(MAX(ROW(E1090:E$2)*(E1091=E1090:E$2)))))</f>
        <v> </v>
      </c>
      <c r="J1091" s="25" t="str">
        <f>IF(OR(E1091="",E1091="!!!",F1091="NEW"),"",COUNTBLANK(OFFSET(A$1,,,SUMPRODUCT(MAX(ROW(E$2:E1091)*(E1091=E$2:E1091)))))-COUNTBLANK(OFFSET(A$1,,,SUMPRODUCT(MAX(ROW(E$1:E1090)*(E2=E$1:E1090))))))</f>
        <v> </v>
      </c>
      <c r="K1091" s="25" t="str">
        <f>IF(OR(E1091="",E1091="!!!",F1091="NEW"),"",INDEX(J$1:J1090,SUMPRODUCT(MAX(ROW(E$1:E1090)*(E1091=E$1:E1090)))))</f>
        <v> </v>
      </c>
      <c r="L1091" s="26"/>
    </row>
    <row r="1092" spans="1:12">
      <c r="A1092" s="20" t="s">
        <v>339</v>
      </c>
      <c r="E1092" s="21">
        <f>IF(D1092="?OLD","!!!","")</f>
        <v/>
      </c>
      <c r="F1092" s="22" t="str">
        <f>IF(OR(E1092="",E1092="!!!"),"",IF(NOT(ISNA(VLOOKUP(E1092,E$1:E1091,1,FALSE()))),"OLD",IF(AND(E1092&lt;&gt;"",E1092&lt;&gt;"!!!"),"NEW","")))</f>
        <v> </v>
      </c>
      <c r="G1092" s="23" t="str">
        <f>IF(OR(E1092="",E1092="!!!"),"",IF(OR(J1092=0,AND(J1092=1,K1092=1),AND(J1092=1,I1092="SBJ"),AND(J1092=1,I1092=0)),"?IN_FOCUS",IF(J1092&lt;=2,"?ACTIVATED",IF(J1092&lt;&gt;"","?FAMILIAR",IF(F1092="NEW",IF(ISNA(VLOOKUP(E1092,#REF!,1,FALSE())),"?TYPE_IDENTIFIABLE","?REFERENTIAL"),"_")))))</f>
        <v> </v>
      </c>
      <c r="H1092" s="24" t="str">
        <f>IF(J1092&lt;&gt;1,"",IF(I1092="SBJ","CB","?"))</f>
        <v> </v>
      </c>
      <c r="I1092" s="25" t="str">
        <f>IF(OR(E1092="",E1092="!!!",F1092="NEW"),"",INDEX(B1091:B$2,-1+SUMPRODUCT(MAX(ROW(E1091:E$2)*(E1092=E1091:E$2)))))</f>
        <v> </v>
      </c>
      <c r="J1092" s="25" t="str">
        <f>IF(OR(E1092="",E1092="!!!",F1092="NEW"),"",COUNTBLANK(OFFSET(A$1,,,SUMPRODUCT(MAX(ROW(E$2:E1092)*(E1092=E$2:E1092)))))-COUNTBLANK(OFFSET(A$1,,,SUMPRODUCT(MAX(ROW(E$1:E1091)*(E2=E$1:E1091))))))</f>
        <v> </v>
      </c>
      <c r="K1092" s="25" t="str">
        <f>IF(OR(E1092="",E1092="!!!",F1092="NEW"),"",INDEX(J$1:J1091,SUMPRODUCT(MAX(ROW(E$1:E1091)*(E1092=E$1:E1091)))))</f>
        <v> </v>
      </c>
      <c r="L1092" s="26"/>
    </row>
    <row r="1093" spans="1:12">
      <c r="A1093" s="20" t="s">
        <v>992</v>
      </c>
      <c r="B1093" s="27" t="s">
        <v>573</v>
      </c>
      <c r="C1093" s="27" t="s">
        <v>484</v>
      </c>
      <c r="E1093" s="21">
        <f>IF(D1093="?OLD","!!!","")</f>
        <v/>
      </c>
      <c r="F1093" s="22" t="str">
        <f>IF(OR(E1093="",E1093="!!!"),"",IF(NOT(ISNA(VLOOKUP(E1093,E$1:E1092,1,FALSE()))),"OLD",IF(AND(E1093&lt;&gt;"",E1093&lt;&gt;"!!!"),"NEW","")))</f>
        <v> </v>
      </c>
      <c r="G1093" s="23" t="str">
        <f>IF(OR(E1093="",E1093="!!!"),"",IF(OR(J1093=0,AND(J1093=1,K1093=1),AND(J1093=1,I1093="SBJ"),AND(J1093=1,I1093=0)),"?IN_FOCUS",IF(J1093&lt;=2,"?ACTIVATED",IF(J1093&lt;&gt;"","?FAMILIAR",IF(F1093="NEW",IF(ISNA(VLOOKUP(E1093,#REF!,1,FALSE())),"?TYPE_IDENTIFIABLE","?REFERENTIAL"),"_")))))</f>
        <v> </v>
      </c>
      <c r="H1093" s="24" t="str">
        <f>IF(J1093&lt;&gt;1,"",IF(I1093="SBJ","CB","?"))</f>
        <v> </v>
      </c>
      <c r="I1093" s="25" t="str">
        <f>IF(OR(E1093="",E1093="!!!",F1093="NEW"),"",INDEX(B1092:B$2,-1+SUMPRODUCT(MAX(ROW(E1092:E$2)*(E1093=E1092:E$2)))))</f>
        <v> </v>
      </c>
      <c r="J1093" s="25" t="str">
        <f>IF(OR(E1093="",E1093="!!!",F1093="NEW"),"",COUNTBLANK(OFFSET(A$1,,,SUMPRODUCT(MAX(ROW(E$2:E1093)*(E1093=E$2:E1093)))))-COUNTBLANK(OFFSET(A$1,,,SUMPRODUCT(MAX(ROW(E$1:E1092)*(E2=E$1:E1092))))))</f>
        <v> </v>
      </c>
      <c r="K1093" s="25" t="str">
        <f>IF(OR(E1093="",E1093="!!!",F1093="NEW"),"",INDEX(J$1:J1092,SUMPRODUCT(MAX(ROW(E$1:E1092)*(E1093=E$1:E1092)))))</f>
        <v> </v>
      </c>
      <c r="L1093" s="26"/>
    </row>
    <row r="1094" spans="1:12">
      <c r="A1094" s="20" t="s">
        <v>993</v>
      </c>
      <c r="E1094" s="21">
        <f>IF(D1094="?OLD","!!!","")</f>
        <v/>
      </c>
      <c r="F1094" s="22" t="str">
        <f>IF(OR(E1094="",E1094="!!!"),"",IF(NOT(ISNA(VLOOKUP(E1094,E$1:E1093,1,FALSE()))),"OLD",IF(AND(E1094&lt;&gt;"",E1094&lt;&gt;"!!!"),"NEW","")))</f>
        <v> </v>
      </c>
      <c r="G1094" s="23" t="str">
        <f>IF(OR(E1094="",E1094="!!!"),"",IF(OR(J1094=0,AND(J1094=1,K1094=1),AND(J1094=1,I1094="SBJ"),AND(J1094=1,I1094=0)),"?IN_FOCUS",IF(J1094&lt;=2,"?ACTIVATED",IF(J1094&lt;&gt;"","?FAMILIAR",IF(F1094="NEW",IF(ISNA(VLOOKUP(E1094,#REF!,1,FALSE())),"?TYPE_IDENTIFIABLE","?REFERENTIAL"),"_")))))</f>
        <v> </v>
      </c>
      <c r="H1094" s="24" t="str">
        <f>IF(J1094&lt;&gt;1,"",IF(I1094="SBJ","CB","?"))</f>
        <v> </v>
      </c>
      <c r="I1094" s="25" t="str">
        <f>IF(OR(E1094="",E1094="!!!",F1094="NEW"),"",INDEX(B1093:B$2,-1+SUMPRODUCT(MAX(ROW(E1093:E$2)*(E1094=E1093:E$2)))))</f>
        <v> </v>
      </c>
      <c r="J1094" s="25" t="str">
        <f>IF(OR(E1094="",E1094="!!!",F1094="NEW"),"",COUNTBLANK(OFFSET(A$1,,,SUMPRODUCT(MAX(ROW(E$2:E1094)*(E1094=E$2:E1094)))))-COUNTBLANK(OFFSET(A$1,,,SUMPRODUCT(MAX(ROW(E$1:E1093)*(E2=E$1:E1093))))))</f>
        <v> </v>
      </c>
      <c r="K1094" s="25" t="str">
        <f>IF(OR(E1094="",E1094="!!!",F1094="NEW"),"",INDEX(J$1:J1093,SUMPRODUCT(MAX(ROW(E$1:E1093)*(E1094=E$1:E1093)))))</f>
        <v> </v>
      </c>
      <c r="L1094" s="26"/>
    </row>
    <row r="1095" spans="1:12">
      <c r="A1095" s="20" t="s">
        <v>994</v>
      </c>
      <c r="E1095" s="21">
        <f>IF(D1095="?OLD","!!!","")</f>
        <v/>
      </c>
      <c r="F1095" s="22" t="str">
        <f>IF(OR(E1095="",E1095="!!!"),"",IF(NOT(ISNA(VLOOKUP(E1095,E$1:E1094,1,FALSE()))),"OLD",IF(AND(E1095&lt;&gt;"",E1095&lt;&gt;"!!!"),"NEW","")))</f>
        <v> </v>
      </c>
      <c r="G1095" s="23" t="str">
        <f>IF(OR(E1095="",E1095="!!!"),"",IF(OR(J1095=0,AND(J1095=1,K1095=1),AND(J1095=1,I1095="SBJ"),AND(J1095=1,I1095=0)),"?IN_FOCUS",IF(J1095&lt;=2,"?ACTIVATED",IF(J1095&lt;&gt;"","?FAMILIAR",IF(F1095="NEW",IF(ISNA(VLOOKUP(E1095,#REF!,1,FALSE())),"?TYPE_IDENTIFIABLE","?REFERENTIAL"),"_")))))</f>
        <v> </v>
      </c>
      <c r="H1095" s="24" t="str">
        <f>IF(J1095&lt;&gt;1,"",IF(I1095="SBJ","CB","?"))</f>
        <v> </v>
      </c>
      <c r="I1095" s="25" t="str">
        <f>IF(OR(E1095="",E1095="!!!",F1095="NEW"),"",INDEX(B1094:B$2,-1+SUMPRODUCT(MAX(ROW(E1094:E$2)*(E1095=E1094:E$2)))))</f>
        <v> </v>
      </c>
      <c r="J1095" s="25" t="str">
        <f>IF(OR(E1095="",E1095="!!!",F1095="NEW"),"",COUNTBLANK(OFFSET(A$1,,,SUMPRODUCT(MAX(ROW(E$2:E1095)*(E1095=E$2:E1095)))))-COUNTBLANK(OFFSET(A$1,,,SUMPRODUCT(MAX(ROW(E$1:E1094)*(E2=E$1:E1094))))))</f>
        <v> </v>
      </c>
      <c r="K1095" s="25" t="str">
        <f>IF(OR(E1095="",E1095="!!!",F1095="NEW"),"",INDEX(J$1:J1094,SUMPRODUCT(MAX(ROW(E$1:E1094)*(E1095=E$1:E1094)))))</f>
        <v> </v>
      </c>
      <c r="L1095" s="26"/>
    </row>
    <row r="1096" spans="1:12">
      <c r="A1096" s="20" t="s">
        <v>995</v>
      </c>
      <c r="E1096" s="21">
        <f>IF(D1096="?OLD","!!!","")</f>
        <v/>
      </c>
      <c r="F1096" s="22" t="str">
        <f>IF(OR(E1096="",E1096="!!!"),"",IF(NOT(ISNA(VLOOKUP(E1096,E$1:E1095,1,FALSE()))),"OLD",IF(AND(E1096&lt;&gt;"",E1096&lt;&gt;"!!!"),"NEW","")))</f>
        <v> </v>
      </c>
      <c r="G1096" s="23" t="str">
        <f>IF(OR(E1096="",E1096="!!!"),"",IF(OR(J1096=0,AND(J1096=1,K1096=1),AND(J1096=1,I1096="SBJ"),AND(J1096=1,I1096=0)),"?IN_FOCUS",IF(J1096&lt;=2,"?ACTIVATED",IF(J1096&lt;&gt;"","?FAMILIAR",IF(F1096="NEW",IF(ISNA(VLOOKUP(E1096,#REF!,1,FALSE())),"?TYPE_IDENTIFIABLE","?REFERENTIAL"),"_")))))</f>
        <v> </v>
      </c>
      <c r="H1096" s="24" t="str">
        <f>IF(J1096&lt;&gt;1,"",IF(I1096="SBJ","CB","?"))</f>
        <v> </v>
      </c>
      <c r="I1096" s="25" t="str">
        <f>IF(OR(E1096="",E1096="!!!",F1096="NEW"),"",INDEX(B1095:B$2,-1+SUMPRODUCT(MAX(ROW(E1095:E$2)*(E1096=E1095:E$2)))))</f>
        <v> </v>
      </c>
      <c r="J1096" s="25" t="str">
        <f>IF(OR(E1096="",E1096="!!!",F1096="NEW"),"",COUNTBLANK(OFFSET(A$1,,,SUMPRODUCT(MAX(ROW(E$2:E1096)*(E1096=E$2:E1096)))))-COUNTBLANK(OFFSET(A$1,,,SUMPRODUCT(MAX(ROW(E$1:E1095)*(E2=E$1:E1095))))))</f>
        <v> </v>
      </c>
      <c r="K1096" s="25" t="str">
        <f>IF(OR(E1096="",E1096="!!!",F1096="NEW"),"",INDEX(J$1:J1095,SUMPRODUCT(MAX(ROW(E$1:E1095)*(E1096=E$1:E1095)))))</f>
        <v> </v>
      </c>
      <c r="L1096" s="26"/>
    </row>
    <row r="1097" spans="1:12">
      <c r="A1097" s="20" t="s">
        <v>724</v>
      </c>
      <c r="E1097" s="21">
        <f>IF(D1097="?OLD","!!!","")</f>
        <v/>
      </c>
      <c r="F1097" s="22" t="str">
        <f>IF(OR(E1097="",E1097="!!!"),"",IF(NOT(ISNA(VLOOKUP(E1097,E$1:E1096,1,FALSE()))),"OLD",IF(AND(E1097&lt;&gt;"",E1097&lt;&gt;"!!!"),"NEW","")))</f>
        <v> </v>
      </c>
      <c r="G1097" s="23" t="str">
        <f>IF(OR(E1097="",E1097="!!!"),"",IF(OR(J1097=0,AND(J1097=1,K1097=1),AND(J1097=1,I1097="SBJ"),AND(J1097=1,I1097=0)),"?IN_FOCUS",IF(J1097&lt;=2,"?ACTIVATED",IF(J1097&lt;&gt;"","?FAMILIAR",IF(F1097="NEW",IF(ISNA(VLOOKUP(E1097,#REF!,1,FALSE())),"?TYPE_IDENTIFIABLE","?REFERENTIAL"),"_")))))</f>
        <v> </v>
      </c>
      <c r="H1097" s="24" t="str">
        <f>IF(J1097&lt;&gt;1,"",IF(I1097="SBJ","CB","?"))</f>
        <v> </v>
      </c>
      <c r="I1097" s="25" t="str">
        <f>IF(OR(E1097="",E1097="!!!",F1097="NEW"),"",INDEX(B1096:B$2,-1+SUMPRODUCT(MAX(ROW(E1096:E$2)*(E1097=E1096:E$2)))))</f>
        <v> </v>
      </c>
      <c r="J1097" s="25" t="str">
        <f>IF(OR(E1097="",E1097="!!!",F1097="NEW"),"",COUNTBLANK(OFFSET(A$1,,,SUMPRODUCT(MAX(ROW(E$2:E1097)*(E1097=E$2:E1097)))))-COUNTBLANK(OFFSET(A$1,,,SUMPRODUCT(MAX(ROW(E$1:E1096)*(E2=E$1:E1096))))))</f>
        <v> </v>
      </c>
      <c r="K1097" s="25" t="str">
        <f>IF(OR(E1097="",E1097="!!!",F1097="NEW"),"",INDEX(J$1:J1096,SUMPRODUCT(MAX(ROW(E$1:E1096)*(E1097=E$1:E1096)))))</f>
        <v> </v>
      </c>
      <c r="L1097" s="26"/>
    </row>
    <row r="1098" spans="1:12">
      <c r="A1098" s="20" t="s">
        <v>996</v>
      </c>
      <c r="E1098" s="21">
        <f>IF(D1098="?OLD","!!!","")</f>
        <v/>
      </c>
      <c r="F1098" s="22" t="str">
        <f>IF(OR(E1098="",E1098="!!!"),"",IF(NOT(ISNA(VLOOKUP(E1098,E$1:E1097,1,FALSE()))),"OLD",IF(AND(E1098&lt;&gt;"",E1098&lt;&gt;"!!!"),"NEW","")))</f>
        <v> </v>
      </c>
      <c r="G1098" s="23" t="str">
        <f>IF(OR(E1098="",E1098="!!!"),"",IF(OR(J1098=0,AND(J1098=1,K1098=1),AND(J1098=1,I1098="SBJ"),AND(J1098=1,I1098=0)),"?IN_FOCUS",IF(J1098&lt;=2,"?ACTIVATED",IF(J1098&lt;&gt;"","?FAMILIAR",IF(F1098="NEW",IF(ISNA(VLOOKUP(E1098,#REF!,1,FALSE())),"?TYPE_IDENTIFIABLE","?REFERENTIAL"),"_")))))</f>
        <v> </v>
      </c>
      <c r="H1098" s="24" t="str">
        <f>IF(J1098&lt;&gt;1,"",IF(I1098="SBJ","CB","?"))</f>
        <v> </v>
      </c>
      <c r="I1098" s="25" t="str">
        <f>IF(OR(E1098="",E1098="!!!",F1098="NEW"),"",INDEX(B1097:B$2,-1+SUMPRODUCT(MAX(ROW(E1097:E$2)*(E1098=E1097:E$2)))))</f>
        <v> </v>
      </c>
      <c r="J1098" s="25" t="str">
        <f>IF(OR(E1098="",E1098="!!!",F1098="NEW"),"",COUNTBLANK(OFFSET(A$1,,,SUMPRODUCT(MAX(ROW(E$2:E1098)*(E1098=E$2:E1098)))))-COUNTBLANK(OFFSET(A$1,,,SUMPRODUCT(MAX(ROW(E$1:E1097)*(E2=E$1:E1097))))))</f>
        <v> </v>
      </c>
      <c r="K1098" s="25" t="str">
        <f>IF(OR(E1098="",E1098="!!!",F1098="NEW"),"",INDEX(J$1:J1097,SUMPRODUCT(MAX(ROW(E$1:E1097)*(E1098=E$1:E1097)))))</f>
        <v> </v>
      </c>
      <c r="L1098" s="26"/>
    </row>
    <row r="1099" spans="1:12">
      <c r="A1099" s="20" t="s">
        <v>253</v>
      </c>
      <c r="E1099" s="21">
        <f>IF(D1099="?OLD","!!!","")</f>
        <v/>
      </c>
      <c r="F1099" s="22" t="str">
        <f>IF(OR(E1099="",E1099="!!!"),"",IF(NOT(ISNA(VLOOKUP(E1099,E$1:E1098,1,FALSE()))),"OLD",IF(AND(E1099&lt;&gt;"",E1099&lt;&gt;"!!!"),"NEW","")))</f>
        <v> </v>
      </c>
      <c r="G1099" s="23" t="str">
        <f>IF(OR(E1099="",E1099="!!!"),"",IF(OR(J1099=0,AND(J1099=1,K1099=1),AND(J1099=1,I1099="SBJ"),AND(J1099=1,I1099=0)),"?IN_FOCUS",IF(J1099&lt;=2,"?ACTIVATED",IF(J1099&lt;&gt;"","?FAMILIAR",IF(F1099="NEW",IF(ISNA(VLOOKUP(E1099,#REF!,1,FALSE())),"?TYPE_IDENTIFIABLE","?REFERENTIAL"),"_")))))</f>
        <v> </v>
      </c>
      <c r="H1099" s="24" t="str">
        <f>IF(J1099&lt;&gt;1,"",IF(I1099="SBJ","CB","?"))</f>
        <v> </v>
      </c>
      <c r="I1099" s="25" t="str">
        <f>IF(OR(E1099="",E1099="!!!",F1099="NEW"),"",INDEX(B1098:B$2,-1+SUMPRODUCT(MAX(ROW(E1098:E$2)*(E1099=E1098:E$2)))))</f>
        <v> </v>
      </c>
      <c r="J1099" s="25" t="str">
        <f>IF(OR(E1099="",E1099="!!!",F1099="NEW"),"",COUNTBLANK(OFFSET(A$1,,,SUMPRODUCT(MAX(ROW(E$2:E1099)*(E1099=E$2:E1099)))))-COUNTBLANK(OFFSET(A$1,,,SUMPRODUCT(MAX(ROW(E$1:E1098)*(E2=E$1:E1098))))))</f>
        <v> </v>
      </c>
      <c r="K1099" s="25" t="str">
        <f>IF(OR(E1099="",E1099="!!!",F1099="NEW"),"",INDEX(J$1:J1098,SUMPRODUCT(MAX(ROW(E$1:E1098)*(E1099=E$1:E1098)))))</f>
        <v> </v>
      </c>
      <c r="L1099" s="26"/>
    </row>
    <row r="1100" spans="1:12">
      <c r="A1100" s="20"/>
    </row>
    <row r="1101" spans="1:12">
      <c r="A1101" s="20" t="s">
        <v>997</v>
      </c>
    </row>
    <row r="1102" spans="1:12">
      <c r="A1102" s="20" t="s">
        <v>732</v>
      </c>
      <c r="E1102" s="21">
        <f>IF(D1102="?OLD","!!!","")</f>
        <v/>
      </c>
      <c r="F1102" s="22" t="str">
        <f>IF(OR(E1102="",E1102="!!!"),"",IF(NOT(ISNA(VLOOKUP(E1102,E$1:E1101,1,FALSE()))),"OLD",IF(AND(E1102&lt;&gt;"",E1102&lt;&gt;"!!!"),"NEW","")))</f>
        <v> </v>
      </c>
      <c r="G1102" s="23" t="str">
        <f>IF(OR(E1102="",E1102="!!!"),"",IF(OR(J1102=0,AND(J1102=1,K1102=1),AND(J1102=1,I1102="SBJ"),AND(J1102=1,I1102=0)),"?IN_FOCUS",IF(J1102&lt;=2,"?ACTIVATED",IF(J1102&lt;&gt;"","?FAMILIAR",IF(F1102="NEW",IF(ISNA(VLOOKUP(E1102,#REF!,1,FALSE())),"?TYPE_IDENTIFIABLE","?REFERENTIAL"),"_")))))</f>
        <v> </v>
      </c>
      <c r="H1102" s="24" t="str">
        <f>IF(J1102&lt;&gt;1,"",IF(I1102="SBJ","CB","?"))</f>
        <v> </v>
      </c>
      <c r="I1102" s="25" t="str">
        <f>IF(OR(E1102="",E1102="!!!",F1102="NEW"),"",INDEX(B1101:B$2,-1+SUMPRODUCT(MAX(ROW(E1101:E$2)*(E1102=E1101:E$2)))))</f>
        <v> </v>
      </c>
      <c r="J1102" s="25" t="str">
        <f>IF(OR(E1102="",E1102="!!!",F1102="NEW"),"",COUNTBLANK(OFFSET(A$1,,,SUMPRODUCT(MAX(ROW(E$2:E1102)*(E1102=E$2:E1102)))))-COUNTBLANK(OFFSET(A$1,,,SUMPRODUCT(MAX(ROW(E$1:E1101)*(E2=E$1:E1101))))))</f>
        <v> </v>
      </c>
      <c r="K1102" s="25" t="str">
        <f>IF(OR(E1102="",E1102="!!!",F1102="NEW"),"",INDEX(J$1:J1101,SUMPRODUCT(MAX(ROW(E$1:E1101)*(E1102=E$1:E1101)))))</f>
        <v> </v>
      </c>
      <c r="L1102" s="26"/>
    </row>
    <row r="1103" spans="1:12">
      <c r="A1103" s="20" t="s">
        <v>998</v>
      </c>
      <c r="E1103" s="21">
        <f>IF(D1103="?OLD","!!!","")</f>
        <v/>
      </c>
      <c r="F1103" s="22" t="str">
        <f>IF(OR(E1103="",E1103="!!!"),"",IF(NOT(ISNA(VLOOKUP(E1103,E$1:E1102,1,FALSE()))),"OLD",IF(AND(E1103&lt;&gt;"",E1103&lt;&gt;"!!!"),"NEW","")))</f>
        <v> </v>
      </c>
      <c r="G1103" s="23" t="str">
        <f>IF(OR(E1103="",E1103="!!!"),"",IF(OR(J1103=0,AND(J1103=1,K1103=1),AND(J1103=1,I1103="SBJ"),AND(J1103=1,I1103=0)),"?IN_FOCUS",IF(J1103&lt;=2,"?ACTIVATED",IF(J1103&lt;&gt;"","?FAMILIAR",IF(F1103="NEW",IF(ISNA(VLOOKUP(E1103,#REF!,1,FALSE())),"?TYPE_IDENTIFIABLE","?REFERENTIAL"),"_")))))</f>
        <v> </v>
      </c>
      <c r="H1103" s="24" t="str">
        <f>IF(J1103&lt;&gt;1,"",IF(I1103="SBJ","CB","?"))</f>
        <v> </v>
      </c>
      <c r="I1103" s="25" t="str">
        <f>IF(OR(E1103="",E1103="!!!",F1103="NEW"),"",INDEX(B1102:B$2,-1+SUMPRODUCT(MAX(ROW(E1102:E$2)*(E1103=E1102:E$2)))))</f>
        <v> </v>
      </c>
      <c r="J1103" s="25" t="str">
        <f>IF(OR(E1103="",E1103="!!!",F1103="NEW"),"",COUNTBLANK(OFFSET(A$1,,,SUMPRODUCT(MAX(ROW(E$2:E1103)*(E1103=E$2:E1103)))))-COUNTBLANK(OFFSET(A$1,,,SUMPRODUCT(MAX(ROW(E$1:E1102)*(E2=E$1:E1102))))))</f>
        <v> </v>
      </c>
      <c r="K1103" s="25" t="str">
        <f>IF(OR(E1103="",E1103="!!!",F1103="NEW"),"",INDEX(J$1:J1102,SUMPRODUCT(MAX(ROW(E$1:E1102)*(E1103=E$1:E1102)))))</f>
        <v> </v>
      </c>
      <c r="L1103" s="26"/>
    </row>
    <row r="1104" spans="1:12">
      <c r="A1104" s="20" t="s">
        <v>999</v>
      </c>
      <c r="E1104" s="21">
        <f>IF(D1104="?OLD","!!!","")</f>
        <v/>
      </c>
      <c r="F1104" s="22" t="str">
        <f>IF(OR(E1104="",E1104="!!!"),"",IF(NOT(ISNA(VLOOKUP(E1104,E$1:E1103,1,FALSE()))),"OLD",IF(AND(E1104&lt;&gt;"",E1104&lt;&gt;"!!!"),"NEW","")))</f>
        <v> </v>
      </c>
      <c r="G1104" s="23" t="str">
        <f>IF(OR(E1104="",E1104="!!!"),"",IF(OR(J1104=0,AND(J1104=1,K1104=1),AND(J1104=1,I1104="SBJ"),AND(J1104=1,I1104=0)),"?IN_FOCUS",IF(J1104&lt;=2,"?ACTIVATED",IF(J1104&lt;&gt;"","?FAMILIAR",IF(F1104="NEW",IF(ISNA(VLOOKUP(E1104,#REF!,1,FALSE())),"?TYPE_IDENTIFIABLE","?REFERENTIAL"),"_")))))</f>
        <v> </v>
      </c>
      <c r="H1104" s="24" t="str">
        <f>IF(J1104&lt;&gt;1,"",IF(I1104="SBJ","CB","?"))</f>
        <v> </v>
      </c>
      <c r="I1104" s="25" t="str">
        <f>IF(OR(E1104="",E1104="!!!",F1104="NEW"),"",INDEX(B1103:B$2,-1+SUMPRODUCT(MAX(ROW(E1103:E$2)*(E1104=E1103:E$2)))))</f>
        <v> </v>
      </c>
      <c r="J1104" s="25" t="str">
        <f>IF(OR(E1104="",E1104="!!!",F1104="NEW"),"",COUNTBLANK(OFFSET(A$1,,,SUMPRODUCT(MAX(ROW(E$2:E1104)*(E1104=E$2:E1104)))))-COUNTBLANK(OFFSET(A$1,,,SUMPRODUCT(MAX(ROW(E$1:E1103)*(E2=E$1:E1103))))))</f>
        <v> </v>
      </c>
      <c r="K1104" s="25" t="str">
        <f>IF(OR(E1104="",E1104="!!!",F1104="NEW"),"",INDEX(J$1:J1103,SUMPRODUCT(MAX(ROW(E$1:E1103)*(E1104=E$1:E1103)))))</f>
        <v> </v>
      </c>
      <c r="L1104" s="26"/>
    </row>
    <row r="1105" spans="1:12">
      <c r="A1105" s="20" t="s">
        <v>1000</v>
      </c>
      <c r="E1105" s="21">
        <f>IF(D1105="?OLD","!!!","")</f>
        <v/>
      </c>
      <c r="F1105" s="22" t="str">
        <f>IF(OR(E1105="",E1105="!!!"),"",IF(NOT(ISNA(VLOOKUP(E1105,E$1:E1104,1,FALSE()))),"OLD",IF(AND(E1105&lt;&gt;"",E1105&lt;&gt;"!!!"),"NEW","")))</f>
        <v> </v>
      </c>
      <c r="G1105" s="23" t="str">
        <f>IF(OR(E1105="",E1105="!!!"),"",IF(OR(J1105=0,AND(J1105=1,K1105=1),AND(J1105=1,I1105="SBJ"),AND(J1105=1,I1105=0)),"?IN_FOCUS",IF(J1105&lt;=2,"?ACTIVATED",IF(J1105&lt;&gt;"","?FAMILIAR",IF(F1105="NEW",IF(ISNA(VLOOKUP(E1105,#REF!,1,FALSE())),"?TYPE_IDENTIFIABLE","?REFERENTIAL"),"_")))))</f>
        <v> </v>
      </c>
      <c r="H1105" s="24" t="str">
        <f>IF(J1105&lt;&gt;1,"",IF(I1105="SBJ","CB","?"))</f>
        <v> </v>
      </c>
      <c r="I1105" s="25" t="str">
        <f>IF(OR(E1105="",E1105="!!!",F1105="NEW"),"",INDEX(B1104:B$2,-1+SUMPRODUCT(MAX(ROW(E1104:E$2)*(E1105=E1104:E$2)))))</f>
        <v> </v>
      </c>
      <c r="J1105" s="25" t="str">
        <f>IF(OR(E1105="",E1105="!!!",F1105="NEW"),"",COUNTBLANK(OFFSET(A$1,,,SUMPRODUCT(MAX(ROW(E$2:E1105)*(E1105=E$2:E1105)))))-COUNTBLANK(OFFSET(A$1,,,SUMPRODUCT(MAX(ROW(E$1:E1104)*(E2=E$1:E1104))))))</f>
        <v> </v>
      </c>
      <c r="K1105" s="25" t="str">
        <f>IF(OR(E1105="",E1105="!!!",F1105="NEW"),"",INDEX(J$1:J1104,SUMPRODUCT(MAX(ROW(E$1:E1104)*(E1105=E$1:E1104)))))</f>
        <v> </v>
      </c>
      <c r="L1105" s="26"/>
    </row>
    <row r="1106" spans="1:12">
      <c r="A1106" s="20" t="s">
        <v>482</v>
      </c>
      <c r="E1106" s="21">
        <f>IF(D1106="?OLD","!!!","")</f>
        <v/>
      </c>
      <c r="F1106" s="22" t="str">
        <f>IF(OR(E1106="",E1106="!!!"),"",IF(NOT(ISNA(VLOOKUP(E1106,E$1:E1105,1,FALSE()))),"OLD",IF(AND(E1106&lt;&gt;"",E1106&lt;&gt;"!!!"),"NEW","")))</f>
        <v> </v>
      </c>
      <c r="G1106" s="23" t="str">
        <f>IF(OR(E1106="",E1106="!!!"),"",IF(OR(J1106=0,AND(J1106=1,K1106=1),AND(J1106=1,I1106="SBJ"),AND(J1106=1,I1106=0)),"?IN_FOCUS",IF(J1106&lt;=2,"?ACTIVATED",IF(J1106&lt;&gt;"","?FAMILIAR",IF(F1106="NEW",IF(ISNA(VLOOKUP(E1106,#REF!,1,FALSE())),"?TYPE_IDENTIFIABLE","?REFERENTIAL"),"_")))))</f>
        <v> </v>
      </c>
      <c r="H1106" s="24" t="str">
        <f>IF(J1106&lt;&gt;1,"",IF(I1106="SBJ","CB","?"))</f>
        <v> </v>
      </c>
      <c r="I1106" s="25" t="str">
        <f>IF(OR(E1106="",E1106="!!!",F1106="NEW"),"",INDEX(B1105:B$2,-1+SUMPRODUCT(MAX(ROW(E1105:E$2)*(E1106=E1105:E$2)))))</f>
        <v> </v>
      </c>
      <c r="J1106" s="25" t="str">
        <f>IF(OR(E1106="",E1106="!!!",F1106="NEW"),"",COUNTBLANK(OFFSET(A$1,,,SUMPRODUCT(MAX(ROW(E$2:E1106)*(E1106=E$2:E1106)))))-COUNTBLANK(OFFSET(A$1,,,SUMPRODUCT(MAX(ROW(E$1:E1105)*(E2=E$1:E1105))))))</f>
        <v> </v>
      </c>
      <c r="K1106" s="25" t="str">
        <f>IF(OR(E1106="",E1106="!!!",F1106="NEW"),"",INDEX(J$1:J1105,SUMPRODUCT(MAX(ROW(E$1:E1105)*(E1106=E$1:E1105)))))</f>
        <v> </v>
      </c>
      <c r="L1106" s="26"/>
    </row>
    <row r="1107" spans="1:12">
      <c r="A1107" s="20" t="s">
        <v>218</v>
      </c>
      <c r="E1107" s="21">
        <f>IF(D1107="?OLD","!!!","")</f>
        <v/>
      </c>
      <c r="F1107" s="22" t="str">
        <f>IF(OR(E1107="",E1107="!!!"),"",IF(NOT(ISNA(VLOOKUP(E1107,E$1:E1106,1,FALSE()))),"OLD",IF(AND(E1107&lt;&gt;"",E1107&lt;&gt;"!!!"),"NEW","")))</f>
        <v> </v>
      </c>
      <c r="G1107" s="23" t="str">
        <f>IF(OR(E1107="",E1107="!!!"),"",IF(OR(J1107=0,AND(J1107=1,K1107=1),AND(J1107=1,I1107="SBJ"),AND(J1107=1,I1107=0)),"?IN_FOCUS",IF(J1107&lt;=2,"?ACTIVATED",IF(J1107&lt;&gt;"","?FAMILIAR",IF(F1107="NEW",IF(ISNA(VLOOKUP(E1107,#REF!,1,FALSE())),"?TYPE_IDENTIFIABLE","?REFERENTIAL"),"_")))))</f>
        <v> </v>
      </c>
      <c r="H1107" s="24" t="str">
        <f>IF(J1107&lt;&gt;1,"",IF(I1107="SBJ","CB","?"))</f>
        <v> </v>
      </c>
      <c r="I1107" s="25" t="str">
        <f>IF(OR(E1107="",E1107="!!!",F1107="NEW"),"",INDEX(B1106:B$2,-1+SUMPRODUCT(MAX(ROW(E1106:E$2)*(E1107=E1106:E$2)))))</f>
        <v> </v>
      </c>
      <c r="J1107" s="25" t="str">
        <f>IF(OR(E1107="",E1107="!!!",F1107="NEW"),"",COUNTBLANK(OFFSET(A$1,,,SUMPRODUCT(MAX(ROW(E$2:E1107)*(E1107=E$2:E1107)))))-COUNTBLANK(OFFSET(A$1,,,SUMPRODUCT(MAX(ROW(E$1:E1106)*(E2=E$1:E1106))))))</f>
        <v> </v>
      </c>
      <c r="K1107" s="25" t="str">
        <f>IF(OR(E1107="",E1107="!!!",F1107="NEW"),"",INDEX(J$1:J1106,SUMPRODUCT(MAX(ROW(E$1:E1106)*(E1107=E$1:E1106)))))</f>
        <v> </v>
      </c>
      <c r="L1107" s="26"/>
    </row>
    <row r="1108" spans="1:12">
      <c r="A1108" s="20" t="s">
        <v>1001</v>
      </c>
      <c r="E1108" s="21">
        <f>IF(D1108="?OLD","!!!","")</f>
        <v/>
      </c>
      <c r="F1108" s="22" t="str">
        <f>IF(OR(E1108="",E1108="!!!"),"",IF(NOT(ISNA(VLOOKUP(E1108,E$1:E1107,1,FALSE()))),"OLD",IF(AND(E1108&lt;&gt;"",E1108&lt;&gt;"!!!"),"NEW","")))</f>
        <v> </v>
      </c>
      <c r="G1108" s="23" t="str">
        <f>IF(OR(E1108="",E1108="!!!"),"",IF(OR(J1108=0,AND(J1108=1,K1108=1),AND(J1108=1,I1108="SBJ"),AND(J1108=1,I1108=0)),"?IN_FOCUS",IF(J1108&lt;=2,"?ACTIVATED",IF(J1108&lt;&gt;"","?FAMILIAR",IF(F1108="NEW",IF(ISNA(VLOOKUP(E1108,#REF!,1,FALSE())),"?TYPE_IDENTIFIABLE","?REFERENTIAL"),"_")))))</f>
        <v> </v>
      </c>
      <c r="H1108" s="24" t="str">
        <f>IF(J1108&lt;&gt;1,"",IF(I1108="SBJ","CB","?"))</f>
        <v> </v>
      </c>
      <c r="I1108" s="25" t="str">
        <f>IF(OR(E1108="",E1108="!!!",F1108="NEW"),"",INDEX(B1107:B$2,-1+SUMPRODUCT(MAX(ROW(E1107:E$2)*(E1108=E1107:E$2)))))</f>
        <v> </v>
      </c>
      <c r="J1108" s="25" t="str">
        <f>IF(OR(E1108="",E1108="!!!",F1108="NEW"),"",COUNTBLANK(OFFSET(A$1,,,SUMPRODUCT(MAX(ROW(E$2:E1108)*(E1108=E$2:E1108)))))-COUNTBLANK(OFFSET(A$1,,,SUMPRODUCT(MAX(ROW(E$1:E1107)*(E2=E$1:E1107))))))</f>
        <v> </v>
      </c>
      <c r="K1108" s="25" t="str">
        <f>IF(OR(E1108="",E1108="!!!",F1108="NEW"),"",INDEX(J$1:J1107,SUMPRODUCT(MAX(ROW(E$1:E1107)*(E1108=E$1:E1107)))))</f>
        <v> </v>
      </c>
      <c r="L1108" s="26"/>
    </row>
    <row r="1109" spans="1:12">
      <c r="A1109" s="20" t="s">
        <v>1002</v>
      </c>
      <c r="E1109" s="21">
        <f>IF(D1109="?OLD","!!!","")</f>
        <v/>
      </c>
      <c r="F1109" s="22" t="str">
        <f>IF(OR(E1109="",E1109="!!!"),"",IF(NOT(ISNA(VLOOKUP(E1109,E$1:E1108,1,FALSE()))),"OLD",IF(AND(E1109&lt;&gt;"",E1109&lt;&gt;"!!!"),"NEW","")))</f>
        <v> </v>
      </c>
      <c r="G1109" s="23" t="str">
        <f>IF(OR(E1109="",E1109="!!!"),"",IF(OR(J1109=0,AND(J1109=1,K1109=1),AND(J1109=1,I1109="SBJ"),AND(J1109=1,I1109=0)),"?IN_FOCUS",IF(J1109&lt;=2,"?ACTIVATED",IF(J1109&lt;&gt;"","?FAMILIAR",IF(F1109="NEW",IF(ISNA(VLOOKUP(E1109,#REF!,1,FALSE())),"?TYPE_IDENTIFIABLE","?REFERENTIAL"),"_")))))</f>
        <v> </v>
      </c>
      <c r="H1109" s="24" t="str">
        <f>IF(J1109&lt;&gt;1,"",IF(I1109="SBJ","CB","?"))</f>
        <v> </v>
      </c>
      <c r="I1109" s="25" t="str">
        <f>IF(OR(E1109="",E1109="!!!",F1109="NEW"),"",INDEX(B1108:B$2,-1+SUMPRODUCT(MAX(ROW(E1108:E$2)*(E1109=E1108:E$2)))))</f>
        <v> </v>
      </c>
      <c r="J1109" s="25" t="str">
        <f>IF(OR(E1109="",E1109="!!!",F1109="NEW"),"",COUNTBLANK(OFFSET(A$1,,,SUMPRODUCT(MAX(ROW(E$2:E1109)*(E1109=E$2:E1109)))))-COUNTBLANK(OFFSET(A$1,,,SUMPRODUCT(MAX(ROW(E$1:E1108)*(E2=E$1:E1108))))))</f>
        <v> </v>
      </c>
      <c r="K1109" s="25" t="str">
        <f>IF(OR(E1109="",E1109="!!!",F1109="NEW"),"",INDEX(J$1:J1108,SUMPRODUCT(MAX(ROW(E$1:E1108)*(E1109=E$1:E1108)))))</f>
        <v> </v>
      </c>
      <c r="L1109" s="26"/>
    </row>
    <row r="1110" spans="1:12">
      <c r="A1110" s="20" t="s">
        <v>1003</v>
      </c>
      <c r="B1110" s="27" t="s">
        <v>483</v>
      </c>
      <c r="E1110" s="21">
        <f>IF(D1110="?OLD","!!!","")</f>
        <v/>
      </c>
      <c r="F1110" s="22" t="str">
        <f>IF(OR(E1110="",E1110="!!!"),"",IF(NOT(ISNA(VLOOKUP(E1110,E$1:E1109,1,FALSE()))),"OLD",IF(AND(E1110&lt;&gt;"",E1110&lt;&gt;"!!!"),"NEW","")))</f>
        <v> </v>
      </c>
      <c r="G1110" s="23" t="str">
        <f>IF(OR(E1110="",E1110="!!!"),"",IF(OR(J1110=0,AND(J1110=1,K1110=1),AND(J1110=1,I1110="SBJ"),AND(J1110=1,I1110=0)),"?IN_FOCUS",IF(J1110&lt;=2,"?ACTIVATED",IF(J1110&lt;&gt;"","?FAMILIAR",IF(F1110="NEW",IF(ISNA(VLOOKUP(E1110,#REF!,1,FALSE())),"?TYPE_IDENTIFIABLE","?REFERENTIAL"),"_")))))</f>
        <v> </v>
      </c>
      <c r="H1110" s="24" t="str">
        <f>IF(J1110&lt;&gt;1,"",IF(I1110="SBJ","CB","?"))</f>
        <v> </v>
      </c>
      <c r="I1110" s="25" t="str">
        <f>IF(OR(E1110="",E1110="!!!",F1110="NEW"),"",INDEX(B1109:B$2,-1+SUMPRODUCT(MAX(ROW(E1109:E$2)*(E1110=E1109:E$2)))))</f>
        <v> </v>
      </c>
      <c r="J1110" s="25" t="str">
        <f>IF(OR(E1110="",E1110="!!!",F1110="NEW"),"",COUNTBLANK(OFFSET(A$1,,,SUMPRODUCT(MAX(ROW(E$2:E1110)*(E1110=E$2:E1110)))))-COUNTBLANK(OFFSET(A$1,,,SUMPRODUCT(MAX(ROW(E$1:E1109)*(E2=E$1:E1109))))))</f>
        <v> </v>
      </c>
      <c r="K1110" s="25" t="str">
        <f>IF(OR(E1110="",E1110="!!!",F1110="NEW"),"",INDEX(J$1:J1109,SUMPRODUCT(MAX(ROW(E$1:E1109)*(E1110=E$1:E1109)))))</f>
        <v> </v>
      </c>
      <c r="L1110" s="26"/>
    </row>
    <row r="1111" spans="1:12">
      <c r="A1111" s="20" t="s">
        <v>728</v>
      </c>
      <c r="B1111" s="27" t="s">
        <v>483</v>
      </c>
      <c r="C1111" s="27" t="s">
        <v>497</v>
      </c>
      <c r="D1111" s="27" t="s">
        <v>478</v>
      </c>
      <c r="E1111" s="21">
        <f>IF(D1111="?OLD","!!!","")</f>
        <v/>
      </c>
      <c r="F1111" s="22" t="str">
        <f>IF(OR(E1111="",E1111="!!!"),"",IF(NOT(ISNA(VLOOKUP(E1111,E$1:E1110,1,FALSE()))),"OLD",IF(AND(E1111&lt;&gt;"",E1111&lt;&gt;"!!!"),"NEW","")))</f>
        <v> </v>
      </c>
      <c r="G1111" s="23" t="str">
        <f>IF(OR(E1111="",E1111="!!!"),"",IF(OR(J1111=0,AND(J1111=1,K1111=1),AND(J1111=1,I1111="SBJ"),AND(J1111=1,I1111=0)),"?IN_FOCUS",IF(J1111&lt;=2,"?ACTIVATED",IF(J1111&lt;&gt;"","?FAMILIAR",IF(F1111="NEW",IF(ISNA(VLOOKUP(E1111,#REF!,1,FALSE())),"?TYPE_IDENTIFIABLE","?REFERENTIAL"),"_")))))</f>
        <v> </v>
      </c>
      <c r="H1111" s="24" t="str">
        <f>IF(J1111&lt;&gt;1,"",IF(I1111="SBJ","CB","?"))</f>
        <v> </v>
      </c>
      <c r="I1111" s="25" t="str">
        <f>IF(OR(E1111="",E1111="!!!",F1111="NEW"),"",INDEX(B1110:B$2,-1+SUMPRODUCT(MAX(ROW(E1110:E$2)*(E1111=E1110:E$2)))))</f>
        <v> </v>
      </c>
      <c r="J1111" s="25" t="str">
        <f>IF(OR(E1111="",E1111="!!!",F1111="NEW"),"",COUNTBLANK(OFFSET(A$1,,,SUMPRODUCT(MAX(ROW(E$2:E1111)*(E1111=E$2:E1111)))))-COUNTBLANK(OFFSET(A$1,,,SUMPRODUCT(MAX(ROW(E$1:E1110)*(E2=E$1:E1110))))))</f>
        <v> </v>
      </c>
      <c r="K1111" s="25" t="str">
        <f>IF(OR(E1111="",E1111="!!!",F1111="NEW"),"",INDEX(J$1:J1110,SUMPRODUCT(MAX(ROW(E$1:E1110)*(E1111=E$1:E1110)))))</f>
        <v> </v>
      </c>
      <c r="L1111" s="26"/>
    </row>
    <row r="1112" spans="1:12">
      <c r="A1112" s="20" t="s">
        <v>946</v>
      </c>
      <c r="E1112" s="21">
        <f>IF(D1112="?OLD","!!!","")</f>
        <v/>
      </c>
      <c r="F1112" s="22" t="str">
        <f>IF(OR(E1112="",E1112="!!!"),"",IF(NOT(ISNA(VLOOKUP(E1112,E$1:E1111,1,FALSE()))),"OLD",IF(AND(E1112&lt;&gt;"",E1112&lt;&gt;"!!!"),"NEW","")))</f>
        <v> </v>
      </c>
      <c r="G1112" s="23" t="str">
        <f>IF(OR(E1112="",E1112="!!!"),"",IF(OR(J1112=0,AND(J1112=1,K1112=1),AND(J1112=1,I1112="SBJ"),AND(J1112=1,I1112=0)),"?IN_FOCUS",IF(J1112&lt;=2,"?ACTIVATED",IF(J1112&lt;&gt;"","?FAMILIAR",IF(F1112="NEW",IF(ISNA(VLOOKUP(E1112,#REF!,1,FALSE())),"?TYPE_IDENTIFIABLE","?REFERENTIAL"),"_")))))</f>
        <v> </v>
      </c>
      <c r="H1112" s="24" t="str">
        <f>IF(J1112&lt;&gt;1,"",IF(I1112="SBJ","CB","?"))</f>
        <v> </v>
      </c>
      <c r="I1112" s="25" t="str">
        <f>IF(OR(E1112="",E1112="!!!",F1112="NEW"),"",INDEX(B1111:B$2,-1+SUMPRODUCT(MAX(ROW(E1111:E$2)*(E1112=E1111:E$2)))))</f>
        <v> </v>
      </c>
      <c r="J1112" s="25" t="str">
        <f>IF(OR(E1112="",E1112="!!!",F1112="NEW"),"",COUNTBLANK(OFFSET(A$1,,,SUMPRODUCT(MAX(ROW(E$2:E1112)*(E1112=E$2:E1112)))))-COUNTBLANK(OFFSET(A$1,,,SUMPRODUCT(MAX(ROW(E$1:E1111)*(E2=E$1:E1111))))))</f>
        <v> </v>
      </c>
      <c r="K1112" s="25" t="str">
        <f>IF(OR(E1112="",E1112="!!!",F1112="NEW"),"",INDEX(J$1:J1111,SUMPRODUCT(MAX(ROW(E$1:E1111)*(E1112=E$1:E1111)))))</f>
        <v> </v>
      </c>
      <c r="L1112" s="26"/>
    </row>
    <row r="1113" spans="1:12">
      <c r="A1113" s="20" t="s">
        <v>253</v>
      </c>
      <c r="E1113" s="21">
        <f>IF(D1113="?OLD","!!!","")</f>
        <v/>
      </c>
      <c r="F1113" s="22" t="str">
        <f>IF(OR(E1113="",E1113="!!!"),"",IF(NOT(ISNA(VLOOKUP(E1113,E$1:E1112,1,FALSE()))),"OLD",IF(AND(E1113&lt;&gt;"",E1113&lt;&gt;"!!!"),"NEW","")))</f>
        <v> </v>
      </c>
      <c r="G1113" s="23" t="str">
        <f>IF(OR(E1113="",E1113="!!!"),"",IF(OR(J1113=0,AND(J1113=1,K1113=1),AND(J1113=1,I1113="SBJ"),AND(J1113=1,I1113=0)),"?IN_FOCUS",IF(J1113&lt;=2,"?ACTIVATED",IF(J1113&lt;&gt;"","?FAMILIAR",IF(F1113="NEW",IF(ISNA(VLOOKUP(E1113,#REF!,1,FALSE())),"?TYPE_IDENTIFIABLE","?REFERENTIAL"),"_")))))</f>
        <v> </v>
      </c>
      <c r="H1113" s="24" t="str">
        <f>IF(J1113&lt;&gt;1,"",IF(I1113="SBJ","CB","?"))</f>
        <v> </v>
      </c>
      <c r="I1113" s="25" t="str">
        <f>IF(OR(E1113="",E1113="!!!",F1113="NEW"),"",INDEX(B1112:B$2,-1+SUMPRODUCT(MAX(ROW(E1112:E$2)*(E1113=E1112:E$2)))))</f>
        <v> </v>
      </c>
      <c r="J1113" s="25" t="str">
        <f>IF(OR(E1113="",E1113="!!!",F1113="NEW"),"",COUNTBLANK(OFFSET(A$1,,,SUMPRODUCT(MAX(ROW(E$2:E1113)*(E1113=E$2:E1113)))))-COUNTBLANK(OFFSET(A$1,,,SUMPRODUCT(MAX(ROW(E$1:E1112)*(E2=E$1:E1112))))))</f>
        <v> </v>
      </c>
      <c r="K1113" s="25" t="str">
        <f>IF(OR(E1113="",E1113="!!!",F1113="NEW"),"",INDEX(J$1:J1112,SUMPRODUCT(MAX(ROW(E$1:E1112)*(E1113=E$1:E1112)))))</f>
        <v> </v>
      </c>
      <c r="L1113" s="26"/>
    </row>
    <row r="1114" spans="1:12">
      <c r="A1114" s="20"/>
    </row>
    <row r="1115" spans="1:12">
      <c r="A1115" s="20" t="s">
        <v>1004</v>
      </c>
    </row>
    <row r="1116" spans="1:12">
      <c r="A1116" s="20" t="s">
        <v>1005</v>
      </c>
      <c r="E1116" s="21">
        <f>IF(D1116="?OLD","!!!","")</f>
        <v/>
      </c>
      <c r="F1116" s="22" t="str">
        <f>IF(OR(E1116="",E1116="!!!"),"",IF(NOT(ISNA(VLOOKUP(E1116,E$1:E1115,1,FALSE()))),"OLD",IF(AND(E1116&lt;&gt;"",E1116&lt;&gt;"!!!"),"NEW","")))</f>
        <v> </v>
      </c>
      <c r="G1116" s="23" t="str">
        <f>IF(OR(E1116="",E1116="!!!"),"",IF(OR(J1116=0,AND(J1116=1,K1116=1),AND(J1116=1,I1116="SBJ"),AND(J1116=1,I1116=0)),"?IN_FOCUS",IF(J1116&lt;=2,"?ACTIVATED",IF(J1116&lt;&gt;"","?FAMILIAR",IF(F1116="NEW",IF(ISNA(VLOOKUP(E1116,#REF!,1,FALSE())),"?TYPE_IDENTIFIABLE","?REFERENTIAL"),"_")))))</f>
        <v> </v>
      </c>
      <c r="H1116" s="24" t="str">
        <f>IF(J1116&lt;&gt;1,"",IF(I1116="SBJ","CB","?"))</f>
        <v> </v>
      </c>
      <c r="I1116" s="25" t="str">
        <f>IF(OR(E1116="",E1116="!!!",F1116="NEW"),"",INDEX(B1115:B$2,-1+SUMPRODUCT(MAX(ROW(E1115:E$2)*(E1116=E1115:E$2)))))</f>
        <v> </v>
      </c>
      <c r="J1116" s="25" t="str">
        <f>IF(OR(E1116="",E1116="!!!",F1116="NEW"),"",COUNTBLANK(OFFSET(A$1,,,SUMPRODUCT(MAX(ROW(E$2:E1116)*(E1116=E$2:E1116)))))-COUNTBLANK(OFFSET(A$1,,,SUMPRODUCT(MAX(ROW(E$1:E1115)*(E2=E$1:E1115))))))</f>
        <v> </v>
      </c>
      <c r="K1116" s="25" t="str">
        <f>IF(OR(E1116="",E1116="!!!",F1116="NEW"),"",INDEX(J$1:J1115,SUMPRODUCT(MAX(ROW(E$1:E1115)*(E1116=E$1:E1115)))))</f>
        <v> </v>
      </c>
      <c r="L1116" s="26"/>
    </row>
    <row r="1117" spans="1:12">
      <c r="A1117" s="20" t="s">
        <v>570</v>
      </c>
      <c r="B1117" s="27" t="s">
        <v>473</v>
      </c>
      <c r="C1117" s="27" t="s">
        <v>477</v>
      </c>
      <c r="D1117" s="27" t="s">
        <v>478</v>
      </c>
      <c r="E1117" s="21">
        <f>IF(D1117="?OLD","!!!","")</f>
        <v/>
      </c>
      <c r="F1117" s="22" t="str">
        <f>IF(OR(E1117="",E1117="!!!"),"",IF(NOT(ISNA(VLOOKUP(E1117,E$1:E1116,1,FALSE()))),"OLD",IF(AND(E1117&lt;&gt;"",E1117&lt;&gt;"!!!"),"NEW","")))</f>
        <v> </v>
      </c>
      <c r="G1117" s="23" t="str">
        <f>IF(OR(E1117="",E1117="!!!"),"",IF(OR(J1117=0,AND(J1117=1,K1117=1),AND(J1117=1,I1117="SBJ"),AND(J1117=1,I1117=0)),"?IN_FOCUS",IF(J1117&lt;=2,"?ACTIVATED",IF(J1117&lt;&gt;"","?FAMILIAR",IF(F1117="NEW",IF(ISNA(VLOOKUP(E1117,#REF!,1,FALSE())),"?TYPE_IDENTIFIABLE","?REFERENTIAL"),"_")))))</f>
        <v> </v>
      </c>
      <c r="H1117" s="24" t="str">
        <f>IF(J1117&lt;&gt;1,"",IF(I1117="SBJ","CB","?"))</f>
        <v> </v>
      </c>
      <c r="I1117" s="25" t="str">
        <f>IF(OR(E1117="",E1117="!!!",F1117="NEW"),"",INDEX(B1116:B$2,-1+SUMPRODUCT(MAX(ROW(E1116:E$2)*(E1117=E1116:E$2)))))</f>
        <v> </v>
      </c>
      <c r="J1117" s="25" t="str">
        <f>IF(OR(E1117="",E1117="!!!",F1117="NEW"),"",COUNTBLANK(OFFSET(A$1,,,SUMPRODUCT(MAX(ROW(E$2:E1117)*(E1117=E$2:E1117)))))-COUNTBLANK(OFFSET(A$1,,,SUMPRODUCT(MAX(ROW(E$1:E1116)*(E2=E$1:E1116))))))</f>
        <v> </v>
      </c>
      <c r="K1117" s="25" t="str">
        <f>IF(OR(E1117="",E1117="!!!",F1117="NEW"),"",INDEX(J$1:J1116,SUMPRODUCT(MAX(ROW(E$1:E1116)*(E1117=E$1:E1116)))))</f>
        <v> </v>
      </c>
      <c r="L1117" s="26"/>
    </row>
    <row r="1118" spans="1:12">
      <c r="A1118" s="20" t="s">
        <v>12</v>
      </c>
      <c r="E1118" s="21">
        <f>IF(D1118="?OLD","!!!","")</f>
        <v/>
      </c>
      <c r="F1118" s="22" t="str">
        <f>IF(OR(E1118="",E1118="!!!"),"",IF(NOT(ISNA(VLOOKUP(E1118,E$1:E1117,1,FALSE()))),"OLD",IF(AND(E1118&lt;&gt;"",E1118&lt;&gt;"!!!"),"NEW","")))</f>
        <v> </v>
      </c>
      <c r="G1118" s="23" t="str">
        <f>IF(OR(E1118="",E1118="!!!"),"",IF(OR(J1118=0,AND(J1118=1,K1118=1),AND(J1118=1,I1118="SBJ"),AND(J1118=1,I1118=0)),"?IN_FOCUS",IF(J1118&lt;=2,"?ACTIVATED",IF(J1118&lt;&gt;"","?FAMILIAR",IF(F1118="NEW",IF(ISNA(VLOOKUP(E1118,#REF!,1,FALSE())),"?TYPE_IDENTIFIABLE","?REFERENTIAL"),"_")))))</f>
        <v> </v>
      </c>
      <c r="H1118" s="24" t="str">
        <f>IF(J1118&lt;&gt;1,"",IF(I1118="SBJ","CB","?"))</f>
        <v> </v>
      </c>
      <c r="I1118" s="25" t="str">
        <f>IF(OR(E1118="",E1118="!!!",F1118="NEW"),"",INDEX(B1117:B$2,-1+SUMPRODUCT(MAX(ROW(E1117:E$2)*(E1118=E1117:E$2)))))</f>
        <v> </v>
      </c>
      <c r="J1118" s="25" t="str">
        <f>IF(OR(E1118="",E1118="!!!",F1118="NEW"),"",COUNTBLANK(OFFSET(A$1,,,SUMPRODUCT(MAX(ROW(E$2:E1118)*(E1118=E$2:E1118)))))-COUNTBLANK(OFFSET(A$1,,,SUMPRODUCT(MAX(ROW(E$1:E1117)*(E2=E$1:E1117))))))</f>
        <v> </v>
      </c>
      <c r="K1118" s="25" t="str">
        <f>IF(OR(E1118="",E1118="!!!",F1118="NEW"),"",INDEX(J$1:J1117,SUMPRODUCT(MAX(ROW(E$1:E1117)*(E1118=E$1:E1117)))))</f>
        <v> </v>
      </c>
      <c r="L1118" s="26"/>
    </row>
    <row r="1119" spans="1:12">
      <c r="A1119" s="20" t="s">
        <v>1006</v>
      </c>
      <c r="E1119" s="21">
        <f>IF(D1119="?OLD","!!!","")</f>
        <v/>
      </c>
      <c r="F1119" s="22" t="str">
        <f>IF(OR(E1119="",E1119="!!!"),"",IF(NOT(ISNA(VLOOKUP(E1119,E$1:E1118,1,FALSE()))),"OLD",IF(AND(E1119&lt;&gt;"",E1119&lt;&gt;"!!!"),"NEW","")))</f>
        <v> </v>
      </c>
      <c r="G1119" s="23" t="str">
        <f>IF(OR(E1119="",E1119="!!!"),"",IF(OR(J1119=0,AND(J1119=1,K1119=1),AND(J1119=1,I1119="SBJ"),AND(J1119=1,I1119=0)),"?IN_FOCUS",IF(J1119&lt;=2,"?ACTIVATED",IF(J1119&lt;&gt;"","?FAMILIAR",IF(F1119="NEW",IF(ISNA(VLOOKUP(E1119,#REF!,1,FALSE())),"?TYPE_IDENTIFIABLE","?REFERENTIAL"),"_")))))</f>
        <v> </v>
      </c>
      <c r="H1119" s="24" t="str">
        <f>IF(J1119&lt;&gt;1,"",IF(I1119="SBJ","CB","?"))</f>
        <v> </v>
      </c>
      <c r="I1119" s="25" t="str">
        <f>IF(OR(E1119="",E1119="!!!",F1119="NEW"),"",INDEX(B1118:B$2,-1+SUMPRODUCT(MAX(ROW(E1118:E$2)*(E1119=E1118:E$2)))))</f>
        <v> </v>
      </c>
      <c r="J1119" s="25" t="str">
        <f>IF(OR(E1119="",E1119="!!!",F1119="NEW"),"",COUNTBLANK(OFFSET(A$1,,,SUMPRODUCT(MAX(ROW(E$2:E1119)*(E1119=E$2:E1119)))))-COUNTBLANK(OFFSET(A$1,,,SUMPRODUCT(MAX(ROW(E$1:E1118)*(E2=E$1:E1118))))))</f>
        <v> </v>
      </c>
      <c r="K1119" s="25" t="str">
        <f>IF(OR(E1119="",E1119="!!!",F1119="NEW"),"",INDEX(J$1:J1118,SUMPRODUCT(MAX(ROW(E$1:E1118)*(E1119=E$1:E1118)))))</f>
        <v> </v>
      </c>
      <c r="L1119" s="26"/>
    </row>
    <row r="1120" spans="1:12">
      <c r="A1120" s="20" t="s">
        <v>1007</v>
      </c>
      <c r="B1120" s="27" t="s">
        <v>476</v>
      </c>
      <c r="E1120" s="21">
        <f>IF(D1120="?OLD","!!!","")</f>
        <v/>
      </c>
      <c r="F1120" s="22" t="str">
        <f>IF(OR(E1120="",E1120="!!!"),"",IF(NOT(ISNA(VLOOKUP(E1120,E$1:E1119,1,FALSE()))),"OLD",IF(AND(E1120&lt;&gt;"",E1120&lt;&gt;"!!!"),"NEW","")))</f>
        <v> </v>
      </c>
      <c r="G1120" s="23" t="str">
        <f>IF(OR(E1120="",E1120="!!!"),"",IF(OR(J1120=0,AND(J1120=1,K1120=1),AND(J1120=1,I1120="SBJ"),AND(J1120=1,I1120=0)),"?IN_FOCUS",IF(J1120&lt;=2,"?ACTIVATED",IF(J1120&lt;&gt;"","?FAMILIAR",IF(F1120="NEW",IF(ISNA(VLOOKUP(E1120,#REF!,1,FALSE())),"?TYPE_IDENTIFIABLE","?REFERENTIAL"),"_")))))</f>
        <v> </v>
      </c>
      <c r="H1120" s="24" t="str">
        <f>IF(J1120&lt;&gt;1,"",IF(I1120="SBJ","CB","?"))</f>
        <v> </v>
      </c>
      <c r="I1120" s="25" t="str">
        <f>IF(OR(E1120="",E1120="!!!",F1120="NEW"),"",INDEX(B1119:B$2,-1+SUMPRODUCT(MAX(ROW(E1119:E$2)*(E1120=E1119:E$2)))))</f>
        <v> </v>
      </c>
      <c r="J1120" s="25" t="str">
        <f>IF(OR(E1120="",E1120="!!!",F1120="NEW"),"",COUNTBLANK(OFFSET(A$1,,,SUMPRODUCT(MAX(ROW(E$2:E1120)*(E1120=E$2:E1120)))))-COUNTBLANK(OFFSET(A$1,,,SUMPRODUCT(MAX(ROW(E$1:E1119)*(E2=E$1:E1119))))))</f>
        <v> </v>
      </c>
      <c r="K1120" s="25" t="str">
        <f>IF(OR(E1120="",E1120="!!!",F1120="NEW"),"",INDEX(J$1:J1119,SUMPRODUCT(MAX(ROW(E$1:E1119)*(E1120=E$1:E1119)))))</f>
        <v> </v>
      </c>
      <c r="L1120" s="26"/>
    </row>
    <row r="1121" spans="1:12">
      <c r="A1121" s="20" t="s">
        <v>253</v>
      </c>
      <c r="E1121" s="21">
        <f>IF(D1121="?OLD","!!!","")</f>
        <v/>
      </c>
      <c r="F1121" s="22" t="str">
        <f>IF(OR(E1121="",E1121="!!!"),"",IF(NOT(ISNA(VLOOKUP(E1121,E$1:E1120,1,FALSE()))),"OLD",IF(AND(E1121&lt;&gt;"",E1121&lt;&gt;"!!!"),"NEW","")))</f>
        <v> </v>
      </c>
      <c r="G1121" s="23" t="str">
        <f>IF(OR(E1121="",E1121="!!!"),"",IF(OR(J1121=0,AND(J1121=1,K1121=1),AND(J1121=1,I1121="SBJ"),AND(J1121=1,I1121=0)),"?IN_FOCUS",IF(J1121&lt;=2,"?ACTIVATED",IF(J1121&lt;&gt;"","?FAMILIAR",IF(F1121="NEW",IF(ISNA(VLOOKUP(E1121,#REF!,1,FALSE())),"?TYPE_IDENTIFIABLE","?REFERENTIAL"),"_")))))</f>
        <v> </v>
      </c>
      <c r="H1121" s="24" t="str">
        <f>IF(J1121&lt;&gt;1,"",IF(I1121="SBJ","CB","?"))</f>
        <v> </v>
      </c>
      <c r="I1121" s="25" t="str">
        <f>IF(OR(E1121="",E1121="!!!",F1121="NEW"),"",INDEX(B1120:B$2,-1+SUMPRODUCT(MAX(ROW(E1120:E$2)*(E1121=E1120:E$2)))))</f>
        <v> </v>
      </c>
      <c r="J1121" s="25" t="str">
        <f>IF(OR(E1121="",E1121="!!!",F1121="NEW"),"",COUNTBLANK(OFFSET(A$1,,,SUMPRODUCT(MAX(ROW(E$2:E1121)*(E1121=E$2:E1121)))))-COUNTBLANK(OFFSET(A$1,,,SUMPRODUCT(MAX(ROW(E$1:E1120)*(E2=E$1:E1120))))))</f>
        <v> </v>
      </c>
      <c r="K1121" s="25" t="str">
        <f>IF(OR(E1121="",E1121="!!!",F1121="NEW"),"",INDEX(J$1:J1120,SUMPRODUCT(MAX(ROW(E$1:E1120)*(E1121=E$1:E1120)))))</f>
        <v> </v>
      </c>
      <c r="L1121" s="26"/>
    </row>
    <row r="1122" spans="1:12">
      <c r="A1122" s="20"/>
    </row>
    <row r="1123" spans="1:12">
      <c r="A1123" s="20" t="s">
        <v>1008</v>
      </c>
    </row>
    <row r="1124" spans="1:12">
      <c r="A1124" s="20" t="s">
        <v>1009</v>
      </c>
      <c r="B1124" s="27" t="s">
        <v>476</v>
      </c>
      <c r="C1124" s="27" t="s">
        <v>477</v>
      </c>
      <c r="D1124" s="27" t="s">
        <v>478</v>
      </c>
      <c r="E1124" s="21">
        <f>IF(D1124="?OLD","!!!","")</f>
        <v/>
      </c>
      <c r="F1124" s="22" t="str">
        <f>IF(OR(E1124="",E1124="!!!"),"",IF(NOT(ISNA(VLOOKUP(E1124,E$1:E1123,1,FALSE()))),"OLD",IF(AND(E1124&lt;&gt;"",E1124&lt;&gt;"!!!"),"NEW","")))</f>
        <v> </v>
      </c>
      <c r="G1124" s="23" t="str">
        <f>IF(OR(E1124="",E1124="!!!"),"",IF(OR(J1124=0,AND(J1124=1,K1124=1),AND(J1124=1,I1124="SBJ"),AND(J1124=1,I1124=0)),"?IN_FOCUS",IF(J1124&lt;=2,"?ACTIVATED",IF(J1124&lt;&gt;"","?FAMILIAR",IF(F1124="NEW",IF(ISNA(VLOOKUP(E1124,#REF!,1,FALSE())),"?TYPE_IDENTIFIABLE","?REFERENTIAL"),"_")))))</f>
        <v> </v>
      </c>
      <c r="H1124" s="24" t="str">
        <f>IF(J1124&lt;&gt;1,"",IF(I1124="SBJ","CB","?"))</f>
        <v> </v>
      </c>
      <c r="I1124" s="25" t="str">
        <f>IF(OR(E1124="",E1124="!!!",F1124="NEW"),"",INDEX(B1123:B$2,-1+SUMPRODUCT(MAX(ROW(E1123:E$2)*(E1124=E1123:E$2)))))</f>
        <v> </v>
      </c>
      <c r="J1124" s="25" t="str">
        <f>IF(OR(E1124="",E1124="!!!",F1124="NEW"),"",COUNTBLANK(OFFSET(A$1,,,SUMPRODUCT(MAX(ROW(E$2:E1124)*(E1124=E$2:E1124)))))-COUNTBLANK(OFFSET(A$1,,,SUMPRODUCT(MAX(ROW(E$1:E1123)*(E2=E$1:E1123))))))</f>
        <v> </v>
      </c>
      <c r="K1124" s="25" t="str">
        <f>IF(OR(E1124="",E1124="!!!",F1124="NEW"),"",INDEX(J$1:J1123,SUMPRODUCT(MAX(ROW(E$1:E1123)*(E1124=E$1:E1123)))))</f>
        <v> </v>
      </c>
      <c r="L1124" s="26"/>
    </row>
    <row r="1125" spans="1:12">
      <c r="A1125" s="20" t="s">
        <v>705</v>
      </c>
      <c r="E1125" s="21">
        <f>IF(D1125="?OLD","!!!","")</f>
        <v/>
      </c>
      <c r="F1125" s="22" t="str">
        <f>IF(OR(E1125="",E1125="!!!"),"",IF(NOT(ISNA(VLOOKUP(E1125,E$1:E1124,1,FALSE()))),"OLD",IF(AND(E1125&lt;&gt;"",E1125&lt;&gt;"!!!"),"NEW","")))</f>
        <v> </v>
      </c>
      <c r="G1125" s="23" t="str">
        <f>IF(OR(E1125="",E1125="!!!"),"",IF(OR(J1125=0,AND(J1125=1,K1125=1),AND(J1125=1,I1125="SBJ"),AND(J1125=1,I1125=0)),"?IN_FOCUS",IF(J1125&lt;=2,"?ACTIVATED",IF(J1125&lt;&gt;"","?FAMILIAR",IF(F1125="NEW",IF(ISNA(VLOOKUP(E1125,#REF!,1,FALSE())),"?TYPE_IDENTIFIABLE","?REFERENTIAL"),"_")))))</f>
        <v> </v>
      </c>
      <c r="H1125" s="24" t="str">
        <f>IF(J1125&lt;&gt;1,"",IF(I1125="SBJ","CB","?"))</f>
        <v> </v>
      </c>
      <c r="I1125" s="25" t="str">
        <f>IF(OR(E1125="",E1125="!!!",F1125="NEW"),"",INDEX(B1124:B$2,-1+SUMPRODUCT(MAX(ROW(E1124:E$2)*(E1125=E1124:E$2)))))</f>
        <v> </v>
      </c>
      <c r="J1125" s="25" t="str">
        <f>IF(OR(E1125="",E1125="!!!",F1125="NEW"),"",COUNTBLANK(OFFSET(A$1,,,SUMPRODUCT(MAX(ROW(E$2:E1125)*(E1125=E$2:E1125)))))-COUNTBLANK(OFFSET(A$1,,,SUMPRODUCT(MAX(ROW(E$1:E1124)*(E2=E$1:E1124))))))</f>
        <v> </v>
      </c>
      <c r="K1125" s="25" t="str">
        <f>IF(OR(E1125="",E1125="!!!",F1125="NEW"),"",INDEX(J$1:J1124,SUMPRODUCT(MAX(ROW(E$1:E1124)*(E1125=E$1:E1124)))))</f>
        <v> </v>
      </c>
      <c r="L1125" s="26"/>
    </row>
    <row r="1126" spans="1:12">
      <c r="A1126" s="20" t="s">
        <v>12</v>
      </c>
      <c r="E1126" s="21">
        <f>IF(D1126="?OLD","!!!","")</f>
        <v/>
      </c>
      <c r="F1126" s="22" t="str">
        <f>IF(OR(E1126="",E1126="!!!"),"",IF(NOT(ISNA(VLOOKUP(E1126,E$1:E1125,1,FALSE()))),"OLD",IF(AND(E1126&lt;&gt;"",E1126&lt;&gt;"!!!"),"NEW","")))</f>
        <v> </v>
      </c>
      <c r="G1126" s="23" t="str">
        <f>IF(OR(E1126="",E1126="!!!"),"",IF(OR(J1126=0,AND(J1126=1,K1126=1),AND(J1126=1,I1126="SBJ"),AND(J1126=1,I1126=0)),"?IN_FOCUS",IF(J1126&lt;=2,"?ACTIVATED",IF(J1126&lt;&gt;"","?FAMILIAR",IF(F1126="NEW",IF(ISNA(VLOOKUP(E1126,#REF!,1,FALSE())),"?TYPE_IDENTIFIABLE","?REFERENTIAL"),"_")))))</f>
        <v> </v>
      </c>
      <c r="H1126" s="24" t="str">
        <f>IF(J1126&lt;&gt;1,"",IF(I1126="SBJ","CB","?"))</f>
        <v> </v>
      </c>
      <c r="I1126" s="25" t="str">
        <f>IF(OR(E1126="",E1126="!!!",F1126="NEW"),"",INDEX(B1125:B$2,-1+SUMPRODUCT(MAX(ROW(E1125:E$2)*(E1126=E1125:E$2)))))</f>
        <v> </v>
      </c>
      <c r="J1126" s="25" t="str">
        <f>IF(OR(E1126="",E1126="!!!",F1126="NEW"),"",COUNTBLANK(OFFSET(A$1,,,SUMPRODUCT(MAX(ROW(E$2:E1126)*(E1126=E$2:E1126)))))-COUNTBLANK(OFFSET(A$1,,,SUMPRODUCT(MAX(ROW(E$1:E1125)*(E2=E$1:E1125))))))</f>
        <v> </v>
      </c>
      <c r="K1126" s="25" t="str">
        <f>IF(OR(E1126="",E1126="!!!",F1126="NEW"),"",INDEX(J$1:J1125,SUMPRODUCT(MAX(ROW(E$1:E1125)*(E1126=E$1:E1125)))))</f>
        <v> </v>
      </c>
      <c r="L1126" s="26"/>
    </row>
    <row r="1127" spans="1:12">
      <c r="A1127" s="20" t="s">
        <v>705</v>
      </c>
      <c r="E1127" s="21">
        <f>IF(D1127="?OLD","!!!","")</f>
        <v/>
      </c>
      <c r="F1127" s="22" t="str">
        <f>IF(OR(E1127="",E1127="!!!"),"",IF(NOT(ISNA(VLOOKUP(E1127,E$1:E1126,1,FALSE()))),"OLD",IF(AND(E1127&lt;&gt;"",E1127&lt;&gt;"!!!"),"NEW","")))</f>
        <v> </v>
      </c>
      <c r="G1127" s="23" t="str">
        <f>IF(OR(E1127="",E1127="!!!"),"",IF(OR(J1127=0,AND(J1127=1,K1127=1),AND(J1127=1,I1127="SBJ"),AND(J1127=1,I1127=0)),"?IN_FOCUS",IF(J1127&lt;=2,"?ACTIVATED",IF(J1127&lt;&gt;"","?FAMILIAR",IF(F1127="NEW",IF(ISNA(VLOOKUP(E1127,#REF!,1,FALSE())),"?TYPE_IDENTIFIABLE","?REFERENTIAL"),"_")))))</f>
        <v> </v>
      </c>
      <c r="H1127" s="24" t="str">
        <f>IF(J1127&lt;&gt;1,"",IF(I1127="SBJ","CB","?"))</f>
        <v> </v>
      </c>
      <c r="I1127" s="25" t="str">
        <f>IF(OR(E1127="",E1127="!!!",F1127="NEW"),"",INDEX(B1126:B$2,-1+SUMPRODUCT(MAX(ROW(E1126:E$2)*(E1127=E1126:E$2)))))</f>
        <v> </v>
      </c>
      <c r="J1127" s="25" t="str">
        <f>IF(OR(E1127="",E1127="!!!",F1127="NEW"),"",COUNTBLANK(OFFSET(A$1,,,SUMPRODUCT(MAX(ROW(E$2:E1127)*(E1127=E$2:E1127)))))-COUNTBLANK(OFFSET(A$1,,,SUMPRODUCT(MAX(ROW(E$1:E1126)*(E2=E$1:E1126))))))</f>
        <v> </v>
      </c>
      <c r="K1127" s="25" t="str">
        <f>IF(OR(E1127="",E1127="!!!",F1127="NEW"),"",INDEX(J$1:J1126,SUMPRODUCT(MAX(ROW(E$1:E1126)*(E1127=E$1:E1126)))))</f>
        <v> </v>
      </c>
      <c r="L1127" s="26"/>
    </row>
    <row r="1128" spans="1:12">
      <c r="A1128" s="20" t="s">
        <v>1010</v>
      </c>
      <c r="E1128" s="21">
        <f>IF(D1128="?OLD","!!!","")</f>
        <v/>
      </c>
      <c r="F1128" s="22" t="str">
        <f>IF(OR(E1128="",E1128="!!!"),"",IF(NOT(ISNA(VLOOKUP(E1128,E$1:E1127,1,FALSE()))),"OLD",IF(AND(E1128&lt;&gt;"",E1128&lt;&gt;"!!!"),"NEW","")))</f>
        <v> </v>
      </c>
      <c r="G1128" s="23" t="str">
        <f>IF(OR(E1128="",E1128="!!!"),"",IF(OR(J1128=0,AND(J1128=1,K1128=1),AND(J1128=1,I1128="SBJ"),AND(J1128=1,I1128=0)),"?IN_FOCUS",IF(J1128&lt;=2,"?ACTIVATED",IF(J1128&lt;&gt;"","?FAMILIAR",IF(F1128="NEW",IF(ISNA(VLOOKUP(E1128,#REF!,1,FALSE())),"?TYPE_IDENTIFIABLE","?REFERENTIAL"),"_")))))</f>
        <v> </v>
      </c>
      <c r="H1128" s="24" t="str">
        <f>IF(J1128&lt;&gt;1,"",IF(I1128="SBJ","CB","?"))</f>
        <v> </v>
      </c>
      <c r="I1128" s="25" t="str">
        <f>IF(OR(E1128="",E1128="!!!",F1128="NEW"),"",INDEX(B1127:B$2,-1+SUMPRODUCT(MAX(ROW(E1127:E$2)*(E1128=E1127:E$2)))))</f>
        <v> </v>
      </c>
      <c r="J1128" s="25" t="str">
        <f>IF(OR(E1128="",E1128="!!!",F1128="NEW"),"",COUNTBLANK(OFFSET(A$1,,,SUMPRODUCT(MAX(ROW(E$2:E1128)*(E1128=E$2:E1128)))))-COUNTBLANK(OFFSET(A$1,,,SUMPRODUCT(MAX(ROW(E$1:E1127)*(E2=E$1:E1127))))))</f>
        <v> </v>
      </c>
      <c r="K1128" s="25" t="str">
        <f>IF(OR(E1128="",E1128="!!!",F1128="NEW"),"",INDEX(J$1:J1127,SUMPRODUCT(MAX(ROW(E$1:E1127)*(E1128=E$1:E1127)))))</f>
        <v> </v>
      </c>
      <c r="L1128" s="26"/>
    </row>
    <row r="1129" spans="1:12">
      <c r="A1129" s="20" t="s">
        <v>253</v>
      </c>
      <c r="E1129" s="21">
        <f>IF(D1129="?OLD","!!!","")</f>
        <v/>
      </c>
      <c r="F1129" s="22" t="str">
        <f>IF(OR(E1129="",E1129="!!!"),"",IF(NOT(ISNA(VLOOKUP(E1129,E$1:E1128,1,FALSE()))),"OLD",IF(AND(E1129&lt;&gt;"",E1129&lt;&gt;"!!!"),"NEW","")))</f>
        <v> </v>
      </c>
      <c r="G1129" s="23" t="str">
        <f>IF(OR(E1129="",E1129="!!!"),"",IF(OR(J1129=0,AND(J1129=1,K1129=1),AND(J1129=1,I1129="SBJ"),AND(J1129=1,I1129=0)),"?IN_FOCUS",IF(J1129&lt;=2,"?ACTIVATED",IF(J1129&lt;&gt;"","?FAMILIAR",IF(F1129="NEW",IF(ISNA(VLOOKUP(E1129,#REF!,1,FALSE())),"?TYPE_IDENTIFIABLE","?REFERENTIAL"),"_")))))</f>
        <v> </v>
      </c>
      <c r="H1129" s="24" t="str">
        <f>IF(J1129&lt;&gt;1,"",IF(I1129="SBJ","CB","?"))</f>
        <v> </v>
      </c>
      <c r="I1129" s="25" t="str">
        <f>IF(OR(E1129="",E1129="!!!",F1129="NEW"),"",INDEX(B1128:B$2,-1+SUMPRODUCT(MAX(ROW(E1128:E$2)*(E1129=E1128:E$2)))))</f>
        <v> </v>
      </c>
      <c r="J1129" s="25" t="str">
        <f>IF(OR(E1129="",E1129="!!!",F1129="NEW"),"",COUNTBLANK(OFFSET(A$1,,,SUMPRODUCT(MAX(ROW(E$2:E1129)*(E1129=E$2:E1129)))))-COUNTBLANK(OFFSET(A$1,,,SUMPRODUCT(MAX(ROW(E$1:E1128)*(E2=E$1:E1128))))))</f>
        <v> </v>
      </c>
      <c r="K1129" s="25" t="str">
        <f>IF(OR(E1129="",E1129="!!!",F1129="NEW"),"",INDEX(J$1:J1128,SUMPRODUCT(MAX(ROW(E$1:E1128)*(E1129=E$1:E1128)))))</f>
        <v> </v>
      </c>
      <c r="L1129" s="26"/>
    </row>
    <row r="1130" spans="1:12">
      <c r="A1130" s="20"/>
    </row>
    <row r="1131" spans="1:12">
      <c r="A1131" s="20" t="s">
        <v>1011</v>
      </c>
    </row>
    <row r="1132" spans="1:12">
      <c r="A1132" s="20" t="s">
        <v>653</v>
      </c>
      <c r="E1132" s="21">
        <f>IF(D1132="?OLD","!!!","")</f>
        <v/>
      </c>
      <c r="F1132" s="22" t="str">
        <f>IF(OR(E1132="",E1132="!!!"),"",IF(NOT(ISNA(VLOOKUP(E1132,E$1:E1131,1,FALSE()))),"OLD",IF(AND(E1132&lt;&gt;"",E1132&lt;&gt;"!!!"),"NEW","")))</f>
        <v> </v>
      </c>
      <c r="G1132" s="23" t="str">
        <f>IF(OR(E1132="",E1132="!!!"),"",IF(OR(J1132=0,AND(J1132=1,K1132=1),AND(J1132=1,I1132="SBJ"),AND(J1132=1,I1132=0)),"?IN_FOCUS",IF(J1132&lt;=2,"?ACTIVATED",IF(J1132&lt;&gt;"","?FAMILIAR",IF(F1132="NEW",IF(ISNA(VLOOKUP(E1132,#REF!,1,FALSE())),"?TYPE_IDENTIFIABLE","?REFERENTIAL"),"_")))))</f>
        <v> </v>
      </c>
      <c r="H1132" s="24" t="str">
        <f>IF(J1132&lt;&gt;1,"",IF(I1132="SBJ","CB","?"))</f>
        <v> </v>
      </c>
      <c r="I1132" s="25" t="str">
        <f>IF(OR(E1132="",E1132="!!!",F1132="NEW"),"",INDEX(B1131:B$2,-1+SUMPRODUCT(MAX(ROW(E1131:E$2)*(E1132=E1131:E$2)))))</f>
        <v> </v>
      </c>
      <c r="J1132" s="25" t="str">
        <f>IF(OR(E1132="",E1132="!!!",F1132="NEW"),"",COUNTBLANK(OFFSET(A$1,,,SUMPRODUCT(MAX(ROW(E$2:E1132)*(E1132=E$2:E1132)))))-COUNTBLANK(OFFSET(A$1,,,SUMPRODUCT(MAX(ROW(E$1:E1131)*(E2=E$1:E1131))))))</f>
        <v> </v>
      </c>
      <c r="K1132" s="25" t="str">
        <f>IF(OR(E1132="",E1132="!!!",F1132="NEW"),"",INDEX(J$1:J1131,SUMPRODUCT(MAX(ROW(E$1:E1131)*(E1132=E$1:E1131)))))</f>
        <v> </v>
      </c>
      <c r="L1132" s="26"/>
    </row>
    <row r="1133" spans="1:12">
      <c r="A1133" s="20" t="s">
        <v>475</v>
      </c>
      <c r="B1133" s="27" t="s">
        <v>476</v>
      </c>
      <c r="C1133" s="27" t="s">
        <v>477</v>
      </c>
      <c r="D1133" s="27" t="s">
        <v>478</v>
      </c>
      <c r="E1133" s="21">
        <f>IF(D1133="?OLD","!!!","")</f>
        <v/>
      </c>
      <c r="F1133" s="22" t="str">
        <f>IF(OR(E1133="",E1133="!!!"),"",IF(NOT(ISNA(VLOOKUP(E1133,E$1:E1132,1,FALSE()))),"OLD",IF(AND(E1133&lt;&gt;"",E1133&lt;&gt;"!!!"),"NEW","")))</f>
        <v> </v>
      </c>
      <c r="G1133" s="23" t="str">
        <f>IF(OR(E1133="",E1133="!!!"),"",IF(OR(J1133=0,AND(J1133=1,K1133=1),AND(J1133=1,I1133="SBJ"),AND(J1133=1,I1133=0)),"?IN_FOCUS",IF(J1133&lt;=2,"?ACTIVATED",IF(J1133&lt;&gt;"","?FAMILIAR",IF(F1133="NEW",IF(ISNA(VLOOKUP(E1133,#REF!,1,FALSE())),"?TYPE_IDENTIFIABLE","?REFERENTIAL"),"_")))))</f>
        <v> </v>
      </c>
      <c r="H1133" s="24" t="str">
        <f>IF(J1133&lt;&gt;1,"",IF(I1133="SBJ","CB","?"))</f>
        <v> </v>
      </c>
      <c r="I1133" s="25" t="str">
        <f>IF(OR(E1133="",E1133="!!!",F1133="NEW"),"",INDEX(B1132:B$2,-1+SUMPRODUCT(MAX(ROW(E1132:E$2)*(E1133=E1132:E$2)))))</f>
        <v> </v>
      </c>
      <c r="J1133" s="25" t="str">
        <f>IF(OR(E1133="",E1133="!!!",F1133="NEW"),"",COUNTBLANK(OFFSET(A$1,,,SUMPRODUCT(MAX(ROW(E$2:E1133)*(E1133=E$2:E1133)))))-COUNTBLANK(OFFSET(A$1,,,SUMPRODUCT(MAX(ROW(E$1:E1132)*(E2=E$1:E1132))))))</f>
        <v> </v>
      </c>
      <c r="K1133" s="25" t="str">
        <f>IF(OR(E1133="",E1133="!!!",F1133="NEW"),"",INDEX(J$1:J1132,SUMPRODUCT(MAX(ROW(E$1:E1132)*(E1133=E$1:E1132)))))</f>
        <v> </v>
      </c>
      <c r="L1133" s="26"/>
    </row>
    <row r="1134" spans="1:12">
      <c r="A1134" s="20" t="s">
        <v>1012</v>
      </c>
      <c r="E1134" s="21">
        <f>IF(D1134="?OLD","!!!","")</f>
        <v/>
      </c>
      <c r="F1134" s="22" t="str">
        <f>IF(OR(E1134="",E1134="!!!"),"",IF(NOT(ISNA(VLOOKUP(E1134,E$1:E1133,1,FALSE()))),"OLD",IF(AND(E1134&lt;&gt;"",E1134&lt;&gt;"!!!"),"NEW","")))</f>
        <v> </v>
      </c>
      <c r="G1134" s="23" t="str">
        <f>IF(OR(E1134="",E1134="!!!"),"",IF(OR(J1134=0,AND(J1134=1,K1134=1),AND(J1134=1,I1134="SBJ"),AND(J1134=1,I1134=0)),"?IN_FOCUS",IF(J1134&lt;=2,"?ACTIVATED",IF(J1134&lt;&gt;"","?FAMILIAR",IF(F1134="NEW",IF(ISNA(VLOOKUP(E1134,#REF!,1,FALSE())),"?TYPE_IDENTIFIABLE","?REFERENTIAL"),"_")))))</f>
        <v> </v>
      </c>
      <c r="H1134" s="24" t="str">
        <f>IF(J1134&lt;&gt;1,"",IF(I1134="SBJ","CB","?"))</f>
        <v> </v>
      </c>
      <c r="I1134" s="25" t="str">
        <f>IF(OR(E1134="",E1134="!!!",F1134="NEW"),"",INDEX(B1133:B$2,-1+SUMPRODUCT(MAX(ROW(E1133:E$2)*(E1134=E1133:E$2)))))</f>
        <v> </v>
      </c>
      <c r="J1134" s="25" t="str">
        <f>IF(OR(E1134="",E1134="!!!",F1134="NEW"),"",COUNTBLANK(OFFSET(A$1,,,SUMPRODUCT(MAX(ROW(E$2:E1134)*(E1134=E$2:E1134)))))-COUNTBLANK(OFFSET(A$1,,,SUMPRODUCT(MAX(ROW(E$1:E1133)*(E2=E$1:E1133))))))</f>
        <v> </v>
      </c>
      <c r="K1134" s="25" t="str">
        <f>IF(OR(E1134="",E1134="!!!",F1134="NEW"),"",INDEX(J$1:J1133,SUMPRODUCT(MAX(ROW(E$1:E1133)*(E1134=E$1:E1133)))))</f>
        <v> </v>
      </c>
      <c r="L1134" s="26"/>
    </row>
    <row r="1135" spans="1:12">
      <c r="A1135" s="20" t="s">
        <v>1013</v>
      </c>
      <c r="E1135" s="21">
        <f>IF(D1135="?OLD","!!!","")</f>
        <v/>
      </c>
      <c r="F1135" s="22" t="str">
        <f>IF(OR(E1135="",E1135="!!!"),"",IF(NOT(ISNA(VLOOKUP(E1135,E$1:E1134,1,FALSE()))),"OLD",IF(AND(E1135&lt;&gt;"",E1135&lt;&gt;"!!!"),"NEW","")))</f>
        <v> </v>
      </c>
      <c r="G1135" s="23" t="str">
        <f>IF(OR(E1135="",E1135="!!!"),"",IF(OR(J1135=0,AND(J1135=1,K1135=1),AND(J1135=1,I1135="SBJ"),AND(J1135=1,I1135=0)),"?IN_FOCUS",IF(J1135&lt;=2,"?ACTIVATED",IF(J1135&lt;&gt;"","?FAMILIAR",IF(F1135="NEW",IF(ISNA(VLOOKUP(E1135,#REF!,1,FALSE())),"?TYPE_IDENTIFIABLE","?REFERENTIAL"),"_")))))</f>
        <v> </v>
      </c>
      <c r="H1135" s="24" t="str">
        <f>IF(J1135&lt;&gt;1,"",IF(I1135="SBJ","CB","?"))</f>
        <v> </v>
      </c>
      <c r="I1135" s="25" t="str">
        <f>IF(OR(E1135="",E1135="!!!",F1135="NEW"),"",INDEX(B1134:B$2,-1+SUMPRODUCT(MAX(ROW(E1134:E$2)*(E1135=E1134:E$2)))))</f>
        <v> </v>
      </c>
      <c r="J1135" s="25" t="str">
        <f>IF(OR(E1135="",E1135="!!!",F1135="NEW"),"",COUNTBLANK(OFFSET(A$1,,,SUMPRODUCT(MAX(ROW(E$2:E1135)*(E1135=E$2:E1135)))))-COUNTBLANK(OFFSET(A$1,,,SUMPRODUCT(MAX(ROW(E$1:E1134)*(E2=E$1:E1134))))))</f>
        <v> </v>
      </c>
      <c r="K1135" s="25" t="str">
        <f>IF(OR(E1135="",E1135="!!!",F1135="NEW"),"",INDEX(J$1:J1134,SUMPRODUCT(MAX(ROW(E$1:E1134)*(E1135=E$1:E1134)))))</f>
        <v> </v>
      </c>
      <c r="L1135" s="26"/>
    </row>
    <row r="1136" spans="1:12">
      <c r="A1136" s="20" t="s">
        <v>1014</v>
      </c>
      <c r="E1136" s="21">
        <f>IF(D1136="?OLD","!!!","")</f>
        <v/>
      </c>
      <c r="F1136" s="22" t="str">
        <f>IF(OR(E1136="",E1136="!!!"),"",IF(NOT(ISNA(VLOOKUP(E1136,E$1:E1135,1,FALSE()))),"OLD",IF(AND(E1136&lt;&gt;"",E1136&lt;&gt;"!!!"),"NEW","")))</f>
        <v> </v>
      </c>
      <c r="G1136" s="23" t="str">
        <f>IF(OR(E1136="",E1136="!!!"),"",IF(OR(J1136=0,AND(J1136=1,K1136=1),AND(J1136=1,I1136="SBJ"),AND(J1136=1,I1136=0)),"?IN_FOCUS",IF(J1136&lt;=2,"?ACTIVATED",IF(J1136&lt;&gt;"","?FAMILIAR",IF(F1136="NEW",IF(ISNA(VLOOKUP(E1136,#REF!,1,FALSE())),"?TYPE_IDENTIFIABLE","?REFERENTIAL"),"_")))))</f>
        <v> </v>
      </c>
      <c r="H1136" s="24" t="str">
        <f>IF(J1136&lt;&gt;1,"",IF(I1136="SBJ","CB","?"))</f>
        <v> </v>
      </c>
      <c r="I1136" s="25" t="str">
        <f>IF(OR(E1136="",E1136="!!!",F1136="NEW"),"",INDEX(B1135:B$2,-1+SUMPRODUCT(MAX(ROW(E1135:E$2)*(E1136=E1135:E$2)))))</f>
        <v> </v>
      </c>
      <c r="J1136" s="25" t="str">
        <f>IF(OR(E1136="",E1136="!!!",F1136="NEW"),"",COUNTBLANK(OFFSET(A$1,,,SUMPRODUCT(MAX(ROW(E$2:E1136)*(E1136=E$2:E1136)))))-COUNTBLANK(OFFSET(A$1,,,SUMPRODUCT(MAX(ROW(E$1:E1135)*(E2=E$1:E1135))))))</f>
        <v> </v>
      </c>
      <c r="K1136" s="25" t="str">
        <f>IF(OR(E1136="",E1136="!!!",F1136="NEW"),"",INDEX(J$1:J1135,SUMPRODUCT(MAX(ROW(E$1:E1135)*(E1136=E$1:E1135)))))</f>
        <v> </v>
      </c>
      <c r="L1136" s="26"/>
    </row>
    <row r="1137" spans="1:12">
      <c r="A1137" s="20" t="s">
        <v>253</v>
      </c>
      <c r="E1137" s="21">
        <f>IF(D1137="?OLD","!!!","")</f>
        <v/>
      </c>
      <c r="F1137" s="22" t="str">
        <f>IF(OR(E1137="",E1137="!!!"),"",IF(NOT(ISNA(VLOOKUP(E1137,E$1:E1136,1,FALSE()))),"OLD",IF(AND(E1137&lt;&gt;"",E1137&lt;&gt;"!!!"),"NEW","")))</f>
        <v> </v>
      </c>
      <c r="G1137" s="23" t="str">
        <f>IF(OR(E1137="",E1137="!!!"),"",IF(OR(J1137=0,AND(J1137=1,K1137=1),AND(J1137=1,I1137="SBJ"),AND(J1137=1,I1137=0)),"?IN_FOCUS",IF(J1137&lt;=2,"?ACTIVATED",IF(J1137&lt;&gt;"","?FAMILIAR",IF(F1137="NEW",IF(ISNA(VLOOKUP(E1137,#REF!,1,FALSE())),"?TYPE_IDENTIFIABLE","?REFERENTIAL"),"_")))))</f>
        <v> </v>
      </c>
      <c r="H1137" s="24" t="str">
        <f>IF(J1137&lt;&gt;1,"",IF(I1137="SBJ","CB","?"))</f>
        <v> </v>
      </c>
      <c r="I1137" s="25" t="str">
        <f>IF(OR(E1137="",E1137="!!!",F1137="NEW"),"",INDEX(B1136:B$2,-1+SUMPRODUCT(MAX(ROW(E1136:E$2)*(E1137=E1136:E$2)))))</f>
        <v> </v>
      </c>
      <c r="J1137" s="25" t="str">
        <f>IF(OR(E1137="",E1137="!!!",F1137="NEW"),"",COUNTBLANK(OFFSET(A$1,,,SUMPRODUCT(MAX(ROW(E$2:E1137)*(E1137=E$2:E1137)))))-COUNTBLANK(OFFSET(A$1,,,SUMPRODUCT(MAX(ROW(E$1:E1136)*(E2=E$1:E1136))))))</f>
        <v> </v>
      </c>
      <c r="K1137" s="25" t="str">
        <f>IF(OR(E1137="",E1137="!!!",F1137="NEW"),"",INDEX(J$1:J1136,SUMPRODUCT(MAX(ROW(E$1:E1136)*(E1137=E$1:E1136)))))</f>
        <v> </v>
      </c>
      <c r="L1137" s="26"/>
    </row>
    <row r="1138" spans="1:12">
      <c r="A1138" s="20"/>
    </row>
    <row r="1139" spans="1:12">
      <c r="A1139" s="20" t="s">
        <v>1015</v>
      </c>
    </row>
    <row r="1140" spans="1:12">
      <c r="A1140" s="20" t="s">
        <v>586</v>
      </c>
      <c r="B1140" s="27" t="s">
        <v>476</v>
      </c>
      <c r="C1140" s="27" t="s">
        <v>497</v>
      </c>
      <c r="D1140" s="27" t="s">
        <v>478</v>
      </c>
      <c r="E1140" s="21">
        <f>IF(D1140="?OLD","!!!","")</f>
        <v/>
      </c>
      <c r="F1140" s="22" t="str">
        <f>IF(OR(E1140="",E1140="!!!"),"",IF(NOT(ISNA(VLOOKUP(E1140,E$1:E1139,1,FALSE()))),"OLD",IF(AND(E1140&lt;&gt;"",E1140&lt;&gt;"!!!"),"NEW","")))</f>
        <v> </v>
      </c>
      <c r="G1140" s="23" t="str">
        <f>IF(OR(E1140="",E1140="!!!"),"",IF(OR(J1140=0,AND(J1140=1,K1140=1),AND(J1140=1,I1140="SBJ"),AND(J1140=1,I1140=0)),"?IN_FOCUS",IF(J1140&lt;=2,"?ACTIVATED",IF(J1140&lt;&gt;"","?FAMILIAR",IF(F1140="NEW",IF(ISNA(VLOOKUP(E1140,#REF!,1,FALSE())),"?TYPE_IDENTIFIABLE","?REFERENTIAL"),"_")))))</f>
        <v> </v>
      </c>
      <c r="H1140" s="24" t="str">
        <f>IF(J1140&lt;&gt;1,"",IF(I1140="SBJ","CB","?"))</f>
        <v> </v>
      </c>
      <c r="I1140" s="25" t="str">
        <f>IF(OR(E1140="",E1140="!!!",F1140="NEW"),"",INDEX(B1139:B$2,-1+SUMPRODUCT(MAX(ROW(E1139:E$2)*(E1140=E1139:E$2)))))</f>
        <v> </v>
      </c>
      <c r="J1140" s="25" t="str">
        <f>IF(OR(E1140="",E1140="!!!",F1140="NEW"),"",COUNTBLANK(OFFSET(A$1,,,SUMPRODUCT(MAX(ROW(E$2:E1140)*(E1140=E$2:E1140)))))-COUNTBLANK(OFFSET(A$1,,,SUMPRODUCT(MAX(ROW(E$1:E1139)*(E2=E$1:E1139))))))</f>
        <v> </v>
      </c>
      <c r="K1140" s="25" t="str">
        <f>IF(OR(E1140="",E1140="!!!",F1140="NEW"),"",INDEX(J$1:J1139,SUMPRODUCT(MAX(ROW(E$1:E1139)*(E1140=E$1:E1139)))))</f>
        <v> </v>
      </c>
      <c r="L1140" s="26"/>
    </row>
    <row r="1141" spans="1:12">
      <c r="A1141" s="20" t="s">
        <v>1016</v>
      </c>
      <c r="E1141" s="21">
        <f>IF(D1141="?OLD","!!!","")</f>
        <v/>
      </c>
      <c r="F1141" s="22" t="str">
        <f>IF(OR(E1141="",E1141="!!!"),"",IF(NOT(ISNA(VLOOKUP(E1141,E$1:E1140,1,FALSE()))),"OLD",IF(AND(E1141&lt;&gt;"",E1141&lt;&gt;"!!!"),"NEW","")))</f>
        <v> </v>
      </c>
      <c r="G1141" s="23" t="str">
        <f>IF(OR(E1141="",E1141="!!!"),"",IF(OR(J1141=0,AND(J1141=1,K1141=1),AND(J1141=1,I1141="SBJ"),AND(J1141=1,I1141=0)),"?IN_FOCUS",IF(J1141&lt;=2,"?ACTIVATED",IF(J1141&lt;&gt;"","?FAMILIAR",IF(F1141="NEW",IF(ISNA(VLOOKUP(E1141,#REF!,1,FALSE())),"?TYPE_IDENTIFIABLE","?REFERENTIAL"),"_")))))</f>
        <v> </v>
      </c>
      <c r="H1141" s="24" t="str">
        <f>IF(J1141&lt;&gt;1,"",IF(I1141="SBJ","CB","?"))</f>
        <v> </v>
      </c>
      <c r="I1141" s="25" t="str">
        <f>IF(OR(E1141="",E1141="!!!",F1141="NEW"),"",INDEX(B1140:B$2,-1+SUMPRODUCT(MAX(ROW(E1140:E$2)*(E1141=E1140:E$2)))))</f>
        <v> </v>
      </c>
      <c r="J1141" s="25" t="str">
        <f>IF(OR(E1141="",E1141="!!!",F1141="NEW"),"",COUNTBLANK(OFFSET(A$1,,,SUMPRODUCT(MAX(ROW(E$2:E1141)*(E1141=E$2:E1141)))))-COUNTBLANK(OFFSET(A$1,,,SUMPRODUCT(MAX(ROW(E$1:E1140)*(E2=E$1:E1140))))))</f>
        <v> </v>
      </c>
      <c r="K1141" s="25" t="str">
        <f>IF(OR(E1141="",E1141="!!!",F1141="NEW"),"",INDEX(J$1:J1140,SUMPRODUCT(MAX(ROW(E$1:E1140)*(E1141=E$1:E1140)))))</f>
        <v> </v>
      </c>
      <c r="L1141" s="26"/>
    </row>
    <row r="1142" spans="1:12">
      <c r="A1142" s="20" t="s">
        <v>619</v>
      </c>
      <c r="B1142" s="27" t="s">
        <v>473</v>
      </c>
      <c r="C1142" s="27" t="s">
        <v>620</v>
      </c>
      <c r="D1142" s="27" t="s">
        <v>478</v>
      </c>
      <c r="E1142" s="21">
        <f>IF(D1142="?OLD","!!!","")</f>
        <v/>
      </c>
      <c r="F1142" s="22" t="str">
        <f>IF(OR(E1142="",E1142="!!!"),"",IF(NOT(ISNA(VLOOKUP(E1142,E$1:E1141,1,FALSE()))),"OLD",IF(AND(E1142&lt;&gt;"",E1142&lt;&gt;"!!!"),"NEW","")))</f>
        <v> </v>
      </c>
      <c r="G1142" s="23" t="str">
        <f>IF(OR(E1142="",E1142="!!!"),"",IF(OR(J1142=0,AND(J1142=1,K1142=1),AND(J1142=1,I1142="SBJ"),AND(J1142=1,I1142=0)),"?IN_FOCUS",IF(J1142&lt;=2,"?ACTIVATED",IF(J1142&lt;&gt;"","?FAMILIAR",IF(F1142="NEW",IF(ISNA(VLOOKUP(E1142,#REF!,1,FALSE())),"?TYPE_IDENTIFIABLE","?REFERENTIAL"),"_")))))</f>
        <v> </v>
      </c>
      <c r="H1142" s="24" t="str">
        <f>IF(J1142&lt;&gt;1,"",IF(I1142="SBJ","CB","?"))</f>
        <v> </v>
      </c>
      <c r="I1142" s="25" t="str">
        <f>IF(OR(E1142="",E1142="!!!",F1142="NEW"),"",INDEX(B1141:B$2,-1+SUMPRODUCT(MAX(ROW(E1141:E$2)*(E1142=E1141:E$2)))))</f>
        <v> </v>
      </c>
      <c r="J1142" s="25" t="str">
        <f>IF(OR(E1142="",E1142="!!!",F1142="NEW"),"",COUNTBLANK(OFFSET(A$1,,,SUMPRODUCT(MAX(ROW(E$2:E1142)*(E1142=E$2:E1142)))))-COUNTBLANK(OFFSET(A$1,,,SUMPRODUCT(MAX(ROW(E$1:E1141)*(E2=E$1:E1141))))))</f>
        <v> </v>
      </c>
      <c r="K1142" s="25" t="str">
        <f>IF(OR(E1142="",E1142="!!!",F1142="NEW"),"",INDEX(J$1:J1141,SUMPRODUCT(MAX(ROW(E$1:E1141)*(E1142=E$1:E1141)))))</f>
        <v> </v>
      </c>
      <c r="L1142" s="26"/>
    </row>
    <row r="1143" spans="1:12">
      <c r="A1143" s="20" t="s">
        <v>311</v>
      </c>
      <c r="E1143" s="21">
        <f>IF(D1143="?OLD","!!!","")</f>
        <v/>
      </c>
      <c r="F1143" s="22" t="str">
        <f>IF(OR(E1143="",E1143="!!!"),"",IF(NOT(ISNA(VLOOKUP(E1143,E$1:E1142,1,FALSE()))),"OLD",IF(AND(E1143&lt;&gt;"",E1143&lt;&gt;"!!!"),"NEW","")))</f>
        <v> </v>
      </c>
      <c r="G1143" s="23" t="str">
        <f>IF(OR(E1143="",E1143="!!!"),"",IF(OR(J1143=0,AND(J1143=1,K1143=1),AND(J1143=1,I1143="SBJ"),AND(J1143=1,I1143=0)),"?IN_FOCUS",IF(J1143&lt;=2,"?ACTIVATED",IF(J1143&lt;&gt;"","?FAMILIAR",IF(F1143="NEW",IF(ISNA(VLOOKUP(E1143,#REF!,1,FALSE())),"?TYPE_IDENTIFIABLE","?REFERENTIAL"),"_")))))</f>
        <v> </v>
      </c>
      <c r="H1143" s="24" t="str">
        <f>IF(J1143&lt;&gt;1,"",IF(I1143="SBJ","CB","?"))</f>
        <v> </v>
      </c>
      <c r="I1143" s="25" t="str">
        <f>IF(OR(E1143="",E1143="!!!",F1143="NEW"),"",INDEX(B1142:B$2,-1+SUMPRODUCT(MAX(ROW(E1142:E$2)*(E1143=E1142:E$2)))))</f>
        <v> </v>
      </c>
      <c r="J1143" s="25" t="str">
        <f>IF(OR(E1143="",E1143="!!!",F1143="NEW"),"",COUNTBLANK(OFFSET(A$1,,,SUMPRODUCT(MAX(ROW(E$2:E1143)*(E1143=E$2:E1143)))))-COUNTBLANK(OFFSET(A$1,,,SUMPRODUCT(MAX(ROW(E$1:E1142)*(E2=E$1:E1142))))))</f>
        <v> </v>
      </c>
      <c r="K1143" s="25" t="str">
        <f>IF(OR(E1143="",E1143="!!!",F1143="NEW"),"",INDEX(J$1:J1142,SUMPRODUCT(MAX(ROW(E$1:E1142)*(E1143=E$1:E1142)))))</f>
        <v> </v>
      </c>
      <c r="L1143" s="26"/>
    </row>
    <row r="1144" spans="1:12">
      <c r="A1144" s="20" t="s">
        <v>253</v>
      </c>
      <c r="E1144" s="21">
        <f>IF(D1144="?OLD","!!!","")</f>
        <v/>
      </c>
      <c r="F1144" s="22" t="str">
        <f>IF(OR(E1144="",E1144="!!!"),"",IF(NOT(ISNA(VLOOKUP(E1144,E$1:E1143,1,FALSE()))),"OLD",IF(AND(E1144&lt;&gt;"",E1144&lt;&gt;"!!!"),"NEW","")))</f>
        <v> </v>
      </c>
      <c r="G1144" s="23" t="str">
        <f>IF(OR(E1144="",E1144="!!!"),"",IF(OR(J1144=0,AND(J1144=1,K1144=1),AND(J1144=1,I1144="SBJ"),AND(J1144=1,I1144=0)),"?IN_FOCUS",IF(J1144&lt;=2,"?ACTIVATED",IF(J1144&lt;&gt;"","?FAMILIAR",IF(F1144="NEW",IF(ISNA(VLOOKUP(E1144,#REF!,1,FALSE())),"?TYPE_IDENTIFIABLE","?REFERENTIAL"),"_")))))</f>
        <v> </v>
      </c>
      <c r="H1144" s="24" t="str">
        <f>IF(J1144&lt;&gt;1,"",IF(I1144="SBJ","CB","?"))</f>
        <v> </v>
      </c>
      <c r="I1144" s="25" t="str">
        <f>IF(OR(E1144="",E1144="!!!",F1144="NEW"),"",INDEX(B1143:B$2,-1+SUMPRODUCT(MAX(ROW(E1143:E$2)*(E1144=E1143:E$2)))))</f>
        <v> </v>
      </c>
      <c r="J1144" s="25" t="str">
        <f>IF(OR(E1144="",E1144="!!!",F1144="NEW"),"",COUNTBLANK(OFFSET(A$1,,,SUMPRODUCT(MAX(ROW(E$2:E1144)*(E1144=E$2:E1144)))))-COUNTBLANK(OFFSET(A$1,,,SUMPRODUCT(MAX(ROW(E$1:E1143)*(E2=E$1:E1143))))))</f>
        <v> </v>
      </c>
      <c r="K1144" s="25" t="str">
        <f>IF(OR(E1144="",E1144="!!!",F1144="NEW"),"",INDEX(J$1:J1143,SUMPRODUCT(MAX(ROW(E$1:E1143)*(E1144=E$1:E1143)))))</f>
        <v> </v>
      </c>
      <c r="L1144" s="26"/>
    </row>
    <row r="1145" spans="1:12">
      <c r="A1145" s="20"/>
    </row>
    <row r="1146" spans="1:12">
      <c r="A1146" s="20" t="s">
        <v>1017</v>
      </c>
    </row>
    <row r="1147" spans="1:12">
      <c r="A1147" s="20" t="s">
        <v>586</v>
      </c>
      <c r="B1147" s="27" t="s">
        <v>476</v>
      </c>
      <c r="C1147" s="27" t="s">
        <v>497</v>
      </c>
      <c r="D1147" s="27" t="s">
        <v>478</v>
      </c>
      <c r="E1147" s="21">
        <f>IF(D1147="?OLD","!!!","")</f>
        <v/>
      </c>
      <c r="F1147" s="22" t="str">
        <f>IF(OR(E1147="",E1147="!!!"),"",IF(NOT(ISNA(VLOOKUP(E1147,E$1:E1146,1,FALSE()))),"OLD",IF(AND(E1147&lt;&gt;"",E1147&lt;&gt;"!!!"),"NEW","")))</f>
        <v> </v>
      </c>
      <c r="G1147" s="23" t="str">
        <f>IF(OR(E1147="",E1147="!!!"),"",IF(OR(J1147=0,AND(J1147=1,K1147=1),AND(J1147=1,I1147="SBJ"),AND(J1147=1,I1147=0)),"?IN_FOCUS",IF(J1147&lt;=2,"?ACTIVATED",IF(J1147&lt;&gt;"","?FAMILIAR",IF(F1147="NEW",IF(ISNA(VLOOKUP(E1147,#REF!,1,FALSE())),"?TYPE_IDENTIFIABLE","?REFERENTIAL"),"_")))))</f>
        <v> </v>
      </c>
      <c r="H1147" s="24" t="str">
        <f>IF(J1147&lt;&gt;1,"",IF(I1147="SBJ","CB","?"))</f>
        <v> </v>
      </c>
      <c r="I1147" s="25" t="str">
        <f>IF(OR(E1147="",E1147="!!!",F1147="NEW"),"",INDEX(B1146:B$2,-1+SUMPRODUCT(MAX(ROW(E1146:E$2)*(E1147=E1146:E$2)))))</f>
        <v> </v>
      </c>
      <c r="J1147" s="25" t="str">
        <f>IF(OR(E1147="",E1147="!!!",F1147="NEW"),"",COUNTBLANK(OFFSET(A$1,,,SUMPRODUCT(MAX(ROW(E$2:E1147)*(E1147=E$2:E1147)))))-COUNTBLANK(OFFSET(A$1,,,SUMPRODUCT(MAX(ROW(E$1:E1146)*(E2=E$1:E1146))))))</f>
        <v> </v>
      </c>
      <c r="K1147" s="25" t="str">
        <f>IF(OR(E1147="",E1147="!!!",F1147="NEW"),"",INDEX(J$1:J1146,SUMPRODUCT(MAX(ROW(E$1:E1146)*(E1147=E$1:E1146)))))</f>
        <v> </v>
      </c>
      <c r="L1147" s="26"/>
    </row>
    <row r="1148" spans="1:12">
      <c r="A1148" s="20" t="s">
        <v>493</v>
      </c>
      <c r="E1148" s="21">
        <f>IF(D1148="?OLD","!!!","")</f>
        <v/>
      </c>
      <c r="F1148" s="22" t="str">
        <f>IF(OR(E1148="",E1148="!!!"),"",IF(NOT(ISNA(VLOOKUP(E1148,E$1:E1147,1,FALSE()))),"OLD",IF(AND(E1148&lt;&gt;"",E1148&lt;&gt;"!!!"),"NEW","")))</f>
        <v> </v>
      </c>
      <c r="G1148" s="23" t="str">
        <f>IF(OR(E1148="",E1148="!!!"),"",IF(OR(J1148=0,AND(J1148=1,K1148=1),AND(J1148=1,I1148="SBJ"),AND(J1148=1,I1148=0)),"?IN_FOCUS",IF(J1148&lt;=2,"?ACTIVATED",IF(J1148&lt;&gt;"","?FAMILIAR",IF(F1148="NEW",IF(ISNA(VLOOKUP(E1148,#REF!,1,FALSE())),"?TYPE_IDENTIFIABLE","?REFERENTIAL"),"_")))))</f>
        <v> </v>
      </c>
      <c r="H1148" s="24" t="str">
        <f>IF(J1148&lt;&gt;1,"",IF(I1148="SBJ","CB","?"))</f>
        <v> </v>
      </c>
      <c r="I1148" s="25" t="str">
        <f>IF(OR(E1148="",E1148="!!!",F1148="NEW"),"",INDEX(B1147:B$2,-1+SUMPRODUCT(MAX(ROW(E1147:E$2)*(E1148=E1147:E$2)))))</f>
        <v> </v>
      </c>
      <c r="J1148" s="25" t="str">
        <f>IF(OR(E1148="",E1148="!!!",F1148="NEW"),"",COUNTBLANK(OFFSET(A$1,,,SUMPRODUCT(MAX(ROW(E$2:E1148)*(E1148=E$2:E1148)))))-COUNTBLANK(OFFSET(A$1,,,SUMPRODUCT(MAX(ROW(E$1:E1147)*(E2=E$1:E1147))))))</f>
        <v> </v>
      </c>
      <c r="K1148" s="25" t="str">
        <f>IF(OR(E1148="",E1148="!!!",F1148="NEW"),"",INDEX(J$1:J1147,SUMPRODUCT(MAX(ROW(E$1:E1147)*(E1148=E$1:E1147)))))</f>
        <v> </v>
      </c>
      <c r="L1148" s="26"/>
    </row>
    <row r="1149" spans="1:12">
      <c r="A1149" s="20" t="s">
        <v>1018</v>
      </c>
      <c r="E1149" s="21">
        <f>IF(D1149="?OLD","!!!","")</f>
        <v/>
      </c>
      <c r="F1149" s="22" t="str">
        <f>IF(OR(E1149="",E1149="!!!"),"",IF(NOT(ISNA(VLOOKUP(E1149,E$1:E1148,1,FALSE()))),"OLD",IF(AND(E1149&lt;&gt;"",E1149&lt;&gt;"!!!"),"NEW","")))</f>
        <v> </v>
      </c>
      <c r="G1149" s="23" t="str">
        <f>IF(OR(E1149="",E1149="!!!"),"",IF(OR(J1149=0,AND(J1149=1,K1149=1),AND(J1149=1,I1149="SBJ"),AND(J1149=1,I1149=0)),"?IN_FOCUS",IF(J1149&lt;=2,"?ACTIVATED",IF(J1149&lt;&gt;"","?FAMILIAR",IF(F1149="NEW",IF(ISNA(VLOOKUP(E1149,#REF!,1,FALSE())),"?TYPE_IDENTIFIABLE","?REFERENTIAL"),"_")))))</f>
        <v> </v>
      </c>
      <c r="H1149" s="24" t="str">
        <f>IF(J1149&lt;&gt;1,"",IF(I1149="SBJ","CB","?"))</f>
        <v> </v>
      </c>
      <c r="I1149" s="25" t="str">
        <f>IF(OR(E1149="",E1149="!!!",F1149="NEW"),"",INDEX(B1148:B$2,-1+SUMPRODUCT(MAX(ROW(E1148:E$2)*(E1149=E1148:E$2)))))</f>
        <v> </v>
      </c>
      <c r="J1149" s="25" t="str">
        <f>IF(OR(E1149="",E1149="!!!",F1149="NEW"),"",COUNTBLANK(OFFSET(A$1,,,SUMPRODUCT(MAX(ROW(E$2:E1149)*(E1149=E$2:E1149)))))-COUNTBLANK(OFFSET(A$1,,,SUMPRODUCT(MAX(ROW(E$1:E1148)*(E2=E$1:E1148))))))</f>
        <v> </v>
      </c>
      <c r="K1149" s="25" t="str">
        <f>IF(OR(E1149="",E1149="!!!",F1149="NEW"),"",INDEX(J$1:J1148,SUMPRODUCT(MAX(ROW(E$1:E1148)*(E1149=E$1:E1148)))))</f>
        <v> </v>
      </c>
      <c r="L1149" s="26"/>
    </row>
    <row r="1150" spans="1:12">
      <c r="A1150" s="20" t="s">
        <v>1019</v>
      </c>
      <c r="E1150" s="21">
        <f>IF(D1150="?OLD","!!!","")</f>
        <v/>
      </c>
      <c r="F1150" s="22" t="str">
        <f>IF(OR(E1150="",E1150="!!!"),"",IF(NOT(ISNA(VLOOKUP(E1150,E$1:E1149,1,FALSE()))),"OLD",IF(AND(E1150&lt;&gt;"",E1150&lt;&gt;"!!!"),"NEW","")))</f>
        <v> </v>
      </c>
      <c r="G1150" s="23" t="str">
        <f>IF(OR(E1150="",E1150="!!!"),"",IF(OR(J1150=0,AND(J1150=1,K1150=1),AND(J1150=1,I1150="SBJ"),AND(J1150=1,I1150=0)),"?IN_FOCUS",IF(J1150&lt;=2,"?ACTIVATED",IF(J1150&lt;&gt;"","?FAMILIAR",IF(F1150="NEW",IF(ISNA(VLOOKUP(E1150,#REF!,1,FALSE())),"?TYPE_IDENTIFIABLE","?REFERENTIAL"),"_")))))</f>
        <v> </v>
      </c>
      <c r="H1150" s="24" t="str">
        <f>IF(J1150&lt;&gt;1,"",IF(I1150="SBJ","CB","?"))</f>
        <v> </v>
      </c>
      <c r="I1150" s="25" t="str">
        <f>IF(OR(E1150="",E1150="!!!",F1150="NEW"),"",INDEX(B1149:B$2,-1+SUMPRODUCT(MAX(ROW(E1149:E$2)*(E1150=E1149:E$2)))))</f>
        <v> </v>
      </c>
      <c r="J1150" s="25" t="str">
        <f>IF(OR(E1150="",E1150="!!!",F1150="NEW"),"",COUNTBLANK(OFFSET(A$1,,,SUMPRODUCT(MAX(ROW(E$2:E1150)*(E1150=E$2:E1150)))))-COUNTBLANK(OFFSET(A$1,,,SUMPRODUCT(MAX(ROW(E$1:E1149)*(E2=E$1:E1149))))))</f>
        <v> </v>
      </c>
      <c r="K1150" s="25" t="str">
        <f>IF(OR(E1150="",E1150="!!!",F1150="NEW"),"",INDEX(J$1:J1149,SUMPRODUCT(MAX(ROW(E$1:E1149)*(E1150=E$1:E1149)))))</f>
        <v> </v>
      </c>
      <c r="L1150" s="26"/>
    </row>
    <row r="1151" spans="1:12">
      <c r="A1151" s="20" t="s">
        <v>315</v>
      </c>
      <c r="B1151" s="27" t="s">
        <v>473</v>
      </c>
      <c r="C1151" s="27" t="s">
        <v>795</v>
      </c>
      <c r="D1151" s="27" t="s">
        <v>478</v>
      </c>
      <c r="E1151" s="21">
        <f>IF(D1151="?OLD","!!!","")</f>
        <v/>
      </c>
      <c r="F1151" s="22" t="str">
        <f>IF(OR(E1151="",E1151="!!!"),"",IF(NOT(ISNA(VLOOKUP(E1151,E$1:E1150,1,FALSE()))),"OLD",IF(AND(E1151&lt;&gt;"",E1151&lt;&gt;"!!!"),"NEW","")))</f>
        <v> </v>
      </c>
      <c r="G1151" s="23" t="str">
        <f>IF(OR(E1151="",E1151="!!!"),"",IF(OR(J1151=0,AND(J1151=1,K1151=1),AND(J1151=1,I1151="SBJ"),AND(J1151=1,I1151=0)),"?IN_FOCUS",IF(J1151&lt;=2,"?ACTIVATED",IF(J1151&lt;&gt;"","?FAMILIAR",IF(F1151="NEW",IF(ISNA(VLOOKUP(E1151,#REF!,1,FALSE())),"?TYPE_IDENTIFIABLE","?REFERENTIAL"),"_")))))</f>
        <v> </v>
      </c>
      <c r="H1151" s="24" t="str">
        <f>IF(J1151&lt;&gt;1,"",IF(I1151="SBJ","CB","?"))</f>
        <v> </v>
      </c>
      <c r="I1151" s="25" t="str">
        <f>IF(OR(E1151="",E1151="!!!",F1151="NEW"),"",INDEX(B1150:B$2,-1+SUMPRODUCT(MAX(ROW(E1150:E$2)*(E1151=E1150:E$2)))))</f>
        <v> </v>
      </c>
      <c r="J1151" s="25" t="str">
        <f>IF(OR(E1151="",E1151="!!!",F1151="NEW"),"",COUNTBLANK(OFFSET(A$1,,,SUMPRODUCT(MAX(ROW(E$2:E1151)*(E1151=E$2:E1151)))))-COUNTBLANK(OFFSET(A$1,,,SUMPRODUCT(MAX(ROW(E$1:E1150)*(E2=E$1:E1150))))))</f>
        <v> </v>
      </c>
      <c r="K1151" s="25" t="str">
        <f>IF(OR(E1151="",E1151="!!!",F1151="NEW"),"",INDEX(J$1:J1150,SUMPRODUCT(MAX(ROW(E$1:E1150)*(E1151=E$1:E1150)))))</f>
        <v> </v>
      </c>
      <c r="L1151" s="26"/>
    </row>
    <row r="1152" spans="1:12">
      <c r="A1152" s="20" t="s">
        <v>1020</v>
      </c>
      <c r="E1152" s="21">
        <f>IF(D1152="?OLD","!!!","")</f>
        <v/>
      </c>
      <c r="F1152" s="22" t="str">
        <f>IF(OR(E1152="",E1152="!!!"),"",IF(NOT(ISNA(VLOOKUP(E1152,E$1:E1151,1,FALSE()))),"OLD",IF(AND(E1152&lt;&gt;"",E1152&lt;&gt;"!!!"),"NEW","")))</f>
        <v> </v>
      </c>
      <c r="G1152" s="23" t="str">
        <f>IF(OR(E1152="",E1152="!!!"),"",IF(OR(J1152=0,AND(J1152=1,K1152=1),AND(J1152=1,I1152="SBJ"),AND(J1152=1,I1152=0)),"?IN_FOCUS",IF(J1152&lt;=2,"?ACTIVATED",IF(J1152&lt;&gt;"","?FAMILIAR",IF(F1152="NEW",IF(ISNA(VLOOKUP(E1152,#REF!,1,FALSE())),"?TYPE_IDENTIFIABLE","?REFERENTIAL"),"_")))))</f>
        <v> </v>
      </c>
      <c r="H1152" s="24" t="str">
        <f>IF(J1152&lt;&gt;1,"",IF(I1152="SBJ","CB","?"))</f>
        <v> </v>
      </c>
      <c r="I1152" s="25" t="str">
        <f>IF(OR(E1152="",E1152="!!!",F1152="NEW"),"",INDEX(B1151:B$2,-1+SUMPRODUCT(MAX(ROW(E1151:E$2)*(E1152=E1151:E$2)))))</f>
        <v> </v>
      </c>
      <c r="J1152" s="25" t="str">
        <f>IF(OR(E1152="",E1152="!!!",F1152="NEW"),"",COUNTBLANK(OFFSET(A$1,,,SUMPRODUCT(MAX(ROW(E$2:E1152)*(E1152=E$2:E1152)))))-COUNTBLANK(OFFSET(A$1,,,SUMPRODUCT(MAX(ROW(E$1:E1151)*(E2=E$1:E1151))))))</f>
        <v> </v>
      </c>
      <c r="K1152" s="25" t="str">
        <f>IF(OR(E1152="",E1152="!!!",F1152="NEW"),"",INDEX(J$1:J1151,SUMPRODUCT(MAX(ROW(E$1:E1151)*(E1152=E$1:E1151)))))</f>
        <v> </v>
      </c>
      <c r="L1152" s="26"/>
    </row>
    <row r="1153" spans="1:12">
      <c r="A1153" s="20" t="s">
        <v>1021</v>
      </c>
      <c r="B1153" s="27" t="s">
        <v>473</v>
      </c>
      <c r="C1153" s="27" t="s">
        <v>933</v>
      </c>
      <c r="D1153" s="27" t="s">
        <v>478</v>
      </c>
      <c r="E1153" s="21">
        <f>IF(D1153="?OLD","!!!","")</f>
        <v/>
      </c>
      <c r="F1153" s="22" t="str">
        <f>IF(OR(E1153="",E1153="!!!"),"",IF(NOT(ISNA(VLOOKUP(E1153,E$1:E1152,1,FALSE()))),"OLD",IF(AND(E1153&lt;&gt;"",E1153&lt;&gt;"!!!"),"NEW","")))</f>
        <v> </v>
      </c>
      <c r="G1153" s="23" t="str">
        <f>IF(OR(E1153="",E1153="!!!"),"",IF(OR(J1153=0,AND(J1153=1,K1153=1),AND(J1153=1,I1153="SBJ"),AND(J1153=1,I1153=0)),"?IN_FOCUS",IF(J1153&lt;=2,"?ACTIVATED",IF(J1153&lt;&gt;"","?FAMILIAR",IF(F1153="NEW",IF(ISNA(VLOOKUP(E1153,#REF!,1,FALSE())),"?TYPE_IDENTIFIABLE","?REFERENTIAL"),"_")))))</f>
        <v> </v>
      </c>
      <c r="H1153" s="24" t="str">
        <f>IF(J1153&lt;&gt;1,"",IF(I1153="SBJ","CB","?"))</f>
        <v> </v>
      </c>
      <c r="I1153" s="25" t="str">
        <f>IF(OR(E1153="",E1153="!!!",F1153="NEW"),"",INDEX(B1152:B$2,-1+SUMPRODUCT(MAX(ROW(E1152:E$2)*(E1153=E1152:E$2)))))</f>
        <v> </v>
      </c>
      <c r="J1153" s="25" t="str">
        <f>IF(OR(E1153="",E1153="!!!",F1153="NEW"),"",COUNTBLANK(OFFSET(A$1,,,SUMPRODUCT(MAX(ROW(E$2:E1153)*(E1153=E$2:E1153)))))-COUNTBLANK(OFFSET(A$1,,,SUMPRODUCT(MAX(ROW(E$1:E1152)*(E2=E$1:E1152))))))</f>
        <v> </v>
      </c>
      <c r="K1153" s="25" t="str">
        <f>IF(OR(E1153="",E1153="!!!",F1153="NEW"),"",INDEX(J$1:J1152,SUMPRODUCT(MAX(ROW(E$1:E1152)*(E1153=E$1:E1152)))))</f>
        <v> </v>
      </c>
      <c r="L1153" s="26"/>
    </row>
    <row r="1154" spans="1:12">
      <c r="A1154" s="20" t="s">
        <v>253</v>
      </c>
      <c r="E1154" s="21">
        <f>IF(D1154="?OLD","!!!","")</f>
        <v/>
      </c>
      <c r="F1154" s="22" t="str">
        <f>IF(OR(E1154="",E1154="!!!"),"",IF(NOT(ISNA(VLOOKUP(E1154,E$1:E1153,1,FALSE()))),"OLD",IF(AND(E1154&lt;&gt;"",E1154&lt;&gt;"!!!"),"NEW","")))</f>
        <v> </v>
      </c>
      <c r="G1154" s="23" t="str">
        <f>IF(OR(E1154="",E1154="!!!"),"",IF(OR(J1154=0,AND(J1154=1,K1154=1),AND(J1154=1,I1154="SBJ"),AND(J1154=1,I1154=0)),"?IN_FOCUS",IF(J1154&lt;=2,"?ACTIVATED",IF(J1154&lt;&gt;"","?FAMILIAR",IF(F1154="NEW",IF(ISNA(VLOOKUP(E1154,#REF!,1,FALSE())),"?TYPE_IDENTIFIABLE","?REFERENTIAL"),"_")))))</f>
        <v> </v>
      </c>
      <c r="H1154" s="24" t="str">
        <f>IF(J1154&lt;&gt;1,"",IF(I1154="SBJ","CB","?"))</f>
        <v> </v>
      </c>
      <c r="I1154" s="25" t="str">
        <f>IF(OR(E1154="",E1154="!!!",F1154="NEW"),"",INDEX(B1153:B$2,-1+SUMPRODUCT(MAX(ROW(E1153:E$2)*(E1154=E1153:E$2)))))</f>
        <v> </v>
      </c>
      <c r="J1154" s="25" t="str">
        <f>IF(OR(E1154="",E1154="!!!",F1154="NEW"),"",COUNTBLANK(OFFSET(A$1,,,SUMPRODUCT(MAX(ROW(E$2:E1154)*(E1154=E$2:E1154)))))-COUNTBLANK(OFFSET(A$1,,,SUMPRODUCT(MAX(ROW(E$1:E1153)*(E2=E$1:E1153))))))</f>
        <v> </v>
      </c>
      <c r="K1154" s="25" t="str">
        <f>IF(OR(E1154="",E1154="!!!",F1154="NEW"),"",INDEX(J$1:J1153,SUMPRODUCT(MAX(ROW(E$1:E1153)*(E1154=E$1:E1153)))))</f>
        <v> </v>
      </c>
      <c r="L1154" s="26"/>
    </row>
    <row r="1155" spans="1:12">
      <c r="A1155" s="20"/>
    </row>
    <row r="1156" spans="1:12">
      <c r="A1156" s="20" t="s">
        <v>1022</v>
      </c>
    </row>
    <row r="1157" spans="1:12">
      <c r="A1157" s="20" t="s">
        <v>586</v>
      </c>
      <c r="B1157" s="27" t="s">
        <v>476</v>
      </c>
      <c r="C1157" s="27" t="s">
        <v>497</v>
      </c>
      <c r="D1157" s="27" t="s">
        <v>478</v>
      </c>
      <c r="E1157" s="21">
        <f>IF(D1157="?OLD","!!!","")</f>
        <v/>
      </c>
      <c r="F1157" s="22" t="str">
        <f>IF(OR(E1157="",E1157="!!!"),"",IF(NOT(ISNA(VLOOKUP(E1157,E$1:E1156,1,FALSE()))),"OLD",IF(AND(E1157&lt;&gt;"",E1157&lt;&gt;"!!!"),"NEW","")))</f>
        <v> </v>
      </c>
      <c r="G1157" s="23" t="str">
        <f>IF(OR(E1157="",E1157="!!!"),"",IF(OR(J1157=0,AND(J1157=1,K1157=1),AND(J1157=1,I1157="SBJ"),AND(J1157=1,I1157=0)),"?IN_FOCUS",IF(J1157&lt;=2,"?ACTIVATED",IF(J1157&lt;&gt;"","?FAMILIAR",IF(F1157="NEW",IF(ISNA(VLOOKUP(E1157,#REF!,1,FALSE())),"?TYPE_IDENTIFIABLE","?REFERENTIAL"),"_")))))</f>
        <v> </v>
      </c>
      <c r="H1157" s="24" t="str">
        <f>IF(J1157&lt;&gt;1,"",IF(I1157="SBJ","CB","?"))</f>
        <v> </v>
      </c>
      <c r="I1157" s="25" t="str">
        <f>IF(OR(E1157="",E1157="!!!",F1157="NEW"),"",INDEX(B1156:B$2,-1+SUMPRODUCT(MAX(ROW(E1156:E$2)*(E1157=E1156:E$2)))))</f>
        <v> </v>
      </c>
      <c r="J1157" s="25" t="str">
        <f>IF(OR(E1157="",E1157="!!!",F1157="NEW"),"",COUNTBLANK(OFFSET(A$1,,,SUMPRODUCT(MAX(ROW(E$2:E1157)*(E1157=E$2:E1157)))))-COUNTBLANK(OFFSET(A$1,,,SUMPRODUCT(MAX(ROW(E$1:E1156)*(E2=E$1:E1156))))))</f>
        <v> </v>
      </c>
      <c r="K1157" s="25" t="str">
        <f>IF(OR(E1157="",E1157="!!!",F1157="NEW"),"",INDEX(J$1:J1156,SUMPRODUCT(MAX(ROW(E$1:E1156)*(E1157=E$1:E1156)))))</f>
        <v> </v>
      </c>
      <c r="L1157" s="26"/>
    </row>
    <row r="1158" spans="1:12">
      <c r="A1158" s="20" t="s">
        <v>619</v>
      </c>
      <c r="B1158" s="27" t="s">
        <v>473</v>
      </c>
      <c r="C1158" s="27" t="s">
        <v>620</v>
      </c>
      <c r="D1158" s="27" t="s">
        <v>478</v>
      </c>
      <c r="E1158" s="21">
        <f>IF(D1158="?OLD","!!!","")</f>
        <v/>
      </c>
      <c r="F1158" s="22" t="str">
        <f>IF(OR(E1158="",E1158="!!!"),"",IF(NOT(ISNA(VLOOKUP(E1158,E$1:E1157,1,FALSE()))),"OLD",IF(AND(E1158&lt;&gt;"",E1158&lt;&gt;"!!!"),"NEW","")))</f>
        <v> </v>
      </c>
      <c r="G1158" s="23" t="str">
        <f>IF(OR(E1158="",E1158="!!!"),"",IF(OR(J1158=0,AND(J1158=1,K1158=1),AND(J1158=1,I1158="SBJ"),AND(J1158=1,I1158=0)),"?IN_FOCUS",IF(J1158&lt;=2,"?ACTIVATED",IF(J1158&lt;&gt;"","?FAMILIAR",IF(F1158="NEW",IF(ISNA(VLOOKUP(E1158,#REF!,1,FALSE())),"?TYPE_IDENTIFIABLE","?REFERENTIAL"),"_")))))</f>
        <v> </v>
      </c>
      <c r="H1158" s="24" t="str">
        <f>IF(J1158&lt;&gt;1,"",IF(I1158="SBJ","CB","?"))</f>
        <v> </v>
      </c>
      <c r="I1158" s="25" t="str">
        <f>IF(OR(E1158="",E1158="!!!",F1158="NEW"),"",INDEX(B1157:B$2,-1+SUMPRODUCT(MAX(ROW(E1157:E$2)*(E1158=E1157:E$2)))))</f>
        <v> </v>
      </c>
      <c r="J1158" s="25" t="str">
        <f>IF(OR(E1158="",E1158="!!!",F1158="NEW"),"",COUNTBLANK(OFFSET(A$1,,,SUMPRODUCT(MAX(ROW(E$2:E1158)*(E1158=E$2:E1158)))))-COUNTBLANK(OFFSET(A$1,,,SUMPRODUCT(MAX(ROW(E$1:E1157)*(E2=E$1:E1157))))))</f>
        <v> </v>
      </c>
      <c r="K1158" s="25" t="str">
        <f>IF(OR(E1158="",E1158="!!!",F1158="NEW"),"",INDEX(J$1:J1157,SUMPRODUCT(MAX(ROW(E$1:E1157)*(E1158=E$1:E1157)))))</f>
        <v> </v>
      </c>
      <c r="L1158" s="26"/>
    </row>
    <row r="1159" spans="1:12">
      <c r="A1159" s="20" t="s">
        <v>319</v>
      </c>
      <c r="E1159" s="21">
        <f>IF(D1159="?OLD","!!!","")</f>
        <v/>
      </c>
      <c r="F1159" s="22" t="str">
        <f>IF(OR(E1159="",E1159="!!!"),"",IF(NOT(ISNA(VLOOKUP(E1159,E$1:E1158,1,FALSE()))),"OLD",IF(AND(E1159&lt;&gt;"",E1159&lt;&gt;"!!!"),"NEW","")))</f>
        <v> </v>
      </c>
      <c r="G1159" s="23" t="str">
        <f>IF(OR(E1159="",E1159="!!!"),"",IF(OR(J1159=0,AND(J1159=1,K1159=1),AND(J1159=1,I1159="SBJ"),AND(J1159=1,I1159=0)),"?IN_FOCUS",IF(J1159&lt;=2,"?ACTIVATED",IF(J1159&lt;&gt;"","?FAMILIAR",IF(F1159="NEW",IF(ISNA(VLOOKUP(E1159,#REF!,1,FALSE())),"?TYPE_IDENTIFIABLE","?REFERENTIAL"),"_")))))</f>
        <v> </v>
      </c>
      <c r="H1159" s="24" t="str">
        <f>IF(J1159&lt;&gt;1,"",IF(I1159="SBJ","CB","?"))</f>
        <v> </v>
      </c>
      <c r="I1159" s="25" t="str">
        <f>IF(OR(E1159="",E1159="!!!",F1159="NEW"),"",INDEX(B1158:B$2,-1+SUMPRODUCT(MAX(ROW(E1158:E$2)*(E1159=E1158:E$2)))))</f>
        <v> </v>
      </c>
      <c r="J1159" s="25" t="str">
        <f>IF(OR(E1159="",E1159="!!!",F1159="NEW"),"",COUNTBLANK(OFFSET(A$1,,,SUMPRODUCT(MAX(ROW(E$2:E1159)*(E1159=E$2:E1159)))))-COUNTBLANK(OFFSET(A$1,,,SUMPRODUCT(MAX(ROW(E$1:E1158)*(E2=E$1:E1158))))))</f>
        <v> </v>
      </c>
      <c r="K1159" s="25" t="str">
        <f>IF(OR(E1159="",E1159="!!!",F1159="NEW"),"",INDEX(J$1:J1158,SUMPRODUCT(MAX(ROW(E$1:E1158)*(E1159=E$1:E1158)))))</f>
        <v> </v>
      </c>
      <c r="L1159" s="26"/>
    </row>
    <row r="1160" spans="1:12">
      <c r="A1160" s="20" t="s">
        <v>253</v>
      </c>
      <c r="E1160" s="21">
        <f>IF(D1160="?OLD","!!!","")</f>
        <v/>
      </c>
      <c r="F1160" s="22" t="str">
        <f>IF(OR(E1160="",E1160="!!!"),"",IF(NOT(ISNA(VLOOKUP(E1160,E$1:E1159,1,FALSE()))),"OLD",IF(AND(E1160&lt;&gt;"",E1160&lt;&gt;"!!!"),"NEW","")))</f>
        <v> </v>
      </c>
      <c r="G1160" s="23" t="str">
        <f>IF(OR(E1160="",E1160="!!!"),"",IF(OR(J1160=0,AND(J1160=1,K1160=1),AND(J1160=1,I1160="SBJ"),AND(J1160=1,I1160=0)),"?IN_FOCUS",IF(J1160&lt;=2,"?ACTIVATED",IF(J1160&lt;&gt;"","?FAMILIAR",IF(F1160="NEW",IF(ISNA(VLOOKUP(E1160,#REF!,1,FALSE())),"?TYPE_IDENTIFIABLE","?REFERENTIAL"),"_")))))</f>
        <v> </v>
      </c>
      <c r="H1160" s="24" t="str">
        <f>IF(J1160&lt;&gt;1,"",IF(I1160="SBJ","CB","?"))</f>
        <v> </v>
      </c>
      <c r="I1160" s="25" t="str">
        <f>IF(OR(E1160="",E1160="!!!",F1160="NEW"),"",INDEX(B1159:B$2,-1+SUMPRODUCT(MAX(ROW(E1159:E$2)*(E1160=E1159:E$2)))))</f>
        <v> </v>
      </c>
      <c r="J1160" s="25" t="str">
        <f>IF(OR(E1160="",E1160="!!!",F1160="NEW"),"",COUNTBLANK(OFFSET(A$1,,,SUMPRODUCT(MAX(ROW(E$2:E1160)*(E1160=E$2:E1160)))))-COUNTBLANK(OFFSET(A$1,,,SUMPRODUCT(MAX(ROW(E$1:E1159)*(E2=E$1:E1159))))))</f>
        <v> </v>
      </c>
      <c r="K1160" s="25" t="str">
        <f>IF(OR(E1160="",E1160="!!!",F1160="NEW"),"",INDEX(J$1:J1159,SUMPRODUCT(MAX(ROW(E$1:E1159)*(E1160=E$1:E1159)))))</f>
        <v> </v>
      </c>
      <c r="L1160" s="26"/>
    </row>
    <row r="1161" spans="1:12">
      <c r="A1161" s="20"/>
    </row>
    <row r="1162" spans="1:12">
      <c r="A1162" s="20" t="s">
        <v>1023</v>
      </c>
    </row>
    <row r="1163" spans="1:12">
      <c r="A1163" s="20" t="s">
        <v>1024</v>
      </c>
      <c r="E1163" s="21">
        <f>IF(D1163="?OLD","!!!","")</f>
        <v/>
      </c>
      <c r="F1163" s="22" t="str">
        <f>IF(OR(E1163="",E1163="!!!"),"",IF(NOT(ISNA(VLOOKUP(E1163,E$1:E1162,1,FALSE()))),"OLD",IF(AND(E1163&lt;&gt;"",E1163&lt;&gt;"!!!"),"NEW","")))</f>
        <v> </v>
      </c>
      <c r="G1163" s="23" t="str">
        <f>IF(OR(E1163="",E1163="!!!"),"",IF(OR(J1163=0,AND(J1163=1,K1163=1),AND(J1163=1,I1163="SBJ"),AND(J1163=1,I1163=0)),"?IN_FOCUS",IF(J1163&lt;=2,"?ACTIVATED",IF(J1163&lt;&gt;"","?FAMILIAR",IF(F1163="NEW",IF(ISNA(VLOOKUP(E1163,#REF!,1,FALSE())),"?TYPE_IDENTIFIABLE","?REFERENTIAL"),"_")))))</f>
        <v> </v>
      </c>
      <c r="H1163" s="24" t="str">
        <f>IF(J1163&lt;&gt;1,"",IF(I1163="SBJ","CB","?"))</f>
        <v> </v>
      </c>
      <c r="I1163" s="25" t="str">
        <f>IF(OR(E1163="",E1163="!!!",F1163="NEW"),"",INDEX(B1162:B$2,-1+SUMPRODUCT(MAX(ROW(E1162:E$2)*(E1163=E1162:E$2)))))</f>
        <v> </v>
      </c>
      <c r="J1163" s="25" t="str">
        <f>IF(OR(E1163="",E1163="!!!",F1163="NEW"),"",COUNTBLANK(OFFSET(A$1,,,SUMPRODUCT(MAX(ROW(E$2:E1163)*(E1163=E$2:E1163)))))-COUNTBLANK(OFFSET(A$1,,,SUMPRODUCT(MAX(ROW(E$1:E1162)*(E2=E$1:E1162))))))</f>
        <v> </v>
      </c>
      <c r="K1163" s="25" t="str">
        <f>IF(OR(E1163="",E1163="!!!",F1163="NEW"),"",INDEX(J$1:J1162,SUMPRODUCT(MAX(ROW(E$1:E1162)*(E1163=E$1:E1162)))))</f>
        <v> </v>
      </c>
      <c r="L1163" s="26"/>
    </row>
    <row r="1164" spans="1:12">
      <c r="A1164" s="20" t="s">
        <v>1025</v>
      </c>
      <c r="E1164" s="21">
        <f>IF(D1164="?OLD","!!!","")</f>
        <v/>
      </c>
      <c r="F1164" s="22" t="str">
        <f>IF(OR(E1164="",E1164="!!!"),"",IF(NOT(ISNA(VLOOKUP(E1164,E$1:E1163,1,FALSE()))),"OLD",IF(AND(E1164&lt;&gt;"",E1164&lt;&gt;"!!!"),"NEW","")))</f>
        <v> </v>
      </c>
      <c r="G1164" s="23" t="str">
        <f>IF(OR(E1164="",E1164="!!!"),"",IF(OR(J1164=0,AND(J1164=1,K1164=1),AND(J1164=1,I1164="SBJ"),AND(J1164=1,I1164=0)),"?IN_FOCUS",IF(J1164&lt;=2,"?ACTIVATED",IF(J1164&lt;&gt;"","?FAMILIAR",IF(F1164="NEW",IF(ISNA(VLOOKUP(E1164,#REF!,1,FALSE())),"?TYPE_IDENTIFIABLE","?REFERENTIAL"),"_")))))</f>
        <v> </v>
      </c>
      <c r="H1164" s="24" t="str">
        <f>IF(J1164&lt;&gt;1,"",IF(I1164="SBJ","CB","?"))</f>
        <v> </v>
      </c>
      <c r="I1164" s="25" t="str">
        <f>IF(OR(E1164="",E1164="!!!",F1164="NEW"),"",INDEX(B1163:B$2,-1+SUMPRODUCT(MAX(ROW(E1163:E$2)*(E1164=E1163:E$2)))))</f>
        <v> </v>
      </c>
      <c r="J1164" s="25" t="str">
        <f>IF(OR(E1164="",E1164="!!!",F1164="NEW"),"",COUNTBLANK(OFFSET(A$1,,,SUMPRODUCT(MAX(ROW(E$2:E1164)*(E1164=E$2:E1164)))))-COUNTBLANK(OFFSET(A$1,,,SUMPRODUCT(MAX(ROW(E$1:E1163)*(E2=E$1:E1163))))))</f>
        <v> </v>
      </c>
      <c r="K1164" s="25" t="str">
        <f>IF(OR(E1164="",E1164="!!!",F1164="NEW"),"",INDEX(J$1:J1163,SUMPRODUCT(MAX(ROW(E$1:E1163)*(E1164=E$1:E1163)))))</f>
        <v> </v>
      </c>
      <c r="L1164" s="26"/>
    </row>
    <row r="1165" spans="1:12">
      <c r="A1165" s="20" t="s">
        <v>1026</v>
      </c>
      <c r="B1165" s="27" t="s">
        <v>473</v>
      </c>
      <c r="C1165" s="27" t="s">
        <v>474</v>
      </c>
      <c r="E1165" s="21">
        <f>IF(D1165="?OLD","!!!","")</f>
        <v/>
      </c>
      <c r="F1165" s="22" t="str">
        <f>IF(OR(E1165="",E1165="!!!"),"",IF(NOT(ISNA(VLOOKUP(E1165,E$1:E1164,1,FALSE()))),"OLD",IF(AND(E1165&lt;&gt;"",E1165&lt;&gt;"!!!"),"NEW","")))</f>
        <v> </v>
      </c>
      <c r="G1165" s="23" t="str">
        <f>IF(OR(E1165="",E1165="!!!"),"",IF(OR(J1165=0,AND(J1165=1,K1165=1),AND(J1165=1,I1165="SBJ"),AND(J1165=1,I1165=0)),"?IN_FOCUS",IF(J1165&lt;=2,"?ACTIVATED",IF(J1165&lt;&gt;"","?FAMILIAR",IF(F1165="NEW",IF(ISNA(VLOOKUP(E1165,#REF!,1,FALSE())),"?TYPE_IDENTIFIABLE","?REFERENTIAL"),"_")))))</f>
        <v> </v>
      </c>
      <c r="H1165" s="24" t="str">
        <f>IF(J1165&lt;&gt;1,"",IF(I1165="SBJ","CB","?"))</f>
        <v> </v>
      </c>
      <c r="I1165" s="25" t="str">
        <f>IF(OR(E1165="",E1165="!!!",F1165="NEW"),"",INDEX(B1164:B$2,-1+SUMPRODUCT(MAX(ROW(E1164:E$2)*(E1165=E1164:E$2)))))</f>
        <v> </v>
      </c>
      <c r="J1165" s="25" t="str">
        <f>IF(OR(E1165="",E1165="!!!",F1165="NEW"),"",COUNTBLANK(OFFSET(A$1,,,SUMPRODUCT(MAX(ROW(E$2:E1165)*(E1165=E$2:E1165)))))-COUNTBLANK(OFFSET(A$1,,,SUMPRODUCT(MAX(ROW(E$1:E1164)*(E2=E$1:E1164))))))</f>
        <v> </v>
      </c>
      <c r="K1165" s="25" t="str">
        <f>IF(OR(E1165="",E1165="!!!",F1165="NEW"),"",INDEX(J$1:J1164,SUMPRODUCT(MAX(ROW(E$1:E1164)*(E1165=E$1:E1164)))))</f>
        <v> </v>
      </c>
      <c r="L1165" s="26"/>
    </row>
    <row r="1166" spans="1:12">
      <c r="A1166" s="20" t="s">
        <v>253</v>
      </c>
      <c r="E1166" s="21">
        <f>IF(D1166="?OLD","!!!","")</f>
        <v/>
      </c>
      <c r="F1166" s="22" t="str">
        <f>IF(OR(E1166="",E1166="!!!"),"",IF(NOT(ISNA(VLOOKUP(E1166,E$1:E1165,1,FALSE()))),"OLD",IF(AND(E1166&lt;&gt;"",E1166&lt;&gt;"!!!"),"NEW","")))</f>
        <v> </v>
      </c>
      <c r="G1166" s="23" t="str">
        <f>IF(OR(E1166="",E1166="!!!"),"",IF(OR(J1166=0,AND(J1166=1,K1166=1),AND(J1166=1,I1166="SBJ"),AND(J1166=1,I1166=0)),"?IN_FOCUS",IF(J1166&lt;=2,"?ACTIVATED",IF(J1166&lt;&gt;"","?FAMILIAR",IF(F1166="NEW",IF(ISNA(VLOOKUP(E1166,#REF!,1,FALSE())),"?TYPE_IDENTIFIABLE","?REFERENTIAL"),"_")))))</f>
        <v> </v>
      </c>
      <c r="H1166" s="24" t="str">
        <f>IF(J1166&lt;&gt;1,"",IF(I1166="SBJ","CB","?"))</f>
        <v> </v>
      </c>
      <c r="I1166" s="25" t="str">
        <f>IF(OR(E1166="",E1166="!!!",F1166="NEW"),"",INDEX(B1165:B$2,-1+SUMPRODUCT(MAX(ROW(E1165:E$2)*(E1166=E1165:E$2)))))</f>
        <v> </v>
      </c>
      <c r="J1166" s="25" t="str">
        <f>IF(OR(E1166="",E1166="!!!",F1166="NEW"),"",COUNTBLANK(OFFSET(A$1,,,SUMPRODUCT(MAX(ROW(E$2:E1166)*(E1166=E$2:E1166)))))-COUNTBLANK(OFFSET(A$1,,,SUMPRODUCT(MAX(ROW(E$1:E1165)*(E2=E$1:E1165))))))</f>
        <v> </v>
      </c>
      <c r="K1166" s="25" t="str">
        <f>IF(OR(E1166="",E1166="!!!",F1166="NEW"),"",INDEX(J$1:J1165,SUMPRODUCT(MAX(ROW(E$1:E1165)*(E1166=E$1:E1165)))))</f>
        <v> </v>
      </c>
      <c r="L1166" s="26"/>
    </row>
    <row r="1167" spans="1:12">
      <c r="A1167" s="20"/>
    </row>
    <row r="1168" spans="1:12">
      <c r="A1168" s="20" t="s">
        <v>1027</v>
      </c>
    </row>
    <row r="1169" spans="1:12">
      <c r="A1169" s="20" t="s">
        <v>653</v>
      </c>
      <c r="E1169" s="21">
        <f>IF(D1169="?OLD","!!!","")</f>
        <v/>
      </c>
      <c r="F1169" s="22" t="str">
        <f>IF(OR(E1169="",E1169="!!!"),"",IF(NOT(ISNA(VLOOKUP(E1169,E$1:E1168,1,FALSE()))),"OLD",IF(AND(E1169&lt;&gt;"",E1169&lt;&gt;"!!!"),"NEW","")))</f>
        <v> </v>
      </c>
      <c r="G1169" s="23" t="str">
        <f>IF(OR(E1169="",E1169="!!!"),"",IF(OR(J1169=0,AND(J1169=1,K1169=1),AND(J1169=1,I1169="SBJ"),AND(J1169=1,I1169=0)),"?IN_FOCUS",IF(J1169&lt;=2,"?ACTIVATED",IF(J1169&lt;&gt;"","?FAMILIAR",IF(F1169="NEW",IF(ISNA(VLOOKUP(E1169,#REF!,1,FALSE())),"?TYPE_IDENTIFIABLE","?REFERENTIAL"),"_")))))</f>
        <v> </v>
      </c>
      <c r="H1169" s="24" t="str">
        <f>IF(J1169&lt;&gt;1,"",IF(I1169="SBJ","CB","?"))</f>
        <v> </v>
      </c>
      <c r="I1169" s="25" t="str">
        <f>IF(OR(E1169="",E1169="!!!",F1169="NEW"),"",INDEX(B1168:B$2,-1+SUMPRODUCT(MAX(ROW(E1168:E$2)*(E1169=E1168:E$2)))))</f>
        <v> </v>
      </c>
      <c r="J1169" s="25" t="str">
        <f>IF(OR(E1169="",E1169="!!!",F1169="NEW"),"",COUNTBLANK(OFFSET(A$1,,,SUMPRODUCT(MAX(ROW(E$2:E1169)*(E1169=E$2:E1169)))))-COUNTBLANK(OFFSET(A$1,,,SUMPRODUCT(MAX(ROW(E$1:E1168)*(E2=E$1:E1168))))))</f>
        <v> </v>
      </c>
      <c r="K1169" s="25" t="str">
        <f>IF(OR(E1169="",E1169="!!!",F1169="NEW"),"",INDEX(J$1:J1168,SUMPRODUCT(MAX(ROW(E$1:E1168)*(E1169=E$1:E1168)))))</f>
        <v> </v>
      </c>
      <c r="L1169" s="26"/>
    </row>
    <row r="1170" spans="1:12">
      <c r="A1170" s="20" t="s">
        <v>475</v>
      </c>
      <c r="B1170" s="27" t="s">
        <v>476</v>
      </c>
      <c r="C1170" s="27" t="s">
        <v>477</v>
      </c>
      <c r="D1170" s="27" t="s">
        <v>478</v>
      </c>
      <c r="E1170" s="21">
        <f>IF(D1170="?OLD","!!!","")</f>
        <v/>
      </c>
      <c r="F1170" s="22" t="str">
        <f>IF(OR(E1170="",E1170="!!!"),"",IF(NOT(ISNA(VLOOKUP(E1170,E$1:E1169,1,FALSE()))),"OLD",IF(AND(E1170&lt;&gt;"",E1170&lt;&gt;"!!!"),"NEW","")))</f>
        <v> </v>
      </c>
      <c r="G1170" s="23" t="str">
        <f>IF(OR(E1170="",E1170="!!!"),"",IF(OR(J1170=0,AND(J1170=1,K1170=1),AND(J1170=1,I1170="SBJ"),AND(J1170=1,I1170=0)),"?IN_FOCUS",IF(J1170&lt;=2,"?ACTIVATED",IF(J1170&lt;&gt;"","?FAMILIAR",IF(F1170="NEW",IF(ISNA(VLOOKUP(E1170,#REF!,1,FALSE())),"?TYPE_IDENTIFIABLE","?REFERENTIAL"),"_")))))</f>
        <v> </v>
      </c>
      <c r="H1170" s="24" t="str">
        <f>IF(J1170&lt;&gt;1,"",IF(I1170="SBJ","CB","?"))</f>
        <v> </v>
      </c>
      <c r="I1170" s="25" t="str">
        <f>IF(OR(E1170="",E1170="!!!",F1170="NEW"),"",INDEX(B1169:B$2,-1+SUMPRODUCT(MAX(ROW(E1169:E$2)*(E1170=E1169:E$2)))))</f>
        <v> </v>
      </c>
      <c r="J1170" s="25" t="str">
        <f>IF(OR(E1170="",E1170="!!!",F1170="NEW"),"",COUNTBLANK(OFFSET(A$1,,,SUMPRODUCT(MAX(ROW(E$2:E1170)*(E1170=E$2:E1170)))))-COUNTBLANK(OFFSET(A$1,,,SUMPRODUCT(MAX(ROW(E$1:E1169)*(E2=E$1:E1169))))))</f>
        <v> </v>
      </c>
      <c r="K1170" s="25" t="str">
        <f>IF(OR(E1170="",E1170="!!!",F1170="NEW"),"",INDEX(J$1:J1169,SUMPRODUCT(MAX(ROW(E$1:E1169)*(E1170=E$1:E1169)))))</f>
        <v> </v>
      </c>
      <c r="L1170" s="26"/>
    </row>
    <row r="1171" spans="1:12">
      <c r="A1171" s="20" t="s">
        <v>1028</v>
      </c>
      <c r="E1171" s="21">
        <f>IF(D1171="?OLD","!!!","")</f>
        <v/>
      </c>
      <c r="F1171" s="22" t="str">
        <f>IF(OR(E1171="",E1171="!!!"),"",IF(NOT(ISNA(VLOOKUP(E1171,E$1:E1170,1,FALSE()))),"OLD",IF(AND(E1171&lt;&gt;"",E1171&lt;&gt;"!!!"),"NEW","")))</f>
        <v> </v>
      </c>
      <c r="G1171" s="23" t="str">
        <f>IF(OR(E1171="",E1171="!!!"),"",IF(OR(J1171=0,AND(J1171=1,K1171=1),AND(J1171=1,I1171="SBJ"),AND(J1171=1,I1171=0)),"?IN_FOCUS",IF(J1171&lt;=2,"?ACTIVATED",IF(J1171&lt;&gt;"","?FAMILIAR",IF(F1171="NEW",IF(ISNA(VLOOKUP(E1171,#REF!,1,FALSE())),"?TYPE_IDENTIFIABLE","?REFERENTIAL"),"_")))))</f>
        <v> </v>
      </c>
      <c r="H1171" s="24" t="str">
        <f>IF(J1171&lt;&gt;1,"",IF(I1171="SBJ","CB","?"))</f>
        <v> </v>
      </c>
      <c r="I1171" s="25" t="str">
        <f>IF(OR(E1171="",E1171="!!!",F1171="NEW"),"",INDEX(B1170:B$2,-1+SUMPRODUCT(MAX(ROW(E1170:E$2)*(E1171=E1170:E$2)))))</f>
        <v> </v>
      </c>
      <c r="J1171" s="25" t="str">
        <f>IF(OR(E1171="",E1171="!!!",F1171="NEW"),"",COUNTBLANK(OFFSET(A$1,,,SUMPRODUCT(MAX(ROW(E$2:E1171)*(E1171=E$2:E1171)))))-COUNTBLANK(OFFSET(A$1,,,SUMPRODUCT(MAX(ROW(E$1:E1170)*(E2=E$1:E1170))))))</f>
        <v> </v>
      </c>
      <c r="K1171" s="25" t="str">
        <f>IF(OR(E1171="",E1171="!!!",F1171="NEW"),"",INDEX(J$1:J1170,SUMPRODUCT(MAX(ROW(E$1:E1170)*(E1171=E$1:E1170)))))</f>
        <v> </v>
      </c>
      <c r="L1171" s="26"/>
    </row>
    <row r="1172" spans="1:12">
      <c r="A1172" s="20" t="s">
        <v>736</v>
      </c>
      <c r="E1172" s="21">
        <f>IF(D1172="?OLD","!!!","")</f>
        <v/>
      </c>
      <c r="F1172" s="22" t="str">
        <f>IF(OR(E1172="",E1172="!!!"),"",IF(NOT(ISNA(VLOOKUP(E1172,E$1:E1171,1,FALSE()))),"OLD",IF(AND(E1172&lt;&gt;"",E1172&lt;&gt;"!!!"),"NEW","")))</f>
        <v> </v>
      </c>
      <c r="G1172" s="23" t="str">
        <f>IF(OR(E1172="",E1172="!!!"),"",IF(OR(J1172=0,AND(J1172=1,K1172=1),AND(J1172=1,I1172="SBJ"),AND(J1172=1,I1172=0)),"?IN_FOCUS",IF(J1172&lt;=2,"?ACTIVATED",IF(J1172&lt;&gt;"","?FAMILIAR",IF(F1172="NEW",IF(ISNA(VLOOKUP(E1172,#REF!,1,FALSE())),"?TYPE_IDENTIFIABLE","?REFERENTIAL"),"_")))))</f>
        <v> </v>
      </c>
      <c r="H1172" s="24" t="str">
        <f>IF(J1172&lt;&gt;1,"",IF(I1172="SBJ","CB","?"))</f>
        <v> </v>
      </c>
      <c r="I1172" s="25" t="str">
        <f>IF(OR(E1172="",E1172="!!!",F1172="NEW"),"",INDEX(B1171:B$2,-1+SUMPRODUCT(MAX(ROW(E1171:E$2)*(E1172=E1171:E$2)))))</f>
        <v> </v>
      </c>
      <c r="J1172" s="25" t="str">
        <f>IF(OR(E1172="",E1172="!!!",F1172="NEW"),"",COUNTBLANK(OFFSET(A$1,,,SUMPRODUCT(MAX(ROW(E$2:E1172)*(E1172=E$2:E1172)))))-COUNTBLANK(OFFSET(A$1,,,SUMPRODUCT(MAX(ROW(E$1:E1171)*(E2=E$1:E1171))))))</f>
        <v> </v>
      </c>
      <c r="K1172" s="25" t="str">
        <f>IF(OR(E1172="",E1172="!!!",F1172="NEW"),"",INDEX(J$1:J1171,SUMPRODUCT(MAX(ROW(E$1:E1171)*(E1172=E$1:E1171)))))</f>
        <v> </v>
      </c>
      <c r="L1172" s="26"/>
    </row>
    <row r="1173" spans="1:12">
      <c r="A1173" s="20" t="s">
        <v>1029</v>
      </c>
      <c r="B1173" s="27" t="s">
        <v>521</v>
      </c>
      <c r="E1173" s="21">
        <f>IF(D1173="?OLD","!!!","")</f>
        <v/>
      </c>
      <c r="F1173" s="22" t="str">
        <f>IF(OR(E1173="",E1173="!!!"),"",IF(NOT(ISNA(VLOOKUP(E1173,E$1:E1172,1,FALSE()))),"OLD",IF(AND(E1173&lt;&gt;"",E1173&lt;&gt;"!!!"),"NEW","")))</f>
        <v> </v>
      </c>
      <c r="G1173" s="23" t="str">
        <f>IF(OR(E1173="",E1173="!!!"),"",IF(OR(J1173=0,AND(J1173=1,K1173=1),AND(J1173=1,I1173="SBJ"),AND(J1173=1,I1173=0)),"?IN_FOCUS",IF(J1173&lt;=2,"?ACTIVATED",IF(J1173&lt;&gt;"","?FAMILIAR",IF(F1173="NEW",IF(ISNA(VLOOKUP(E1173,#REF!,1,FALSE())),"?TYPE_IDENTIFIABLE","?REFERENTIAL"),"_")))))</f>
        <v> </v>
      </c>
      <c r="H1173" s="24" t="str">
        <f>IF(J1173&lt;&gt;1,"",IF(I1173="SBJ","CB","?"))</f>
        <v> </v>
      </c>
      <c r="I1173" s="25" t="str">
        <f>IF(OR(E1173="",E1173="!!!",F1173="NEW"),"",INDEX(B1172:B$2,-1+SUMPRODUCT(MAX(ROW(E1172:E$2)*(E1173=E1172:E$2)))))</f>
        <v> </v>
      </c>
      <c r="J1173" s="25" t="str">
        <f>IF(OR(E1173="",E1173="!!!",F1173="NEW"),"",COUNTBLANK(OFFSET(A$1,,,SUMPRODUCT(MAX(ROW(E$2:E1173)*(E1173=E$2:E1173)))))-COUNTBLANK(OFFSET(A$1,,,SUMPRODUCT(MAX(ROW(E$1:E1172)*(E2=E$1:E1172))))))</f>
        <v> </v>
      </c>
      <c r="K1173" s="25" t="str">
        <f>IF(OR(E1173="",E1173="!!!",F1173="NEW"),"",INDEX(J$1:J1172,SUMPRODUCT(MAX(ROW(E$1:E1172)*(E1173=E$1:E1172)))))</f>
        <v> </v>
      </c>
      <c r="L1173" s="26"/>
    </row>
    <row r="1174" spans="1:12">
      <c r="A1174" s="20" t="s">
        <v>656</v>
      </c>
      <c r="E1174" s="21">
        <f>IF(D1174="?OLD","!!!","")</f>
        <v/>
      </c>
      <c r="F1174" s="22" t="str">
        <f>IF(OR(E1174="",E1174="!!!"),"",IF(NOT(ISNA(VLOOKUP(E1174,E$1:E1173,1,FALSE()))),"OLD",IF(AND(E1174&lt;&gt;"",E1174&lt;&gt;"!!!"),"NEW","")))</f>
        <v> </v>
      </c>
      <c r="G1174" s="23" t="str">
        <f>IF(OR(E1174="",E1174="!!!"),"",IF(OR(J1174=0,AND(J1174=1,K1174=1),AND(J1174=1,I1174="SBJ"),AND(J1174=1,I1174=0)),"?IN_FOCUS",IF(J1174&lt;=2,"?ACTIVATED",IF(J1174&lt;&gt;"","?FAMILIAR",IF(F1174="NEW",IF(ISNA(VLOOKUP(E1174,#REF!,1,FALSE())),"?TYPE_IDENTIFIABLE","?REFERENTIAL"),"_")))))</f>
        <v> </v>
      </c>
      <c r="H1174" s="24" t="str">
        <f>IF(J1174&lt;&gt;1,"",IF(I1174="SBJ","CB","?"))</f>
        <v> </v>
      </c>
      <c r="I1174" s="25" t="str">
        <f>IF(OR(E1174="",E1174="!!!",F1174="NEW"),"",INDEX(B1173:B$2,-1+SUMPRODUCT(MAX(ROW(E1173:E$2)*(E1174=E1173:E$2)))))</f>
        <v> </v>
      </c>
      <c r="J1174" s="25" t="str">
        <f>IF(OR(E1174="",E1174="!!!",F1174="NEW"),"",COUNTBLANK(OFFSET(A$1,,,SUMPRODUCT(MAX(ROW(E$2:E1174)*(E1174=E$2:E1174)))))-COUNTBLANK(OFFSET(A$1,,,SUMPRODUCT(MAX(ROW(E$1:E1173)*(E2=E$1:E1173))))))</f>
        <v> </v>
      </c>
      <c r="K1174" s="25" t="str">
        <f>IF(OR(E1174="",E1174="!!!",F1174="NEW"),"",INDEX(J$1:J1173,SUMPRODUCT(MAX(ROW(E$1:E1173)*(E1174=E$1:E1173)))))</f>
        <v> </v>
      </c>
      <c r="L1174" s="26"/>
    </row>
    <row r="1175" spans="1:12">
      <c r="A1175" s="20" t="s">
        <v>1030</v>
      </c>
      <c r="E1175" s="21">
        <f>IF(D1175="?OLD","!!!","")</f>
        <v/>
      </c>
      <c r="F1175" s="22" t="str">
        <f>IF(OR(E1175="",E1175="!!!"),"",IF(NOT(ISNA(VLOOKUP(E1175,E$1:E1174,1,FALSE()))),"OLD",IF(AND(E1175&lt;&gt;"",E1175&lt;&gt;"!!!"),"NEW","")))</f>
        <v> </v>
      </c>
      <c r="G1175" s="23" t="str">
        <f>IF(OR(E1175="",E1175="!!!"),"",IF(OR(J1175=0,AND(J1175=1,K1175=1),AND(J1175=1,I1175="SBJ"),AND(J1175=1,I1175=0)),"?IN_FOCUS",IF(J1175&lt;=2,"?ACTIVATED",IF(J1175&lt;&gt;"","?FAMILIAR",IF(F1175="NEW",IF(ISNA(VLOOKUP(E1175,#REF!,1,FALSE())),"?TYPE_IDENTIFIABLE","?REFERENTIAL"),"_")))))</f>
        <v> </v>
      </c>
      <c r="H1175" s="24" t="str">
        <f>IF(J1175&lt;&gt;1,"",IF(I1175="SBJ","CB","?"))</f>
        <v> </v>
      </c>
      <c r="I1175" s="25" t="str">
        <f>IF(OR(E1175="",E1175="!!!",F1175="NEW"),"",INDEX(B1174:B$2,-1+SUMPRODUCT(MAX(ROW(E1174:E$2)*(E1175=E1174:E$2)))))</f>
        <v> </v>
      </c>
      <c r="J1175" s="25" t="str">
        <f>IF(OR(E1175="",E1175="!!!",F1175="NEW"),"",COUNTBLANK(OFFSET(A$1,,,SUMPRODUCT(MAX(ROW(E$2:E1175)*(E1175=E$2:E1175)))))-COUNTBLANK(OFFSET(A$1,,,SUMPRODUCT(MAX(ROW(E$1:E1174)*(E2=E$1:E1174))))))</f>
        <v> </v>
      </c>
      <c r="K1175" s="25" t="str">
        <f>IF(OR(E1175="",E1175="!!!",F1175="NEW"),"",INDEX(J$1:J1174,SUMPRODUCT(MAX(ROW(E$1:E1174)*(E1175=E$1:E1174)))))</f>
        <v> </v>
      </c>
      <c r="L1175" s="26"/>
    </row>
    <row r="1176" spans="1:12">
      <c r="A1176" s="20" t="s">
        <v>1012</v>
      </c>
      <c r="B1176" s="27" t="s">
        <v>577</v>
      </c>
      <c r="C1176" s="27" t="s">
        <v>477</v>
      </c>
      <c r="D1176" s="27" t="s">
        <v>478</v>
      </c>
      <c r="E1176" s="21">
        <f>IF(D1176="?OLD","!!!","")</f>
        <v/>
      </c>
      <c r="F1176" s="22" t="str">
        <f>IF(OR(E1176="",E1176="!!!"),"",IF(NOT(ISNA(VLOOKUP(E1176,E$1:E1175,1,FALSE()))),"OLD",IF(AND(E1176&lt;&gt;"",E1176&lt;&gt;"!!!"),"NEW","")))</f>
        <v> </v>
      </c>
      <c r="G1176" s="23" t="str">
        <f>IF(OR(E1176="",E1176="!!!"),"",IF(OR(J1176=0,AND(J1176=1,K1176=1),AND(J1176=1,I1176="SBJ"),AND(J1176=1,I1176=0)),"?IN_FOCUS",IF(J1176&lt;=2,"?ACTIVATED",IF(J1176&lt;&gt;"","?FAMILIAR",IF(F1176="NEW",IF(ISNA(VLOOKUP(E1176,#REF!,1,FALSE())),"?TYPE_IDENTIFIABLE","?REFERENTIAL"),"_")))))</f>
        <v> </v>
      </c>
      <c r="H1176" s="24" t="str">
        <f>IF(J1176&lt;&gt;1,"",IF(I1176="SBJ","CB","?"))</f>
        <v> </v>
      </c>
      <c r="I1176" s="25" t="str">
        <f>IF(OR(E1176="",E1176="!!!",F1176="NEW"),"",INDEX(B1175:B$2,-1+SUMPRODUCT(MAX(ROW(E1175:E$2)*(E1176=E1175:E$2)))))</f>
        <v> </v>
      </c>
      <c r="J1176" s="25" t="str">
        <f>IF(OR(E1176="",E1176="!!!",F1176="NEW"),"",COUNTBLANK(OFFSET(A$1,,,SUMPRODUCT(MAX(ROW(E$2:E1176)*(E1176=E$2:E1176)))))-COUNTBLANK(OFFSET(A$1,,,SUMPRODUCT(MAX(ROW(E$1:E1175)*(E2=E$1:E1175))))))</f>
        <v> </v>
      </c>
      <c r="K1176" s="25" t="str">
        <f>IF(OR(E1176="",E1176="!!!",F1176="NEW"),"",INDEX(J$1:J1175,SUMPRODUCT(MAX(ROW(E$1:E1175)*(E1176=E$1:E1175)))))</f>
        <v> </v>
      </c>
      <c r="L1176" s="26"/>
    </row>
    <row r="1177" spans="1:12">
      <c r="A1177" s="20" t="s">
        <v>1031</v>
      </c>
      <c r="E1177" s="21">
        <f>IF(D1177="?OLD","!!!","")</f>
        <v/>
      </c>
      <c r="F1177" s="22" t="str">
        <f>IF(OR(E1177="",E1177="!!!"),"",IF(NOT(ISNA(VLOOKUP(E1177,E$1:E1176,1,FALSE()))),"OLD",IF(AND(E1177&lt;&gt;"",E1177&lt;&gt;"!!!"),"NEW","")))</f>
        <v> </v>
      </c>
      <c r="G1177" s="23" t="str">
        <f>IF(OR(E1177="",E1177="!!!"),"",IF(OR(J1177=0,AND(J1177=1,K1177=1),AND(J1177=1,I1177="SBJ"),AND(J1177=1,I1177=0)),"?IN_FOCUS",IF(J1177&lt;=2,"?ACTIVATED",IF(J1177&lt;&gt;"","?FAMILIAR",IF(F1177="NEW",IF(ISNA(VLOOKUP(E1177,#REF!,1,FALSE())),"?TYPE_IDENTIFIABLE","?REFERENTIAL"),"_")))))</f>
        <v> </v>
      </c>
      <c r="H1177" s="24" t="str">
        <f>IF(J1177&lt;&gt;1,"",IF(I1177="SBJ","CB","?"))</f>
        <v> </v>
      </c>
      <c r="I1177" s="25" t="str">
        <f>IF(OR(E1177="",E1177="!!!",F1177="NEW"),"",INDEX(B1176:B$2,-1+SUMPRODUCT(MAX(ROW(E1176:E$2)*(E1177=E1176:E$2)))))</f>
        <v> </v>
      </c>
      <c r="J1177" s="25" t="str">
        <f>IF(OR(E1177="",E1177="!!!",F1177="NEW"),"",COUNTBLANK(OFFSET(A$1,,,SUMPRODUCT(MAX(ROW(E$2:E1177)*(E1177=E$2:E1177)))))-COUNTBLANK(OFFSET(A$1,,,SUMPRODUCT(MAX(ROW(E$1:E1176)*(E2=E$1:E1176))))))</f>
        <v> </v>
      </c>
      <c r="K1177" s="25" t="str">
        <f>IF(OR(E1177="",E1177="!!!",F1177="NEW"),"",INDEX(J$1:J1176,SUMPRODUCT(MAX(ROW(E$1:E1176)*(E1177=E$1:E1176)))))</f>
        <v> </v>
      </c>
      <c r="L1177" s="26"/>
    </row>
    <row r="1178" spans="1:12">
      <c r="A1178" s="20" t="s">
        <v>1032</v>
      </c>
      <c r="E1178" s="21">
        <f>IF(D1178="?OLD","!!!","")</f>
        <v/>
      </c>
      <c r="F1178" s="22" t="str">
        <f>IF(OR(E1178="",E1178="!!!"),"",IF(NOT(ISNA(VLOOKUP(E1178,E$1:E1177,1,FALSE()))),"OLD",IF(AND(E1178&lt;&gt;"",E1178&lt;&gt;"!!!"),"NEW","")))</f>
        <v> </v>
      </c>
      <c r="G1178" s="23" t="str">
        <f>IF(OR(E1178="",E1178="!!!"),"",IF(OR(J1178=0,AND(J1178=1,K1178=1),AND(J1178=1,I1178="SBJ"),AND(J1178=1,I1178=0)),"?IN_FOCUS",IF(J1178&lt;=2,"?ACTIVATED",IF(J1178&lt;&gt;"","?FAMILIAR",IF(F1178="NEW",IF(ISNA(VLOOKUP(E1178,#REF!,1,FALSE())),"?TYPE_IDENTIFIABLE","?REFERENTIAL"),"_")))))</f>
        <v> </v>
      </c>
      <c r="H1178" s="24" t="str">
        <f>IF(J1178&lt;&gt;1,"",IF(I1178="SBJ","CB","?"))</f>
        <v> </v>
      </c>
      <c r="I1178" s="25" t="str">
        <f>IF(OR(E1178="",E1178="!!!",F1178="NEW"),"",INDEX(B1177:B$2,-1+SUMPRODUCT(MAX(ROW(E1177:E$2)*(E1178=E1177:E$2)))))</f>
        <v> </v>
      </c>
      <c r="J1178" s="25" t="str">
        <f>IF(OR(E1178="",E1178="!!!",F1178="NEW"),"",COUNTBLANK(OFFSET(A$1,,,SUMPRODUCT(MAX(ROW(E$2:E1178)*(E1178=E$2:E1178)))))-COUNTBLANK(OFFSET(A$1,,,SUMPRODUCT(MAX(ROW(E$1:E1177)*(E2=E$1:E1177))))))</f>
        <v> </v>
      </c>
      <c r="K1178" s="25" t="str">
        <f>IF(OR(E1178="",E1178="!!!",F1178="NEW"),"",INDEX(J$1:J1177,SUMPRODUCT(MAX(ROW(E$1:E1177)*(E1178=E$1:E1177)))))</f>
        <v> </v>
      </c>
      <c r="L1178" s="26"/>
    </row>
    <row r="1179" spans="1:12">
      <c r="A1179" s="20" t="s">
        <v>1033</v>
      </c>
      <c r="B1179" s="27" t="s">
        <v>711</v>
      </c>
      <c r="C1179" s="27" t="s">
        <v>690</v>
      </c>
      <c r="D1179" s="27" t="s">
        <v>478</v>
      </c>
      <c r="E1179" s="21">
        <f>IF(D1179="?OLD","!!!","")</f>
        <v/>
      </c>
      <c r="F1179" s="22" t="str">
        <f>IF(OR(E1179="",E1179="!!!"),"",IF(NOT(ISNA(VLOOKUP(E1179,E$1:E1178,1,FALSE()))),"OLD",IF(AND(E1179&lt;&gt;"",E1179&lt;&gt;"!!!"),"NEW","")))</f>
        <v> </v>
      </c>
      <c r="G1179" s="23" t="str">
        <f>IF(OR(E1179="",E1179="!!!"),"",IF(OR(J1179=0,AND(J1179=1,K1179=1),AND(J1179=1,I1179="SBJ"),AND(J1179=1,I1179=0)),"?IN_FOCUS",IF(J1179&lt;=2,"?ACTIVATED",IF(J1179&lt;&gt;"","?FAMILIAR",IF(F1179="NEW",IF(ISNA(VLOOKUP(E1179,#REF!,1,FALSE())),"?TYPE_IDENTIFIABLE","?REFERENTIAL"),"_")))))</f>
        <v> </v>
      </c>
      <c r="H1179" s="24" t="str">
        <f>IF(J1179&lt;&gt;1,"",IF(I1179="SBJ","CB","?"))</f>
        <v> </v>
      </c>
      <c r="I1179" s="25" t="str">
        <f>IF(OR(E1179="",E1179="!!!",F1179="NEW"),"",INDEX(B1178:B$2,-1+SUMPRODUCT(MAX(ROW(E1178:E$2)*(E1179=E1178:E$2)))))</f>
        <v> </v>
      </c>
      <c r="J1179" s="25" t="str">
        <f>IF(OR(E1179="",E1179="!!!",F1179="NEW"),"",COUNTBLANK(OFFSET(A$1,,,SUMPRODUCT(MAX(ROW(E$2:E1179)*(E1179=E$2:E1179)))))-COUNTBLANK(OFFSET(A$1,,,SUMPRODUCT(MAX(ROW(E$1:E1178)*(E2=E$1:E1178))))))</f>
        <v> </v>
      </c>
      <c r="K1179" s="25" t="str">
        <f>IF(OR(E1179="",E1179="!!!",F1179="NEW"),"",INDEX(J$1:J1178,SUMPRODUCT(MAX(ROW(E$1:E1178)*(E1179=E$1:E1178)))))</f>
        <v> </v>
      </c>
      <c r="L1179" s="26"/>
    </row>
    <row r="1180" spans="1:12">
      <c r="A1180" s="20" t="s">
        <v>253</v>
      </c>
      <c r="E1180" s="21">
        <f>IF(D1180="?OLD","!!!","")</f>
        <v/>
      </c>
      <c r="F1180" s="22" t="str">
        <f>IF(OR(E1180="",E1180="!!!"),"",IF(NOT(ISNA(VLOOKUP(E1180,E$1:E1179,1,FALSE()))),"OLD",IF(AND(E1180&lt;&gt;"",E1180&lt;&gt;"!!!"),"NEW","")))</f>
        <v> </v>
      </c>
      <c r="G1180" s="23" t="str">
        <f>IF(OR(E1180="",E1180="!!!"),"",IF(OR(J1180=0,AND(J1180=1,K1180=1),AND(J1180=1,I1180="SBJ"),AND(J1180=1,I1180=0)),"?IN_FOCUS",IF(J1180&lt;=2,"?ACTIVATED",IF(J1180&lt;&gt;"","?FAMILIAR",IF(F1180="NEW",IF(ISNA(VLOOKUP(E1180,#REF!,1,FALSE())),"?TYPE_IDENTIFIABLE","?REFERENTIAL"),"_")))))</f>
        <v> </v>
      </c>
      <c r="H1180" s="24" t="str">
        <f>IF(J1180&lt;&gt;1,"",IF(I1180="SBJ","CB","?"))</f>
        <v> </v>
      </c>
      <c r="I1180" s="25" t="str">
        <f>IF(OR(E1180="",E1180="!!!",F1180="NEW"),"",INDEX(B1179:B$2,-1+SUMPRODUCT(MAX(ROW(E1179:E$2)*(E1180=E1179:E$2)))))</f>
        <v> </v>
      </c>
      <c r="J1180" s="25" t="str">
        <f>IF(OR(E1180="",E1180="!!!",F1180="NEW"),"",COUNTBLANK(OFFSET(A$1,,,SUMPRODUCT(MAX(ROW(E$2:E1180)*(E1180=E$2:E1180)))))-COUNTBLANK(OFFSET(A$1,,,SUMPRODUCT(MAX(ROW(E$1:E1179)*(E2=E$1:E1179))))))</f>
        <v> </v>
      </c>
      <c r="K1180" s="25" t="str">
        <f>IF(OR(E1180="",E1180="!!!",F1180="NEW"),"",INDEX(J$1:J1179,SUMPRODUCT(MAX(ROW(E$1:E1179)*(E1180=E$1:E1179)))))</f>
        <v> </v>
      </c>
      <c r="L1180" s="26"/>
    </row>
    <row r="1181" spans="1:12">
      <c r="A1181" s="20"/>
    </row>
    <row r="1182" spans="1:12">
      <c r="A1182" s="20" t="s">
        <v>1034</v>
      </c>
    </row>
    <row r="1183" spans="1:12">
      <c r="A1183" s="20" t="s">
        <v>901</v>
      </c>
      <c r="E1183" s="21">
        <f>IF(D1183="?OLD","!!!","")</f>
        <v/>
      </c>
      <c r="F1183" s="22" t="str">
        <f>IF(OR(E1183="",E1183="!!!"),"",IF(NOT(ISNA(VLOOKUP(E1183,E$1:E1182,1,FALSE()))),"OLD",IF(AND(E1183&lt;&gt;"",E1183&lt;&gt;"!!!"),"NEW","")))</f>
        <v> </v>
      </c>
      <c r="G1183" s="23" t="str">
        <f>IF(OR(E1183="",E1183="!!!"),"",IF(OR(J1183=0,AND(J1183=1,K1183=1),AND(J1183=1,I1183="SBJ"),AND(J1183=1,I1183=0)),"?IN_FOCUS",IF(J1183&lt;=2,"?ACTIVATED",IF(J1183&lt;&gt;"","?FAMILIAR",IF(F1183="NEW",IF(ISNA(VLOOKUP(E1183,#REF!,1,FALSE())),"?TYPE_IDENTIFIABLE","?REFERENTIAL"),"_")))))</f>
        <v> </v>
      </c>
      <c r="H1183" s="24" t="str">
        <f>IF(J1183&lt;&gt;1,"",IF(I1183="SBJ","CB","?"))</f>
        <v> </v>
      </c>
      <c r="I1183" s="25" t="str">
        <f>IF(OR(E1183="",E1183="!!!",F1183="NEW"),"",INDEX(B1182:B$2,-1+SUMPRODUCT(MAX(ROW(E1182:E$2)*(E1183=E1182:E$2)))))</f>
        <v> </v>
      </c>
      <c r="J1183" s="25" t="str">
        <f>IF(OR(E1183="",E1183="!!!",F1183="NEW"),"",COUNTBLANK(OFFSET(A$1,,,SUMPRODUCT(MAX(ROW(E$2:E1183)*(E1183=E$2:E1183)))))-COUNTBLANK(OFFSET(A$1,,,SUMPRODUCT(MAX(ROW(E$1:E1182)*(E2=E$1:E1182))))))</f>
        <v> </v>
      </c>
      <c r="K1183" s="25" t="str">
        <f>IF(OR(E1183="",E1183="!!!",F1183="NEW"),"",INDEX(J$1:J1182,SUMPRODUCT(MAX(ROW(E$1:E1182)*(E1183=E$1:E1182)))))</f>
        <v> </v>
      </c>
      <c r="L1183" s="26"/>
    </row>
    <row r="1184" spans="1:12">
      <c r="A1184" s="20" t="s">
        <v>576</v>
      </c>
      <c r="B1184" s="27" t="s">
        <v>577</v>
      </c>
      <c r="C1184" s="27" t="s">
        <v>477</v>
      </c>
      <c r="D1184" s="27" t="s">
        <v>478</v>
      </c>
      <c r="E1184" s="21">
        <f>IF(D1184="?OLD","!!!","")</f>
        <v/>
      </c>
      <c r="F1184" s="22" t="str">
        <f>IF(OR(E1184="",E1184="!!!"),"",IF(NOT(ISNA(VLOOKUP(E1184,E$1:E1183,1,FALSE()))),"OLD",IF(AND(E1184&lt;&gt;"",E1184&lt;&gt;"!!!"),"NEW","")))</f>
        <v> </v>
      </c>
      <c r="G1184" s="23" t="str">
        <f>IF(OR(E1184="",E1184="!!!"),"",IF(OR(J1184=0,AND(J1184=1,K1184=1),AND(J1184=1,I1184="SBJ"),AND(J1184=1,I1184=0)),"?IN_FOCUS",IF(J1184&lt;=2,"?ACTIVATED",IF(J1184&lt;&gt;"","?FAMILIAR",IF(F1184="NEW",IF(ISNA(VLOOKUP(E1184,#REF!,1,FALSE())),"?TYPE_IDENTIFIABLE","?REFERENTIAL"),"_")))))</f>
        <v> </v>
      </c>
      <c r="H1184" s="24" t="str">
        <f>IF(J1184&lt;&gt;1,"",IF(I1184="SBJ","CB","?"))</f>
        <v> </v>
      </c>
      <c r="I1184" s="25" t="str">
        <f>IF(OR(E1184="",E1184="!!!",F1184="NEW"),"",INDEX(B1183:B$2,-1+SUMPRODUCT(MAX(ROW(E1183:E$2)*(E1184=E1183:E$2)))))</f>
        <v> </v>
      </c>
      <c r="J1184" s="25" t="str">
        <f>IF(OR(E1184="",E1184="!!!",F1184="NEW"),"",COUNTBLANK(OFFSET(A$1,,,SUMPRODUCT(MAX(ROW(E$2:E1184)*(E1184=E$2:E1184)))))-COUNTBLANK(OFFSET(A$1,,,SUMPRODUCT(MAX(ROW(E$1:E1183)*(E2=E$1:E1183))))))</f>
        <v> </v>
      </c>
      <c r="K1184" s="25" t="str">
        <f>IF(OR(E1184="",E1184="!!!",F1184="NEW"),"",INDEX(J$1:J1183,SUMPRODUCT(MAX(ROW(E$1:E1183)*(E1184=E$1:E1183)))))</f>
        <v> </v>
      </c>
      <c r="L1184" s="26"/>
    </row>
    <row r="1185" spans="1:12">
      <c r="A1185" s="20" t="s">
        <v>493</v>
      </c>
      <c r="E1185" s="21">
        <f>IF(D1185="?OLD","!!!","")</f>
        <v/>
      </c>
      <c r="F1185" s="22" t="str">
        <f>IF(OR(E1185="",E1185="!!!"),"",IF(NOT(ISNA(VLOOKUP(E1185,E$1:E1184,1,FALSE()))),"OLD",IF(AND(E1185&lt;&gt;"",E1185&lt;&gt;"!!!"),"NEW","")))</f>
        <v> </v>
      </c>
      <c r="G1185" s="23" t="str">
        <f>IF(OR(E1185="",E1185="!!!"),"",IF(OR(J1185=0,AND(J1185=1,K1185=1),AND(J1185=1,I1185="SBJ"),AND(J1185=1,I1185=0)),"?IN_FOCUS",IF(J1185&lt;=2,"?ACTIVATED",IF(J1185&lt;&gt;"","?FAMILIAR",IF(F1185="NEW",IF(ISNA(VLOOKUP(E1185,#REF!,1,FALSE())),"?TYPE_IDENTIFIABLE","?REFERENTIAL"),"_")))))</f>
        <v> </v>
      </c>
      <c r="H1185" s="24" t="str">
        <f>IF(J1185&lt;&gt;1,"",IF(I1185="SBJ","CB","?"))</f>
        <v> </v>
      </c>
      <c r="I1185" s="25" t="str">
        <f>IF(OR(E1185="",E1185="!!!",F1185="NEW"),"",INDEX(B1184:B$2,-1+SUMPRODUCT(MAX(ROW(E1184:E$2)*(E1185=E1184:E$2)))))</f>
        <v> </v>
      </c>
      <c r="J1185" s="25" t="str">
        <f>IF(OR(E1185="",E1185="!!!",F1185="NEW"),"",COUNTBLANK(OFFSET(A$1,,,SUMPRODUCT(MAX(ROW(E$2:E1185)*(E1185=E$2:E1185)))))-COUNTBLANK(OFFSET(A$1,,,SUMPRODUCT(MAX(ROW(E$1:E1184)*(E2=E$1:E1184))))))</f>
        <v> </v>
      </c>
      <c r="K1185" s="25" t="str">
        <f>IF(OR(E1185="",E1185="!!!",F1185="NEW"),"",INDEX(J$1:J1184,SUMPRODUCT(MAX(ROW(E$1:E1184)*(E1185=E$1:E1184)))))</f>
        <v> </v>
      </c>
      <c r="L1185" s="26"/>
    </row>
    <row r="1186" spans="1:12">
      <c r="A1186" s="20" t="s">
        <v>593</v>
      </c>
      <c r="E1186" s="21">
        <f>IF(D1186="?OLD","!!!","")</f>
        <v/>
      </c>
      <c r="F1186" s="22" t="str">
        <f>IF(OR(E1186="",E1186="!!!"),"",IF(NOT(ISNA(VLOOKUP(E1186,E$1:E1185,1,FALSE()))),"OLD",IF(AND(E1186&lt;&gt;"",E1186&lt;&gt;"!!!"),"NEW","")))</f>
        <v> </v>
      </c>
      <c r="G1186" s="23" t="str">
        <f>IF(OR(E1186="",E1186="!!!"),"",IF(OR(J1186=0,AND(J1186=1,K1186=1),AND(J1186=1,I1186="SBJ"),AND(J1186=1,I1186=0)),"?IN_FOCUS",IF(J1186&lt;=2,"?ACTIVATED",IF(J1186&lt;&gt;"","?FAMILIAR",IF(F1186="NEW",IF(ISNA(VLOOKUP(E1186,#REF!,1,FALSE())),"?TYPE_IDENTIFIABLE","?REFERENTIAL"),"_")))))</f>
        <v> </v>
      </c>
      <c r="H1186" s="24" t="str">
        <f>IF(J1186&lt;&gt;1,"",IF(I1186="SBJ","CB","?"))</f>
        <v> </v>
      </c>
      <c r="I1186" s="25" t="str">
        <f>IF(OR(E1186="",E1186="!!!",F1186="NEW"),"",INDEX(B1185:B$2,-1+SUMPRODUCT(MAX(ROW(E1185:E$2)*(E1186=E1185:E$2)))))</f>
        <v> </v>
      </c>
      <c r="J1186" s="25" t="str">
        <f>IF(OR(E1186="",E1186="!!!",F1186="NEW"),"",COUNTBLANK(OFFSET(A$1,,,SUMPRODUCT(MAX(ROW(E$2:E1186)*(E1186=E$2:E1186)))))-COUNTBLANK(OFFSET(A$1,,,SUMPRODUCT(MAX(ROW(E$1:E1185)*(E2=E$1:E1185))))))</f>
        <v> </v>
      </c>
      <c r="K1186" s="25" t="str">
        <f>IF(OR(E1186="",E1186="!!!",F1186="NEW"),"",INDEX(J$1:J1185,SUMPRODUCT(MAX(ROW(E$1:E1185)*(E1186=E$1:E1185)))))</f>
        <v> </v>
      </c>
      <c r="L1186" s="26"/>
    </row>
    <row r="1187" spans="1:12">
      <c r="A1187" s="20" t="s">
        <v>1035</v>
      </c>
      <c r="E1187" s="21">
        <f>IF(D1187="?OLD","!!!","")</f>
        <v/>
      </c>
      <c r="F1187" s="22" t="str">
        <f>IF(OR(E1187="",E1187="!!!"),"",IF(NOT(ISNA(VLOOKUP(E1187,E$1:E1186,1,FALSE()))),"OLD",IF(AND(E1187&lt;&gt;"",E1187&lt;&gt;"!!!"),"NEW","")))</f>
        <v> </v>
      </c>
      <c r="G1187" s="23" t="str">
        <f>IF(OR(E1187="",E1187="!!!"),"",IF(OR(J1187=0,AND(J1187=1,K1187=1),AND(J1187=1,I1187="SBJ"),AND(J1187=1,I1187=0)),"?IN_FOCUS",IF(J1187&lt;=2,"?ACTIVATED",IF(J1187&lt;&gt;"","?FAMILIAR",IF(F1187="NEW",IF(ISNA(VLOOKUP(E1187,#REF!,1,FALSE())),"?TYPE_IDENTIFIABLE","?REFERENTIAL"),"_")))))</f>
        <v> </v>
      </c>
      <c r="H1187" s="24" t="str">
        <f>IF(J1187&lt;&gt;1,"",IF(I1187="SBJ","CB","?"))</f>
        <v> </v>
      </c>
      <c r="I1187" s="25" t="str">
        <f>IF(OR(E1187="",E1187="!!!",F1187="NEW"),"",INDEX(B1186:B$2,-1+SUMPRODUCT(MAX(ROW(E1186:E$2)*(E1187=E1186:E$2)))))</f>
        <v> </v>
      </c>
      <c r="J1187" s="25" t="str">
        <f>IF(OR(E1187="",E1187="!!!",F1187="NEW"),"",COUNTBLANK(OFFSET(A$1,,,SUMPRODUCT(MAX(ROW(E$2:E1187)*(E1187=E$2:E1187)))))-COUNTBLANK(OFFSET(A$1,,,SUMPRODUCT(MAX(ROW(E$1:E1186)*(E2=E$1:E1186))))))</f>
        <v> </v>
      </c>
      <c r="K1187" s="25" t="str">
        <f>IF(OR(E1187="",E1187="!!!",F1187="NEW"),"",INDEX(J$1:J1186,SUMPRODUCT(MAX(ROW(E$1:E1186)*(E1187=E$1:E1186)))))</f>
        <v> </v>
      </c>
      <c r="L1187" s="26"/>
    </row>
    <row r="1188" spans="1:12">
      <c r="A1188" s="20" t="s">
        <v>12</v>
      </c>
      <c r="E1188" s="21">
        <f>IF(D1188="?OLD","!!!","")</f>
        <v/>
      </c>
      <c r="F1188" s="22" t="str">
        <f>IF(OR(E1188="",E1188="!!!"),"",IF(NOT(ISNA(VLOOKUP(E1188,E$1:E1187,1,FALSE()))),"OLD",IF(AND(E1188&lt;&gt;"",E1188&lt;&gt;"!!!"),"NEW","")))</f>
        <v> </v>
      </c>
      <c r="G1188" s="23" t="str">
        <f>IF(OR(E1188="",E1188="!!!"),"",IF(OR(J1188=0,AND(J1188=1,K1188=1),AND(J1188=1,I1188="SBJ"),AND(J1188=1,I1188=0)),"?IN_FOCUS",IF(J1188&lt;=2,"?ACTIVATED",IF(J1188&lt;&gt;"","?FAMILIAR",IF(F1188="NEW",IF(ISNA(VLOOKUP(E1188,#REF!,1,FALSE())),"?TYPE_IDENTIFIABLE","?REFERENTIAL"),"_")))))</f>
        <v> </v>
      </c>
      <c r="H1188" s="24" t="str">
        <f>IF(J1188&lt;&gt;1,"",IF(I1188="SBJ","CB","?"))</f>
        <v> </v>
      </c>
      <c r="I1188" s="25" t="str">
        <f>IF(OR(E1188="",E1188="!!!",F1188="NEW"),"",INDEX(B1187:B$2,-1+SUMPRODUCT(MAX(ROW(E1187:E$2)*(E1188=E1187:E$2)))))</f>
        <v> </v>
      </c>
      <c r="J1188" s="25" t="str">
        <f>IF(OR(E1188="",E1188="!!!",F1188="NEW"),"",COUNTBLANK(OFFSET(A$1,,,SUMPRODUCT(MAX(ROW(E$2:E1188)*(E1188=E$2:E1188)))))-COUNTBLANK(OFFSET(A$1,,,SUMPRODUCT(MAX(ROW(E$1:E1187)*(E2=E$1:E1187))))))</f>
        <v> </v>
      </c>
      <c r="K1188" s="25" t="str">
        <f>IF(OR(E1188="",E1188="!!!",F1188="NEW"),"",INDEX(J$1:J1187,SUMPRODUCT(MAX(ROW(E$1:E1187)*(E1188=E$1:E1187)))))</f>
        <v> </v>
      </c>
      <c r="L1188" s="26"/>
    </row>
    <row r="1189" spans="1:12">
      <c r="A1189" s="20" t="s">
        <v>686</v>
      </c>
      <c r="E1189" s="21">
        <f>IF(D1189="?OLD","!!!","")</f>
        <v/>
      </c>
      <c r="F1189" s="22" t="str">
        <f>IF(OR(E1189="",E1189="!!!"),"",IF(NOT(ISNA(VLOOKUP(E1189,E$1:E1188,1,FALSE()))),"OLD",IF(AND(E1189&lt;&gt;"",E1189&lt;&gt;"!!!"),"NEW","")))</f>
        <v> </v>
      </c>
      <c r="G1189" s="23" t="str">
        <f>IF(OR(E1189="",E1189="!!!"),"",IF(OR(J1189=0,AND(J1189=1,K1189=1),AND(J1189=1,I1189="SBJ"),AND(J1189=1,I1189=0)),"?IN_FOCUS",IF(J1189&lt;=2,"?ACTIVATED",IF(J1189&lt;&gt;"","?FAMILIAR",IF(F1189="NEW",IF(ISNA(VLOOKUP(E1189,#REF!,1,FALSE())),"?TYPE_IDENTIFIABLE","?REFERENTIAL"),"_")))))</f>
        <v> </v>
      </c>
      <c r="H1189" s="24" t="str">
        <f>IF(J1189&lt;&gt;1,"",IF(I1189="SBJ","CB","?"))</f>
        <v> </v>
      </c>
      <c r="I1189" s="25" t="str">
        <f>IF(OR(E1189="",E1189="!!!",F1189="NEW"),"",INDEX(B1188:B$2,-1+SUMPRODUCT(MAX(ROW(E1188:E$2)*(E1189=E1188:E$2)))))</f>
        <v> </v>
      </c>
      <c r="J1189" s="25" t="str">
        <f>IF(OR(E1189="",E1189="!!!",F1189="NEW"),"",COUNTBLANK(OFFSET(A$1,,,SUMPRODUCT(MAX(ROW(E$2:E1189)*(E1189=E$2:E1189)))))-COUNTBLANK(OFFSET(A$1,,,SUMPRODUCT(MAX(ROW(E$1:E1188)*(E2=E$1:E1188))))))</f>
        <v> </v>
      </c>
      <c r="K1189" s="25" t="str">
        <f>IF(OR(E1189="",E1189="!!!",F1189="NEW"),"",INDEX(J$1:J1188,SUMPRODUCT(MAX(ROW(E$1:E1188)*(E1189=E$1:E1188)))))</f>
        <v> </v>
      </c>
      <c r="L1189" s="26"/>
    </row>
    <row r="1190" spans="1:12">
      <c r="A1190" s="20" t="s">
        <v>759</v>
      </c>
      <c r="B1190" s="27" t="s">
        <v>711</v>
      </c>
      <c r="C1190" s="27" t="s">
        <v>933</v>
      </c>
      <c r="D1190" s="27" t="s">
        <v>478</v>
      </c>
      <c r="E1190" s="21">
        <f>IF(D1190="?OLD","!!!","")</f>
        <v/>
      </c>
      <c r="F1190" s="22" t="str">
        <f>IF(OR(E1190="",E1190="!!!"),"",IF(NOT(ISNA(VLOOKUP(E1190,E$1:E1189,1,FALSE()))),"OLD",IF(AND(E1190&lt;&gt;"",E1190&lt;&gt;"!!!"),"NEW","")))</f>
        <v> </v>
      </c>
      <c r="G1190" s="23" t="str">
        <f>IF(OR(E1190="",E1190="!!!"),"",IF(OR(J1190=0,AND(J1190=1,K1190=1),AND(J1190=1,I1190="SBJ"),AND(J1190=1,I1190=0)),"?IN_FOCUS",IF(J1190&lt;=2,"?ACTIVATED",IF(J1190&lt;&gt;"","?FAMILIAR",IF(F1190="NEW",IF(ISNA(VLOOKUP(E1190,#REF!,1,FALSE())),"?TYPE_IDENTIFIABLE","?REFERENTIAL"),"_")))))</f>
        <v> </v>
      </c>
      <c r="H1190" s="24" t="str">
        <f>IF(J1190&lt;&gt;1,"",IF(I1190="SBJ","CB","?"))</f>
        <v> </v>
      </c>
      <c r="I1190" s="25" t="str">
        <f>IF(OR(E1190="",E1190="!!!",F1190="NEW"),"",INDEX(B1189:B$2,-1+SUMPRODUCT(MAX(ROW(E1189:E$2)*(E1190=E1189:E$2)))))</f>
        <v> </v>
      </c>
      <c r="J1190" s="25" t="str">
        <f>IF(OR(E1190="",E1190="!!!",F1190="NEW"),"",COUNTBLANK(OFFSET(A$1,,,SUMPRODUCT(MAX(ROW(E$2:E1190)*(E1190=E$2:E1190)))))-COUNTBLANK(OFFSET(A$1,,,SUMPRODUCT(MAX(ROW(E$1:E1189)*(E2=E$1:E1189))))))</f>
        <v> </v>
      </c>
      <c r="K1190" s="25" t="str">
        <f>IF(OR(E1190="",E1190="!!!",F1190="NEW"),"",INDEX(J$1:J1189,SUMPRODUCT(MAX(ROW(E$1:E1189)*(E1190=E$1:E1189)))))</f>
        <v> </v>
      </c>
      <c r="L1190" s="26"/>
    </row>
    <row r="1191" spans="1:12">
      <c r="A1191" s="20" t="s">
        <v>688</v>
      </c>
      <c r="E1191" s="21">
        <f>IF(D1191="?OLD","!!!","")</f>
        <v/>
      </c>
      <c r="F1191" s="22" t="str">
        <f>IF(OR(E1191="",E1191="!!!"),"",IF(NOT(ISNA(VLOOKUP(E1191,E$1:E1190,1,FALSE()))),"OLD",IF(AND(E1191&lt;&gt;"",E1191&lt;&gt;"!!!"),"NEW","")))</f>
        <v> </v>
      </c>
      <c r="G1191" s="23" t="str">
        <f>IF(OR(E1191="",E1191="!!!"),"",IF(OR(J1191=0,AND(J1191=1,K1191=1),AND(J1191=1,I1191="SBJ"),AND(J1191=1,I1191=0)),"?IN_FOCUS",IF(J1191&lt;=2,"?ACTIVATED",IF(J1191&lt;&gt;"","?FAMILIAR",IF(F1191="NEW",IF(ISNA(VLOOKUP(E1191,#REF!,1,FALSE())),"?TYPE_IDENTIFIABLE","?REFERENTIAL"),"_")))))</f>
        <v> </v>
      </c>
      <c r="H1191" s="24" t="str">
        <f>IF(J1191&lt;&gt;1,"",IF(I1191="SBJ","CB","?"))</f>
        <v> </v>
      </c>
      <c r="I1191" s="25" t="str">
        <f>IF(OR(E1191="",E1191="!!!",F1191="NEW"),"",INDEX(B1190:B$2,-1+SUMPRODUCT(MAX(ROW(E1190:E$2)*(E1191=E1190:E$2)))))</f>
        <v> </v>
      </c>
      <c r="J1191" s="25" t="str">
        <f>IF(OR(E1191="",E1191="!!!",F1191="NEW"),"",COUNTBLANK(OFFSET(A$1,,,SUMPRODUCT(MAX(ROW(E$2:E1191)*(E1191=E$2:E1191)))))-COUNTBLANK(OFFSET(A$1,,,SUMPRODUCT(MAX(ROW(E$1:E1190)*(E2=E$1:E1190))))))</f>
        <v> </v>
      </c>
      <c r="K1191" s="25" t="str">
        <f>IF(OR(E1191="",E1191="!!!",F1191="NEW"),"",INDEX(J$1:J1190,SUMPRODUCT(MAX(ROW(E$1:E1190)*(E1191=E$1:E1190)))))</f>
        <v> </v>
      </c>
      <c r="L1191" s="26"/>
    </row>
    <row r="1192" spans="1:12">
      <c r="A1192" s="20" t="s">
        <v>482</v>
      </c>
      <c r="E1192" s="21">
        <f>IF(D1192="?OLD","!!!","")</f>
        <v/>
      </c>
      <c r="F1192" s="22" t="str">
        <f>IF(OR(E1192="",E1192="!!!"),"",IF(NOT(ISNA(VLOOKUP(E1192,E$1:E1191,1,FALSE()))),"OLD",IF(AND(E1192&lt;&gt;"",E1192&lt;&gt;"!!!"),"NEW","")))</f>
        <v> </v>
      </c>
      <c r="G1192" s="23" t="str">
        <f>IF(OR(E1192="",E1192="!!!"),"",IF(OR(J1192=0,AND(J1192=1,K1192=1),AND(J1192=1,I1192="SBJ"),AND(J1192=1,I1192=0)),"?IN_FOCUS",IF(J1192&lt;=2,"?ACTIVATED",IF(J1192&lt;&gt;"","?FAMILIAR",IF(F1192="NEW",IF(ISNA(VLOOKUP(E1192,#REF!,1,FALSE())),"?TYPE_IDENTIFIABLE","?REFERENTIAL"),"_")))))</f>
        <v> </v>
      </c>
      <c r="H1192" s="24" t="str">
        <f>IF(J1192&lt;&gt;1,"",IF(I1192="SBJ","CB","?"))</f>
        <v> </v>
      </c>
      <c r="I1192" s="25" t="str">
        <f>IF(OR(E1192="",E1192="!!!",F1192="NEW"),"",INDEX(B1191:B$2,-1+SUMPRODUCT(MAX(ROW(E1191:E$2)*(E1192=E1191:E$2)))))</f>
        <v> </v>
      </c>
      <c r="J1192" s="25" t="str">
        <f>IF(OR(E1192="",E1192="!!!",F1192="NEW"),"",COUNTBLANK(OFFSET(A$1,,,SUMPRODUCT(MAX(ROW(E$2:E1192)*(E1192=E$2:E1192)))))-COUNTBLANK(OFFSET(A$1,,,SUMPRODUCT(MAX(ROW(E$1:E1191)*(E2=E$1:E1191))))))</f>
        <v> </v>
      </c>
      <c r="K1192" s="25" t="str">
        <f>IF(OR(E1192="",E1192="!!!",F1192="NEW"),"",INDEX(J$1:J1191,SUMPRODUCT(MAX(ROW(E$1:E1191)*(E1192=E$1:E1191)))))</f>
        <v> </v>
      </c>
      <c r="L1192" s="26"/>
    </row>
    <row r="1193" spans="1:12">
      <c r="A1193" s="20" t="s">
        <v>550</v>
      </c>
      <c r="E1193" s="21">
        <f>IF(D1193="?OLD","!!!","")</f>
        <v/>
      </c>
      <c r="F1193" s="22" t="str">
        <f>IF(OR(E1193="",E1193="!!!"),"",IF(NOT(ISNA(VLOOKUP(E1193,E$1:E1192,1,FALSE()))),"OLD",IF(AND(E1193&lt;&gt;"",E1193&lt;&gt;"!!!"),"NEW","")))</f>
        <v> </v>
      </c>
      <c r="G1193" s="23" t="str">
        <f>IF(OR(E1193="",E1193="!!!"),"",IF(OR(J1193=0,AND(J1193=1,K1193=1),AND(J1193=1,I1193="SBJ"),AND(J1193=1,I1193=0)),"?IN_FOCUS",IF(J1193&lt;=2,"?ACTIVATED",IF(J1193&lt;&gt;"","?FAMILIAR",IF(F1193="NEW",IF(ISNA(VLOOKUP(E1193,#REF!,1,FALSE())),"?TYPE_IDENTIFIABLE","?REFERENTIAL"),"_")))))</f>
        <v> </v>
      </c>
      <c r="H1193" s="24" t="str">
        <f>IF(J1193&lt;&gt;1,"",IF(I1193="SBJ","CB","?"))</f>
        <v> </v>
      </c>
      <c r="I1193" s="25" t="str">
        <f>IF(OR(E1193="",E1193="!!!",F1193="NEW"),"",INDEX(B1192:B$2,-1+SUMPRODUCT(MAX(ROW(E1192:E$2)*(E1193=E1192:E$2)))))</f>
        <v> </v>
      </c>
      <c r="J1193" s="25" t="str">
        <f>IF(OR(E1193="",E1193="!!!",F1193="NEW"),"",COUNTBLANK(OFFSET(A$1,,,SUMPRODUCT(MAX(ROW(E$2:E1193)*(E1193=E$2:E1193)))))-COUNTBLANK(OFFSET(A$1,,,SUMPRODUCT(MAX(ROW(E$1:E1192)*(E2=E$1:E1192))))))</f>
        <v> </v>
      </c>
      <c r="K1193" s="25" t="str">
        <f>IF(OR(E1193="",E1193="!!!",F1193="NEW"),"",INDEX(J$1:J1192,SUMPRODUCT(MAX(ROW(E$1:E1192)*(E1193=E$1:E1192)))))</f>
        <v> </v>
      </c>
      <c r="L1193" s="26"/>
    </row>
    <row r="1194" spans="1:12">
      <c r="A1194" s="20" t="s">
        <v>576</v>
      </c>
      <c r="B1194" s="27" t="s">
        <v>521</v>
      </c>
      <c r="C1194" s="27" t="s">
        <v>477</v>
      </c>
      <c r="D1194" s="27" t="s">
        <v>478</v>
      </c>
      <c r="E1194" s="21">
        <f>IF(D1194="?OLD","!!!","")</f>
        <v/>
      </c>
      <c r="F1194" s="22" t="str">
        <f>IF(OR(E1194="",E1194="!!!"),"",IF(NOT(ISNA(VLOOKUP(E1194,E$1:E1193,1,FALSE()))),"OLD",IF(AND(E1194&lt;&gt;"",E1194&lt;&gt;"!!!"),"NEW","")))</f>
        <v> </v>
      </c>
      <c r="G1194" s="23" t="str">
        <f>IF(OR(E1194="",E1194="!!!"),"",IF(OR(J1194=0,AND(J1194=1,K1194=1),AND(J1194=1,I1194="SBJ"),AND(J1194=1,I1194=0)),"?IN_FOCUS",IF(J1194&lt;=2,"?ACTIVATED",IF(J1194&lt;&gt;"","?FAMILIAR",IF(F1194="NEW",IF(ISNA(VLOOKUP(E1194,#REF!,1,FALSE())),"?TYPE_IDENTIFIABLE","?REFERENTIAL"),"_")))))</f>
        <v> </v>
      </c>
      <c r="H1194" s="24" t="str">
        <f>IF(J1194&lt;&gt;1,"",IF(I1194="SBJ","CB","?"))</f>
        <v> </v>
      </c>
      <c r="I1194" s="25" t="str">
        <f>IF(OR(E1194="",E1194="!!!",F1194="NEW"),"",INDEX(B1193:B$2,-1+SUMPRODUCT(MAX(ROW(E1193:E$2)*(E1194=E1193:E$2)))))</f>
        <v> </v>
      </c>
      <c r="J1194" s="25" t="str">
        <f>IF(OR(E1194="",E1194="!!!",F1194="NEW"),"",COUNTBLANK(OFFSET(A$1,,,SUMPRODUCT(MAX(ROW(E$2:E1194)*(E1194=E$2:E1194)))))-COUNTBLANK(OFFSET(A$1,,,SUMPRODUCT(MAX(ROW(E$1:E1193)*(E2=E$1:E1193))))))</f>
        <v> </v>
      </c>
      <c r="K1194" s="25" t="str">
        <f>IF(OR(E1194="",E1194="!!!",F1194="NEW"),"",INDEX(J$1:J1193,SUMPRODUCT(MAX(ROW(E$1:E1193)*(E1194=E$1:E1193)))))</f>
        <v> </v>
      </c>
      <c r="L1194" s="26"/>
    </row>
    <row r="1195" spans="1:12">
      <c r="A1195" s="20" t="s">
        <v>1036</v>
      </c>
      <c r="E1195" s="21">
        <f>IF(D1195="?OLD","!!!","")</f>
        <v/>
      </c>
      <c r="F1195" s="22" t="str">
        <f>IF(OR(E1195="",E1195="!!!"),"",IF(NOT(ISNA(VLOOKUP(E1195,E$1:E1194,1,FALSE()))),"OLD",IF(AND(E1195&lt;&gt;"",E1195&lt;&gt;"!!!"),"NEW","")))</f>
        <v> </v>
      </c>
      <c r="G1195" s="23" t="str">
        <f>IF(OR(E1195="",E1195="!!!"),"",IF(OR(J1195=0,AND(J1195=1,K1195=1),AND(J1195=1,I1195="SBJ"),AND(J1195=1,I1195=0)),"?IN_FOCUS",IF(J1195&lt;=2,"?ACTIVATED",IF(J1195&lt;&gt;"","?FAMILIAR",IF(F1195="NEW",IF(ISNA(VLOOKUP(E1195,#REF!,1,FALSE())),"?TYPE_IDENTIFIABLE","?REFERENTIAL"),"_")))))</f>
        <v> </v>
      </c>
      <c r="H1195" s="24" t="str">
        <f>IF(J1195&lt;&gt;1,"",IF(I1195="SBJ","CB","?"))</f>
        <v> </v>
      </c>
      <c r="I1195" s="25" t="str">
        <f>IF(OR(E1195="",E1195="!!!",F1195="NEW"),"",INDEX(B1194:B$2,-1+SUMPRODUCT(MAX(ROW(E1194:E$2)*(E1195=E1194:E$2)))))</f>
        <v> </v>
      </c>
      <c r="J1195" s="25" t="str">
        <f>IF(OR(E1195="",E1195="!!!",F1195="NEW"),"",COUNTBLANK(OFFSET(A$1,,,SUMPRODUCT(MAX(ROW(E$2:E1195)*(E1195=E$2:E1195)))))-COUNTBLANK(OFFSET(A$1,,,SUMPRODUCT(MAX(ROW(E$1:E1194)*(E2=E$1:E1194))))))</f>
        <v> </v>
      </c>
      <c r="K1195" s="25" t="str">
        <f>IF(OR(E1195="",E1195="!!!",F1195="NEW"),"",INDEX(J$1:J1194,SUMPRODUCT(MAX(ROW(E$1:E1194)*(E1195=E$1:E1194)))))</f>
        <v> </v>
      </c>
      <c r="L1195" s="26"/>
    </row>
    <row r="1196" spans="1:12">
      <c r="A1196" s="20" t="s">
        <v>1020</v>
      </c>
      <c r="E1196" s="21">
        <f>IF(D1196="?OLD","!!!","")</f>
        <v/>
      </c>
      <c r="F1196" s="22" t="str">
        <f>IF(OR(E1196="",E1196="!!!"),"",IF(NOT(ISNA(VLOOKUP(E1196,E$1:E1195,1,FALSE()))),"OLD",IF(AND(E1196&lt;&gt;"",E1196&lt;&gt;"!!!"),"NEW","")))</f>
        <v> </v>
      </c>
      <c r="G1196" s="23" t="str">
        <f>IF(OR(E1196="",E1196="!!!"),"",IF(OR(J1196=0,AND(J1196=1,K1196=1),AND(J1196=1,I1196="SBJ"),AND(J1196=1,I1196=0)),"?IN_FOCUS",IF(J1196&lt;=2,"?ACTIVATED",IF(J1196&lt;&gt;"","?FAMILIAR",IF(F1196="NEW",IF(ISNA(VLOOKUP(E1196,#REF!,1,FALSE())),"?TYPE_IDENTIFIABLE","?REFERENTIAL"),"_")))))</f>
        <v> </v>
      </c>
      <c r="H1196" s="24" t="str">
        <f>IF(J1196&lt;&gt;1,"",IF(I1196="SBJ","CB","?"))</f>
        <v> </v>
      </c>
      <c r="I1196" s="25" t="str">
        <f>IF(OR(E1196="",E1196="!!!",F1196="NEW"),"",INDEX(B1195:B$2,-1+SUMPRODUCT(MAX(ROW(E1195:E$2)*(E1196=E1195:E$2)))))</f>
        <v> </v>
      </c>
      <c r="J1196" s="25" t="str">
        <f>IF(OR(E1196="",E1196="!!!",F1196="NEW"),"",COUNTBLANK(OFFSET(A$1,,,SUMPRODUCT(MAX(ROW(E$2:E1196)*(E1196=E$2:E1196)))))-COUNTBLANK(OFFSET(A$1,,,SUMPRODUCT(MAX(ROW(E$1:E1195)*(E2=E$1:E1195))))))</f>
        <v> </v>
      </c>
      <c r="K1196" s="25" t="str">
        <f>IF(OR(E1196="",E1196="!!!",F1196="NEW"),"",INDEX(J$1:J1195,SUMPRODUCT(MAX(ROW(E$1:E1195)*(E1196=E$1:E1195)))))</f>
        <v> </v>
      </c>
      <c r="L1196" s="26"/>
    </row>
    <row r="1197" spans="1:12">
      <c r="A1197" s="20" t="s">
        <v>1037</v>
      </c>
      <c r="E1197" s="21">
        <f>IF(D1197="?OLD","!!!","")</f>
        <v/>
      </c>
      <c r="F1197" s="22" t="str">
        <f>IF(OR(E1197="",E1197="!!!"),"",IF(NOT(ISNA(VLOOKUP(E1197,E$1:E1196,1,FALSE()))),"OLD",IF(AND(E1197&lt;&gt;"",E1197&lt;&gt;"!!!"),"NEW","")))</f>
        <v> </v>
      </c>
      <c r="G1197" s="23" t="str">
        <f>IF(OR(E1197="",E1197="!!!"),"",IF(OR(J1197=0,AND(J1197=1,K1197=1),AND(J1197=1,I1197="SBJ"),AND(J1197=1,I1197=0)),"?IN_FOCUS",IF(J1197&lt;=2,"?ACTIVATED",IF(J1197&lt;&gt;"","?FAMILIAR",IF(F1197="NEW",IF(ISNA(VLOOKUP(E1197,#REF!,1,FALSE())),"?TYPE_IDENTIFIABLE","?REFERENTIAL"),"_")))))</f>
        <v> </v>
      </c>
      <c r="H1197" s="24" t="str">
        <f>IF(J1197&lt;&gt;1,"",IF(I1197="SBJ","CB","?"))</f>
        <v> </v>
      </c>
      <c r="I1197" s="25" t="str">
        <f>IF(OR(E1197="",E1197="!!!",F1197="NEW"),"",INDEX(B1196:B$2,-1+SUMPRODUCT(MAX(ROW(E1196:E$2)*(E1197=E1196:E$2)))))</f>
        <v> </v>
      </c>
      <c r="J1197" s="25" t="str">
        <f>IF(OR(E1197="",E1197="!!!",F1197="NEW"),"",COUNTBLANK(OFFSET(A$1,,,SUMPRODUCT(MAX(ROW(E$2:E1197)*(E1197=E$2:E1197)))))-COUNTBLANK(OFFSET(A$1,,,SUMPRODUCT(MAX(ROW(E$1:E1196)*(E2=E$1:E1196))))))</f>
        <v> </v>
      </c>
      <c r="K1197" s="25" t="str">
        <f>IF(OR(E1197="",E1197="!!!",F1197="NEW"),"",INDEX(J$1:J1196,SUMPRODUCT(MAX(ROW(E$1:E1196)*(E1197=E$1:E1196)))))</f>
        <v> </v>
      </c>
      <c r="L1197" s="26"/>
    </row>
    <row r="1198" spans="1:12">
      <c r="A1198" s="20" t="s">
        <v>1038</v>
      </c>
      <c r="E1198" s="21">
        <f>IF(D1198="?OLD","!!!","")</f>
        <v/>
      </c>
      <c r="F1198" s="22" t="str">
        <f>IF(OR(E1198="",E1198="!!!"),"",IF(NOT(ISNA(VLOOKUP(E1198,E$1:E1197,1,FALSE()))),"OLD",IF(AND(E1198&lt;&gt;"",E1198&lt;&gt;"!!!"),"NEW","")))</f>
        <v> </v>
      </c>
      <c r="G1198" s="23" t="str">
        <f>IF(OR(E1198="",E1198="!!!"),"",IF(OR(J1198=0,AND(J1198=1,K1198=1),AND(J1198=1,I1198="SBJ"),AND(J1198=1,I1198=0)),"?IN_FOCUS",IF(J1198&lt;=2,"?ACTIVATED",IF(J1198&lt;&gt;"","?FAMILIAR",IF(F1198="NEW",IF(ISNA(VLOOKUP(E1198,#REF!,1,FALSE())),"?TYPE_IDENTIFIABLE","?REFERENTIAL"),"_")))))</f>
        <v> </v>
      </c>
      <c r="H1198" s="24" t="str">
        <f>IF(J1198&lt;&gt;1,"",IF(I1198="SBJ","CB","?"))</f>
        <v> </v>
      </c>
      <c r="I1198" s="25" t="str">
        <f>IF(OR(E1198="",E1198="!!!",F1198="NEW"),"",INDEX(B1197:B$2,-1+SUMPRODUCT(MAX(ROW(E1197:E$2)*(E1198=E1197:E$2)))))</f>
        <v> </v>
      </c>
      <c r="J1198" s="25" t="str">
        <f>IF(OR(E1198="",E1198="!!!",F1198="NEW"),"",COUNTBLANK(OFFSET(A$1,,,SUMPRODUCT(MAX(ROW(E$2:E1198)*(E1198=E$2:E1198)))))-COUNTBLANK(OFFSET(A$1,,,SUMPRODUCT(MAX(ROW(E$1:E1197)*(E2=E$1:E1197))))))</f>
        <v> </v>
      </c>
      <c r="K1198" s="25" t="str">
        <f>IF(OR(E1198="",E1198="!!!",F1198="NEW"),"",INDEX(J$1:J1197,SUMPRODUCT(MAX(ROW(E$1:E1197)*(E1198=E$1:E1197)))))</f>
        <v> </v>
      </c>
      <c r="L1198" s="26"/>
    </row>
    <row r="1199" spans="1:12">
      <c r="A1199" s="20" t="s">
        <v>536</v>
      </c>
      <c r="E1199" s="21">
        <f>IF(D1199="?OLD","!!!","")</f>
        <v/>
      </c>
      <c r="F1199" s="22" t="str">
        <f>IF(OR(E1199="",E1199="!!!"),"",IF(NOT(ISNA(VLOOKUP(E1199,E$1:E1198,1,FALSE()))),"OLD",IF(AND(E1199&lt;&gt;"",E1199&lt;&gt;"!!!"),"NEW","")))</f>
        <v> </v>
      </c>
      <c r="G1199" s="23" t="str">
        <f>IF(OR(E1199="",E1199="!!!"),"",IF(OR(J1199=0,AND(J1199=1,K1199=1),AND(J1199=1,I1199="SBJ"),AND(J1199=1,I1199=0)),"?IN_FOCUS",IF(J1199&lt;=2,"?ACTIVATED",IF(J1199&lt;&gt;"","?FAMILIAR",IF(F1199="NEW",IF(ISNA(VLOOKUP(E1199,#REF!,1,FALSE())),"?TYPE_IDENTIFIABLE","?REFERENTIAL"),"_")))))</f>
        <v> </v>
      </c>
      <c r="H1199" s="24" t="str">
        <f>IF(J1199&lt;&gt;1,"",IF(I1199="SBJ","CB","?"))</f>
        <v> </v>
      </c>
      <c r="I1199" s="25" t="str">
        <f>IF(OR(E1199="",E1199="!!!",F1199="NEW"),"",INDEX(B1198:B$2,-1+SUMPRODUCT(MAX(ROW(E1198:E$2)*(E1199=E1198:E$2)))))</f>
        <v> </v>
      </c>
      <c r="J1199" s="25" t="str">
        <f>IF(OR(E1199="",E1199="!!!",F1199="NEW"),"",COUNTBLANK(OFFSET(A$1,,,SUMPRODUCT(MAX(ROW(E$2:E1199)*(E1199=E$2:E1199)))))-COUNTBLANK(OFFSET(A$1,,,SUMPRODUCT(MAX(ROW(E$1:E1198)*(E2=E$1:E1198))))))</f>
        <v> </v>
      </c>
      <c r="K1199" s="25" t="str">
        <f>IF(OR(E1199="",E1199="!!!",F1199="NEW"),"",INDEX(J$1:J1198,SUMPRODUCT(MAX(ROW(E$1:E1198)*(E1199=E$1:E1198)))))</f>
        <v> </v>
      </c>
      <c r="L1199" s="26"/>
    </row>
    <row r="1200" spans="1:12">
      <c r="A1200" s="20" t="s">
        <v>475</v>
      </c>
      <c r="B1200" s="27" t="s">
        <v>476</v>
      </c>
      <c r="C1200" s="27" t="s">
        <v>477</v>
      </c>
      <c r="D1200" s="27" t="s">
        <v>478</v>
      </c>
      <c r="E1200" s="21">
        <f>IF(D1200="?OLD","!!!","")</f>
        <v/>
      </c>
      <c r="F1200" s="22" t="str">
        <f>IF(OR(E1200="",E1200="!!!"),"",IF(NOT(ISNA(VLOOKUP(E1200,E$1:E1199,1,FALSE()))),"OLD",IF(AND(E1200&lt;&gt;"",E1200&lt;&gt;"!!!"),"NEW","")))</f>
        <v> </v>
      </c>
      <c r="G1200" s="23" t="str">
        <f>IF(OR(E1200="",E1200="!!!"),"",IF(OR(J1200=0,AND(J1200=1,K1200=1),AND(J1200=1,I1200="SBJ"),AND(J1200=1,I1200=0)),"?IN_FOCUS",IF(J1200&lt;=2,"?ACTIVATED",IF(J1200&lt;&gt;"","?FAMILIAR",IF(F1200="NEW",IF(ISNA(VLOOKUP(E1200,#REF!,1,FALSE())),"?TYPE_IDENTIFIABLE","?REFERENTIAL"),"_")))))</f>
        <v> </v>
      </c>
      <c r="H1200" s="24" t="str">
        <f>IF(J1200&lt;&gt;1,"",IF(I1200="SBJ","CB","?"))</f>
        <v> </v>
      </c>
      <c r="I1200" s="25" t="str">
        <f>IF(OR(E1200="",E1200="!!!",F1200="NEW"),"",INDEX(B1199:B$2,-1+SUMPRODUCT(MAX(ROW(E1199:E$2)*(E1200=E1199:E$2)))))</f>
        <v> </v>
      </c>
      <c r="J1200" s="25" t="str">
        <f>IF(OR(E1200="",E1200="!!!",F1200="NEW"),"",COUNTBLANK(OFFSET(A$1,,,SUMPRODUCT(MAX(ROW(E$2:E1200)*(E1200=E$2:E1200)))))-COUNTBLANK(OFFSET(A$1,,,SUMPRODUCT(MAX(ROW(E$1:E1199)*(E2=E$1:E1199))))))</f>
        <v> </v>
      </c>
      <c r="K1200" s="25" t="str">
        <f>IF(OR(E1200="",E1200="!!!",F1200="NEW"),"",INDEX(J$1:J1199,SUMPRODUCT(MAX(ROW(E$1:E1199)*(E1200=E$1:E1199)))))</f>
        <v> </v>
      </c>
      <c r="L1200" s="26"/>
    </row>
    <row r="1201" spans="1:12">
      <c r="A1201" s="20" t="s">
        <v>1039</v>
      </c>
      <c r="E1201" s="21">
        <f>IF(D1201="?OLD","!!!","")</f>
        <v/>
      </c>
      <c r="F1201" s="22" t="str">
        <f>IF(OR(E1201="",E1201="!!!"),"",IF(NOT(ISNA(VLOOKUP(E1201,E$1:E1200,1,FALSE()))),"OLD",IF(AND(E1201&lt;&gt;"",E1201&lt;&gt;"!!!"),"NEW","")))</f>
        <v> </v>
      </c>
      <c r="G1201" s="23" t="str">
        <f>IF(OR(E1201="",E1201="!!!"),"",IF(OR(J1201=0,AND(J1201=1,K1201=1),AND(J1201=1,I1201="SBJ"),AND(J1201=1,I1201=0)),"?IN_FOCUS",IF(J1201&lt;=2,"?ACTIVATED",IF(J1201&lt;&gt;"","?FAMILIAR",IF(F1201="NEW",IF(ISNA(VLOOKUP(E1201,#REF!,1,FALSE())),"?TYPE_IDENTIFIABLE","?REFERENTIAL"),"_")))))</f>
        <v> </v>
      </c>
      <c r="H1201" s="24" t="str">
        <f>IF(J1201&lt;&gt;1,"",IF(I1201="SBJ","CB","?"))</f>
        <v> </v>
      </c>
      <c r="I1201" s="25" t="str">
        <f>IF(OR(E1201="",E1201="!!!",F1201="NEW"),"",INDEX(B1200:B$2,-1+SUMPRODUCT(MAX(ROW(E1200:E$2)*(E1201=E1200:E$2)))))</f>
        <v> </v>
      </c>
      <c r="J1201" s="25" t="str">
        <f>IF(OR(E1201="",E1201="!!!",F1201="NEW"),"",COUNTBLANK(OFFSET(A$1,,,SUMPRODUCT(MAX(ROW(E$2:E1201)*(E1201=E$2:E1201)))))-COUNTBLANK(OFFSET(A$1,,,SUMPRODUCT(MAX(ROW(E$1:E1200)*(E2=E$1:E1200))))))</f>
        <v> </v>
      </c>
      <c r="K1201" s="25" t="str">
        <f>IF(OR(E1201="",E1201="!!!",F1201="NEW"),"",INDEX(J$1:J1200,SUMPRODUCT(MAX(ROW(E$1:E1200)*(E1201=E$1:E1200)))))</f>
        <v> </v>
      </c>
      <c r="L1201" s="26"/>
    </row>
    <row r="1202" spans="1:12">
      <c r="A1202" s="20" t="s">
        <v>728</v>
      </c>
      <c r="B1202" s="27" t="s">
        <v>521</v>
      </c>
      <c r="C1202" s="27" t="s">
        <v>497</v>
      </c>
      <c r="D1202" s="27" t="s">
        <v>478</v>
      </c>
      <c r="E1202" s="21">
        <f>IF(D1202="?OLD","!!!","")</f>
        <v/>
      </c>
      <c r="F1202" s="22" t="str">
        <f>IF(OR(E1202="",E1202="!!!"),"",IF(NOT(ISNA(VLOOKUP(E1202,E$1:E1201,1,FALSE()))),"OLD",IF(AND(E1202&lt;&gt;"",E1202&lt;&gt;"!!!"),"NEW","")))</f>
        <v> </v>
      </c>
      <c r="G1202" s="23" t="str">
        <f>IF(OR(E1202="",E1202="!!!"),"",IF(OR(J1202=0,AND(J1202=1,K1202=1),AND(J1202=1,I1202="SBJ"),AND(J1202=1,I1202=0)),"?IN_FOCUS",IF(J1202&lt;=2,"?ACTIVATED",IF(J1202&lt;&gt;"","?FAMILIAR",IF(F1202="NEW",IF(ISNA(VLOOKUP(E1202,#REF!,1,FALSE())),"?TYPE_IDENTIFIABLE","?REFERENTIAL"),"_")))))</f>
        <v> </v>
      </c>
      <c r="H1202" s="24" t="str">
        <f>IF(J1202&lt;&gt;1,"",IF(I1202="SBJ","CB","?"))</f>
        <v> </v>
      </c>
      <c r="I1202" s="25" t="str">
        <f>IF(OR(E1202="",E1202="!!!",F1202="NEW"),"",INDEX(B1201:B$2,-1+SUMPRODUCT(MAX(ROW(E1201:E$2)*(E1202=E1201:E$2)))))</f>
        <v> </v>
      </c>
      <c r="J1202" s="25" t="str">
        <f>IF(OR(E1202="",E1202="!!!",F1202="NEW"),"",COUNTBLANK(OFFSET(A$1,,,SUMPRODUCT(MAX(ROW(E$2:E1202)*(E1202=E$2:E1202)))))-COUNTBLANK(OFFSET(A$1,,,SUMPRODUCT(MAX(ROW(E$1:E1201)*(E2=E$1:E1201))))))</f>
        <v> </v>
      </c>
      <c r="K1202" s="25" t="str">
        <f>IF(OR(E1202="",E1202="!!!",F1202="NEW"),"",INDEX(J$1:J1201,SUMPRODUCT(MAX(ROW(E$1:E1201)*(E1202=E$1:E1201)))))</f>
        <v> </v>
      </c>
      <c r="L1202" s="26"/>
    </row>
    <row r="1203" spans="1:12">
      <c r="A1203" s="20" t="s">
        <v>820</v>
      </c>
      <c r="E1203" s="21">
        <f>IF(D1203="?OLD","!!!","")</f>
        <v/>
      </c>
      <c r="F1203" s="22" t="str">
        <f>IF(OR(E1203="",E1203="!!!"),"",IF(NOT(ISNA(VLOOKUP(E1203,E$1:E1202,1,FALSE()))),"OLD",IF(AND(E1203&lt;&gt;"",E1203&lt;&gt;"!!!"),"NEW","")))</f>
        <v> </v>
      </c>
      <c r="G1203" s="23" t="str">
        <f>IF(OR(E1203="",E1203="!!!"),"",IF(OR(J1203=0,AND(J1203=1,K1203=1),AND(J1203=1,I1203="SBJ"),AND(J1203=1,I1203=0)),"?IN_FOCUS",IF(J1203&lt;=2,"?ACTIVATED",IF(J1203&lt;&gt;"","?FAMILIAR",IF(F1203="NEW",IF(ISNA(VLOOKUP(E1203,#REF!,1,FALSE())),"?TYPE_IDENTIFIABLE","?REFERENTIAL"),"_")))))</f>
        <v> </v>
      </c>
      <c r="H1203" s="24" t="str">
        <f>IF(J1203&lt;&gt;1,"",IF(I1203="SBJ","CB","?"))</f>
        <v> </v>
      </c>
      <c r="I1203" s="25" t="str">
        <f>IF(OR(E1203="",E1203="!!!",F1203="NEW"),"",INDEX(B1202:B$2,-1+SUMPRODUCT(MAX(ROW(E1202:E$2)*(E1203=E1202:E$2)))))</f>
        <v> </v>
      </c>
      <c r="J1203" s="25" t="str">
        <f>IF(OR(E1203="",E1203="!!!",F1203="NEW"),"",COUNTBLANK(OFFSET(A$1,,,SUMPRODUCT(MAX(ROW(E$2:E1203)*(E1203=E$2:E1203)))))-COUNTBLANK(OFFSET(A$1,,,SUMPRODUCT(MAX(ROW(E$1:E1202)*(E2=E$1:E1202))))))</f>
        <v> </v>
      </c>
      <c r="K1203" s="25" t="str">
        <f>IF(OR(E1203="",E1203="!!!",F1203="NEW"),"",INDEX(J$1:J1202,SUMPRODUCT(MAX(ROW(E$1:E1202)*(E1203=E$1:E1202)))))</f>
        <v> </v>
      </c>
      <c r="L1203" s="26"/>
    </row>
    <row r="1204" spans="1:12">
      <c r="A1204" s="20" t="s">
        <v>821</v>
      </c>
      <c r="B1204" s="27" t="s">
        <v>521</v>
      </c>
      <c r="E1204" s="21">
        <f>IF(D1204="?OLD","!!!","")</f>
        <v/>
      </c>
      <c r="F1204" s="22" t="str">
        <f>IF(OR(E1204="",E1204="!!!"),"",IF(NOT(ISNA(VLOOKUP(E1204,E$1:E1203,1,FALSE()))),"OLD",IF(AND(E1204&lt;&gt;"",E1204&lt;&gt;"!!!"),"NEW","")))</f>
        <v> </v>
      </c>
      <c r="G1204" s="23" t="str">
        <f>IF(OR(E1204="",E1204="!!!"),"",IF(OR(J1204=0,AND(J1204=1,K1204=1),AND(J1204=1,I1204="SBJ"),AND(J1204=1,I1204=0)),"?IN_FOCUS",IF(J1204&lt;=2,"?ACTIVATED",IF(J1204&lt;&gt;"","?FAMILIAR",IF(F1204="NEW",IF(ISNA(VLOOKUP(E1204,#REF!,1,FALSE())),"?TYPE_IDENTIFIABLE","?REFERENTIAL"),"_")))))</f>
        <v> </v>
      </c>
      <c r="H1204" s="24" t="str">
        <f>IF(J1204&lt;&gt;1,"",IF(I1204="SBJ","CB","?"))</f>
        <v> </v>
      </c>
      <c r="I1204" s="25" t="str">
        <f>IF(OR(E1204="",E1204="!!!",F1204="NEW"),"",INDEX(B1203:B$2,-1+SUMPRODUCT(MAX(ROW(E1203:E$2)*(E1204=E1203:E$2)))))</f>
        <v> </v>
      </c>
      <c r="J1204" s="25" t="str">
        <f>IF(OR(E1204="",E1204="!!!",F1204="NEW"),"",COUNTBLANK(OFFSET(A$1,,,SUMPRODUCT(MAX(ROW(E$2:E1204)*(E1204=E$2:E1204)))))-COUNTBLANK(OFFSET(A$1,,,SUMPRODUCT(MAX(ROW(E$1:E1203)*(E2=E$1:E1203))))))</f>
        <v> </v>
      </c>
      <c r="K1204" s="25" t="str">
        <f>IF(OR(E1204="",E1204="!!!",F1204="NEW"),"",INDEX(J$1:J1203,SUMPRODUCT(MAX(ROW(E$1:E1203)*(E1204=E$1:E1203)))))</f>
        <v> </v>
      </c>
      <c r="L1204" s="26"/>
    </row>
    <row r="1205" spans="1:12">
      <c r="A1205" s="20" t="s">
        <v>656</v>
      </c>
      <c r="E1205" s="21">
        <f>IF(D1205="?OLD","!!!","")</f>
        <v/>
      </c>
      <c r="F1205" s="22" t="str">
        <f>IF(OR(E1205="",E1205="!!!"),"",IF(NOT(ISNA(VLOOKUP(E1205,E$1:E1204,1,FALSE()))),"OLD",IF(AND(E1205&lt;&gt;"",E1205&lt;&gt;"!!!"),"NEW","")))</f>
        <v> </v>
      </c>
      <c r="G1205" s="23" t="str">
        <f>IF(OR(E1205="",E1205="!!!"),"",IF(OR(J1205=0,AND(J1205=1,K1205=1),AND(J1205=1,I1205="SBJ"),AND(J1205=1,I1205=0)),"?IN_FOCUS",IF(J1205&lt;=2,"?ACTIVATED",IF(J1205&lt;&gt;"","?FAMILIAR",IF(F1205="NEW",IF(ISNA(VLOOKUP(E1205,#REF!,1,FALSE())),"?TYPE_IDENTIFIABLE","?REFERENTIAL"),"_")))))</f>
        <v> </v>
      </c>
      <c r="H1205" s="24" t="str">
        <f>IF(J1205&lt;&gt;1,"",IF(I1205="SBJ","CB","?"))</f>
        <v> </v>
      </c>
      <c r="I1205" s="25" t="str">
        <f>IF(OR(E1205="",E1205="!!!",F1205="NEW"),"",INDEX(B1204:B$2,-1+SUMPRODUCT(MAX(ROW(E1204:E$2)*(E1205=E1204:E$2)))))</f>
        <v> </v>
      </c>
      <c r="J1205" s="25" t="str">
        <f>IF(OR(E1205="",E1205="!!!",F1205="NEW"),"",COUNTBLANK(OFFSET(A$1,,,SUMPRODUCT(MAX(ROW(E$2:E1205)*(E1205=E$2:E1205)))))-COUNTBLANK(OFFSET(A$1,,,SUMPRODUCT(MAX(ROW(E$1:E1204)*(E2=E$1:E1204))))))</f>
        <v> </v>
      </c>
      <c r="K1205" s="25" t="str">
        <f>IF(OR(E1205="",E1205="!!!",F1205="NEW"),"",INDEX(J$1:J1204,SUMPRODUCT(MAX(ROW(E$1:E1204)*(E1205=E$1:E1204)))))</f>
        <v> </v>
      </c>
      <c r="L1205" s="26"/>
    </row>
    <row r="1206" spans="1:12">
      <c r="A1206" s="20" t="s">
        <v>1040</v>
      </c>
      <c r="E1206" s="21">
        <f>IF(D1206="?OLD","!!!","")</f>
        <v/>
      </c>
      <c r="F1206" s="22" t="str">
        <f>IF(OR(E1206="",E1206="!!!"),"",IF(NOT(ISNA(VLOOKUP(E1206,E$1:E1205,1,FALSE()))),"OLD",IF(AND(E1206&lt;&gt;"",E1206&lt;&gt;"!!!"),"NEW","")))</f>
        <v> </v>
      </c>
      <c r="G1206" s="23" t="str">
        <f>IF(OR(E1206="",E1206="!!!"),"",IF(OR(J1206=0,AND(J1206=1,K1206=1),AND(J1206=1,I1206="SBJ"),AND(J1206=1,I1206=0)),"?IN_FOCUS",IF(J1206&lt;=2,"?ACTIVATED",IF(J1206&lt;&gt;"","?FAMILIAR",IF(F1206="NEW",IF(ISNA(VLOOKUP(E1206,#REF!,1,FALSE())),"?TYPE_IDENTIFIABLE","?REFERENTIAL"),"_")))))</f>
        <v> </v>
      </c>
      <c r="H1206" s="24" t="str">
        <f>IF(J1206&lt;&gt;1,"",IF(I1206="SBJ","CB","?"))</f>
        <v> </v>
      </c>
      <c r="I1206" s="25" t="str">
        <f>IF(OR(E1206="",E1206="!!!",F1206="NEW"),"",INDEX(B1205:B$2,-1+SUMPRODUCT(MAX(ROW(E1205:E$2)*(E1206=E1205:E$2)))))</f>
        <v> </v>
      </c>
      <c r="J1206" s="25" t="str">
        <f>IF(OR(E1206="",E1206="!!!",F1206="NEW"),"",COUNTBLANK(OFFSET(A$1,,,SUMPRODUCT(MAX(ROW(E$2:E1206)*(E1206=E$2:E1206)))))-COUNTBLANK(OFFSET(A$1,,,SUMPRODUCT(MAX(ROW(E$1:E1205)*(E2=E$1:E1205))))))</f>
        <v> </v>
      </c>
      <c r="K1206" s="25" t="str">
        <f>IF(OR(E1206="",E1206="!!!",F1206="NEW"),"",INDEX(J$1:J1205,SUMPRODUCT(MAX(ROW(E$1:E1205)*(E1206=E$1:E1205)))))</f>
        <v> </v>
      </c>
      <c r="L1206" s="26"/>
    </row>
    <row r="1207" spans="1:12">
      <c r="A1207" s="20" t="s">
        <v>1041</v>
      </c>
      <c r="E1207" s="21">
        <f>IF(D1207="?OLD","!!!","")</f>
        <v/>
      </c>
      <c r="F1207" s="22" t="str">
        <f>IF(OR(E1207="",E1207="!!!"),"",IF(NOT(ISNA(VLOOKUP(E1207,E$1:E1206,1,FALSE()))),"OLD",IF(AND(E1207&lt;&gt;"",E1207&lt;&gt;"!!!"),"NEW","")))</f>
        <v> </v>
      </c>
      <c r="G1207" s="23" t="str">
        <f>IF(OR(E1207="",E1207="!!!"),"",IF(OR(J1207=0,AND(J1207=1,K1207=1),AND(J1207=1,I1207="SBJ"),AND(J1207=1,I1207=0)),"?IN_FOCUS",IF(J1207&lt;=2,"?ACTIVATED",IF(J1207&lt;&gt;"","?FAMILIAR",IF(F1207="NEW",IF(ISNA(VLOOKUP(E1207,#REF!,1,FALSE())),"?TYPE_IDENTIFIABLE","?REFERENTIAL"),"_")))))</f>
        <v> </v>
      </c>
      <c r="H1207" s="24" t="str">
        <f>IF(J1207&lt;&gt;1,"",IF(I1207="SBJ","CB","?"))</f>
        <v> </v>
      </c>
      <c r="I1207" s="25" t="str">
        <f>IF(OR(E1207="",E1207="!!!",F1207="NEW"),"",INDEX(B1206:B$2,-1+SUMPRODUCT(MAX(ROW(E1206:E$2)*(E1207=E1206:E$2)))))</f>
        <v> </v>
      </c>
      <c r="J1207" s="25" t="str">
        <f>IF(OR(E1207="",E1207="!!!",F1207="NEW"),"",COUNTBLANK(OFFSET(A$1,,,SUMPRODUCT(MAX(ROW(E$2:E1207)*(E1207=E$2:E1207)))))-COUNTBLANK(OFFSET(A$1,,,SUMPRODUCT(MAX(ROW(E$1:E1206)*(E2=E$1:E1206))))))</f>
        <v> </v>
      </c>
      <c r="K1207" s="25" t="str">
        <f>IF(OR(E1207="",E1207="!!!",F1207="NEW"),"",INDEX(J$1:J1206,SUMPRODUCT(MAX(ROW(E$1:E1206)*(E1207=E$1:E1206)))))</f>
        <v> </v>
      </c>
      <c r="L1207" s="26"/>
    </row>
    <row r="1208" spans="1:12">
      <c r="A1208" s="20" t="s">
        <v>513</v>
      </c>
      <c r="E1208" s="21">
        <f>IF(D1208="?OLD","!!!","")</f>
        <v/>
      </c>
      <c r="F1208" s="22" t="str">
        <f>IF(OR(E1208="",E1208="!!!"),"",IF(NOT(ISNA(VLOOKUP(E1208,E$1:E1207,1,FALSE()))),"OLD",IF(AND(E1208&lt;&gt;"",E1208&lt;&gt;"!!!"),"NEW","")))</f>
        <v> </v>
      </c>
      <c r="G1208" s="23" t="str">
        <f>IF(OR(E1208="",E1208="!!!"),"",IF(OR(J1208=0,AND(J1208=1,K1208=1),AND(J1208=1,I1208="SBJ"),AND(J1208=1,I1208=0)),"?IN_FOCUS",IF(J1208&lt;=2,"?ACTIVATED",IF(J1208&lt;&gt;"","?FAMILIAR",IF(F1208="NEW",IF(ISNA(VLOOKUP(E1208,#REF!,1,FALSE())),"?TYPE_IDENTIFIABLE","?REFERENTIAL"),"_")))))</f>
        <v> </v>
      </c>
      <c r="H1208" s="24" t="str">
        <f>IF(J1208&lt;&gt;1,"",IF(I1208="SBJ","CB","?"))</f>
        <v> </v>
      </c>
      <c r="I1208" s="25" t="str">
        <f>IF(OR(E1208="",E1208="!!!",F1208="NEW"),"",INDEX(B1207:B$2,-1+SUMPRODUCT(MAX(ROW(E1207:E$2)*(E1208=E1207:E$2)))))</f>
        <v> </v>
      </c>
      <c r="J1208" s="25" t="str">
        <f>IF(OR(E1208="",E1208="!!!",F1208="NEW"),"",COUNTBLANK(OFFSET(A$1,,,SUMPRODUCT(MAX(ROW(E$2:E1208)*(E1208=E$2:E1208)))))-COUNTBLANK(OFFSET(A$1,,,SUMPRODUCT(MAX(ROW(E$1:E1207)*(E2=E$1:E1207))))))</f>
        <v> </v>
      </c>
      <c r="K1208" s="25" t="str">
        <f>IF(OR(E1208="",E1208="!!!",F1208="NEW"),"",INDEX(J$1:J1207,SUMPRODUCT(MAX(ROW(E$1:E1207)*(E1208=E$1:E1207)))))</f>
        <v> </v>
      </c>
      <c r="L1208" s="26"/>
    </row>
    <row r="1209" spans="1:12">
      <c r="A1209" s="20" t="s">
        <v>1042</v>
      </c>
      <c r="E1209" s="21">
        <f>IF(D1209="?OLD","!!!","")</f>
        <v/>
      </c>
      <c r="F1209" s="22" t="str">
        <f>IF(OR(E1209="",E1209="!!!"),"",IF(NOT(ISNA(VLOOKUP(E1209,E$1:E1208,1,FALSE()))),"OLD",IF(AND(E1209&lt;&gt;"",E1209&lt;&gt;"!!!"),"NEW","")))</f>
        <v> </v>
      </c>
      <c r="G1209" s="23" t="str">
        <f>IF(OR(E1209="",E1209="!!!"),"",IF(OR(J1209=0,AND(J1209=1,K1209=1),AND(J1209=1,I1209="SBJ"),AND(J1209=1,I1209=0)),"?IN_FOCUS",IF(J1209&lt;=2,"?ACTIVATED",IF(J1209&lt;&gt;"","?FAMILIAR",IF(F1209="NEW",IF(ISNA(VLOOKUP(E1209,#REF!,1,FALSE())),"?TYPE_IDENTIFIABLE","?REFERENTIAL"),"_")))))</f>
        <v> </v>
      </c>
      <c r="H1209" s="24" t="str">
        <f>IF(J1209&lt;&gt;1,"",IF(I1209="SBJ","CB","?"))</f>
        <v> </v>
      </c>
      <c r="I1209" s="25" t="str">
        <f>IF(OR(E1209="",E1209="!!!",F1209="NEW"),"",INDEX(B1208:B$2,-1+SUMPRODUCT(MAX(ROW(E1208:E$2)*(E1209=E1208:E$2)))))</f>
        <v> </v>
      </c>
      <c r="J1209" s="25" t="str">
        <f>IF(OR(E1209="",E1209="!!!",F1209="NEW"),"",COUNTBLANK(OFFSET(A$1,,,SUMPRODUCT(MAX(ROW(E$2:E1209)*(E1209=E$2:E1209)))))-COUNTBLANK(OFFSET(A$1,,,SUMPRODUCT(MAX(ROW(E$1:E1208)*(E2=E$1:E1208))))))</f>
        <v> </v>
      </c>
      <c r="K1209" s="25" t="str">
        <f>IF(OR(E1209="",E1209="!!!",F1209="NEW"),"",INDEX(J$1:J1208,SUMPRODUCT(MAX(ROW(E$1:E1208)*(E1209=E$1:E1208)))))</f>
        <v> </v>
      </c>
      <c r="L1209" s="26"/>
    </row>
    <row r="1210" spans="1:12">
      <c r="A1210" s="20" t="s">
        <v>1043</v>
      </c>
      <c r="E1210" s="21">
        <f>IF(D1210="?OLD","!!!","")</f>
        <v/>
      </c>
      <c r="F1210" s="22" t="str">
        <f>IF(OR(E1210="",E1210="!!!"),"",IF(NOT(ISNA(VLOOKUP(E1210,E$1:E1209,1,FALSE()))),"OLD",IF(AND(E1210&lt;&gt;"",E1210&lt;&gt;"!!!"),"NEW","")))</f>
        <v> </v>
      </c>
      <c r="G1210" s="23" t="str">
        <f>IF(OR(E1210="",E1210="!!!"),"",IF(OR(J1210=0,AND(J1210=1,K1210=1),AND(J1210=1,I1210="SBJ"),AND(J1210=1,I1210=0)),"?IN_FOCUS",IF(J1210&lt;=2,"?ACTIVATED",IF(J1210&lt;&gt;"","?FAMILIAR",IF(F1210="NEW",IF(ISNA(VLOOKUP(E1210,#REF!,1,FALSE())),"?TYPE_IDENTIFIABLE","?REFERENTIAL"),"_")))))</f>
        <v> </v>
      </c>
      <c r="H1210" s="24" t="str">
        <f>IF(J1210&lt;&gt;1,"",IF(I1210="SBJ","CB","?"))</f>
        <v> </v>
      </c>
      <c r="I1210" s="25" t="str">
        <f>IF(OR(E1210="",E1210="!!!",F1210="NEW"),"",INDEX(B1209:B$2,-1+SUMPRODUCT(MAX(ROW(E1209:E$2)*(E1210=E1209:E$2)))))</f>
        <v> </v>
      </c>
      <c r="J1210" s="25" t="str">
        <f>IF(OR(E1210="",E1210="!!!",F1210="NEW"),"",COUNTBLANK(OFFSET(A$1,,,SUMPRODUCT(MAX(ROW(E$2:E1210)*(E1210=E$2:E1210)))))-COUNTBLANK(OFFSET(A$1,,,SUMPRODUCT(MAX(ROW(E$1:E1209)*(E2=E$1:E1209))))))</f>
        <v> </v>
      </c>
      <c r="K1210" s="25" t="str">
        <f>IF(OR(E1210="",E1210="!!!",F1210="NEW"),"",INDEX(J$1:J1209,SUMPRODUCT(MAX(ROW(E$1:E1209)*(E1210=E$1:E1209)))))</f>
        <v> </v>
      </c>
      <c r="L1210" s="26"/>
    </row>
    <row r="1211" spans="1:12">
      <c r="A1211" s="20" t="s">
        <v>1044</v>
      </c>
      <c r="E1211" s="21">
        <f>IF(D1211="?OLD","!!!","")</f>
        <v/>
      </c>
      <c r="F1211" s="22" t="str">
        <f>IF(OR(E1211="",E1211="!!!"),"",IF(NOT(ISNA(VLOOKUP(E1211,E$1:E1210,1,FALSE()))),"OLD",IF(AND(E1211&lt;&gt;"",E1211&lt;&gt;"!!!"),"NEW","")))</f>
        <v> </v>
      </c>
      <c r="G1211" s="23" t="str">
        <f>IF(OR(E1211="",E1211="!!!"),"",IF(OR(J1211=0,AND(J1211=1,K1211=1),AND(J1211=1,I1211="SBJ"),AND(J1211=1,I1211=0)),"?IN_FOCUS",IF(J1211&lt;=2,"?ACTIVATED",IF(J1211&lt;&gt;"","?FAMILIAR",IF(F1211="NEW",IF(ISNA(VLOOKUP(E1211,#REF!,1,FALSE())),"?TYPE_IDENTIFIABLE","?REFERENTIAL"),"_")))))</f>
        <v> </v>
      </c>
      <c r="H1211" s="24" t="str">
        <f>IF(J1211&lt;&gt;1,"",IF(I1211="SBJ","CB","?"))</f>
        <v> </v>
      </c>
      <c r="I1211" s="25" t="str">
        <f>IF(OR(E1211="",E1211="!!!",F1211="NEW"),"",INDEX(B1210:B$2,-1+SUMPRODUCT(MAX(ROW(E1210:E$2)*(E1211=E1210:E$2)))))</f>
        <v> </v>
      </c>
      <c r="J1211" s="25" t="str">
        <f>IF(OR(E1211="",E1211="!!!",F1211="NEW"),"",COUNTBLANK(OFFSET(A$1,,,SUMPRODUCT(MAX(ROW(E$2:E1211)*(E1211=E$2:E1211)))))-COUNTBLANK(OFFSET(A$1,,,SUMPRODUCT(MAX(ROW(E$1:E1210)*(E2=E$1:E1210))))))</f>
        <v> </v>
      </c>
      <c r="K1211" s="25" t="str">
        <f>IF(OR(E1211="",E1211="!!!",F1211="NEW"),"",INDEX(J$1:J1210,SUMPRODUCT(MAX(ROW(E$1:E1210)*(E1211=E$1:E1210)))))</f>
        <v> </v>
      </c>
      <c r="L1211" s="26"/>
    </row>
    <row r="1212" spans="1:12">
      <c r="A1212" s="20" t="s">
        <v>482</v>
      </c>
      <c r="E1212" s="21">
        <f>IF(D1212="?OLD","!!!","")</f>
        <v/>
      </c>
      <c r="F1212" s="22" t="str">
        <f>IF(OR(E1212="",E1212="!!!"),"",IF(NOT(ISNA(VLOOKUP(E1212,E$1:E1211,1,FALSE()))),"OLD",IF(AND(E1212&lt;&gt;"",E1212&lt;&gt;"!!!"),"NEW","")))</f>
        <v> </v>
      </c>
      <c r="G1212" s="23" t="str">
        <f>IF(OR(E1212="",E1212="!!!"),"",IF(OR(J1212=0,AND(J1212=1,K1212=1),AND(J1212=1,I1212="SBJ"),AND(J1212=1,I1212=0)),"?IN_FOCUS",IF(J1212&lt;=2,"?ACTIVATED",IF(J1212&lt;&gt;"","?FAMILIAR",IF(F1212="NEW",IF(ISNA(VLOOKUP(E1212,#REF!,1,FALSE())),"?TYPE_IDENTIFIABLE","?REFERENTIAL"),"_")))))</f>
        <v> </v>
      </c>
      <c r="H1212" s="24" t="str">
        <f>IF(J1212&lt;&gt;1,"",IF(I1212="SBJ","CB","?"))</f>
        <v> </v>
      </c>
      <c r="I1212" s="25" t="str">
        <f>IF(OR(E1212="",E1212="!!!",F1212="NEW"),"",INDEX(B1211:B$2,-1+SUMPRODUCT(MAX(ROW(E1211:E$2)*(E1212=E1211:E$2)))))</f>
        <v> </v>
      </c>
      <c r="J1212" s="25" t="str">
        <f>IF(OR(E1212="",E1212="!!!",F1212="NEW"),"",COUNTBLANK(OFFSET(A$1,,,SUMPRODUCT(MAX(ROW(E$2:E1212)*(E1212=E$2:E1212)))))-COUNTBLANK(OFFSET(A$1,,,SUMPRODUCT(MAX(ROW(E$1:E1211)*(E2=E$1:E1211))))))</f>
        <v> </v>
      </c>
      <c r="K1212" s="25" t="str">
        <f>IF(OR(E1212="",E1212="!!!",F1212="NEW"),"",INDEX(J$1:J1211,SUMPRODUCT(MAX(ROW(E$1:E1211)*(E1212=E$1:E1211)))))</f>
        <v> </v>
      </c>
      <c r="L1212" s="26"/>
    </row>
    <row r="1213" spans="1:12">
      <c r="A1213" s="20" t="s">
        <v>656</v>
      </c>
      <c r="E1213" s="21">
        <f>IF(D1213="?OLD","!!!","")</f>
        <v/>
      </c>
      <c r="F1213" s="22" t="str">
        <f>IF(OR(E1213="",E1213="!!!"),"",IF(NOT(ISNA(VLOOKUP(E1213,E$1:E1212,1,FALSE()))),"OLD",IF(AND(E1213&lt;&gt;"",E1213&lt;&gt;"!!!"),"NEW","")))</f>
        <v> </v>
      </c>
      <c r="G1213" s="23" t="str">
        <f>IF(OR(E1213="",E1213="!!!"),"",IF(OR(J1213=0,AND(J1213=1,K1213=1),AND(J1213=1,I1213="SBJ"),AND(J1213=1,I1213=0)),"?IN_FOCUS",IF(J1213&lt;=2,"?ACTIVATED",IF(J1213&lt;&gt;"","?FAMILIAR",IF(F1213="NEW",IF(ISNA(VLOOKUP(E1213,#REF!,1,FALSE())),"?TYPE_IDENTIFIABLE","?REFERENTIAL"),"_")))))</f>
        <v> </v>
      </c>
      <c r="H1213" s="24" t="str">
        <f>IF(J1213&lt;&gt;1,"",IF(I1213="SBJ","CB","?"))</f>
        <v> </v>
      </c>
      <c r="I1213" s="25" t="str">
        <f>IF(OR(E1213="",E1213="!!!",F1213="NEW"),"",INDEX(B1212:B$2,-1+SUMPRODUCT(MAX(ROW(E1212:E$2)*(E1213=E1212:E$2)))))</f>
        <v> </v>
      </c>
      <c r="J1213" s="25" t="str">
        <f>IF(OR(E1213="",E1213="!!!",F1213="NEW"),"",COUNTBLANK(OFFSET(A$1,,,SUMPRODUCT(MAX(ROW(E$2:E1213)*(E1213=E$2:E1213)))))-COUNTBLANK(OFFSET(A$1,,,SUMPRODUCT(MAX(ROW(E$1:E1212)*(E2=E$1:E1212))))))</f>
        <v> </v>
      </c>
      <c r="K1213" s="25" t="str">
        <f>IF(OR(E1213="",E1213="!!!",F1213="NEW"),"",INDEX(J$1:J1212,SUMPRODUCT(MAX(ROW(E$1:E1212)*(E1213=E$1:E1212)))))</f>
        <v> </v>
      </c>
      <c r="L1213" s="26"/>
    </row>
    <row r="1214" spans="1:12">
      <c r="A1214" s="20" t="s">
        <v>883</v>
      </c>
      <c r="E1214" s="21">
        <f>IF(D1214="?OLD","!!!","")</f>
        <v/>
      </c>
      <c r="F1214" s="22" t="str">
        <f>IF(OR(E1214="",E1214="!!!"),"",IF(NOT(ISNA(VLOOKUP(E1214,E$1:E1213,1,FALSE()))),"OLD",IF(AND(E1214&lt;&gt;"",E1214&lt;&gt;"!!!"),"NEW","")))</f>
        <v> </v>
      </c>
      <c r="G1214" s="23" t="str">
        <f>IF(OR(E1214="",E1214="!!!"),"",IF(OR(J1214=0,AND(J1214=1,K1214=1),AND(J1214=1,I1214="SBJ"),AND(J1214=1,I1214=0)),"?IN_FOCUS",IF(J1214&lt;=2,"?ACTIVATED",IF(J1214&lt;&gt;"","?FAMILIAR",IF(F1214="NEW",IF(ISNA(VLOOKUP(E1214,#REF!,1,FALSE())),"?TYPE_IDENTIFIABLE","?REFERENTIAL"),"_")))))</f>
        <v> </v>
      </c>
      <c r="H1214" s="24" t="str">
        <f>IF(J1214&lt;&gt;1,"",IF(I1214="SBJ","CB","?"))</f>
        <v> </v>
      </c>
      <c r="I1214" s="25" t="str">
        <f>IF(OR(E1214="",E1214="!!!",F1214="NEW"),"",INDEX(B1213:B$2,-1+SUMPRODUCT(MAX(ROW(E1213:E$2)*(E1214=E1213:E$2)))))</f>
        <v> </v>
      </c>
      <c r="J1214" s="25" t="str">
        <f>IF(OR(E1214="",E1214="!!!",F1214="NEW"),"",COUNTBLANK(OFFSET(A$1,,,SUMPRODUCT(MAX(ROW(E$2:E1214)*(E1214=E$2:E1214)))))-COUNTBLANK(OFFSET(A$1,,,SUMPRODUCT(MAX(ROW(E$1:E1213)*(E2=E$1:E1213))))))</f>
        <v> </v>
      </c>
      <c r="K1214" s="25" t="str">
        <f>IF(OR(E1214="",E1214="!!!",F1214="NEW"),"",INDEX(J$1:J1213,SUMPRODUCT(MAX(ROW(E$1:E1213)*(E1214=E$1:E1213)))))</f>
        <v> </v>
      </c>
      <c r="L1214" s="26"/>
    </row>
    <row r="1215" spans="1:12">
      <c r="A1215" s="20" t="s">
        <v>1045</v>
      </c>
      <c r="B1215" s="27" t="s">
        <v>632</v>
      </c>
      <c r="C1215" s="27" t="s">
        <v>779</v>
      </c>
      <c r="E1215" s="21">
        <f>IF(D1215="?OLD","!!!","")</f>
        <v/>
      </c>
      <c r="F1215" s="22" t="str">
        <f>IF(OR(E1215="",E1215="!!!"),"",IF(NOT(ISNA(VLOOKUP(E1215,E$1:E1214,1,FALSE()))),"OLD",IF(AND(E1215&lt;&gt;"",E1215&lt;&gt;"!!!"),"NEW","")))</f>
        <v> </v>
      </c>
      <c r="G1215" s="23" t="str">
        <f>IF(OR(E1215="",E1215="!!!"),"",IF(OR(J1215=0,AND(J1215=1,K1215=1),AND(J1215=1,I1215="SBJ"),AND(J1215=1,I1215=0)),"?IN_FOCUS",IF(J1215&lt;=2,"?ACTIVATED",IF(J1215&lt;&gt;"","?FAMILIAR",IF(F1215="NEW",IF(ISNA(VLOOKUP(E1215,#REF!,1,FALSE())),"?TYPE_IDENTIFIABLE","?REFERENTIAL"),"_")))))</f>
        <v> </v>
      </c>
      <c r="H1215" s="24" t="str">
        <f>IF(J1215&lt;&gt;1,"",IF(I1215="SBJ","CB","?"))</f>
        <v> </v>
      </c>
      <c r="I1215" s="25" t="str">
        <f>IF(OR(E1215="",E1215="!!!",F1215="NEW"),"",INDEX(B1214:B$2,-1+SUMPRODUCT(MAX(ROW(E1214:E$2)*(E1215=E1214:E$2)))))</f>
        <v> </v>
      </c>
      <c r="J1215" s="25" t="str">
        <f>IF(OR(E1215="",E1215="!!!",F1215="NEW"),"",COUNTBLANK(OFFSET(A$1,,,SUMPRODUCT(MAX(ROW(E$2:E1215)*(E1215=E$2:E1215)))))-COUNTBLANK(OFFSET(A$1,,,SUMPRODUCT(MAX(ROW(E$1:E1214)*(E2=E$1:E1214))))))</f>
        <v> </v>
      </c>
      <c r="K1215" s="25" t="str">
        <f>IF(OR(E1215="",E1215="!!!",F1215="NEW"),"",INDEX(J$1:J1214,SUMPRODUCT(MAX(ROW(E$1:E1214)*(E1215=E$1:E1214)))))</f>
        <v> </v>
      </c>
      <c r="L1215" s="26"/>
    </row>
    <row r="1216" spans="1:12">
      <c r="A1216" s="20" t="s">
        <v>1046</v>
      </c>
      <c r="E1216" s="21">
        <f>IF(D1216="?OLD","!!!","")</f>
        <v/>
      </c>
      <c r="F1216" s="22" t="str">
        <f>IF(OR(E1216="",E1216="!!!"),"",IF(NOT(ISNA(VLOOKUP(E1216,E$1:E1215,1,FALSE()))),"OLD",IF(AND(E1216&lt;&gt;"",E1216&lt;&gt;"!!!"),"NEW","")))</f>
        <v> </v>
      </c>
      <c r="G1216" s="23" t="str">
        <f>IF(OR(E1216="",E1216="!!!"),"",IF(OR(J1216=0,AND(J1216=1,K1216=1),AND(J1216=1,I1216="SBJ"),AND(J1216=1,I1216=0)),"?IN_FOCUS",IF(J1216&lt;=2,"?ACTIVATED",IF(J1216&lt;&gt;"","?FAMILIAR",IF(F1216="NEW",IF(ISNA(VLOOKUP(E1216,#REF!,1,FALSE())),"?TYPE_IDENTIFIABLE","?REFERENTIAL"),"_")))))</f>
        <v> </v>
      </c>
      <c r="H1216" s="24" t="str">
        <f>IF(J1216&lt;&gt;1,"",IF(I1216="SBJ","CB","?"))</f>
        <v> </v>
      </c>
      <c r="I1216" s="25" t="str">
        <f>IF(OR(E1216="",E1216="!!!",F1216="NEW"),"",INDEX(B1215:B$2,-1+SUMPRODUCT(MAX(ROW(E1215:E$2)*(E1216=E1215:E$2)))))</f>
        <v> </v>
      </c>
      <c r="J1216" s="25" t="str">
        <f>IF(OR(E1216="",E1216="!!!",F1216="NEW"),"",COUNTBLANK(OFFSET(A$1,,,SUMPRODUCT(MAX(ROW(E$2:E1216)*(E1216=E$2:E1216)))))-COUNTBLANK(OFFSET(A$1,,,SUMPRODUCT(MAX(ROW(E$1:E1215)*(E2=E$1:E1215))))))</f>
        <v> </v>
      </c>
      <c r="K1216" s="25" t="str">
        <f>IF(OR(E1216="",E1216="!!!",F1216="NEW"),"",INDEX(J$1:J1215,SUMPRODUCT(MAX(ROW(E$1:E1215)*(E1216=E$1:E1215)))))</f>
        <v> </v>
      </c>
      <c r="L1216" s="26"/>
    </row>
    <row r="1217" spans="1:12">
      <c r="A1217" s="20" t="s">
        <v>493</v>
      </c>
      <c r="E1217" s="21">
        <f>IF(D1217="?OLD","!!!","")</f>
        <v/>
      </c>
      <c r="F1217" s="22" t="str">
        <f>IF(OR(E1217="",E1217="!!!"),"",IF(NOT(ISNA(VLOOKUP(E1217,E$1:E1216,1,FALSE()))),"OLD",IF(AND(E1217&lt;&gt;"",E1217&lt;&gt;"!!!"),"NEW","")))</f>
        <v> </v>
      </c>
      <c r="G1217" s="23" t="str">
        <f>IF(OR(E1217="",E1217="!!!"),"",IF(OR(J1217=0,AND(J1217=1,K1217=1),AND(J1217=1,I1217="SBJ"),AND(J1217=1,I1217=0)),"?IN_FOCUS",IF(J1217&lt;=2,"?ACTIVATED",IF(J1217&lt;&gt;"","?FAMILIAR",IF(F1217="NEW",IF(ISNA(VLOOKUP(E1217,#REF!,1,FALSE())),"?TYPE_IDENTIFIABLE","?REFERENTIAL"),"_")))))</f>
        <v> </v>
      </c>
      <c r="H1217" s="24" t="str">
        <f>IF(J1217&lt;&gt;1,"",IF(I1217="SBJ","CB","?"))</f>
        <v> </v>
      </c>
      <c r="I1217" s="25" t="str">
        <f>IF(OR(E1217="",E1217="!!!",F1217="NEW"),"",INDEX(B1216:B$2,-1+SUMPRODUCT(MAX(ROW(E1216:E$2)*(E1217=E1216:E$2)))))</f>
        <v> </v>
      </c>
      <c r="J1217" s="25" t="str">
        <f>IF(OR(E1217="",E1217="!!!",F1217="NEW"),"",COUNTBLANK(OFFSET(A$1,,,SUMPRODUCT(MAX(ROW(E$2:E1217)*(E1217=E$2:E1217)))))-COUNTBLANK(OFFSET(A$1,,,SUMPRODUCT(MAX(ROW(E$1:E1216)*(E2=E$1:E1216))))))</f>
        <v> </v>
      </c>
      <c r="K1217" s="25" t="str">
        <f>IF(OR(E1217="",E1217="!!!",F1217="NEW"),"",INDEX(J$1:J1216,SUMPRODUCT(MAX(ROW(E$1:E1216)*(E1217=E$1:E1216)))))</f>
        <v> </v>
      </c>
      <c r="L1217" s="26"/>
    </row>
    <row r="1218" spans="1:12">
      <c r="A1218" s="20" t="s">
        <v>1047</v>
      </c>
      <c r="E1218" s="21">
        <f>IF(D1218="?OLD","!!!","")</f>
        <v/>
      </c>
      <c r="F1218" s="22" t="str">
        <f>IF(OR(E1218="",E1218="!!!"),"",IF(NOT(ISNA(VLOOKUP(E1218,E$1:E1217,1,FALSE()))),"OLD",IF(AND(E1218&lt;&gt;"",E1218&lt;&gt;"!!!"),"NEW","")))</f>
        <v> </v>
      </c>
      <c r="G1218" s="23" t="str">
        <f>IF(OR(E1218="",E1218="!!!"),"",IF(OR(J1218=0,AND(J1218=1,K1218=1),AND(J1218=1,I1218="SBJ"),AND(J1218=1,I1218=0)),"?IN_FOCUS",IF(J1218&lt;=2,"?ACTIVATED",IF(J1218&lt;&gt;"","?FAMILIAR",IF(F1218="NEW",IF(ISNA(VLOOKUP(E1218,#REF!,1,FALSE())),"?TYPE_IDENTIFIABLE","?REFERENTIAL"),"_")))))</f>
        <v> </v>
      </c>
      <c r="H1218" s="24" t="str">
        <f>IF(J1218&lt;&gt;1,"",IF(I1218="SBJ","CB","?"))</f>
        <v> </v>
      </c>
      <c r="I1218" s="25" t="str">
        <f>IF(OR(E1218="",E1218="!!!",F1218="NEW"),"",INDEX(B1217:B$2,-1+SUMPRODUCT(MAX(ROW(E1217:E$2)*(E1218=E1217:E$2)))))</f>
        <v> </v>
      </c>
      <c r="J1218" s="25" t="str">
        <f>IF(OR(E1218="",E1218="!!!",F1218="NEW"),"",COUNTBLANK(OFFSET(A$1,,,SUMPRODUCT(MAX(ROW(E$2:E1218)*(E1218=E$2:E1218)))))-COUNTBLANK(OFFSET(A$1,,,SUMPRODUCT(MAX(ROW(E$1:E1217)*(E2=E$1:E1217))))))</f>
        <v> </v>
      </c>
      <c r="K1218" s="25" t="str">
        <f>IF(OR(E1218="",E1218="!!!",F1218="NEW"),"",INDEX(J$1:J1217,SUMPRODUCT(MAX(ROW(E$1:E1217)*(E1218=E$1:E1217)))))</f>
        <v> </v>
      </c>
      <c r="L1218" s="26"/>
    </row>
    <row r="1219" spans="1:12">
      <c r="A1219" s="20" t="s">
        <v>513</v>
      </c>
      <c r="E1219" s="21">
        <f>IF(D1219="?OLD","!!!","")</f>
        <v/>
      </c>
      <c r="F1219" s="22" t="str">
        <f>IF(OR(E1219="",E1219="!!!"),"",IF(NOT(ISNA(VLOOKUP(E1219,E$1:E1218,1,FALSE()))),"OLD",IF(AND(E1219&lt;&gt;"",E1219&lt;&gt;"!!!"),"NEW","")))</f>
        <v> </v>
      </c>
      <c r="G1219" s="23" t="str">
        <f>IF(OR(E1219="",E1219="!!!"),"",IF(OR(J1219=0,AND(J1219=1,K1219=1),AND(J1219=1,I1219="SBJ"),AND(J1219=1,I1219=0)),"?IN_FOCUS",IF(J1219&lt;=2,"?ACTIVATED",IF(J1219&lt;&gt;"","?FAMILIAR",IF(F1219="NEW",IF(ISNA(VLOOKUP(E1219,#REF!,1,FALSE())),"?TYPE_IDENTIFIABLE","?REFERENTIAL"),"_")))))</f>
        <v> </v>
      </c>
      <c r="H1219" s="24" t="str">
        <f>IF(J1219&lt;&gt;1,"",IF(I1219="SBJ","CB","?"))</f>
        <v> </v>
      </c>
      <c r="I1219" s="25" t="str">
        <f>IF(OR(E1219="",E1219="!!!",F1219="NEW"),"",INDEX(B1218:B$2,-1+SUMPRODUCT(MAX(ROW(E1218:E$2)*(E1219=E1218:E$2)))))</f>
        <v> </v>
      </c>
      <c r="J1219" s="25" t="str">
        <f>IF(OR(E1219="",E1219="!!!",F1219="NEW"),"",COUNTBLANK(OFFSET(A$1,,,SUMPRODUCT(MAX(ROW(E$2:E1219)*(E1219=E$2:E1219)))))-COUNTBLANK(OFFSET(A$1,,,SUMPRODUCT(MAX(ROW(E$1:E1218)*(E2=E$1:E1218))))))</f>
        <v> </v>
      </c>
      <c r="K1219" s="25" t="str">
        <f>IF(OR(E1219="",E1219="!!!",F1219="NEW"),"",INDEX(J$1:J1218,SUMPRODUCT(MAX(ROW(E$1:E1218)*(E1219=E$1:E1218)))))</f>
        <v> </v>
      </c>
      <c r="L1219" s="26"/>
    </row>
    <row r="1220" spans="1:12">
      <c r="A1220" s="20" t="s">
        <v>1048</v>
      </c>
      <c r="E1220" s="21">
        <f>IF(D1220="?OLD","!!!","")</f>
        <v/>
      </c>
      <c r="F1220" s="22" t="str">
        <f>IF(OR(E1220="",E1220="!!!"),"",IF(NOT(ISNA(VLOOKUP(E1220,E$1:E1219,1,FALSE()))),"OLD",IF(AND(E1220&lt;&gt;"",E1220&lt;&gt;"!!!"),"NEW","")))</f>
        <v> </v>
      </c>
      <c r="G1220" s="23" t="str">
        <f>IF(OR(E1220="",E1220="!!!"),"",IF(OR(J1220=0,AND(J1220=1,K1220=1),AND(J1220=1,I1220="SBJ"),AND(J1220=1,I1220=0)),"?IN_FOCUS",IF(J1220&lt;=2,"?ACTIVATED",IF(J1220&lt;&gt;"","?FAMILIAR",IF(F1220="NEW",IF(ISNA(VLOOKUP(E1220,#REF!,1,FALSE())),"?TYPE_IDENTIFIABLE","?REFERENTIAL"),"_")))))</f>
        <v> </v>
      </c>
      <c r="H1220" s="24" t="str">
        <f>IF(J1220&lt;&gt;1,"",IF(I1220="SBJ","CB","?"))</f>
        <v> </v>
      </c>
      <c r="I1220" s="25" t="str">
        <f>IF(OR(E1220="",E1220="!!!",F1220="NEW"),"",INDEX(B1219:B$2,-1+SUMPRODUCT(MAX(ROW(E1219:E$2)*(E1220=E1219:E$2)))))</f>
        <v> </v>
      </c>
      <c r="J1220" s="25" t="str">
        <f>IF(OR(E1220="",E1220="!!!",F1220="NEW"),"",COUNTBLANK(OFFSET(A$1,,,SUMPRODUCT(MAX(ROW(E$2:E1220)*(E1220=E$2:E1220)))))-COUNTBLANK(OFFSET(A$1,,,SUMPRODUCT(MAX(ROW(E$1:E1219)*(E2=E$1:E1219))))))</f>
        <v> </v>
      </c>
      <c r="K1220" s="25" t="str">
        <f>IF(OR(E1220="",E1220="!!!",F1220="NEW"),"",INDEX(J$1:J1219,SUMPRODUCT(MAX(ROW(E$1:E1219)*(E1220=E$1:E1219)))))</f>
        <v> </v>
      </c>
      <c r="L1220" s="26"/>
    </row>
    <row r="1221" spans="1:12">
      <c r="A1221" s="20" t="s">
        <v>253</v>
      </c>
      <c r="E1221" s="21">
        <f>IF(D1221="?OLD","!!!","")</f>
        <v/>
      </c>
      <c r="F1221" s="22" t="str">
        <f>IF(OR(E1221="",E1221="!!!"),"",IF(NOT(ISNA(VLOOKUP(E1221,E$1:E1220,1,FALSE()))),"OLD",IF(AND(E1221&lt;&gt;"",E1221&lt;&gt;"!!!"),"NEW","")))</f>
        <v> </v>
      </c>
      <c r="G1221" s="23" t="str">
        <f>IF(OR(E1221="",E1221="!!!"),"",IF(OR(J1221=0,AND(J1221=1,K1221=1),AND(J1221=1,I1221="SBJ"),AND(J1221=1,I1221=0)),"?IN_FOCUS",IF(J1221&lt;=2,"?ACTIVATED",IF(J1221&lt;&gt;"","?FAMILIAR",IF(F1221="NEW",IF(ISNA(VLOOKUP(E1221,#REF!,1,FALSE())),"?TYPE_IDENTIFIABLE","?REFERENTIAL"),"_")))))</f>
        <v> </v>
      </c>
      <c r="H1221" s="24" t="str">
        <f>IF(J1221&lt;&gt;1,"",IF(I1221="SBJ","CB","?"))</f>
        <v> </v>
      </c>
      <c r="I1221" s="25" t="str">
        <f>IF(OR(E1221="",E1221="!!!",F1221="NEW"),"",INDEX(B1220:B$2,-1+SUMPRODUCT(MAX(ROW(E1220:E$2)*(E1221=E1220:E$2)))))</f>
        <v> </v>
      </c>
      <c r="J1221" s="25" t="str">
        <f>IF(OR(E1221="",E1221="!!!",F1221="NEW"),"",COUNTBLANK(OFFSET(A$1,,,SUMPRODUCT(MAX(ROW(E$2:E1221)*(E1221=E$2:E1221)))))-COUNTBLANK(OFFSET(A$1,,,SUMPRODUCT(MAX(ROW(E$1:E1220)*(E2=E$1:E1220))))))</f>
        <v> </v>
      </c>
      <c r="K1221" s="25" t="str">
        <f>IF(OR(E1221="",E1221="!!!",F1221="NEW"),"",INDEX(J$1:J1220,SUMPRODUCT(MAX(ROW(E$1:E1220)*(E1221=E$1:E1220)))))</f>
        <v> </v>
      </c>
      <c r="L1221" s="26"/>
    </row>
    <row r="1222" spans="1:12">
      <c r="A1222" s="20"/>
    </row>
    <row r="1223" spans="1:12">
      <c r="A1223" s="20" t="s">
        <v>1049</v>
      </c>
    </row>
    <row r="1224" spans="1:12">
      <c r="A1224" s="20" t="s">
        <v>1050</v>
      </c>
      <c r="E1224" s="21">
        <f>IF(D1224="?OLD","!!!","")</f>
        <v/>
      </c>
      <c r="F1224" s="22" t="str">
        <f>IF(OR(E1224="",E1224="!!!"),"",IF(NOT(ISNA(VLOOKUP(E1224,E$1:E1223,1,FALSE()))),"OLD",IF(AND(E1224&lt;&gt;"",E1224&lt;&gt;"!!!"),"NEW","")))</f>
        <v> </v>
      </c>
      <c r="G1224" s="23" t="str">
        <f>IF(OR(E1224="",E1224="!!!"),"",IF(OR(J1224=0,AND(J1224=1,K1224=1),AND(J1224=1,I1224="SBJ"),AND(J1224=1,I1224=0)),"?IN_FOCUS",IF(J1224&lt;=2,"?ACTIVATED",IF(J1224&lt;&gt;"","?FAMILIAR",IF(F1224="NEW",IF(ISNA(VLOOKUP(E1224,#REF!,1,FALSE())),"?TYPE_IDENTIFIABLE","?REFERENTIAL"),"_")))))</f>
        <v> </v>
      </c>
      <c r="H1224" s="24" t="str">
        <f>IF(J1224&lt;&gt;1,"",IF(I1224="SBJ","CB","?"))</f>
        <v> </v>
      </c>
      <c r="I1224" s="25" t="str">
        <f>IF(OR(E1224="",E1224="!!!",F1224="NEW"),"",INDEX(B1223:B$2,-1+SUMPRODUCT(MAX(ROW(E1223:E$2)*(E1224=E1223:E$2)))))</f>
        <v> </v>
      </c>
      <c r="J1224" s="25" t="str">
        <f>IF(OR(E1224="",E1224="!!!",F1224="NEW"),"",COUNTBLANK(OFFSET(A$1,,,SUMPRODUCT(MAX(ROW(E$2:E1224)*(E1224=E$2:E1224)))))-COUNTBLANK(OFFSET(A$1,,,SUMPRODUCT(MAX(ROW(E$1:E1223)*(E2=E$1:E1223))))))</f>
        <v> </v>
      </c>
      <c r="K1224" s="25" t="str">
        <f>IF(OR(E1224="",E1224="!!!",F1224="NEW"),"",INDEX(J$1:J1223,SUMPRODUCT(MAX(ROW(E$1:E1223)*(E1224=E$1:E1223)))))</f>
        <v> </v>
      </c>
      <c r="L1224" s="26"/>
    </row>
    <row r="1225" spans="1:12">
      <c r="A1225" s="20" t="s">
        <v>482</v>
      </c>
      <c r="E1225" s="21">
        <f>IF(D1225="?OLD","!!!","")</f>
        <v/>
      </c>
      <c r="F1225" s="22" t="str">
        <f>IF(OR(E1225="",E1225="!!!"),"",IF(NOT(ISNA(VLOOKUP(E1225,E$1:E1224,1,FALSE()))),"OLD",IF(AND(E1225&lt;&gt;"",E1225&lt;&gt;"!!!"),"NEW","")))</f>
        <v> </v>
      </c>
      <c r="G1225" s="23" t="str">
        <f>IF(OR(E1225="",E1225="!!!"),"",IF(OR(J1225=0,AND(J1225=1,K1225=1),AND(J1225=1,I1225="SBJ"),AND(J1225=1,I1225=0)),"?IN_FOCUS",IF(J1225&lt;=2,"?ACTIVATED",IF(J1225&lt;&gt;"","?FAMILIAR",IF(F1225="NEW",IF(ISNA(VLOOKUP(E1225,#REF!,1,FALSE())),"?TYPE_IDENTIFIABLE","?REFERENTIAL"),"_")))))</f>
        <v> </v>
      </c>
      <c r="H1225" s="24" t="str">
        <f>IF(J1225&lt;&gt;1,"",IF(I1225="SBJ","CB","?"))</f>
        <v> </v>
      </c>
      <c r="I1225" s="25" t="str">
        <f>IF(OR(E1225="",E1225="!!!",F1225="NEW"),"",INDEX(B1224:B$2,-1+SUMPRODUCT(MAX(ROW(E1224:E$2)*(E1225=E1224:E$2)))))</f>
        <v> </v>
      </c>
      <c r="J1225" s="25" t="str">
        <f>IF(OR(E1225="",E1225="!!!",F1225="NEW"),"",COUNTBLANK(OFFSET(A$1,,,SUMPRODUCT(MAX(ROW(E$2:E1225)*(E1225=E$2:E1225)))))-COUNTBLANK(OFFSET(A$1,,,SUMPRODUCT(MAX(ROW(E$1:E1224)*(E2=E$1:E1224))))))</f>
        <v> </v>
      </c>
      <c r="K1225" s="25" t="str">
        <f>IF(OR(E1225="",E1225="!!!",F1225="NEW"),"",INDEX(J$1:J1224,SUMPRODUCT(MAX(ROW(E$1:E1224)*(E1225=E$1:E1224)))))</f>
        <v> </v>
      </c>
      <c r="L1225" s="26"/>
    </row>
    <row r="1226" spans="1:12">
      <c r="A1226" s="20" t="s">
        <v>475</v>
      </c>
      <c r="B1226" s="27" t="s">
        <v>476</v>
      </c>
      <c r="C1226" s="27" t="s">
        <v>477</v>
      </c>
      <c r="D1226" s="27" t="s">
        <v>478</v>
      </c>
      <c r="E1226" s="21">
        <f>IF(D1226="?OLD","!!!","")</f>
        <v/>
      </c>
      <c r="F1226" s="22" t="str">
        <f>IF(OR(E1226="",E1226="!!!"),"",IF(NOT(ISNA(VLOOKUP(E1226,E$1:E1225,1,FALSE()))),"OLD",IF(AND(E1226&lt;&gt;"",E1226&lt;&gt;"!!!"),"NEW","")))</f>
        <v> </v>
      </c>
      <c r="G1226" s="23" t="str">
        <f>IF(OR(E1226="",E1226="!!!"),"",IF(OR(J1226=0,AND(J1226=1,K1226=1),AND(J1226=1,I1226="SBJ"),AND(J1226=1,I1226=0)),"?IN_FOCUS",IF(J1226&lt;=2,"?ACTIVATED",IF(J1226&lt;&gt;"","?FAMILIAR",IF(F1226="NEW",IF(ISNA(VLOOKUP(E1226,#REF!,1,FALSE())),"?TYPE_IDENTIFIABLE","?REFERENTIAL"),"_")))))</f>
        <v> </v>
      </c>
      <c r="H1226" s="24" t="str">
        <f>IF(J1226&lt;&gt;1,"",IF(I1226="SBJ","CB","?"))</f>
        <v> </v>
      </c>
      <c r="I1226" s="25" t="str">
        <f>IF(OR(E1226="",E1226="!!!",F1226="NEW"),"",INDEX(B1225:B$2,-1+SUMPRODUCT(MAX(ROW(E1225:E$2)*(E1226=E1225:E$2)))))</f>
        <v> </v>
      </c>
      <c r="J1226" s="25" t="str">
        <f>IF(OR(E1226="",E1226="!!!",F1226="NEW"),"",COUNTBLANK(OFFSET(A$1,,,SUMPRODUCT(MAX(ROW(E$2:E1226)*(E1226=E$2:E1226)))))-COUNTBLANK(OFFSET(A$1,,,SUMPRODUCT(MAX(ROW(E$1:E1225)*(E2=E$1:E1225))))))</f>
        <v> </v>
      </c>
      <c r="K1226" s="25" t="str">
        <f>IF(OR(E1226="",E1226="!!!",F1226="NEW"),"",INDEX(J$1:J1225,SUMPRODUCT(MAX(ROW(E$1:E1225)*(E1226=E$1:E1225)))))</f>
        <v> </v>
      </c>
      <c r="L1226" s="26"/>
    </row>
    <row r="1227" spans="1:12">
      <c r="A1227" s="20" t="s">
        <v>1051</v>
      </c>
      <c r="E1227" s="21">
        <f>IF(D1227="?OLD","!!!","")</f>
        <v/>
      </c>
      <c r="F1227" s="22" t="str">
        <f>IF(OR(E1227="",E1227="!!!"),"",IF(NOT(ISNA(VLOOKUP(E1227,E$1:E1226,1,FALSE()))),"OLD",IF(AND(E1227&lt;&gt;"",E1227&lt;&gt;"!!!"),"NEW","")))</f>
        <v> </v>
      </c>
      <c r="G1227" s="23" t="str">
        <f>IF(OR(E1227="",E1227="!!!"),"",IF(OR(J1227=0,AND(J1227=1,K1227=1),AND(J1227=1,I1227="SBJ"),AND(J1227=1,I1227=0)),"?IN_FOCUS",IF(J1227&lt;=2,"?ACTIVATED",IF(J1227&lt;&gt;"","?FAMILIAR",IF(F1227="NEW",IF(ISNA(VLOOKUP(E1227,#REF!,1,FALSE())),"?TYPE_IDENTIFIABLE","?REFERENTIAL"),"_")))))</f>
        <v> </v>
      </c>
      <c r="H1227" s="24" t="str">
        <f>IF(J1227&lt;&gt;1,"",IF(I1227="SBJ","CB","?"))</f>
        <v> </v>
      </c>
      <c r="I1227" s="25" t="str">
        <f>IF(OR(E1227="",E1227="!!!",F1227="NEW"),"",INDEX(B1226:B$2,-1+SUMPRODUCT(MAX(ROW(E1226:E$2)*(E1227=E1226:E$2)))))</f>
        <v> </v>
      </c>
      <c r="J1227" s="25" t="str">
        <f>IF(OR(E1227="",E1227="!!!",F1227="NEW"),"",COUNTBLANK(OFFSET(A$1,,,SUMPRODUCT(MAX(ROW(E$2:E1227)*(E1227=E$2:E1227)))))-COUNTBLANK(OFFSET(A$1,,,SUMPRODUCT(MAX(ROW(E$1:E1226)*(E2=E$1:E1226))))))</f>
        <v> </v>
      </c>
      <c r="K1227" s="25" t="str">
        <f>IF(OR(E1227="",E1227="!!!",F1227="NEW"),"",INDEX(J$1:J1226,SUMPRODUCT(MAX(ROW(E$1:E1226)*(E1227=E$1:E1226)))))</f>
        <v> </v>
      </c>
      <c r="L1227" s="26"/>
    </row>
    <row r="1228" spans="1:12">
      <c r="A1228" s="20" t="s">
        <v>1052</v>
      </c>
      <c r="E1228" s="21">
        <f>IF(D1228="?OLD","!!!","")</f>
        <v/>
      </c>
      <c r="F1228" s="22" t="str">
        <f>IF(OR(E1228="",E1228="!!!"),"",IF(NOT(ISNA(VLOOKUP(E1228,E$1:E1227,1,FALSE()))),"OLD",IF(AND(E1228&lt;&gt;"",E1228&lt;&gt;"!!!"),"NEW","")))</f>
        <v> </v>
      </c>
      <c r="G1228" s="23" t="str">
        <f>IF(OR(E1228="",E1228="!!!"),"",IF(OR(J1228=0,AND(J1228=1,K1228=1),AND(J1228=1,I1228="SBJ"),AND(J1228=1,I1228=0)),"?IN_FOCUS",IF(J1228&lt;=2,"?ACTIVATED",IF(J1228&lt;&gt;"","?FAMILIAR",IF(F1228="NEW",IF(ISNA(VLOOKUP(E1228,#REF!,1,FALSE())),"?TYPE_IDENTIFIABLE","?REFERENTIAL"),"_")))))</f>
        <v> </v>
      </c>
      <c r="H1228" s="24" t="str">
        <f>IF(J1228&lt;&gt;1,"",IF(I1228="SBJ","CB","?"))</f>
        <v> </v>
      </c>
      <c r="I1228" s="25" t="str">
        <f>IF(OR(E1228="",E1228="!!!",F1228="NEW"),"",INDEX(B1227:B$2,-1+SUMPRODUCT(MAX(ROW(E1227:E$2)*(E1228=E1227:E$2)))))</f>
        <v> </v>
      </c>
      <c r="J1228" s="25" t="str">
        <f>IF(OR(E1228="",E1228="!!!",F1228="NEW"),"",COUNTBLANK(OFFSET(A$1,,,SUMPRODUCT(MAX(ROW(E$2:E1228)*(E1228=E$2:E1228)))))-COUNTBLANK(OFFSET(A$1,,,SUMPRODUCT(MAX(ROW(E$1:E1227)*(E2=E$1:E1227))))))</f>
        <v> </v>
      </c>
      <c r="K1228" s="25" t="str">
        <f>IF(OR(E1228="",E1228="!!!",F1228="NEW"),"",INDEX(J$1:J1227,SUMPRODUCT(MAX(ROW(E$1:E1227)*(E1228=E$1:E1227)))))</f>
        <v> </v>
      </c>
      <c r="L1228" s="26"/>
    </row>
    <row r="1229" spans="1:12">
      <c r="A1229" s="20" t="s">
        <v>1053</v>
      </c>
      <c r="E1229" s="21">
        <f>IF(D1229="?OLD","!!!","")</f>
        <v/>
      </c>
      <c r="F1229" s="22" t="str">
        <f>IF(OR(E1229="",E1229="!!!"),"",IF(NOT(ISNA(VLOOKUP(E1229,E$1:E1228,1,FALSE()))),"OLD",IF(AND(E1229&lt;&gt;"",E1229&lt;&gt;"!!!"),"NEW","")))</f>
        <v> </v>
      </c>
      <c r="G1229" s="23" t="str">
        <f>IF(OR(E1229="",E1229="!!!"),"",IF(OR(J1229=0,AND(J1229=1,K1229=1),AND(J1229=1,I1229="SBJ"),AND(J1229=1,I1229=0)),"?IN_FOCUS",IF(J1229&lt;=2,"?ACTIVATED",IF(J1229&lt;&gt;"","?FAMILIAR",IF(F1229="NEW",IF(ISNA(VLOOKUP(E1229,#REF!,1,FALSE())),"?TYPE_IDENTIFIABLE","?REFERENTIAL"),"_")))))</f>
        <v> </v>
      </c>
      <c r="H1229" s="24" t="str">
        <f>IF(J1229&lt;&gt;1,"",IF(I1229="SBJ","CB","?"))</f>
        <v> </v>
      </c>
      <c r="I1229" s="25" t="str">
        <f>IF(OR(E1229="",E1229="!!!",F1229="NEW"),"",INDEX(B1228:B$2,-1+SUMPRODUCT(MAX(ROW(E1228:E$2)*(E1229=E1228:E$2)))))</f>
        <v> </v>
      </c>
      <c r="J1229" s="25" t="str">
        <f>IF(OR(E1229="",E1229="!!!",F1229="NEW"),"",COUNTBLANK(OFFSET(A$1,,,SUMPRODUCT(MAX(ROW(E$2:E1229)*(E1229=E$2:E1229)))))-COUNTBLANK(OFFSET(A$1,,,SUMPRODUCT(MAX(ROW(E$1:E1228)*(E2=E$1:E1228))))))</f>
        <v> </v>
      </c>
      <c r="K1229" s="25" t="str">
        <f>IF(OR(E1229="",E1229="!!!",F1229="NEW"),"",INDEX(J$1:J1228,SUMPRODUCT(MAX(ROW(E$1:E1228)*(E1229=E$1:E1228)))))</f>
        <v> </v>
      </c>
      <c r="L1229" s="26"/>
    </row>
    <row r="1230" spans="1:12">
      <c r="A1230" s="20" t="s">
        <v>1054</v>
      </c>
      <c r="B1230" s="27" t="s">
        <v>521</v>
      </c>
      <c r="E1230" s="21">
        <f>IF(D1230="?OLD","!!!","")</f>
        <v/>
      </c>
      <c r="F1230" s="22" t="str">
        <f>IF(OR(E1230="",E1230="!!!"),"",IF(NOT(ISNA(VLOOKUP(E1230,E$1:E1229,1,FALSE()))),"OLD",IF(AND(E1230&lt;&gt;"",E1230&lt;&gt;"!!!"),"NEW","")))</f>
        <v> </v>
      </c>
      <c r="G1230" s="23" t="str">
        <f>IF(OR(E1230="",E1230="!!!"),"",IF(OR(J1230=0,AND(J1230=1,K1230=1),AND(J1230=1,I1230="SBJ"),AND(J1230=1,I1230=0)),"?IN_FOCUS",IF(J1230&lt;=2,"?ACTIVATED",IF(J1230&lt;&gt;"","?FAMILIAR",IF(F1230="NEW",IF(ISNA(VLOOKUP(E1230,#REF!,1,FALSE())),"?TYPE_IDENTIFIABLE","?REFERENTIAL"),"_")))))</f>
        <v> </v>
      </c>
      <c r="H1230" s="24" t="str">
        <f>IF(J1230&lt;&gt;1,"",IF(I1230="SBJ","CB","?"))</f>
        <v> </v>
      </c>
      <c r="I1230" s="25" t="str">
        <f>IF(OR(E1230="",E1230="!!!",F1230="NEW"),"",INDEX(B1229:B$2,-1+SUMPRODUCT(MAX(ROW(E1229:E$2)*(E1230=E1229:E$2)))))</f>
        <v> </v>
      </c>
      <c r="J1230" s="25" t="str">
        <f>IF(OR(E1230="",E1230="!!!",F1230="NEW"),"",COUNTBLANK(OFFSET(A$1,,,SUMPRODUCT(MAX(ROW(E$2:E1230)*(E1230=E$2:E1230)))))-COUNTBLANK(OFFSET(A$1,,,SUMPRODUCT(MAX(ROW(E$1:E1229)*(E2=E$1:E1229))))))</f>
        <v> </v>
      </c>
      <c r="K1230" s="25" t="str">
        <f>IF(OR(E1230="",E1230="!!!",F1230="NEW"),"",INDEX(J$1:J1229,SUMPRODUCT(MAX(ROW(E$1:E1229)*(E1230=E$1:E1229)))))</f>
        <v> </v>
      </c>
      <c r="L1230" s="26"/>
    </row>
    <row r="1231" spans="1:12">
      <c r="A1231" s="20" t="s">
        <v>1055</v>
      </c>
      <c r="E1231" s="21">
        <f>IF(D1231="?OLD","!!!","")</f>
        <v/>
      </c>
      <c r="F1231" s="22" t="str">
        <f>IF(OR(E1231="",E1231="!!!"),"",IF(NOT(ISNA(VLOOKUP(E1231,E$1:E1230,1,FALSE()))),"OLD",IF(AND(E1231&lt;&gt;"",E1231&lt;&gt;"!!!"),"NEW","")))</f>
        <v> </v>
      </c>
      <c r="G1231" s="23" t="str">
        <f>IF(OR(E1231="",E1231="!!!"),"",IF(OR(J1231=0,AND(J1231=1,K1231=1),AND(J1231=1,I1231="SBJ"),AND(J1231=1,I1231=0)),"?IN_FOCUS",IF(J1231&lt;=2,"?ACTIVATED",IF(J1231&lt;&gt;"","?FAMILIAR",IF(F1231="NEW",IF(ISNA(VLOOKUP(E1231,#REF!,1,FALSE())),"?TYPE_IDENTIFIABLE","?REFERENTIAL"),"_")))))</f>
        <v> </v>
      </c>
      <c r="H1231" s="24" t="str">
        <f>IF(J1231&lt;&gt;1,"",IF(I1231="SBJ","CB","?"))</f>
        <v> </v>
      </c>
      <c r="I1231" s="25" t="str">
        <f>IF(OR(E1231="",E1231="!!!",F1231="NEW"),"",INDEX(B1230:B$2,-1+SUMPRODUCT(MAX(ROW(E1230:E$2)*(E1231=E1230:E$2)))))</f>
        <v> </v>
      </c>
      <c r="J1231" s="25" t="str">
        <f>IF(OR(E1231="",E1231="!!!",F1231="NEW"),"",COUNTBLANK(OFFSET(A$1,,,SUMPRODUCT(MAX(ROW(E$2:E1231)*(E1231=E$2:E1231)))))-COUNTBLANK(OFFSET(A$1,,,SUMPRODUCT(MAX(ROW(E$1:E1230)*(E2=E$1:E1230))))))</f>
        <v> </v>
      </c>
      <c r="K1231" s="25" t="str">
        <f>IF(OR(E1231="",E1231="!!!",F1231="NEW"),"",INDEX(J$1:J1230,SUMPRODUCT(MAX(ROW(E$1:E1230)*(E1231=E$1:E1230)))))</f>
        <v> </v>
      </c>
      <c r="L1231" s="26"/>
    </row>
    <row r="1232" spans="1:12">
      <c r="A1232" s="20" t="s">
        <v>1056</v>
      </c>
      <c r="B1232" s="27" t="s">
        <v>711</v>
      </c>
      <c r="C1232" s="27" t="s">
        <v>779</v>
      </c>
      <c r="E1232" s="21">
        <f>IF(D1232="?OLD","!!!","")</f>
        <v/>
      </c>
      <c r="F1232" s="22" t="str">
        <f>IF(OR(E1232="",E1232="!!!"),"",IF(NOT(ISNA(VLOOKUP(E1232,E$1:E1231,1,FALSE()))),"OLD",IF(AND(E1232&lt;&gt;"",E1232&lt;&gt;"!!!"),"NEW","")))</f>
        <v> </v>
      </c>
      <c r="G1232" s="23" t="str">
        <f>IF(OR(E1232="",E1232="!!!"),"",IF(OR(J1232=0,AND(J1232=1,K1232=1),AND(J1232=1,I1232="SBJ"),AND(J1232=1,I1232=0)),"?IN_FOCUS",IF(J1232&lt;=2,"?ACTIVATED",IF(J1232&lt;&gt;"","?FAMILIAR",IF(F1232="NEW",IF(ISNA(VLOOKUP(E1232,#REF!,1,FALSE())),"?TYPE_IDENTIFIABLE","?REFERENTIAL"),"_")))))</f>
        <v> </v>
      </c>
      <c r="H1232" s="24" t="str">
        <f>IF(J1232&lt;&gt;1,"",IF(I1232="SBJ","CB","?"))</f>
        <v> </v>
      </c>
      <c r="I1232" s="25" t="str">
        <f>IF(OR(E1232="",E1232="!!!",F1232="NEW"),"",INDEX(B1231:B$2,-1+SUMPRODUCT(MAX(ROW(E1231:E$2)*(E1232=E1231:E$2)))))</f>
        <v> </v>
      </c>
      <c r="J1232" s="25" t="str">
        <f>IF(OR(E1232="",E1232="!!!",F1232="NEW"),"",COUNTBLANK(OFFSET(A$1,,,SUMPRODUCT(MAX(ROW(E$2:E1232)*(E1232=E$2:E1232)))))-COUNTBLANK(OFFSET(A$1,,,SUMPRODUCT(MAX(ROW(E$1:E1231)*(E2=E$1:E1231))))))</f>
        <v> </v>
      </c>
      <c r="K1232" s="25" t="str">
        <f>IF(OR(E1232="",E1232="!!!",F1232="NEW"),"",INDEX(J$1:J1231,SUMPRODUCT(MAX(ROW(E$1:E1231)*(E1232=E$1:E1231)))))</f>
        <v> </v>
      </c>
      <c r="L1232" s="26"/>
    </row>
    <row r="1233" spans="1:12">
      <c r="A1233" s="20" t="s">
        <v>1057</v>
      </c>
      <c r="E1233" s="21">
        <f>IF(D1233="?OLD","!!!","")</f>
        <v/>
      </c>
      <c r="F1233" s="22" t="str">
        <f>IF(OR(E1233="",E1233="!!!"),"",IF(NOT(ISNA(VLOOKUP(E1233,E$1:E1232,1,FALSE()))),"OLD",IF(AND(E1233&lt;&gt;"",E1233&lt;&gt;"!!!"),"NEW","")))</f>
        <v> </v>
      </c>
      <c r="G1233" s="23" t="str">
        <f>IF(OR(E1233="",E1233="!!!"),"",IF(OR(J1233=0,AND(J1233=1,K1233=1),AND(J1233=1,I1233="SBJ"),AND(J1233=1,I1233=0)),"?IN_FOCUS",IF(J1233&lt;=2,"?ACTIVATED",IF(J1233&lt;&gt;"","?FAMILIAR",IF(F1233="NEW",IF(ISNA(VLOOKUP(E1233,#REF!,1,FALSE())),"?TYPE_IDENTIFIABLE","?REFERENTIAL"),"_")))))</f>
        <v> </v>
      </c>
      <c r="H1233" s="24" t="str">
        <f>IF(J1233&lt;&gt;1,"",IF(I1233="SBJ","CB","?"))</f>
        <v> </v>
      </c>
      <c r="I1233" s="25" t="str">
        <f>IF(OR(E1233="",E1233="!!!",F1233="NEW"),"",INDEX(B1232:B$2,-1+SUMPRODUCT(MAX(ROW(E1232:E$2)*(E1233=E1232:E$2)))))</f>
        <v> </v>
      </c>
      <c r="J1233" s="25" t="str">
        <f>IF(OR(E1233="",E1233="!!!",F1233="NEW"),"",COUNTBLANK(OFFSET(A$1,,,SUMPRODUCT(MAX(ROW(E$2:E1233)*(E1233=E$2:E1233)))))-COUNTBLANK(OFFSET(A$1,,,SUMPRODUCT(MAX(ROW(E$1:E1232)*(E2=E$1:E1232))))))</f>
        <v> </v>
      </c>
      <c r="K1233" s="25" t="str">
        <f>IF(OR(E1233="",E1233="!!!",F1233="NEW"),"",INDEX(J$1:J1232,SUMPRODUCT(MAX(ROW(E$1:E1232)*(E1233=E$1:E1232)))))</f>
        <v> </v>
      </c>
      <c r="L1233" s="26"/>
    </row>
    <row r="1234" spans="1:12">
      <c r="A1234" s="20" t="s">
        <v>513</v>
      </c>
      <c r="E1234" s="21">
        <f>IF(D1234="?OLD","!!!","")</f>
        <v/>
      </c>
      <c r="F1234" s="22" t="str">
        <f>IF(OR(E1234="",E1234="!!!"),"",IF(NOT(ISNA(VLOOKUP(E1234,E$1:E1233,1,FALSE()))),"OLD",IF(AND(E1234&lt;&gt;"",E1234&lt;&gt;"!!!"),"NEW","")))</f>
        <v> </v>
      </c>
      <c r="G1234" s="23" t="str">
        <f>IF(OR(E1234="",E1234="!!!"),"",IF(OR(J1234=0,AND(J1234=1,K1234=1),AND(J1234=1,I1234="SBJ"),AND(J1234=1,I1234=0)),"?IN_FOCUS",IF(J1234&lt;=2,"?ACTIVATED",IF(J1234&lt;&gt;"","?FAMILIAR",IF(F1234="NEW",IF(ISNA(VLOOKUP(E1234,#REF!,1,FALSE())),"?TYPE_IDENTIFIABLE","?REFERENTIAL"),"_")))))</f>
        <v> </v>
      </c>
      <c r="H1234" s="24" t="str">
        <f>IF(J1234&lt;&gt;1,"",IF(I1234="SBJ","CB","?"))</f>
        <v> </v>
      </c>
      <c r="I1234" s="25" t="str">
        <f>IF(OR(E1234="",E1234="!!!",F1234="NEW"),"",INDEX(B1233:B$2,-1+SUMPRODUCT(MAX(ROW(E1233:E$2)*(E1234=E1233:E$2)))))</f>
        <v> </v>
      </c>
      <c r="J1234" s="25" t="str">
        <f>IF(OR(E1234="",E1234="!!!",F1234="NEW"),"",COUNTBLANK(OFFSET(A$1,,,SUMPRODUCT(MAX(ROW(E$2:E1234)*(E1234=E$2:E1234)))))-COUNTBLANK(OFFSET(A$1,,,SUMPRODUCT(MAX(ROW(E$1:E1233)*(E2=E$1:E1233))))))</f>
        <v> </v>
      </c>
      <c r="K1234" s="25" t="str">
        <f>IF(OR(E1234="",E1234="!!!",F1234="NEW"),"",INDEX(J$1:J1233,SUMPRODUCT(MAX(ROW(E$1:E1233)*(E1234=E$1:E1233)))))</f>
        <v> </v>
      </c>
      <c r="L1234" s="26"/>
    </row>
    <row r="1235" spans="1:12">
      <c r="A1235" s="20" t="s">
        <v>1058</v>
      </c>
      <c r="E1235" s="21">
        <f>IF(D1235="?OLD","!!!","")</f>
        <v/>
      </c>
      <c r="F1235" s="22" t="str">
        <f>IF(OR(E1235="",E1235="!!!"),"",IF(NOT(ISNA(VLOOKUP(E1235,E$1:E1234,1,FALSE()))),"OLD",IF(AND(E1235&lt;&gt;"",E1235&lt;&gt;"!!!"),"NEW","")))</f>
        <v> </v>
      </c>
      <c r="G1235" s="23" t="str">
        <f>IF(OR(E1235="",E1235="!!!"),"",IF(OR(J1235=0,AND(J1235=1,K1235=1),AND(J1235=1,I1235="SBJ"),AND(J1235=1,I1235=0)),"?IN_FOCUS",IF(J1235&lt;=2,"?ACTIVATED",IF(J1235&lt;&gt;"","?FAMILIAR",IF(F1235="NEW",IF(ISNA(VLOOKUP(E1235,#REF!,1,FALSE())),"?TYPE_IDENTIFIABLE","?REFERENTIAL"),"_")))))</f>
        <v> </v>
      </c>
      <c r="H1235" s="24" t="str">
        <f>IF(J1235&lt;&gt;1,"",IF(I1235="SBJ","CB","?"))</f>
        <v> </v>
      </c>
      <c r="I1235" s="25" t="str">
        <f>IF(OR(E1235="",E1235="!!!",F1235="NEW"),"",INDEX(B1234:B$2,-1+SUMPRODUCT(MAX(ROW(E1234:E$2)*(E1235=E1234:E$2)))))</f>
        <v> </v>
      </c>
      <c r="J1235" s="25" t="str">
        <f>IF(OR(E1235="",E1235="!!!",F1235="NEW"),"",COUNTBLANK(OFFSET(A$1,,,SUMPRODUCT(MAX(ROW(E$2:E1235)*(E1235=E$2:E1235)))))-COUNTBLANK(OFFSET(A$1,,,SUMPRODUCT(MAX(ROW(E$1:E1234)*(E2=E$1:E1234))))))</f>
        <v> </v>
      </c>
      <c r="K1235" s="25" t="str">
        <f>IF(OR(E1235="",E1235="!!!",F1235="NEW"),"",INDEX(J$1:J1234,SUMPRODUCT(MAX(ROW(E$1:E1234)*(E1235=E$1:E1234)))))</f>
        <v> </v>
      </c>
      <c r="L1235" s="26"/>
    </row>
    <row r="1236" spans="1:12">
      <c r="A1236" s="20" t="s">
        <v>253</v>
      </c>
      <c r="E1236" s="21">
        <f>IF(D1236="?OLD","!!!","")</f>
        <v/>
      </c>
      <c r="F1236" s="22" t="str">
        <f>IF(OR(E1236="",E1236="!!!"),"",IF(NOT(ISNA(VLOOKUP(E1236,E$1:E1235,1,FALSE()))),"OLD",IF(AND(E1236&lt;&gt;"",E1236&lt;&gt;"!!!"),"NEW","")))</f>
        <v> </v>
      </c>
      <c r="G1236" s="23" t="str">
        <f>IF(OR(E1236="",E1236="!!!"),"",IF(OR(J1236=0,AND(J1236=1,K1236=1),AND(J1236=1,I1236="SBJ"),AND(J1236=1,I1236=0)),"?IN_FOCUS",IF(J1236&lt;=2,"?ACTIVATED",IF(J1236&lt;&gt;"","?FAMILIAR",IF(F1236="NEW",IF(ISNA(VLOOKUP(E1236,#REF!,1,FALSE())),"?TYPE_IDENTIFIABLE","?REFERENTIAL"),"_")))))</f>
        <v> </v>
      </c>
      <c r="H1236" s="24" t="str">
        <f>IF(J1236&lt;&gt;1,"",IF(I1236="SBJ","CB","?"))</f>
        <v> </v>
      </c>
      <c r="I1236" s="25" t="str">
        <f>IF(OR(E1236="",E1236="!!!",F1236="NEW"),"",INDEX(B1235:B$2,-1+SUMPRODUCT(MAX(ROW(E1235:E$2)*(E1236=E1235:E$2)))))</f>
        <v> </v>
      </c>
      <c r="J1236" s="25" t="str">
        <f>IF(OR(E1236="",E1236="!!!",F1236="NEW"),"",COUNTBLANK(OFFSET(A$1,,,SUMPRODUCT(MAX(ROW(E$2:E1236)*(E1236=E$2:E1236)))))-COUNTBLANK(OFFSET(A$1,,,SUMPRODUCT(MAX(ROW(E$1:E1235)*(E2=E$1:E1235))))))</f>
        <v> </v>
      </c>
      <c r="K1236" s="25" t="str">
        <f>IF(OR(E1236="",E1236="!!!",F1236="NEW"),"",INDEX(J$1:J1235,SUMPRODUCT(MAX(ROW(E$1:E1235)*(E1236=E$1:E1235)))))</f>
        <v> </v>
      </c>
      <c r="L1236" s="26"/>
    </row>
    <row r="1237" spans="1:12">
      <c r="A1237" s="20"/>
    </row>
    <row r="1238" spans="1:12">
      <c r="A1238" s="20" t="s">
        <v>1059</v>
      </c>
    </row>
    <row r="1239" spans="1:12">
      <c r="A1239" s="20" t="s">
        <v>1060</v>
      </c>
      <c r="E1239" s="21">
        <f>IF(D1239="?OLD","!!!","")</f>
        <v/>
      </c>
      <c r="F1239" s="22" t="str">
        <f>IF(OR(E1239="",E1239="!!!"),"",IF(NOT(ISNA(VLOOKUP(E1239,E$1:E1238,1,FALSE()))),"OLD",IF(AND(E1239&lt;&gt;"",E1239&lt;&gt;"!!!"),"NEW","")))</f>
        <v> </v>
      </c>
      <c r="G1239" s="23" t="str">
        <f>IF(OR(E1239="",E1239="!!!"),"",IF(OR(J1239=0,AND(J1239=1,K1239=1),AND(J1239=1,I1239="SBJ"),AND(J1239=1,I1239=0)),"?IN_FOCUS",IF(J1239&lt;=2,"?ACTIVATED",IF(J1239&lt;&gt;"","?FAMILIAR",IF(F1239="NEW",IF(ISNA(VLOOKUP(E1239,#REF!,1,FALSE())),"?TYPE_IDENTIFIABLE","?REFERENTIAL"),"_")))))</f>
        <v> </v>
      </c>
      <c r="H1239" s="24" t="str">
        <f>IF(J1239&lt;&gt;1,"",IF(I1239="SBJ","CB","?"))</f>
        <v> </v>
      </c>
      <c r="I1239" s="25" t="str">
        <f>IF(OR(E1239="",E1239="!!!",F1239="NEW"),"",INDEX(B1238:B$2,-1+SUMPRODUCT(MAX(ROW(E1238:E$2)*(E1239=E1238:E$2)))))</f>
        <v> </v>
      </c>
      <c r="J1239" s="25" t="str">
        <f>IF(OR(E1239="",E1239="!!!",F1239="NEW"),"",COUNTBLANK(OFFSET(A$1,,,SUMPRODUCT(MAX(ROW(E$2:E1239)*(E1239=E$2:E1239)))))-COUNTBLANK(OFFSET(A$1,,,SUMPRODUCT(MAX(ROW(E$1:E1238)*(E2=E$1:E1238))))))</f>
        <v> </v>
      </c>
      <c r="K1239" s="25" t="str">
        <f>IF(OR(E1239="",E1239="!!!",F1239="NEW"),"",INDEX(J$1:J1238,SUMPRODUCT(MAX(ROW(E$1:E1238)*(E1239=E$1:E1238)))))</f>
        <v> </v>
      </c>
      <c r="L1239" s="26"/>
    </row>
    <row r="1240" spans="1:12">
      <c r="A1240" s="20" t="s">
        <v>482</v>
      </c>
      <c r="E1240" s="21">
        <f>IF(D1240="?OLD","!!!","")</f>
        <v/>
      </c>
      <c r="F1240" s="22" t="str">
        <f>IF(OR(E1240="",E1240="!!!"),"",IF(NOT(ISNA(VLOOKUP(E1240,E$1:E1239,1,FALSE()))),"OLD",IF(AND(E1240&lt;&gt;"",E1240&lt;&gt;"!!!"),"NEW","")))</f>
        <v> </v>
      </c>
      <c r="G1240" s="23" t="str">
        <f>IF(OR(E1240="",E1240="!!!"),"",IF(OR(J1240=0,AND(J1240=1,K1240=1),AND(J1240=1,I1240="SBJ"),AND(J1240=1,I1240=0)),"?IN_FOCUS",IF(J1240&lt;=2,"?ACTIVATED",IF(J1240&lt;&gt;"","?FAMILIAR",IF(F1240="NEW",IF(ISNA(VLOOKUP(E1240,#REF!,1,FALSE())),"?TYPE_IDENTIFIABLE","?REFERENTIAL"),"_")))))</f>
        <v> </v>
      </c>
      <c r="H1240" s="24" t="str">
        <f>IF(J1240&lt;&gt;1,"",IF(I1240="SBJ","CB","?"))</f>
        <v> </v>
      </c>
      <c r="I1240" s="25" t="str">
        <f>IF(OR(E1240="",E1240="!!!",F1240="NEW"),"",INDEX(B1239:B$2,-1+SUMPRODUCT(MAX(ROW(E1239:E$2)*(E1240=E1239:E$2)))))</f>
        <v> </v>
      </c>
      <c r="J1240" s="25" t="str">
        <f>IF(OR(E1240="",E1240="!!!",F1240="NEW"),"",COUNTBLANK(OFFSET(A$1,,,SUMPRODUCT(MAX(ROW(E$2:E1240)*(E1240=E$2:E1240)))))-COUNTBLANK(OFFSET(A$1,,,SUMPRODUCT(MAX(ROW(E$1:E1239)*(E2=E$1:E1239))))))</f>
        <v> </v>
      </c>
      <c r="K1240" s="25" t="str">
        <f>IF(OR(E1240="",E1240="!!!",F1240="NEW"),"",INDEX(J$1:J1239,SUMPRODUCT(MAX(ROW(E$1:E1239)*(E1240=E$1:E1239)))))</f>
        <v> </v>
      </c>
      <c r="L1240" s="26"/>
    </row>
    <row r="1241" spans="1:12">
      <c r="A1241" s="20" t="s">
        <v>1061</v>
      </c>
      <c r="E1241" s="21">
        <f>IF(D1241="?OLD","!!!","")</f>
        <v/>
      </c>
      <c r="F1241" s="22" t="str">
        <f>IF(OR(E1241="",E1241="!!!"),"",IF(NOT(ISNA(VLOOKUP(E1241,E$1:E1240,1,FALSE()))),"OLD",IF(AND(E1241&lt;&gt;"",E1241&lt;&gt;"!!!"),"NEW","")))</f>
        <v> </v>
      </c>
      <c r="G1241" s="23" t="str">
        <f>IF(OR(E1241="",E1241="!!!"),"",IF(OR(J1241=0,AND(J1241=1,K1241=1),AND(J1241=1,I1241="SBJ"),AND(J1241=1,I1241=0)),"?IN_FOCUS",IF(J1241&lt;=2,"?ACTIVATED",IF(J1241&lt;&gt;"","?FAMILIAR",IF(F1241="NEW",IF(ISNA(VLOOKUP(E1241,#REF!,1,FALSE())),"?TYPE_IDENTIFIABLE","?REFERENTIAL"),"_")))))</f>
        <v> </v>
      </c>
      <c r="H1241" s="24" t="str">
        <f>IF(J1241&lt;&gt;1,"",IF(I1241="SBJ","CB","?"))</f>
        <v> </v>
      </c>
      <c r="I1241" s="25" t="str">
        <f>IF(OR(E1241="",E1241="!!!",F1241="NEW"),"",INDEX(B1240:B$2,-1+SUMPRODUCT(MAX(ROW(E1240:E$2)*(E1241=E1240:E$2)))))</f>
        <v> </v>
      </c>
      <c r="J1241" s="25" t="str">
        <f>IF(OR(E1241="",E1241="!!!",F1241="NEW"),"",COUNTBLANK(OFFSET(A$1,,,SUMPRODUCT(MAX(ROW(E$2:E1241)*(E1241=E$2:E1241)))))-COUNTBLANK(OFFSET(A$1,,,SUMPRODUCT(MAX(ROW(E$1:E1240)*(E2=E$1:E1240))))))</f>
        <v> </v>
      </c>
      <c r="K1241" s="25" t="str">
        <f>IF(OR(E1241="",E1241="!!!",F1241="NEW"),"",INDEX(J$1:J1240,SUMPRODUCT(MAX(ROW(E$1:E1240)*(E1241=E$1:E1240)))))</f>
        <v> </v>
      </c>
      <c r="L1241" s="26"/>
    </row>
    <row r="1242" spans="1:12">
      <c r="A1242" s="20" t="s">
        <v>218</v>
      </c>
      <c r="B1242" s="27" t="s">
        <v>577</v>
      </c>
      <c r="C1242" s="27" t="s">
        <v>484</v>
      </c>
      <c r="E1242" s="21">
        <f>IF(D1242="?OLD","!!!","")</f>
        <v/>
      </c>
      <c r="F1242" s="22" t="str">
        <f>IF(OR(E1242="",E1242="!!!"),"",IF(NOT(ISNA(VLOOKUP(E1242,E$1:E1241,1,FALSE()))),"OLD",IF(AND(E1242&lt;&gt;"",E1242&lt;&gt;"!!!"),"NEW","")))</f>
        <v> </v>
      </c>
      <c r="G1242" s="23" t="str">
        <f>IF(OR(E1242="",E1242="!!!"),"",IF(OR(J1242=0,AND(J1242=1,K1242=1),AND(J1242=1,I1242="SBJ"),AND(J1242=1,I1242=0)),"?IN_FOCUS",IF(J1242&lt;=2,"?ACTIVATED",IF(J1242&lt;&gt;"","?FAMILIAR",IF(F1242="NEW",IF(ISNA(VLOOKUP(E1242,#REF!,1,FALSE())),"?TYPE_IDENTIFIABLE","?REFERENTIAL"),"_")))))</f>
        <v> </v>
      </c>
      <c r="H1242" s="24" t="str">
        <f>IF(J1242&lt;&gt;1,"",IF(I1242="SBJ","CB","?"))</f>
        <v> </v>
      </c>
      <c r="I1242" s="25" t="str">
        <f>IF(OR(E1242="",E1242="!!!",F1242="NEW"),"",INDEX(B1241:B$2,-1+SUMPRODUCT(MAX(ROW(E1241:E$2)*(E1242=E1241:E$2)))))</f>
        <v> </v>
      </c>
      <c r="J1242" s="25" t="str">
        <f>IF(OR(E1242="",E1242="!!!",F1242="NEW"),"",COUNTBLANK(OFFSET(A$1,,,SUMPRODUCT(MAX(ROW(E$2:E1242)*(E1242=E$2:E1242)))))-COUNTBLANK(OFFSET(A$1,,,SUMPRODUCT(MAX(ROW(E$1:E1241)*(E2=E$1:E1241))))))</f>
        <v> </v>
      </c>
      <c r="K1242" s="25" t="str">
        <f>IF(OR(E1242="",E1242="!!!",F1242="NEW"),"",INDEX(J$1:J1241,SUMPRODUCT(MAX(ROW(E$1:E1241)*(E1242=E$1:E1241)))))</f>
        <v> </v>
      </c>
      <c r="L1242" s="26"/>
    </row>
    <row r="1243" spans="1:12">
      <c r="A1243" s="20" t="s">
        <v>482</v>
      </c>
      <c r="E1243" s="21">
        <f>IF(D1243="?OLD","!!!","")</f>
        <v/>
      </c>
      <c r="F1243" s="22" t="str">
        <f>IF(OR(E1243="",E1243="!!!"),"",IF(NOT(ISNA(VLOOKUP(E1243,E$1:E1242,1,FALSE()))),"OLD",IF(AND(E1243&lt;&gt;"",E1243&lt;&gt;"!!!"),"NEW","")))</f>
        <v> </v>
      </c>
      <c r="G1243" s="23" t="str">
        <f>IF(OR(E1243="",E1243="!!!"),"",IF(OR(J1243=0,AND(J1243=1,K1243=1),AND(J1243=1,I1243="SBJ"),AND(J1243=1,I1243=0)),"?IN_FOCUS",IF(J1243&lt;=2,"?ACTIVATED",IF(J1243&lt;&gt;"","?FAMILIAR",IF(F1243="NEW",IF(ISNA(VLOOKUP(E1243,#REF!,1,FALSE())),"?TYPE_IDENTIFIABLE","?REFERENTIAL"),"_")))))</f>
        <v> </v>
      </c>
      <c r="H1243" s="24" t="str">
        <f>IF(J1243&lt;&gt;1,"",IF(I1243="SBJ","CB","?"))</f>
        <v> </v>
      </c>
      <c r="I1243" s="25" t="str">
        <f>IF(OR(E1243="",E1243="!!!",F1243="NEW"),"",INDEX(B1242:B$2,-1+SUMPRODUCT(MAX(ROW(E1242:E$2)*(E1243=E1242:E$2)))))</f>
        <v> </v>
      </c>
      <c r="J1243" s="25" t="str">
        <f>IF(OR(E1243="",E1243="!!!",F1243="NEW"),"",COUNTBLANK(OFFSET(A$1,,,SUMPRODUCT(MAX(ROW(E$2:E1243)*(E1243=E$2:E1243)))))-COUNTBLANK(OFFSET(A$1,,,SUMPRODUCT(MAX(ROW(E$1:E1242)*(E2=E$1:E1242))))))</f>
        <v> </v>
      </c>
      <c r="K1243" s="25" t="str">
        <f>IF(OR(E1243="",E1243="!!!",F1243="NEW"),"",INDEX(J$1:J1242,SUMPRODUCT(MAX(ROW(E$1:E1242)*(E1243=E$1:E1242)))))</f>
        <v> </v>
      </c>
      <c r="L1243" s="26"/>
    </row>
    <row r="1244" spans="1:12">
      <c r="A1244" s="20" t="s">
        <v>1062</v>
      </c>
      <c r="E1244" s="21">
        <f>IF(D1244="?OLD","!!!","")</f>
        <v/>
      </c>
      <c r="F1244" s="22" t="str">
        <f>IF(OR(E1244="",E1244="!!!"),"",IF(NOT(ISNA(VLOOKUP(E1244,E$1:E1243,1,FALSE()))),"OLD",IF(AND(E1244&lt;&gt;"",E1244&lt;&gt;"!!!"),"NEW","")))</f>
        <v> </v>
      </c>
      <c r="G1244" s="23" t="str">
        <f>IF(OR(E1244="",E1244="!!!"),"",IF(OR(J1244=0,AND(J1244=1,K1244=1),AND(J1244=1,I1244="SBJ"),AND(J1244=1,I1244=0)),"?IN_FOCUS",IF(J1244&lt;=2,"?ACTIVATED",IF(J1244&lt;&gt;"","?FAMILIAR",IF(F1244="NEW",IF(ISNA(VLOOKUP(E1244,#REF!,1,FALSE())),"?TYPE_IDENTIFIABLE","?REFERENTIAL"),"_")))))</f>
        <v> </v>
      </c>
      <c r="H1244" s="24" t="str">
        <f>IF(J1244&lt;&gt;1,"",IF(I1244="SBJ","CB","?"))</f>
        <v> </v>
      </c>
      <c r="I1244" s="25" t="str">
        <f>IF(OR(E1244="",E1244="!!!",F1244="NEW"),"",INDEX(B1243:B$2,-1+SUMPRODUCT(MAX(ROW(E1243:E$2)*(E1244=E1243:E$2)))))</f>
        <v> </v>
      </c>
      <c r="J1244" s="25" t="str">
        <f>IF(OR(E1244="",E1244="!!!",F1244="NEW"),"",COUNTBLANK(OFFSET(A$1,,,SUMPRODUCT(MAX(ROW(E$2:E1244)*(E1244=E$2:E1244)))))-COUNTBLANK(OFFSET(A$1,,,SUMPRODUCT(MAX(ROW(E$1:E1243)*(E2=E$1:E1243))))))</f>
        <v> </v>
      </c>
      <c r="K1244" s="25" t="str">
        <f>IF(OR(E1244="",E1244="!!!",F1244="NEW"),"",INDEX(J$1:J1243,SUMPRODUCT(MAX(ROW(E$1:E1243)*(E1244=E$1:E1243)))))</f>
        <v> </v>
      </c>
      <c r="L1244" s="26"/>
    </row>
    <row r="1245" spans="1:12">
      <c r="A1245" s="20" t="s">
        <v>482</v>
      </c>
      <c r="E1245" s="21">
        <f>IF(D1245="?OLD","!!!","")</f>
        <v/>
      </c>
      <c r="F1245" s="22" t="str">
        <f>IF(OR(E1245="",E1245="!!!"),"",IF(NOT(ISNA(VLOOKUP(E1245,E$1:E1244,1,FALSE()))),"OLD",IF(AND(E1245&lt;&gt;"",E1245&lt;&gt;"!!!"),"NEW","")))</f>
        <v> </v>
      </c>
      <c r="G1245" s="23" t="str">
        <f>IF(OR(E1245="",E1245="!!!"),"",IF(OR(J1245=0,AND(J1245=1,K1245=1),AND(J1245=1,I1245="SBJ"),AND(J1245=1,I1245=0)),"?IN_FOCUS",IF(J1245&lt;=2,"?ACTIVATED",IF(J1245&lt;&gt;"","?FAMILIAR",IF(F1245="NEW",IF(ISNA(VLOOKUP(E1245,#REF!,1,FALSE())),"?TYPE_IDENTIFIABLE","?REFERENTIAL"),"_")))))</f>
        <v> </v>
      </c>
      <c r="H1245" s="24" t="str">
        <f>IF(J1245&lt;&gt;1,"",IF(I1245="SBJ","CB","?"))</f>
        <v> </v>
      </c>
      <c r="I1245" s="25" t="str">
        <f>IF(OR(E1245="",E1245="!!!",F1245="NEW"),"",INDEX(B1244:B$2,-1+SUMPRODUCT(MAX(ROW(E1244:E$2)*(E1245=E1244:E$2)))))</f>
        <v> </v>
      </c>
      <c r="J1245" s="25" t="str">
        <f>IF(OR(E1245="",E1245="!!!",F1245="NEW"),"",COUNTBLANK(OFFSET(A$1,,,SUMPRODUCT(MAX(ROW(E$2:E1245)*(E1245=E$2:E1245)))))-COUNTBLANK(OFFSET(A$1,,,SUMPRODUCT(MAX(ROW(E$1:E1244)*(E2=E$1:E1244))))))</f>
        <v> </v>
      </c>
      <c r="K1245" s="25" t="str">
        <f>IF(OR(E1245="",E1245="!!!",F1245="NEW"),"",INDEX(J$1:J1244,SUMPRODUCT(MAX(ROW(E$1:E1244)*(E1245=E$1:E1244)))))</f>
        <v> </v>
      </c>
      <c r="L1245" s="26"/>
    </row>
    <row r="1246" spans="1:12">
      <c r="A1246" s="20" t="s">
        <v>1063</v>
      </c>
      <c r="E1246" s="21">
        <f>IF(D1246="?OLD","!!!","")</f>
        <v/>
      </c>
      <c r="F1246" s="22" t="str">
        <f>IF(OR(E1246="",E1246="!!!"),"",IF(NOT(ISNA(VLOOKUP(E1246,E$1:E1245,1,FALSE()))),"OLD",IF(AND(E1246&lt;&gt;"",E1246&lt;&gt;"!!!"),"NEW","")))</f>
        <v> </v>
      </c>
      <c r="G1246" s="23" t="str">
        <f>IF(OR(E1246="",E1246="!!!"),"",IF(OR(J1246=0,AND(J1246=1,K1246=1),AND(J1246=1,I1246="SBJ"),AND(J1246=1,I1246=0)),"?IN_FOCUS",IF(J1246&lt;=2,"?ACTIVATED",IF(J1246&lt;&gt;"","?FAMILIAR",IF(F1246="NEW",IF(ISNA(VLOOKUP(E1246,#REF!,1,FALSE())),"?TYPE_IDENTIFIABLE","?REFERENTIAL"),"_")))))</f>
        <v> </v>
      </c>
      <c r="H1246" s="24" t="str">
        <f>IF(J1246&lt;&gt;1,"",IF(I1246="SBJ","CB","?"))</f>
        <v> </v>
      </c>
      <c r="I1246" s="25" t="str">
        <f>IF(OR(E1246="",E1246="!!!",F1246="NEW"),"",INDEX(B1245:B$2,-1+SUMPRODUCT(MAX(ROW(E1245:E$2)*(E1246=E1245:E$2)))))</f>
        <v> </v>
      </c>
      <c r="J1246" s="25" t="str">
        <f>IF(OR(E1246="",E1246="!!!",F1246="NEW"),"",COUNTBLANK(OFFSET(A$1,,,SUMPRODUCT(MAX(ROW(E$2:E1246)*(E1246=E$2:E1246)))))-COUNTBLANK(OFFSET(A$1,,,SUMPRODUCT(MAX(ROW(E$1:E1245)*(E2=E$1:E1245))))))</f>
        <v> </v>
      </c>
      <c r="K1246" s="25" t="str">
        <f>IF(OR(E1246="",E1246="!!!",F1246="NEW"),"",INDEX(J$1:J1245,SUMPRODUCT(MAX(ROW(E$1:E1245)*(E1246=E$1:E1245)))))</f>
        <v> </v>
      </c>
      <c r="L1246" s="26"/>
    </row>
    <row r="1247" spans="1:12">
      <c r="A1247" s="20" t="s">
        <v>482</v>
      </c>
      <c r="E1247" s="21">
        <f>IF(D1247="?OLD","!!!","")</f>
        <v/>
      </c>
      <c r="F1247" s="22" t="str">
        <f>IF(OR(E1247="",E1247="!!!"),"",IF(NOT(ISNA(VLOOKUP(E1247,E$1:E1246,1,FALSE()))),"OLD",IF(AND(E1247&lt;&gt;"",E1247&lt;&gt;"!!!"),"NEW","")))</f>
        <v> </v>
      </c>
      <c r="G1247" s="23" t="str">
        <f>IF(OR(E1247="",E1247="!!!"),"",IF(OR(J1247=0,AND(J1247=1,K1247=1),AND(J1247=1,I1247="SBJ"),AND(J1247=1,I1247=0)),"?IN_FOCUS",IF(J1247&lt;=2,"?ACTIVATED",IF(J1247&lt;&gt;"","?FAMILIAR",IF(F1247="NEW",IF(ISNA(VLOOKUP(E1247,#REF!,1,FALSE())),"?TYPE_IDENTIFIABLE","?REFERENTIAL"),"_")))))</f>
        <v> </v>
      </c>
      <c r="H1247" s="24" t="str">
        <f>IF(J1247&lt;&gt;1,"",IF(I1247="SBJ","CB","?"))</f>
        <v> </v>
      </c>
      <c r="I1247" s="25" t="str">
        <f>IF(OR(E1247="",E1247="!!!",F1247="NEW"),"",INDEX(B1246:B$2,-1+SUMPRODUCT(MAX(ROW(E1246:E$2)*(E1247=E1246:E$2)))))</f>
        <v> </v>
      </c>
      <c r="J1247" s="25" t="str">
        <f>IF(OR(E1247="",E1247="!!!",F1247="NEW"),"",COUNTBLANK(OFFSET(A$1,,,SUMPRODUCT(MAX(ROW(E$2:E1247)*(E1247=E$2:E1247)))))-COUNTBLANK(OFFSET(A$1,,,SUMPRODUCT(MAX(ROW(E$1:E1246)*(E2=E$1:E1246))))))</f>
        <v> </v>
      </c>
      <c r="K1247" s="25" t="str">
        <f>IF(OR(E1247="",E1247="!!!",F1247="NEW"),"",INDEX(J$1:J1246,SUMPRODUCT(MAX(ROW(E$1:E1246)*(E1247=E$1:E1246)))))</f>
        <v> </v>
      </c>
      <c r="L1247" s="26"/>
    </row>
    <row r="1248" spans="1:12">
      <c r="A1248" s="20" t="s">
        <v>1064</v>
      </c>
      <c r="B1248" s="27" t="s">
        <v>521</v>
      </c>
      <c r="E1248" s="21">
        <f>IF(D1248="?OLD","!!!","")</f>
        <v/>
      </c>
      <c r="F1248" s="22" t="str">
        <f>IF(OR(E1248="",E1248="!!!"),"",IF(NOT(ISNA(VLOOKUP(E1248,E$1:E1247,1,FALSE()))),"OLD",IF(AND(E1248&lt;&gt;"",E1248&lt;&gt;"!!!"),"NEW","")))</f>
        <v> </v>
      </c>
      <c r="G1248" s="23" t="str">
        <f>IF(OR(E1248="",E1248="!!!"),"",IF(OR(J1248=0,AND(J1248=1,K1248=1),AND(J1248=1,I1248="SBJ"),AND(J1248=1,I1248=0)),"?IN_FOCUS",IF(J1248&lt;=2,"?ACTIVATED",IF(J1248&lt;&gt;"","?FAMILIAR",IF(F1248="NEW",IF(ISNA(VLOOKUP(E1248,#REF!,1,FALSE())),"?TYPE_IDENTIFIABLE","?REFERENTIAL"),"_")))))</f>
        <v> </v>
      </c>
      <c r="H1248" s="24" t="str">
        <f>IF(J1248&lt;&gt;1,"",IF(I1248="SBJ","CB","?"))</f>
        <v> </v>
      </c>
      <c r="I1248" s="25" t="str">
        <f>IF(OR(E1248="",E1248="!!!",F1248="NEW"),"",INDEX(B1247:B$2,-1+SUMPRODUCT(MAX(ROW(E1247:E$2)*(E1248=E1247:E$2)))))</f>
        <v> </v>
      </c>
      <c r="J1248" s="25" t="str">
        <f>IF(OR(E1248="",E1248="!!!",F1248="NEW"),"",COUNTBLANK(OFFSET(A$1,,,SUMPRODUCT(MAX(ROW(E$2:E1248)*(E1248=E$2:E1248)))))-COUNTBLANK(OFFSET(A$1,,,SUMPRODUCT(MAX(ROW(E$1:E1247)*(E2=E$1:E1247))))))</f>
        <v> </v>
      </c>
      <c r="K1248" s="25" t="str">
        <f>IF(OR(E1248="",E1248="!!!",F1248="NEW"),"",INDEX(J$1:J1247,SUMPRODUCT(MAX(ROW(E$1:E1247)*(E1248=E$1:E1247)))))</f>
        <v> </v>
      </c>
      <c r="L1248" s="26"/>
    </row>
    <row r="1249" spans="1:12">
      <c r="A1249" s="20" t="s">
        <v>1065</v>
      </c>
      <c r="E1249" s="21">
        <f>IF(D1249="?OLD","!!!","")</f>
        <v/>
      </c>
      <c r="F1249" s="22" t="str">
        <f>IF(OR(E1249="",E1249="!!!"),"",IF(NOT(ISNA(VLOOKUP(E1249,E$1:E1248,1,FALSE()))),"OLD",IF(AND(E1249&lt;&gt;"",E1249&lt;&gt;"!!!"),"NEW","")))</f>
        <v> </v>
      </c>
      <c r="G1249" s="23" t="str">
        <f>IF(OR(E1249="",E1249="!!!"),"",IF(OR(J1249=0,AND(J1249=1,K1249=1),AND(J1249=1,I1249="SBJ"),AND(J1249=1,I1249=0)),"?IN_FOCUS",IF(J1249&lt;=2,"?ACTIVATED",IF(J1249&lt;&gt;"","?FAMILIAR",IF(F1249="NEW",IF(ISNA(VLOOKUP(E1249,#REF!,1,FALSE())),"?TYPE_IDENTIFIABLE","?REFERENTIAL"),"_")))))</f>
        <v> </v>
      </c>
      <c r="H1249" s="24" t="str">
        <f>IF(J1249&lt;&gt;1,"",IF(I1249="SBJ","CB","?"))</f>
        <v> </v>
      </c>
      <c r="I1249" s="25" t="str">
        <f>IF(OR(E1249="",E1249="!!!",F1249="NEW"),"",INDEX(B1248:B$2,-1+SUMPRODUCT(MAX(ROW(E1248:E$2)*(E1249=E1248:E$2)))))</f>
        <v> </v>
      </c>
      <c r="J1249" s="25" t="str">
        <f>IF(OR(E1249="",E1249="!!!",F1249="NEW"),"",COUNTBLANK(OFFSET(A$1,,,SUMPRODUCT(MAX(ROW(E$2:E1249)*(E1249=E$2:E1249)))))-COUNTBLANK(OFFSET(A$1,,,SUMPRODUCT(MAX(ROW(E$1:E1248)*(E2=E$1:E1248))))))</f>
        <v> </v>
      </c>
      <c r="K1249" s="25" t="str">
        <f>IF(OR(E1249="",E1249="!!!",F1249="NEW"),"",INDEX(J$1:J1248,SUMPRODUCT(MAX(ROW(E$1:E1248)*(E1249=E$1:E1248)))))</f>
        <v> </v>
      </c>
      <c r="L1249" s="26"/>
    </row>
    <row r="1250" spans="1:12">
      <c r="A1250" s="20" t="s">
        <v>475</v>
      </c>
      <c r="B1250" s="27" t="s">
        <v>476</v>
      </c>
      <c r="C1250" s="27" t="s">
        <v>477</v>
      </c>
      <c r="D1250" s="27" t="s">
        <v>478</v>
      </c>
      <c r="E1250" s="21">
        <f>IF(D1250="?OLD","!!!","")</f>
        <v/>
      </c>
      <c r="F1250" s="22" t="str">
        <f>IF(OR(E1250="",E1250="!!!"),"",IF(NOT(ISNA(VLOOKUP(E1250,E$1:E1249,1,FALSE()))),"OLD",IF(AND(E1250&lt;&gt;"",E1250&lt;&gt;"!!!"),"NEW","")))</f>
        <v> </v>
      </c>
      <c r="G1250" s="23" t="str">
        <f>IF(OR(E1250="",E1250="!!!"),"",IF(OR(J1250=0,AND(J1250=1,K1250=1),AND(J1250=1,I1250="SBJ"),AND(J1250=1,I1250=0)),"?IN_FOCUS",IF(J1250&lt;=2,"?ACTIVATED",IF(J1250&lt;&gt;"","?FAMILIAR",IF(F1250="NEW",IF(ISNA(VLOOKUP(E1250,#REF!,1,FALSE())),"?TYPE_IDENTIFIABLE","?REFERENTIAL"),"_")))))</f>
        <v> </v>
      </c>
      <c r="H1250" s="24" t="str">
        <f>IF(J1250&lt;&gt;1,"",IF(I1250="SBJ","CB","?"))</f>
        <v> </v>
      </c>
      <c r="I1250" s="25" t="str">
        <f>IF(OR(E1250="",E1250="!!!",F1250="NEW"),"",INDEX(B1249:B$2,-1+SUMPRODUCT(MAX(ROW(E1249:E$2)*(E1250=E1249:E$2)))))</f>
        <v> </v>
      </c>
      <c r="J1250" s="25" t="str">
        <f>IF(OR(E1250="",E1250="!!!",F1250="NEW"),"",COUNTBLANK(OFFSET(A$1,,,SUMPRODUCT(MAX(ROW(E$2:E1250)*(E1250=E$2:E1250)))))-COUNTBLANK(OFFSET(A$1,,,SUMPRODUCT(MAX(ROW(E$1:E1249)*(E2=E$1:E1249))))))</f>
        <v> </v>
      </c>
      <c r="K1250" s="25" t="str">
        <f>IF(OR(E1250="",E1250="!!!",F1250="NEW"),"",INDEX(J$1:J1249,SUMPRODUCT(MAX(ROW(E$1:E1249)*(E1250=E$1:E1249)))))</f>
        <v> </v>
      </c>
      <c r="L1250" s="26"/>
    </row>
    <row r="1251" spans="1:12">
      <c r="A1251" s="20" t="s">
        <v>1066</v>
      </c>
      <c r="E1251" s="21">
        <f>IF(D1251="?OLD","!!!","")</f>
        <v/>
      </c>
      <c r="F1251" s="22" t="str">
        <f>IF(OR(E1251="",E1251="!!!"),"",IF(NOT(ISNA(VLOOKUP(E1251,E$1:E1250,1,FALSE()))),"OLD",IF(AND(E1251&lt;&gt;"",E1251&lt;&gt;"!!!"),"NEW","")))</f>
        <v> </v>
      </c>
      <c r="G1251" s="23" t="str">
        <f>IF(OR(E1251="",E1251="!!!"),"",IF(OR(J1251=0,AND(J1251=1,K1251=1),AND(J1251=1,I1251="SBJ"),AND(J1251=1,I1251=0)),"?IN_FOCUS",IF(J1251&lt;=2,"?ACTIVATED",IF(J1251&lt;&gt;"","?FAMILIAR",IF(F1251="NEW",IF(ISNA(VLOOKUP(E1251,#REF!,1,FALSE())),"?TYPE_IDENTIFIABLE","?REFERENTIAL"),"_")))))</f>
        <v> </v>
      </c>
      <c r="H1251" s="24" t="str">
        <f>IF(J1251&lt;&gt;1,"",IF(I1251="SBJ","CB","?"))</f>
        <v> </v>
      </c>
      <c r="I1251" s="25" t="str">
        <f>IF(OR(E1251="",E1251="!!!",F1251="NEW"),"",INDEX(B1250:B$2,-1+SUMPRODUCT(MAX(ROW(E1250:E$2)*(E1251=E1250:E$2)))))</f>
        <v> </v>
      </c>
      <c r="J1251" s="25" t="str">
        <f>IF(OR(E1251="",E1251="!!!",F1251="NEW"),"",COUNTBLANK(OFFSET(A$1,,,SUMPRODUCT(MAX(ROW(E$2:E1251)*(E1251=E$2:E1251)))))-COUNTBLANK(OFFSET(A$1,,,SUMPRODUCT(MAX(ROW(E$1:E1250)*(E2=E$1:E1250))))))</f>
        <v> </v>
      </c>
      <c r="K1251" s="25" t="str">
        <f>IF(OR(E1251="",E1251="!!!",F1251="NEW"),"",INDEX(J$1:J1250,SUMPRODUCT(MAX(ROW(E$1:E1250)*(E1251=E$1:E1250)))))</f>
        <v> </v>
      </c>
      <c r="L1251" s="26"/>
    </row>
    <row r="1252" spans="1:12">
      <c r="A1252" s="20" t="s">
        <v>1067</v>
      </c>
      <c r="E1252" s="21">
        <f>IF(D1252="?OLD","!!!","")</f>
        <v/>
      </c>
      <c r="F1252" s="22" t="str">
        <f>IF(OR(E1252="",E1252="!!!"),"",IF(NOT(ISNA(VLOOKUP(E1252,E$1:E1251,1,FALSE()))),"OLD",IF(AND(E1252&lt;&gt;"",E1252&lt;&gt;"!!!"),"NEW","")))</f>
        <v> </v>
      </c>
      <c r="G1252" s="23" t="str">
        <f>IF(OR(E1252="",E1252="!!!"),"",IF(OR(J1252=0,AND(J1252=1,K1252=1),AND(J1252=1,I1252="SBJ"),AND(J1252=1,I1252=0)),"?IN_FOCUS",IF(J1252&lt;=2,"?ACTIVATED",IF(J1252&lt;&gt;"","?FAMILIAR",IF(F1252="NEW",IF(ISNA(VLOOKUP(E1252,#REF!,1,FALSE())),"?TYPE_IDENTIFIABLE","?REFERENTIAL"),"_")))))</f>
        <v> </v>
      </c>
      <c r="H1252" s="24" t="str">
        <f>IF(J1252&lt;&gt;1,"",IF(I1252="SBJ","CB","?"))</f>
        <v> </v>
      </c>
      <c r="I1252" s="25" t="str">
        <f>IF(OR(E1252="",E1252="!!!",F1252="NEW"),"",INDEX(B1251:B$2,-1+SUMPRODUCT(MAX(ROW(E1251:E$2)*(E1252=E1251:E$2)))))</f>
        <v> </v>
      </c>
      <c r="J1252" s="25" t="str">
        <f>IF(OR(E1252="",E1252="!!!",F1252="NEW"),"",COUNTBLANK(OFFSET(A$1,,,SUMPRODUCT(MAX(ROW(E$2:E1252)*(E1252=E$2:E1252)))))-COUNTBLANK(OFFSET(A$1,,,SUMPRODUCT(MAX(ROW(E$1:E1251)*(E2=E$1:E1251))))))</f>
        <v> </v>
      </c>
      <c r="K1252" s="25" t="str">
        <f>IF(OR(E1252="",E1252="!!!",F1252="NEW"),"",INDEX(J$1:J1251,SUMPRODUCT(MAX(ROW(E$1:E1251)*(E1252=E$1:E1251)))))</f>
        <v> </v>
      </c>
      <c r="L1252" s="26"/>
    </row>
    <row r="1253" spans="1:12">
      <c r="A1253" s="20" t="s">
        <v>253</v>
      </c>
      <c r="E1253" s="21">
        <f>IF(D1253="?OLD","!!!","")</f>
        <v/>
      </c>
      <c r="F1253" s="22" t="str">
        <f>IF(OR(E1253="",E1253="!!!"),"",IF(NOT(ISNA(VLOOKUP(E1253,E$1:E1252,1,FALSE()))),"OLD",IF(AND(E1253&lt;&gt;"",E1253&lt;&gt;"!!!"),"NEW","")))</f>
        <v> </v>
      </c>
      <c r="G1253" s="23" t="str">
        <f>IF(OR(E1253="",E1253="!!!"),"",IF(OR(J1253=0,AND(J1253=1,K1253=1),AND(J1253=1,I1253="SBJ"),AND(J1253=1,I1253=0)),"?IN_FOCUS",IF(J1253&lt;=2,"?ACTIVATED",IF(J1253&lt;&gt;"","?FAMILIAR",IF(F1253="NEW",IF(ISNA(VLOOKUP(E1253,#REF!,1,FALSE())),"?TYPE_IDENTIFIABLE","?REFERENTIAL"),"_")))))</f>
        <v> </v>
      </c>
      <c r="H1253" s="24" t="str">
        <f>IF(J1253&lt;&gt;1,"",IF(I1253="SBJ","CB","?"))</f>
        <v> </v>
      </c>
      <c r="I1253" s="25" t="str">
        <f>IF(OR(E1253="",E1253="!!!",F1253="NEW"),"",INDEX(B1252:B$2,-1+SUMPRODUCT(MAX(ROW(E1252:E$2)*(E1253=E1252:E$2)))))</f>
        <v> </v>
      </c>
      <c r="J1253" s="25" t="str">
        <f>IF(OR(E1253="",E1253="!!!",F1253="NEW"),"",COUNTBLANK(OFFSET(A$1,,,SUMPRODUCT(MAX(ROW(E$2:E1253)*(E1253=E$2:E1253)))))-COUNTBLANK(OFFSET(A$1,,,SUMPRODUCT(MAX(ROW(E$1:E1252)*(E2=E$1:E1252))))))</f>
        <v> </v>
      </c>
      <c r="K1253" s="25" t="str">
        <f>IF(OR(E1253="",E1253="!!!",F1253="NEW"),"",INDEX(J$1:J1252,SUMPRODUCT(MAX(ROW(E$1:E1252)*(E1253=E$1:E1252)))))</f>
        <v> </v>
      </c>
      <c r="L1253" s="26"/>
    </row>
    <row r="1254" spans="1:12">
      <c r="A1254" s="20"/>
    </row>
    <row r="1255" spans="1:12">
      <c r="A1255" s="20" t="s">
        <v>1068</v>
      </c>
    </row>
    <row r="1256" spans="1:12">
      <c r="A1256" s="20" t="s">
        <v>1069</v>
      </c>
      <c r="B1256" s="27" t="s">
        <v>476</v>
      </c>
      <c r="C1256" s="27" t="s">
        <v>477</v>
      </c>
      <c r="D1256" s="27" t="s">
        <v>478</v>
      </c>
      <c r="E1256" s="21">
        <f>IF(D1256="?OLD","!!!","")</f>
        <v/>
      </c>
      <c r="F1256" s="22" t="str">
        <f>IF(OR(E1256="",E1256="!!!"),"",IF(NOT(ISNA(VLOOKUP(E1256,E$1:E1255,1,FALSE()))),"OLD",IF(AND(E1256&lt;&gt;"",E1256&lt;&gt;"!!!"),"NEW","")))</f>
        <v> </v>
      </c>
      <c r="G1256" s="23" t="str">
        <f>IF(OR(E1256="",E1256="!!!"),"",IF(OR(J1256=0,AND(J1256=1,K1256=1),AND(J1256=1,I1256="SBJ"),AND(J1256=1,I1256=0)),"?IN_FOCUS",IF(J1256&lt;=2,"?ACTIVATED",IF(J1256&lt;&gt;"","?FAMILIAR",IF(F1256="NEW",IF(ISNA(VLOOKUP(E1256,#REF!,1,FALSE())),"?TYPE_IDENTIFIABLE","?REFERENTIAL"),"_")))))</f>
        <v> </v>
      </c>
      <c r="H1256" s="24" t="str">
        <f>IF(J1256&lt;&gt;1,"",IF(I1256="SBJ","CB","?"))</f>
        <v> </v>
      </c>
      <c r="I1256" s="25" t="str">
        <f>IF(OR(E1256="",E1256="!!!",F1256="NEW"),"",INDEX(B1255:B$2,-1+SUMPRODUCT(MAX(ROW(E1255:E$2)*(E1256=E1255:E$2)))))</f>
        <v> </v>
      </c>
      <c r="J1256" s="25" t="str">
        <f>IF(OR(E1256="",E1256="!!!",F1256="NEW"),"",COUNTBLANK(OFFSET(A$1,,,SUMPRODUCT(MAX(ROW(E$2:E1256)*(E1256=E$2:E1256)))))-COUNTBLANK(OFFSET(A$1,,,SUMPRODUCT(MAX(ROW(E$1:E1255)*(E2=E$1:E1255))))))</f>
        <v> </v>
      </c>
      <c r="K1256" s="25" t="str">
        <f>IF(OR(E1256="",E1256="!!!",F1256="NEW"),"",INDEX(J$1:J1255,SUMPRODUCT(MAX(ROW(E$1:E1255)*(E1256=E$1:E1255)))))</f>
        <v> </v>
      </c>
      <c r="L1256" s="26"/>
    </row>
    <row r="1257" spans="1:12">
      <c r="A1257" s="20" t="s">
        <v>1070</v>
      </c>
      <c r="E1257" s="21">
        <f>IF(D1257="?OLD","!!!","")</f>
        <v/>
      </c>
      <c r="F1257" s="22" t="str">
        <f>IF(OR(E1257="",E1257="!!!"),"",IF(NOT(ISNA(VLOOKUP(E1257,E$1:E1256,1,FALSE()))),"OLD",IF(AND(E1257&lt;&gt;"",E1257&lt;&gt;"!!!"),"NEW","")))</f>
        <v> </v>
      </c>
      <c r="G1257" s="23" t="str">
        <f>IF(OR(E1257="",E1257="!!!"),"",IF(OR(J1257=0,AND(J1257=1,K1257=1),AND(J1257=1,I1257="SBJ"),AND(J1257=1,I1257=0)),"?IN_FOCUS",IF(J1257&lt;=2,"?ACTIVATED",IF(J1257&lt;&gt;"","?FAMILIAR",IF(F1257="NEW",IF(ISNA(VLOOKUP(E1257,#REF!,1,FALSE())),"?TYPE_IDENTIFIABLE","?REFERENTIAL"),"_")))))</f>
        <v> </v>
      </c>
      <c r="H1257" s="24" t="str">
        <f>IF(J1257&lt;&gt;1,"",IF(I1257="SBJ","CB","?"))</f>
        <v> </v>
      </c>
      <c r="I1257" s="25" t="str">
        <f>IF(OR(E1257="",E1257="!!!",F1257="NEW"),"",INDEX(B1256:B$2,-1+SUMPRODUCT(MAX(ROW(E1256:E$2)*(E1257=E1256:E$2)))))</f>
        <v> </v>
      </c>
      <c r="J1257" s="25" t="str">
        <f>IF(OR(E1257="",E1257="!!!",F1257="NEW"),"",COUNTBLANK(OFFSET(A$1,,,SUMPRODUCT(MAX(ROW(E$2:E1257)*(E1257=E$2:E1257)))))-COUNTBLANK(OFFSET(A$1,,,SUMPRODUCT(MAX(ROW(E$1:E1256)*(E2=E$1:E1256))))))</f>
        <v> </v>
      </c>
      <c r="K1257" s="25" t="str">
        <f>IF(OR(E1257="",E1257="!!!",F1257="NEW"),"",INDEX(J$1:J1256,SUMPRODUCT(MAX(ROW(E$1:E1256)*(E1257=E$1:E1256)))))</f>
        <v> </v>
      </c>
      <c r="L1257" s="26"/>
    </row>
    <row r="1258" spans="1:12">
      <c r="A1258" s="20" t="s">
        <v>1071</v>
      </c>
      <c r="E1258" s="21">
        <f>IF(D1258="?OLD","!!!","")</f>
        <v/>
      </c>
      <c r="F1258" s="22" t="str">
        <f>IF(OR(E1258="",E1258="!!!"),"",IF(NOT(ISNA(VLOOKUP(E1258,E$1:E1257,1,FALSE()))),"OLD",IF(AND(E1258&lt;&gt;"",E1258&lt;&gt;"!!!"),"NEW","")))</f>
        <v> </v>
      </c>
      <c r="G1258" s="23" t="str">
        <f>IF(OR(E1258="",E1258="!!!"),"",IF(OR(J1258=0,AND(J1258=1,K1258=1),AND(J1258=1,I1258="SBJ"),AND(J1258=1,I1258=0)),"?IN_FOCUS",IF(J1258&lt;=2,"?ACTIVATED",IF(J1258&lt;&gt;"","?FAMILIAR",IF(F1258="NEW",IF(ISNA(VLOOKUP(E1258,#REF!,1,FALSE())),"?TYPE_IDENTIFIABLE","?REFERENTIAL"),"_")))))</f>
        <v> </v>
      </c>
      <c r="H1258" s="24" t="str">
        <f>IF(J1258&lt;&gt;1,"",IF(I1258="SBJ","CB","?"))</f>
        <v> </v>
      </c>
      <c r="I1258" s="25" t="str">
        <f>IF(OR(E1258="",E1258="!!!",F1258="NEW"),"",INDEX(B1257:B$2,-1+SUMPRODUCT(MAX(ROW(E1257:E$2)*(E1258=E1257:E$2)))))</f>
        <v> </v>
      </c>
      <c r="J1258" s="25" t="str">
        <f>IF(OR(E1258="",E1258="!!!",F1258="NEW"),"",COUNTBLANK(OFFSET(A$1,,,SUMPRODUCT(MAX(ROW(E$2:E1258)*(E1258=E$2:E1258)))))-COUNTBLANK(OFFSET(A$1,,,SUMPRODUCT(MAX(ROW(E$1:E1257)*(E2=E$1:E1257))))))</f>
        <v> </v>
      </c>
      <c r="K1258" s="25" t="str">
        <f>IF(OR(E1258="",E1258="!!!",F1258="NEW"),"",INDEX(J$1:J1257,SUMPRODUCT(MAX(ROW(E$1:E1257)*(E1258=E$1:E1257)))))</f>
        <v> </v>
      </c>
      <c r="L1258" s="26"/>
    </row>
    <row r="1259" spans="1:12">
      <c r="A1259" s="20" t="s">
        <v>482</v>
      </c>
      <c r="E1259" s="21">
        <f>IF(D1259="?OLD","!!!","")</f>
        <v/>
      </c>
      <c r="F1259" s="22" t="str">
        <f>IF(OR(E1259="",E1259="!!!"),"",IF(NOT(ISNA(VLOOKUP(E1259,E$1:E1258,1,FALSE()))),"OLD",IF(AND(E1259&lt;&gt;"",E1259&lt;&gt;"!!!"),"NEW","")))</f>
        <v> </v>
      </c>
      <c r="G1259" s="23" t="str">
        <f>IF(OR(E1259="",E1259="!!!"),"",IF(OR(J1259=0,AND(J1259=1,K1259=1),AND(J1259=1,I1259="SBJ"),AND(J1259=1,I1259=0)),"?IN_FOCUS",IF(J1259&lt;=2,"?ACTIVATED",IF(J1259&lt;&gt;"","?FAMILIAR",IF(F1259="NEW",IF(ISNA(VLOOKUP(E1259,#REF!,1,FALSE())),"?TYPE_IDENTIFIABLE","?REFERENTIAL"),"_")))))</f>
        <v> </v>
      </c>
      <c r="H1259" s="24" t="str">
        <f>IF(J1259&lt;&gt;1,"",IF(I1259="SBJ","CB","?"))</f>
        <v> </v>
      </c>
      <c r="I1259" s="25" t="str">
        <f>IF(OR(E1259="",E1259="!!!",F1259="NEW"),"",INDEX(B1258:B$2,-1+SUMPRODUCT(MAX(ROW(E1258:E$2)*(E1259=E1258:E$2)))))</f>
        <v> </v>
      </c>
      <c r="J1259" s="25" t="str">
        <f>IF(OR(E1259="",E1259="!!!",F1259="NEW"),"",COUNTBLANK(OFFSET(A$1,,,SUMPRODUCT(MAX(ROW(E$2:E1259)*(E1259=E$2:E1259)))))-COUNTBLANK(OFFSET(A$1,,,SUMPRODUCT(MAX(ROW(E$1:E1258)*(E2=E$1:E1258))))))</f>
        <v> </v>
      </c>
      <c r="K1259" s="25" t="str">
        <f>IF(OR(E1259="",E1259="!!!",F1259="NEW"),"",INDEX(J$1:J1258,SUMPRODUCT(MAX(ROW(E$1:E1258)*(E1259=E$1:E1258)))))</f>
        <v> </v>
      </c>
      <c r="L1259" s="26"/>
    </row>
    <row r="1260" spans="1:12">
      <c r="A1260" s="20" t="s">
        <v>679</v>
      </c>
      <c r="E1260" s="21">
        <f>IF(D1260="?OLD","!!!","")</f>
        <v/>
      </c>
      <c r="F1260" s="22" t="str">
        <f>IF(OR(E1260="",E1260="!!!"),"",IF(NOT(ISNA(VLOOKUP(E1260,E$1:E1259,1,FALSE()))),"OLD",IF(AND(E1260&lt;&gt;"",E1260&lt;&gt;"!!!"),"NEW","")))</f>
        <v> </v>
      </c>
      <c r="G1260" s="23" t="str">
        <f>IF(OR(E1260="",E1260="!!!"),"",IF(OR(J1260=0,AND(J1260=1,K1260=1),AND(J1260=1,I1260="SBJ"),AND(J1260=1,I1260=0)),"?IN_FOCUS",IF(J1260&lt;=2,"?ACTIVATED",IF(J1260&lt;&gt;"","?FAMILIAR",IF(F1260="NEW",IF(ISNA(VLOOKUP(E1260,#REF!,1,FALSE())),"?TYPE_IDENTIFIABLE","?REFERENTIAL"),"_")))))</f>
        <v> </v>
      </c>
      <c r="H1260" s="24" t="str">
        <f>IF(J1260&lt;&gt;1,"",IF(I1260="SBJ","CB","?"))</f>
        <v> </v>
      </c>
      <c r="I1260" s="25" t="str">
        <f>IF(OR(E1260="",E1260="!!!",F1260="NEW"),"",INDEX(B1259:B$2,-1+SUMPRODUCT(MAX(ROW(E1259:E$2)*(E1260=E1259:E$2)))))</f>
        <v> </v>
      </c>
      <c r="J1260" s="25" t="str">
        <f>IF(OR(E1260="",E1260="!!!",F1260="NEW"),"",COUNTBLANK(OFFSET(A$1,,,SUMPRODUCT(MAX(ROW(E$2:E1260)*(E1260=E$2:E1260)))))-COUNTBLANK(OFFSET(A$1,,,SUMPRODUCT(MAX(ROW(E$1:E1259)*(E2=E$1:E1259))))))</f>
        <v> </v>
      </c>
      <c r="K1260" s="25" t="str">
        <f>IF(OR(E1260="",E1260="!!!",F1260="NEW"),"",INDEX(J$1:J1259,SUMPRODUCT(MAX(ROW(E$1:E1259)*(E1260=E$1:E1259)))))</f>
        <v> </v>
      </c>
      <c r="L1260" s="26"/>
    </row>
    <row r="1261" spans="1:12">
      <c r="A1261" s="20" t="s">
        <v>940</v>
      </c>
      <c r="E1261" s="21">
        <f>IF(D1261="?OLD","!!!","")</f>
        <v/>
      </c>
      <c r="F1261" s="22" t="str">
        <f>IF(OR(E1261="",E1261="!!!"),"",IF(NOT(ISNA(VLOOKUP(E1261,E$1:E1260,1,FALSE()))),"OLD",IF(AND(E1261&lt;&gt;"",E1261&lt;&gt;"!!!"),"NEW","")))</f>
        <v> </v>
      </c>
      <c r="G1261" s="23" t="str">
        <f>IF(OR(E1261="",E1261="!!!"),"",IF(OR(J1261=0,AND(J1261=1,K1261=1),AND(J1261=1,I1261="SBJ"),AND(J1261=1,I1261=0)),"?IN_FOCUS",IF(J1261&lt;=2,"?ACTIVATED",IF(J1261&lt;&gt;"","?FAMILIAR",IF(F1261="NEW",IF(ISNA(VLOOKUP(E1261,#REF!,1,FALSE())),"?TYPE_IDENTIFIABLE","?REFERENTIAL"),"_")))))</f>
        <v> </v>
      </c>
      <c r="H1261" s="24" t="str">
        <f>IF(J1261&lt;&gt;1,"",IF(I1261="SBJ","CB","?"))</f>
        <v> </v>
      </c>
      <c r="I1261" s="25" t="str">
        <f>IF(OR(E1261="",E1261="!!!",F1261="NEW"),"",INDEX(B1260:B$2,-1+SUMPRODUCT(MAX(ROW(E1260:E$2)*(E1261=E1260:E$2)))))</f>
        <v> </v>
      </c>
      <c r="J1261" s="25" t="str">
        <f>IF(OR(E1261="",E1261="!!!",F1261="NEW"),"",COUNTBLANK(OFFSET(A$1,,,SUMPRODUCT(MAX(ROW(E$2:E1261)*(E1261=E$2:E1261)))))-COUNTBLANK(OFFSET(A$1,,,SUMPRODUCT(MAX(ROW(E$1:E1260)*(E2=E$1:E1260))))))</f>
        <v> </v>
      </c>
      <c r="K1261" s="25" t="str">
        <f>IF(OR(E1261="",E1261="!!!",F1261="NEW"),"",INDEX(J$1:J1260,SUMPRODUCT(MAX(ROW(E$1:E1260)*(E1261=E$1:E1260)))))</f>
        <v> </v>
      </c>
      <c r="L1261" s="26"/>
    </row>
    <row r="1262" spans="1:12">
      <c r="A1262" s="20" t="s">
        <v>1072</v>
      </c>
      <c r="E1262" s="21">
        <f>IF(D1262="?OLD","!!!","")</f>
        <v/>
      </c>
      <c r="F1262" s="22" t="str">
        <f>IF(OR(E1262="",E1262="!!!"),"",IF(NOT(ISNA(VLOOKUP(E1262,E$1:E1261,1,FALSE()))),"OLD",IF(AND(E1262&lt;&gt;"",E1262&lt;&gt;"!!!"),"NEW","")))</f>
        <v> </v>
      </c>
      <c r="G1262" s="23" t="str">
        <f>IF(OR(E1262="",E1262="!!!"),"",IF(OR(J1262=0,AND(J1262=1,K1262=1),AND(J1262=1,I1262="SBJ"),AND(J1262=1,I1262=0)),"?IN_FOCUS",IF(J1262&lt;=2,"?ACTIVATED",IF(J1262&lt;&gt;"","?FAMILIAR",IF(F1262="NEW",IF(ISNA(VLOOKUP(E1262,#REF!,1,FALSE())),"?TYPE_IDENTIFIABLE","?REFERENTIAL"),"_")))))</f>
        <v> </v>
      </c>
      <c r="H1262" s="24" t="str">
        <f>IF(J1262&lt;&gt;1,"",IF(I1262="SBJ","CB","?"))</f>
        <v> </v>
      </c>
      <c r="I1262" s="25" t="str">
        <f>IF(OR(E1262="",E1262="!!!",F1262="NEW"),"",INDEX(B1261:B$2,-1+SUMPRODUCT(MAX(ROW(E1261:E$2)*(E1262=E1261:E$2)))))</f>
        <v> </v>
      </c>
      <c r="J1262" s="25" t="str">
        <f>IF(OR(E1262="",E1262="!!!",F1262="NEW"),"",COUNTBLANK(OFFSET(A$1,,,SUMPRODUCT(MAX(ROW(E$2:E1262)*(E1262=E$2:E1262)))))-COUNTBLANK(OFFSET(A$1,,,SUMPRODUCT(MAX(ROW(E$1:E1261)*(E2=E$1:E1261))))))</f>
        <v> </v>
      </c>
      <c r="K1262" s="25" t="str">
        <f>IF(OR(E1262="",E1262="!!!",F1262="NEW"),"",INDEX(J$1:J1261,SUMPRODUCT(MAX(ROW(E$1:E1261)*(E1262=E$1:E1261)))))</f>
        <v> </v>
      </c>
      <c r="L1262" s="26"/>
    </row>
    <row r="1263" spans="1:12">
      <c r="A1263" s="20" t="s">
        <v>482</v>
      </c>
      <c r="E1263" s="21">
        <f>IF(D1263="?OLD","!!!","")</f>
        <v/>
      </c>
      <c r="F1263" s="22" t="str">
        <f>IF(OR(E1263="",E1263="!!!"),"",IF(NOT(ISNA(VLOOKUP(E1263,E$1:E1262,1,FALSE()))),"OLD",IF(AND(E1263&lt;&gt;"",E1263&lt;&gt;"!!!"),"NEW","")))</f>
        <v> </v>
      </c>
      <c r="G1263" s="23" t="str">
        <f>IF(OR(E1263="",E1263="!!!"),"",IF(OR(J1263=0,AND(J1263=1,K1263=1),AND(J1263=1,I1263="SBJ"),AND(J1263=1,I1263=0)),"?IN_FOCUS",IF(J1263&lt;=2,"?ACTIVATED",IF(J1263&lt;&gt;"","?FAMILIAR",IF(F1263="NEW",IF(ISNA(VLOOKUP(E1263,#REF!,1,FALSE())),"?TYPE_IDENTIFIABLE","?REFERENTIAL"),"_")))))</f>
        <v> </v>
      </c>
      <c r="H1263" s="24" t="str">
        <f>IF(J1263&lt;&gt;1,"",IF(I1263="SBJ","CB","?"))</f>
        <v> </v>
      </c>
      <c r="I1263" s="25" t="str">
        <f>IF(OR(E1263="",E1263="!!!",F1263="NEW"),"",INDEX(B1262:B$2,-1+SUMPRODUCT(MAX(ROW(E1262:E$2)*(E1263=E1262:E$2)))))</f>
        <v> </v>
      </c>
      <c r="J1263" s="25" t="str">
        <f>IF(OR(E1263="",E1263="!!!",F1263="NEW"),"",COUNTBLANK(OFFSET(A$1,,,SUMPRODUCT(MAX(ROW(E$2:E1263)*(E1263=E$2:E1263)))))-COUNTBLANK(OFFSET(A$1,,,SUMPRODUCT(MAX(ROW(E$1:E1262)*(E2=E$1:E1262))))))</f>
        <v> </v>
      </c>
      <c r="K1263" s="25" t="str">
        <f>IF(OR(E1263="",E1263="!!!",F1263="NEW"),"",INDEX(J$1:J1262,SUMPRODUCT(MAX(ROW(E$1:E1262)*(E1263=E$1:E1262)))))</f>
        <v> </v>
      </c>
      <c r="L1263" s="26"/>
    </row>
    <row r="1264" spans="1:12">
      <c r="A1264" s="20" t="s">
        <v>550</v>
      </c>
      <c r="E1264" s="21">
        <f>IF(D1264="?OLD","!!!","")</f>
        <v/>
      </c>
      <c r="F1264" s="22" t="str">
        <f>IF(OR(E1264="",E1264="!!!"),"",IF(NOT(ISNA(VLOOKUP(E1264,E$1:E1263,1,FALSE()))),"OLD",IF(AND(E1264&lt;&gt;"",E1264&lt;&gt;"!!!"),"NEW","")))</f>
        <v> </v>
      </c>
      <c r="G1264" s="23" t="str">
        <f>IF(OR(E1264="",E1264="!!!"),"",IF(OR(J1264=0,AND(J1264=1,K1264=1),AND(J1264=1,I1264="SBJ"),AND(J1264=1,I1264=0)),"?IN_FOCUS",IF(J1264&lt;=2,"?ACTIVATED",IF(J1264&lt;&gt;"","?FAMILIAR",IF(F1264="NEW",IF(ISNA(VLOOKUP(E1264,#REF!,1,FALSE())),"?TYPE_IDENTIFIABLE","?REFERENTIAL"),"_")))))</f>
        <v> </v>
      </c>
      <c r="H1264" s="24" t="str">
        <f>IF(J1264&lt;&gt;1,"",IF(I1264="SBJ","CB","?"))</f>
        <v> </v>
      </c>
      <c r="I1264" s="25" t="str">
        <f>IF(OR(E1264="",E1264="!!!",F1264="NEW"),"",INDEX(B1263:B$2,-1+SUMPRODUCT(MAX(ROW(E1263:E$2)*(E1264=E1263:E$2)))))</f>
        <v> </v>
      </c>
      <c r="J1264" s="25" t="str">
        <f>IF(OR(E1264="",E1264="!!!",F1264="NEW"),"",COUNTBLANK(OFFSET(A$1,,,SUMPRODUCT(MAX(ROW(E$2:E1264)*(E1264=E$2:E1264)))))-COUNTBLANK(OFFSET(A$1,,,SUMPRODUCT(MAX(ROW(E$1:E1263)*(E2=E$1:E1263))))))</f>
        <v> </v>
      </c>
      <c r="K1264" s="25" t="str">
        <f>IF(OR(E1264="",E1264="!!!",F1264="NEW"),"",INDEX(J$1:J1263,SUMPRODUCT(MAX(ROW(E$1:E1263)*(E1264=E$1:E1263)))))</f>
        <v> </v>
      </c>
      <c r="L1264" s="26"/>
    </row>
    <row r="1265" spans="1:12">
      <c r="A1265" s="20" t="s">
        <v>1073</v>
      </c>
      <c r="E1265" s="21">
        <f>IF(D1265="?OLD","!!!","")</f>
        <v/>
      </c>
      <c r="F1265" s="22" t="str">
        <f>IF(OR(E1265="",E1265="!!!"),"",IF(NOT(ISNA(VLOOKUP(E1265,E$1:E1264,1,FALSE()))),"OLD",IF(AND(E1265&lt;&gt;"",E1265&lt;&gt;"!!!"),"NEW","")))</f>
        <v> </v>
      </c>
      <c r="G1265" s="23" t="str">
        <f>IF(OR(E1265="",E1265="!!!"),"",IF(OR(J1265=0,AND(J1265=1,K1265=1),AND(J1265=1,I1265="SBJ"),AND(J1265=1,I1265=0)),"?IN_FOCUS",IF(J1265&lt;=2,"?ACTIVATED",IF(J1265&lt;&gt;"","?FAMILIAR",IF(F1265="NEW",IF(ISNA(VLOOKUP(E1265,#REF!,1,FALSE())),"?TYPE_IDENTIFIABLE","?REFERENTIAL"),"_")))))</f>
        <v> </v>
      </c>
      <c r="H1265" s="24" t="str">
        <f>IF(J1265&lt;&gt;1,"",IF(I1265="SBJ","CB","?"))</f>
        <v> </v>
      </c>
      <c r="I1265" s="25" t="str">
        <f>IF(OR(E1265="",E1265="!!!",F1265="NEW"),"",INDEX(B1264:B$2,-1+SUMPRODUCT(MAX(ROW(E1264:E$2)*(E1265=E1264:E$2)))))</f>
        <v> </v>
      </c>
      <c r="J1265" s="25" t="str">
        <f>IF(OR(E1265="",E1265="!!!",F1265="NEW"),"",COUNTBLANK(OFFSET(A$1,,,SUMPRODUCT(MAX(ROW(E$2:E1265)*(E1265=E$2:E1265)))))-COUNTBLANK(OFFSET(A$1,,,SUMPRODUCT(MAX(ROW(E$1:E1264)*(E2=E$1:E1264))))))</f>
        <v> </v>
      </c>
      <c r="K1265" s="25" t="str">
        <f>IF(OR(E1265="",E1265="!!!",F1265="NEW"),"",INDEX(J$1:J1264,SUMPRODUCT(MAX(ROW(E$1:E1264)*(E1265=E$1:E1264)))))</f>
        <v> </v>
      </c>
      <c r="L1265" s="26"/>
    </row>
    <row r="1266" spans="1:12">
      <c r="A1266" s="20" t="s">
        <v>253</v>
      </c>
      <c r="E1266" s="21">
        <f>IF(D1266="?OLD","!!!","")</f>
        <v/>
      </c>
      <c r="F1266" s="22" t="str">
        <f>IF(OR(E1266="",E1266="!!!"),"",IF(NOT(ISNA(VLOOKUP(E1266,E$1:E1265,1,FALSE()))),"OLD",IF(AND(E1266&lt;&gt;"",E1266&lt;&gt;"!!!"),"NEW","")))</f>
        <v> </v>
      </c>
      <c r="G1266" s="23" t="str">
        <f>IF(OR(E1266="",E1266="!!!"),"",IF(OR(J1266=0,AND(J1266=1,K1266=1),AND(J1266=1,I1266="SBJ"),AND(J1266=1,I1266=0)),"?IN_FOCUS",IF(J1266&lt;=2,"?ACTIVATED",IF(J1266&lt;&gt;"","?FAMILIAR",IF(F1266="NEW",IF(ISNA(VLOOKUP(E1266,#REF!,1,FALSE())),"?TYPE_IDENTIFIABLE","?REFERENTIAL"),"_")))))</f>
        <v> </v>
      </c>
      <c r="H1266" s="24" t="str">
        <f>IF(J1266&lt;&gt;1,"",IF(I1266="SBJ","CB","?"))</f>
        <v> </v>
      </c>
      <c r="I1266" s="25" t="str">
        <f>IF(OR(E1266="",E1266="!!!",F1266="NEW"),"",INDEX(B1265:B$2,-1+SUMPRODUCT(MAX(ROW(E1265:E$2)*(E1266=E1265:E$2)))))</f>
        <v> </v>
      </c>
      <c r="J1266" s="25" t="str">
        <f>IF(OR(E1266="",E1266="!!!",F1266="NEW"),"",COUNTBLANK(OFFSET(A$1,,,SUMPRODUCT(MAX(ROW(E$2:E1266)*(E1266=E$2:E1266)))))-COUNTBLANK(OFFSET(A$1,,,SUMPRODUCT(MAX(ROW(E$1:E1265)*(E2=E$1:E1265))))))</f>
        <v> </v>
      </c>
      <c r="K1266" s="25" t="str">
        <f>IF(OR(E1266="",E1266="!!!",F1266="NEW"),"",INDEX(J$1:J1265,SUMPRODUCT(MAX(ROW(E$1:E1265)*(E1266=E$1:E1265)))))</f>
        <v> </v>
      </c>
      <c r="L1266" s="26"/>
    </row>
    <row r="1267" spans="1:12">
      <c r="A1267" s="20"/>
    </row>
    <row r="1268" spans="1:12">
      <c r="A1268" s="20" t="s">
        <v>1074</v>
      </c>
    </row>
    <row r="1269" spans="1:12">
      <c r="A1269" s="20" t="s">
        <v>614</v>
      </c>
      <c r="E1269" s="21">
        <f>IF(D1269="?OLD","!!!","")</f>
        <v/>
      </c>
      <c r="F1269" s="22" t="str">
        <f>IF(OR(E1269="",E1269="!!!"),"",IF(NOT(ISNA(VLOOKUP(E1269,E$1:E1268,1,FALSE()))),"OLD",IF(AND(E1269&lt;&gt;"",E1269&lt;&gt;"!!!"),"NEW","")))</f>
        <v> </v>
      </c>
      <c r="G1269" s="23" t="str">
        <f>IF(OR(E1269="",E1269="!!!"),"",IF(OR(J1269=0,AND(J1269=1,K1269=1),AND(J1269=1,I1269="SBJ"),AND(J1269=1,I1269=0)),"?IN_FOCUS",IF(J1269&lt;=2,"?ACTIVATED",IF(J1269&lt;&gt;"","?FAMILIAR",IF(F1269="NEW",IF(ISNA(VLOOKUP(E1269,#REF!,1,FALSE())),"?TYPE_IDENTIFIABLE","?REFERENTIAL"),"_")))))</f>
        <v> </v>
      </c>
      <c r="H1269" s="24" t="str">
        <f>IF(J1269&lt;&gt;1,"",IF(I1269="SBJ","CB","?"))</f>
        <v> </v>
      </c>
      <c r="I1269" s="25" t="str">
        <f>IF(OR(E1269="",E1269="!!!",F1269="NEW"),"",INDEX(B1268:B$2,-1+SUMPRODUCT(MAX(ROW(E1268:E$2)*(E1269=E1268:E$2)))))</f>
        <v> </v>
      </c>
      <c r="J1269" s="25" t="str">
        <f>IF(OR(E1269="",E1269="!!!",F1269="NEW"),"",COUNTBLANK(OFFSET(A$1,,,SUMPRODUCT(MAX(ROW(E$2:E1269)*(E1269=E$2:E1269)))))-COUNTBLANK(OFFSET(A$1,,,SUMPRODUCT(MAX(ROW(E$1:E1268)*(E2=E$1:E1268))))))</f>
        <v> </v>
      </c>
      <c r="K1269" s="25" t="str">
        <f>IF(OR(E1269="",E1269="!!!",F1269="NEW"),"",INDEX(J$1:J1268,SUMPRODUCT(MAX(ROW(E$1:E1268)*(E1269=E$1:E1268)))))</f>
        <v> </v>
      </c>
      <c r="L1269" s="26"/>
    </row>
    <row r="1270" spans="1:12">
      <c r="A1270" s="20" t="s">
        <v>482</v>
      </c>
      <c r="E1270" s="21">
        <f>IF(D1270="?OLD","!!!","")</f>
        <v/>
      </c>
      <c r="F1270" s="22" t="str">
        <f>IF(OR(E1270="",E1270="!!!"),"",IF(NOT(ISNA(VLOOKUP(E1270,E$1:E1269,1,FALSE()))),"OLD",IF(AND(E1270&lt;&gt;"",E1270&lt;&gt;"!!!"),"NEW","")))</f>
        <v> </v>
      </c>
      <c r="G1270" s="23" t="str">
        <f>IF(OR(E1270="",E1270="!!!"),"",IF(OR(J1270=0,AND(J1270=1,K1270=1),AND(J1270=1,I1270="SBJ"),AND(J1270=1,I1270=0)),"?IN_FOCUS",IF(J1270&lt;=2,"?ACTIVATED",IF(J1270&lt;&gt;"","?FAMILIAR",IF(F1270="NEW",IF(ISNA(VLOOKUP(E1270,#REF!,1,FALSE())),"?TYPE_IDENTIFIABLE","?REFERENTIAL"),"_")))))</f>
        <v> </v>
      </c>
      <c r="H1270" s="24" t="str">
        <f>IF(J1270&lt;&gt;1,"",IF(I1270="SBJ","CB","?"))</f>
        <v> </v>
      </c>
      <c r="I1270" s="25" t="str">
        <f>IF(OR(E1270="",E1270="!!!",F1270="NEW"),"",INDEX(B1269:B$2,-1+SUMPRODUCT(MAX(ROW(E1269:E$2)*(E1270=E1269:E$2)))))</f>
        <v> </v>
      </c>
      <c r="J1270" s="25" t="str">
        <f>IF(OR(E1270="",E1270="!!!",F1270="NEW"),"",COUNTBLANK(OFFSET(A$1,,,SUMPRODUCT(MAX(ROW(E$2:E1270)*(E1270=E$2:E1270)))))-COUNTBLANK(OFFSET(A$1,,,SUMPRODUCT(MAX(ROW(E$1:E1269)*(E2=E$1:E1269))))))</f>
        <v> </v>
      </c>
      <c r="K1270" s="25" t="str">
        <f>IF(OR(E1270="",E1270="!!!",F1270="NEW"),"",INDEX(J$1:J1269,SUMPRODUCT(MAX(ROW(E$1:E1269)*(E1270=E$1:E1269)))))</f>
        <v> </v>
      </c>
      <c r="L1270" s="26"/>
    </row>
    <row r="1271" spans="1:12">
      <c r="A1271" s="20" t="s">
        <v>380</v>
      </c>
      <c r="E1271" s="21">
        <f>IF(D1271="?OLD","!!!","")</f>
        <v/>
      </c>
      <c r="F1271" s="22" t="str">
        <f>IF(OR(E1271="",E1271="!!!"),"",IF(NOT(ISNA(VLOOKUP(E1271,E$1:E1270,1,FALSE()))),"OLD",IF(AND(E1271&lt;&gt;"",E1271&lt;&gt;"!!!"),"NEW","")))</f>
        <v> </v>
      </c>
      <c r="G1271" s="23" t="str">
        <f>IF(OR(E1271="",E1271="!!!"),"",IF(OR(J1271=0,AND(J1271=1,K1271=1),AND(J1271=1,I1271="SBJ"),AND(J1271=1,I1271=0)),"?IN_FOCUS",IF(J1271&lt;=2,"?ACTIVATED",IF(J1271&lt;&gt;"","?FAMILIAR",IF(F1271="NEW",IF(ISNA(VLOOKUP(E1271,#REF!,1,FALSE())),"?TYPE_IDENTIFIABLE","?REFERENTIAL"),"_")))))</f>
        <v> </v>
      </c>
      <c r="H1271" s="24" t="str">
        <f>IF(J1271&lt;&gt;1,"",IF(I1271="SBJ","CB","?"))</f>
        <v> </v>
      </c>
      <c r="I1271" s="25" t="str">
        <f>IF(OR(E1271="",E1271="!!!",F1271="NEW"),"",INDEX(B1270:B$2,-1+SUMPRODUCT(MAX(ROW(E1270:E$2)*(E1271=E1270:E$2)))))</f>
        <v> </v>
      </c>
      <c r="J1271" s="25" t="str">
        <f>IF(OR(E1271="",E1271="!!!",F1271="NEW"),"",COUNTBLANK(OFFSET(A$1,,,SUMPRODUCT(MAX(ROW(E$2:E1271)*(E1271=E$2:E1271)))))-COUNTBLANK(OFFSET(A$1,,,SUMPRODUCT(MAX(ROW(E$1:E1270)*(E2=E$1:E1270))))))</f>
        <v> </v>
      </c>
      <c r="K1271" s="25" t="str">
        <f>IF(OR(E1271="",E1271="!!!",F1271="NEW"),"",INDEX(J$1:J1270,SUMPRODUCT(MAX(ROW(E$1:E1270)*(E1271=E$1:E1270)))))</f>
        <v> </v>
      </c>
      <c r="L1271" s="26"/>
    </row>
    <row r="1272" spans="1:12">
      <c r="A1272" s="20" t="s">
        <v>218</v>
      </c>
      <c r="B1272" s="27" t="s">
        <v>476</v>
      </c>
      <c r="C1272" s="27" t="s">
        <v>484</v>
      </c>
      <c r="E1272" s="21">
        <f>IF(D1272="?OLD","!!!","")</f>
        <v/>
      </c>
      <c r="F1272" s="22" t="str">
        <f>IF(OR(E1272="",E1272="!!!"),"",IF(NOT(ISNA(VLOOKUP(E1272,E$1:E1271,1,FALSE()))),"OLD",IF(AND(E1272&lt;&gt;"",E1272&lt;&gt;"!!!"),"NEW","")))</f>
        <v> </v>
      </c>
      <c r="G1272" s="23" t="str">
        <f>IF(OR(E1272="",E1272="!!!"),"",IF(OR(J1272=0,AND(J1272=1,K1272=1),AND(J1272=1,I1272="SBJ"),AND(J1272=1,I1272=0)),"?IN_FOCUS",IF(J1272&lt;=2,"?ACTIVATED",IF(J1272&lt;&gt;"","?FAMILIAR",IF(F1272="NEW",IF(ISNA(VLOOKUP(E1272,#REF!,1,FALSE())),"?TYPE_IDENTIFIABLE","?REFERENTIAL"),"_")))))</f>
        <v> </v>
      </c>
      <c r="H1272" s="24" t="str">
        <f>IF(J1272&lt;&gt;1,"",IF(I1272="SBJ","CB","?"))</f>
        <v> </v>
      </c>
      <c r="I1272" s="25" t="str">
        <f>IF(OR(E1272="",E1272="!!!",F1272="NEW"),"",INDEX(B1271:B$2,-1+SUMPRODUCT(MAX(ROW(E1271:E$2)*(E1272=E1271:E$2)))))</f>
        <v> </v>
      </c>
      <c r="J1272" s="25" t="str">
        <f>IF(OR(E1272="",E1272="!!!",F1272="NEW"),"",COUNTBLANK(OFFSET(A$1,,,SUMPRODUCT(MAX(ROW(E$2:E1272)*(E1272=E$2:E1272)))))-COUNTBLANK(OFFSET(A$1,,,SUMPRODUCT(MAX(ROW(E$1:E1271)*(E2=E$1:E1271))))))</f>
        <v> </v>
      </c>
      <c r="K1272" s="25" t="str">
        <f>IF(OR(E1272="",E1272="!!!",F1272="NEW"),"",INDEX(J$1:J1271,SUMPRODUCT(MAX(ROW(E$1:E1271)*(E1272=E$1:E1271)))))</f>
        <v> </v>
      </c>
      <c r="L1272" s="26"/>
    </row>
    <row r="1273" spans="1:12">
      <c r="A1273" s="20" t="s">
        <v>615</v>
      </c>
      <c r="E1273" s="21">
        <f>IF(D1273="?OLD","!!!","")</f>
        <v/>
      </c>
      <c r="F1273" s="22" t="str">
        <f>IF(OR(E1273="",E1273="!!!"),"",IF(NOT(ISNA(VLOOKUP(E1273,E$1:E1272,1,FALSE()))),"OLD",IF(AND(E1273&lt;&gt;"",E1273&lt;&gt;"!!!"),"NEW","")))</f>
        <v> </v>
      </c>
      <c r="G1273" s="23" t="str">
        <f>IF(OR(E1273="",E1273="!!!"),"",IF(OR(J1273=0,AND(J1273=1,K1273=1),AND(J1273=1,I1273="SBJ"),AND(J1273=1,I1273=0)),"?IN_FOCUS",IF(J1273&lt;=2,"?ACTIVATED",IF(J1273&lt;&gt;"","?FAMILIAR",IF(F1273="NEW",IF(ISNA(VLOOKUP(E1273,#REF!,1,FALSE())),"?TYPE_IDENTIFIABLE","?REFERENTIAL"),"_")))))</f>
        <v> </v>
      </c>
      <c r="H1273" s="24" t="str">
        <f>IF(J1273&lt;&gt;1,"",IF(I1273="SBJ","CB","?"))</f>
        <v> </v>
      </c>
      <c r="I1273" s="25" t="str">
        <f>IF(OR(E1273="",E1273="!!!",F1273="NEW"),"",INDEX(B1272:B$2,-1+SUMPRODUCT(MAX(ROW(E1272:E$2)*(E1273=E1272:E$2)))))</f>
        <v> </v>
      </c>
      <c r="J1273" s="25" t="str">
        <f>IF(OR(E1273="",E1273="!!!",F1273="NEW"),"",COUNTBLANK(OFFSET(A$1,,,SUMPRODUCT(MAX(ROW(E$2:E1273)*(E1273=E$2:E1273)))))-COUNTBLANK(OFFSET(A$1,,,SUMPRODUCT(MAX(ROW(E$1:E1272)*(E2=E$1:E1272))))))</f>
        <v> </v>
      </c>
      <c r="K1273" s="25" t="str">
        <f>IF(OR(E1273="",E1273="!!!",F1273="NEW"),"",INDEX(J$1:J1272,SUMPRODUCT(MAX(ROW(E$1:E1272)*(E1273=E$1:E1272)))))</f>
        <v> </v>
      </c>
      <c r="L1273" s="26"/>
    </row>
    <row r="1274" spans="1:12">
      <c r="A1274" s="20" t="s">
        <v>482</v>
      </c>
      <c r="E1274" s="21">
        <f>IF(D1274="?OLD","!!!","")</f>
        <v/>
      </c>
      <c r="F1274" s="22" t="str">
        <f>IF(OR(E1274="",E1274="!!!"),"",IF(NOT(ISNA(VLOOKUP(E1274,E$1:E1273,1,FALSE()))),"OLD",IF(AND(E1274&lt;&gt;"",E1274&lt;&gt;"!!!"),"NEW","")))</f>
        <v> </v>
      </c>
      <c r="G1274" s="23" t="str">
        <f>IF(OR(E1274="",E1274="!!!"),"",IF(OR(J1274=0,AND(J1274=1,K1274=1),AND(J1274=1,I1274="SBJ"),AND(J1274=1,I1274=0)),"?IN_FOCUS",IF(J1274&lt;=2,"?ACTIVATED",IF(J1274&lt;&gt;"","?FAMILIAR",IF(F1274="NEW",IF(ISNA(VLOOKUP(E1274,#REF!,1,FALSE())),"?TYPE_IDENTIFIABLE","?REFERENTIAL"),"_")))))</f>
        <v> </v>
      </c>
      <c r="H1274" s="24" t="str">
        <f>IF(J1274&lt;&gt;1,"",IF(I1274="SBJ","CB","?"))</f>
        <v> </v>
      </c>
      <c r="I1274" s="25" t="str">
        <f>IF(OR(E1274="",E1274="!!!",F1274="NEW"),"",INDEX(B1273:B$2,-1+SUMPRODUCT(MAX(ROW(E1273:E$2)*(E1274=E1273:E$2)))))</f>
        <v> </v>
      </c>
      <c r="J1274" s="25" t="str">
        <f>IF(OR(E1274="",E1274="!!!",F1274="NEW"),"",COUNTBLANK(OFFSET(A$1,,,SUMPRODUCT(MAX(ROW(E$2:E1274)*(E1274=E$2:E1274)))))-COUNTBLANK(OFFSET(A$1,,,SUMPRODUCT(MAX(ROW(E$1:E1273)*(E2=E$1:E1273))))))</f>
        <v> </v>
      </c>
      <c r="K1274" s="25" t="str">
        <f>IF(OR(E1274="",E1274="!!!",F1274="NEW"),"",INDEX(J$1:J1273,SUMPRODUCT(MAX(ROW(E$1:E1273)*(E1274=E$1:E1273)))))</f>
        <v> </v>
      </c>
      <c r="L1274" s="26"/>
    </row>
    <row r="1275" spans="1:12">
      <c r="A1275" s="20" t="s">
        <v>380</v>
      </c>
      <c r="E1275" s="21">
        <f>IF(D1275="?OLD","!!!","")</f>
        <v/>
      </c>
      <c r="F1275" s="22" t="str">
        <f>IF(OR(E1275="",E1275="!!!"),"",IF(NOT(ISNA(VLOOKUP(E1275,E$1:E1274,1,FALSE()))),"OLD",IF(AND(E1275&lt;&gt;"",E1275&lt;&gt;"!!!"),"NEW","")))</f>
        <v> </v>
      </c>
      <c r="G1275" s="23" t="str">
        <f>IF(OR(E1275="",E1275="!!!"),"",IF(OR(J1275=0,AND(J1275=1,K1275=1),AND(J1275=1,I1275="SBJ"),AND(J1275=1,I1275=0)),"?IN_FOCUS",IF(J1275&lt;=2,"?ACTIVATED",IF(J1275&lt;&gt;"","?FAMILIAR",IF(F1275="NEW",IF(ISNA(VLOOKUP(E1275,#REF!,1,FALSE())),"?TYPE_IDENTIFIABLE","?REFERENTIAL"),"_")))))</f>
        <v> </v>
      </c>
      <c r="H1275" s="24" t="str">
        <f>IF(J1275&lt;&gt;1,"",IF(I1275="SBJ","CB","?"))</f>
        <v> </v>
      </c>
      <c r="I1275" s="25" t="str">
        <f>IF(OR(E1275="",E1275="!!!",F1275="NEW"),"",INDEX(B1274:B$2,-1+SUMPRODUCT(MAX(ROW(E1274:E$2)*(E1275=E1274:E$2)))))</f>
        <v> </v>
      </c>
      <c r="J1275" s="25" t="str">
        <f>IF(OR(E1275="",E1275="!!!",F1275="NEW"),"",COUNTBLANK(OFFSET(A$1,,,SUMPRODUCT(MAX(ROW(E$2:E1275)*(E1275=E$2:E1275)))))-COUNTBLANK(OFFSET(A$1,,,SUMPRODUCT(MAX(ROW(E$1:E1274)*(E2=E$1:E1274))))))</f>
        <v> </v>
      </c>
      <c r="K1275" s="25" t="str">
        <f>IF(OR(E1275="",E1275="!!!",F1275="NEW"),"",INDEX(J$1:J1274,SUMPRODUCT(MAX(ROW(E$1:E1274)*(E1275=E$1:E1274)))))</f>
        <v> </v>
      </c>
      <c r="L1275" s="26"/>
    </row>
    <row r="1276" spans="1:12">
      <c r="A1276" s="20" t="s">
        <v>637</v>
      </c>
      <c r="E1276" s="21">
        <f>IF(D1276="?OLD","!!!","")</f>
        <v/>
      </c>
      <c r="F1276" s="22" t="str">
        <f>IF(OR(E1276="",E1276="!!!"),"",IF(NOT(ISNA(VLOOKUP(E1276,E$1:E1275,1,FALSE()))),"OLD",IF(AND(E1276&lt;&gt;"",E1276&lt;&gt;"!!!"),"NEW","")))</f>
        <v> </v>
      </c>
      <c r="G1276" s="23" t="str">
        <f>IF(OR(E1276="",E1276="!!!"),"",IF(OR(J1276=0,AND(J1276=1,K1276=1),AND(J1276=1,I1276="SBJ"),AND(J1276=1,I1276=0)),"?IN_FOCUS",IF(J1276&lt;=2,"?ACTIVATED",IF(J1276&lt;&gt;"","?FAMILIAR",IF(F1276="NEW",IF(ISNA(VLOOKUP(E1276,#REF!,1,FALSE())),"?TYPE_IDENTIFIABLE","?REFERENTIAL"),"_")))))</f>
        <v> </v>
      </c>
      <c r="H1276" s="24" t="str">
        <f>IF(J1276&lt;&gt;1,"",IF(I1276="SBJ","CB","?"))</f>
        <v> </v>
      </c>
      <c r="I1276" s="25" t="str">
        <f>IF(OR(E1276="",E1276="!!!",F1276="NEW"),"",INDEX(B1275:B$2,-1+SUMPRODUCT(MAX(ROW(E1275:E$2)*(E1276=E1275:E$2)))))</f>
        <v> </v>
      </c>
      <c r="J1276" s="25" t="str">
        <f>IF(OR(E1276="",E1276="!!!",F1276="NEW"),"",COUNTBLANK(OFFSET(A$1,,,SUMPRODUCT(MAX(ROW(E$2:E1276)*(E1276=E$2:E1276)))))-COUNTBLANK(OFFSET(A$1,,,SUMPRODUCT(MAX(ROW(E$1:E1275)*(E2=E$1:E1275))))))</f>
        <v> </v>
      </c>
      <c r="K1276" s="25" t="str">
        <f>IF(OR(E1276="",E1276="!!!",F1276="NEW"),"",INDEX(J$1:J1275,SUMPRODUCT(MAX(ROW(E$1:E1275)*(E1276=E$1:E1275)))))</f>
        <v> </v>
      </c>
      <c r="L1276" s="26"/>
    </row>
    <row r="1277" spans="1:12">
      <c r="A1277" s="20" t="s">
        <v>482</v>
      </c>
      <c r="E1277" s="21">
        <f>IF(D1277="?OLD","!!!","")</f>
        <v/>
      </c>
      <c r="F1277" s="22" t="str">
        <f>IF(OR(E1277="",E1277="!!!"),"",IF(NOT(ISNA(VLOOKUP(E1277,E$1:E1276,1,FALSE()))),"OLD",IF(AND(E1277&lt;&gt;"",E1277&lt;&gt;"!!!"),"NEW","")))</f>
        <v> </v>
      </c>
      <c r="G1277" s="23" t="str">
        <f>IF(OR(E1277="",E1277="!!!"),"",IF(OR(J1277=0,AND(J1277=1,K1277=1),AND(J1277=1,I1277="SBJ"),AND(J1277=1,I1277=0)),"?IN_FOCUS",IF(J1277&lt;=2,"?ACTIVATED",IF(J1277&lt;&gt;"","?FAMILIAR",IF(F1277="NEW",IF(ISNA(VLOOKUP(E1277,#REF!,1,FALSE())),"?TYPE_IDENTIFIABLE","?REFERENTIAL"),"_")))))</f>
        <v> </v>
      </c>
      <c r="H1277" s="24" t="str">
        <f>IF(J1277&lt;&gt;1,"",IF(I1277="SBJ","CB","?"))</f>
        <v> </v>
      </c>
      <c r="I1277" s="25" t="str">
        <f>IF(OR(E1277="",E1277="!!!",F1277="NEW"),"",INDEX(B1276:B$2,-1+SUMPRODUCT(MAX(ROW(E1276:E$2)*(E1277=E1276:E$2)))))</f>
        <v> </v>
      </c>
      <c r="J1277" s="25" t="str">
        <f>IF(OR(E1277="",E1277="!!!",F1277="NEW"),"",COUNTBLANK(OFFSET(A$1,,,SUMPRODUCT(MAX(ROW(E$2:E1277)*(E1277=E$2:E1277)))))-COUNTBLANK(OFFSET(A$1,,,SUMPRODUCT(MAX(ROW(E$1:E1276)*(E2=E$1:E1276))))))</f>
        <v> </v>
      </c>
      <c r="K1277" s="25" t="str">
        <f>IF(OR(E1277="",E1277="!!!",F1277="NEW"),"",INDEX(J$1:J1276,SUMPRODUCT(MAX(ROW(E$1:E1276)*(E1277=E$1:E1276)))))</f>
        <v> </v>
      </c>
      <c r="L1277" s="26"/>
    </row>
    <row r="1278" spans="1:12">
      <c r="A1278" s="20" t="s">
        <v>724</v>
      </c>
      <c r="E1278" s="21">
        <f>IF(D1278="?OLD","!!!","")</f>
        <v/>
      </c>
      <c r="F1278" s="22" t="str">
        <f>IF(OR(E1278="",E1278="!!!"),"",IF(NOT(ISNA(VLOOKUP(E1278,E$1:E1277,1,FALSE()))),"OLD",IF(AND(E1278&lt;&gt;"",E1278&lt;&gt;"!!!"),"NEW","")))</f>
        <v> </v>
      </c>
      <c r="G1278" s="23" t="str">
        <f>IF(OR(E1278="",E1278="!!!"),"",IF(OR(J1278=0,AND(J1278=1,K1278=1),AND(J1278=1,I1278="SBJ"),AND(J1278=1,I1278=0)),"?IN_FOCUS",IF(J1278&lt;=2,"?ACTIVATED",IF(J1278&lt;&gt;"","?FAMILIAR",IF(F1278="NEW",IF(ISNA(VLOOKUP(E1278,#REF!,1,FALSE())),"?TYPE_IDENTIFIABLE","?REFERENTIAL"),"_")))))</f>
        <v> </v>
      </c>
      <c r="H1278" s="24" t="str">
        <f>IF(J1278&lt;&gt;1,"",IF(I1278="SBJ","CB","?"))</f>
        <v> </v>
      </c>
      <c r="I1278" s="25" t="str">
        <f>IF(OR(E1278="",E1278="!!!",F1278="NEW"),"",INDEX(B1277:B$2,-1+SUMPRODUCT(MAX(ROW(E1277:E$2)*(E1278=E1277:E$2)))))</f>
        <v> </v>
      </c>
      <c r="J1278" s="25" t="str">
        <f>IF(OR(E1278="",E1278="!!!",F1278="NEW"),"",COUNTBLANK(OFFSET(A$1,,,SUMPRODUCT(MAX(ROW(E$2:E1278)*(E1278=E$2:E1278)))))-COUNTBLANK(OFFSET(A$1,,,SUMPRODUCT(MAX(ROW(E$1:E1277)*(E2=E$1:E1277))))))</f>
        <v> </v>
      </c>
      <c r="K1278" s="25" t="str">
        <f>IF(OR(E1278="",E1278="!!!",F1278="NEW"),"",INDEX(J$1:J1277,SUMPRODUCT(MAX(ROW(E$1:E1277)*(E1278=E$1:E1277)))))</f>
        <v> </v>
      </c>
      <c r="L1278" s="26"/>
    </row>
    <row r="1279" spans="1:12">
      <c r="A1279" s="20" t="s">
        <v>1075</v>
      </c>
      <c r="E1279" s="21">
        <f>IF(D1279="?OLD","!!!","")</f>
        <v/>
      </c>
      <c r="F1279" s="22" t="str">
        <f>IF(OR(E1279="",E1279="!!!"),"",IF(NOT(ISNA(VLOOKUP(E1279,E$1:E1278,1,FALSE()))),"OLD",IF(AND(E1279&lt;&gt;"",E1279&lt;&gt;"!!!"),"NEW","")))</f>
        <v> </v>
      </c>
      <c r="G1279" s="23" t="str">
        <f>IF(OR(E1279="",E1279="!!!"),"",IF(OR(J1279=0,AND(J1279=1,K1279=1),AND(J1279=1,I1279="SBJ"),AND(J1279=1,I1279=0)),"?IN_FOCUS",IF(J1279&lt;=2,"?ACTIVATED",IF(J1279&lt;&gt;"","?FAMILIAR",IF(F1279="NEW",IF(ISNA(VLOOKUP(E1279,#REF!,1,FALSE())),"?TYPE_IDENTIFIABLE","?REFERENTIAL"),"_")))))</f>
        <v> </v>
      </c>
      <c r="H1279" s="24" t="str">
        <f>IF(J1279&lt;&gt;1,"",IF(I1279="SBJ","CB","?"))</f>
        <v> </v>
      </c>
      <c r="I1279" s="25" t="str">
        <f>IF(OR(E1279="",E1279="!!!",F1279="NEW"),"",INDEX(B1278:B$2,-1+SUMPRODUCT(MAX(ROW(E1278:E$2)*(E1279=E1278:E$2)))))</f>
        <v> </v>
      </c>
      <c r="J1279" s="25" t="str">
        <f>IF(OR(E1279="",E1279="!!!",F1279="NEW"),"",COUNTBLANK(OFFSET(A$1,,,SUMPRODUCT(MAX(ROW(E$2:E1279)*(E1279=E$2:E1279)))))-COUNTBLANK(OFFSET(A$1,,,SUMPRODUCT(MAX(ROW(E$1:E1278)*(E2=E$1:E1278))))))</f>
        <v> </v>
      </c>
      <c r="K1279" s="25" t="str">
        <f>IF(OR(E1279="",E1279="!!!",F1279="NEW"),"",INDEX(J$1:J1278,SUMPRODUCT(MAX(ROW(E$1:E1278)*(E1279=E$1:E1278)))))</f>
        <v> </v>
      </c>
      <c r="L1279" s="26"/>
    </row>
    <row r="1280" spans="1:12">
      <c r="A1280" s="20" t="s">
        <v>1076</v>
      </c>
      <c r="B1280" s="27" t="s">
        <v>722</v>
      </c>
      <c r="C1280" s="27" t="s">
        <v>620</v>
      </c>
      <c r="D1280" s="27" t="s">
        <v>478</v>
      </c>
      <c r="E1280" s="21">
        <f>IF(D1280="?OLD","!!!","")</f>
        <v/>
      </c>
      <c r="F1280" s="22" t="str">
        <f>IF(OR(E1280="",E1280="!!!"),"",IF(NOT(ISNA(VLOOKUP(E1280,E$1:E1279,1,FALSE()))),"OLD",IF(AND(E1280&lt;&gt;"",E1280&lt;&gt;"!!!"),"NEW","")))</f>
        <v> </v>
      </c>
      <c r="G1280" s="23" t="str">
        <f>IF(OR(E1280="",E1280="!!!"),"",IF(OR(J1280=0,AND(J1280=1,K1280=1),AND(J1280=1,I1280="SBJ"),AND(J1280=1,I1280=0)),"?IN_FOCUS",IF(J1280&lt;=2,"?ACTIVATED",IF(J1280&lt;&gt;"","?FAMILIAR",IF(F1280="NEW",IF(ISNA(VLOOKUP(E1280,#REF!,1,FALSE())),"?TYPE_IDENTIFIABLE","?REFERENTIAL"),"_")))))</f>
        <v> </v>
      </c>
      <c r="H1280" s="24" t="str">
        <f>IF(J1280&lt;&gt;1,"",IF(I1280="SBJ","CB","?"))</f>
        <v> </v>
      </c>
      <c r="I1280" s="25" t="str">
        <f>IF(OR(E1280="",E1280="!!!",F1280="NEW"),"",INDEX(B1279:B$2,-1+SUMPRODUCT(MAX(ROW(E1279:E$2)*(E1280=E1279:E$2)))))</f>
        <v> </v>
      </c>
      <c r="J1280" s="25" t="str">
        <f>IF(OR(E1280="",E1280="!!!",F1280="NEW"),"",COUNTBLANK(OFFSET(A$1,,,SUMPRODUCT(MAX(ROW(E$2:E1280)*(E1280=E$2:E1280)))))-COUNTBLANK(OFFSET(A$1,,,SUMPRODUCT(MAX(ROW(E$1:E1279)*(E2=E$1:E1279))))))</f>
        <v> </v>
      </c>
      <c r="K1280" s="25" t="str">
        <f>IF(OR(E1280="",E1280="!!!",F1280="NEW"),"",INDEX(J$1:J1279,SUMPRODUCT(MAX(ROW(E$1:E1279)*(E1280=E$1:E1279)))))</f>
        <v> </v>
      </c>
      <c r="L1280" s="26"/>
    </row>
    <row r="1281" spans="1:12">
      <c r="A1281" s="20" t="s">
        <v>1077</v>
      </c>
      <c r="E1281" s="21">
        <f>IF(D1281="?OLD","!!!","")</f>
        <v/>
      </c>
      <c r="F1281" s="22" t="str">
        <f>IF(OR(E1281="",E1281="!!!"),"",IF(NOT(ISNA(VLOOKUP(E1281,E$1:E1280,1,FALSE()))),"OLD",IF(AND(E1281&lt;&gt;"",E1281&lt;&gt;"!!!"),"NEW","")))</f>
        <v> </v>
      </c>
      <c r="G1281" s="23" t="str">
        <f>IF(OR(E1281="",E1281="!!!"),"",IF(OR(J1281=0,AND(J1281=1,K1281=1),AND(J1281=1,I1281="SBJ"),AND(J1281=1,I1281=0)),"?IN_FOCUS",IF(J1281&lt;=2,"?ACTIVATED",IF(J1281&lt;&gt;"","?FAMILIAR",IF(F1281="NEW",IF(ISNA(VLOOKUP(E1281,#REF!,1,FALSE())),"?TYPE_IDENTIFIABLE","?REFERENTIAL"),"_")))))</f>
        <v> </v>
      </c>
      <c r="H1281" s="24" t="str">
        <f>IF(J1281&lt;&gt;1,"",IF(I1281="SBJ","CB","?"))</f>
        <v> </v>
      </c>
      <c r="I1281" s="25" t="str">
        <f>IF(OR(E1281="",E1281="!!!",F1281="NEW"),"",INDEX(B1280:B$2,-1+SUMPRODUCT(MAX(ROW(E1280:E$2)*(E1281=E1280:E$2)))))</f>
        <v> </v>
      </c>
      <c r="J1281" s="25" t="str">
        <f>IF(OR(E1281="",E1281="!!!",F1281="NEW"),"",COUNTBLANK(OFFSET(A$1,,,SUMPRODUCT(MAX(ROW(E$2:E1281)*(E1281=E$2:E1281)))))-COUNTBLANK(OFFSET(A$1,,,SUMPRODUCT(MAX(ROW(E$1:E1280)*(E2=E$1:E1280))))))</f>
        <v> </v>
      </c>
      <c r="K1281" s="25" t="str">
        <f>IF(OR(E1281="",E1281="!!!",F1281="NEW"),"",INDEX(J$1:J1280,SUMPRODUCT(MAX(ROW(E$1:E1280)*(E1281=E$1:E1280)))))</f>
        <v> </v>
      </c>
      <c r="L1281" s="26"/>
    </row>
    <row r="1282" spans="1:12">
      <c r="A1282" s="20" t="s">
        <v>482</v>
      </c>
      <c r="E1282" s="21">
        <f>IF(D1282="?OLD","!!!","")</f>
        <v/>
      </c>
      <c r="F1282" s="22" t="str">
        <f>IF(OR(E1282="",E1282="!!!"),"",IF(NOT(ISNA(VLOOKUP(E1282,E$1:E1281,1,FALSE()))),"OLD",IF(AND(E1282&lt;&gt;"",E1282&lt;&gt;"!!!"),"NEW","")))</f>
        <v> </v>
      </c>
      <c r="G1282" s="23" t="str">
        <f>IF(OR(E1282="",E1282="!!!"),"",IF(OR(J1282=0,AND(J1282=1,K1282=1),AND(J1282=1,I1282="SBJ"),AND(J1282=1,I1282=0)),"?IN_FOCUS",IF(J1282&lt;=2,"?ACTIVATED",IF(J1282&lt;&gt;"","?FAMILIAR",IF(F1282="NEW",IF(ISNA(VLOOKUP(E1282,#REF!,1,FALSE())),"?TYPE_IDENTIFIABLE","?REFERENTIAL"),"_")))))</f>
        <v> </v>
      </c>
      <c r="H1282" s="24" t="str">
        <f>IF(J1282&lt;&gt;1,"",IF(I1282="SBJ","CB","?"))</f>
        <v> </v>
      </c>
      <c r="I1282" s="25" t="str">
        <f>IF(OR(E1282="",E1282="!!!",F1282="NEW"),"",INDEX(B1281:B$2,-1+SUMPRODUCT(MAX(ROW(E1281:E$2)*(E1282=E1281:E$2)))))</f>
        <v> </v>
      </c>
      <c r="J1282" s="25" t="str">
        <f>IF(OR(E1282="",E1282="!!!",F1282="NEW"),"",COUNTBLANK(OFFSET(A$1,,,SUMPRODUCT(MAX(ROW(E$2:E1282)*(E1282=E$2:E1282)))))-COUNTBLANK(OFFSET(A$1,,,SUMPRODUCT(MAX(ROW(E$1:E1281)*(E2=E$1:E1281))))))</f>
        <v> </v>
      </c>
      <c r="K1282" s="25" t="str">
        <f>IF(OR(E1282="",E1282="!!!",F1282="NEW"),"",INDEX(J$1:J1281,SUMPRODUCT(MAX(ROW(E$1:E1281)*(E1282=E$1:E1281)))))</f>
        <v> </v>
      </c>
      <c r="L1282" s="26"/>
    </row>
    <row r="1283" spans="1:12">
      <c r="A1283" s="20" t="s">
        <v>513</v>
      </c>
      <c r="E1283" s="21">
        <f>IF(D1283="?OLD","!!!","")</f>
        <v/>
      </c>
      <c r="F1283" s="22" t="str">
        <f>IF(OR(E1283="",E1283="!!!"),"",IF(NOT(ISNA(VLOOKUP(E1283,E$1:E1282,1,FALSE()))),"OLD",IF(AND(E1283&lt;&gt;"",E1283&lt;&gt;"!!!"),"NEW","")))</f>
        <v> </v>
      </c>
      <c r="G1283" s="23" t="str">
        <f>IF(OR(E1283="",E1283="!!!"),"",IF(OR(J1283=0,AND(J1283=1,K1283=1),AND(J1283=1,I1283="SBJ"),AND(J1283=1,I1283=0)),"?IN_FOCUS",IF(J1283&lt;=2,"?ACTIVATED",IF(J1283&lt;&gt;"","?FAMILIAR",IF(F1283="NEW",IF(ISNA(VLOOKUP(E1283,#REF!,1,FALSE())),"?TYPE_IDENTIFIABLE","?REFERENTIAL"),"_")))))</f>
        <v> </v>
      </c>
      <c r="H1283" s="24" t="str">
        <f>IF(J1283&lt;&gt;1,"",IF(I1283="SBJ","CB","?"))</f>
        <v> </v>
      </c>
      <c r="I1283" s="25" t="str">
        <f>IF(OR(E1283="",E1283="!!!",F1283="NEW"),"",INDEX(B1282:B$2,-1+SUMPRODUCT(MAX(ROW(E1282:E$2)*(E1283=E1282:E$2)))))</f>
        <v> </v>
      </c>
      <c r="J1283" s="25" t="str">
        <f>IF(OR(E1283="",E1283="!!!",F1283="NEW"),"",COUNTBLANK(OFFSET(A$1,,,SUMPRODUCT(MAX(ROW(E$2:E1283)*(E1283=E$2:E1283)))))-COUNTBLANK(OFFSET(A$1,,,SUMPRODUCT(MAX(ROW(E$1:E1282)*(E2=E$1:E1282))))))</f>
        <v> </v>
      </c>
      <c r="K1283" s="25" t="str">
        <f>IF(OR(E1283="",E1283="!!!",F1283="NEW"),"",INDEX(J$1:J1282,SUMPRODUCT(MAX(ROW(E$1:E1282)*(E1283=E$1:E1282)))))</f>
        <v> </v>
      </c>
      <c r="L1283" s="26"/>
    </row>
    <row r="1284" spans="1:12">
      <c r="A1284" s="20" t="s">
        <v>1078</v>
      </c>
      <c r="E1284" s="21">
        <f>IF(D1284="?OLD","!!!","")</f>
        <v/>
      </c>
      <c r="F1284" s="22" t="str">
        <f>IF(OR(E1284="",E1284="!!!"),"",IF(NOT(ISNA(VLOOKUP(E1284,E$1:E1283,1,FALSE()))),"OLD",IF(AND(E1284&lt;&gt;"",E1284&lt;&gt;"!!!"),"NEW","")))</f>
        <v> </v>
      </c>
      <c r="G1284" s="23" t="str">
        <f>IF(OR(E1284="",E1284="!!!"),"",IF(OR(J1284=0,AND(J1284=1,K1284=1),AND(J1284=1,I1284="SBJ"),AND(J1284=1,I1284=0)),"?IN_FOCUS",IF(J1284&lt;=2,"?ACTIVATED",IF(J1284&lt;&gt;"","?FAMILIAR",IF(F1284="NEW",IF(ISNA(VLOOKUP(E1284,#REF!,1,FALSE())),"?TYPE_IDENTIFIABLE","?REFERENTIAL"),"_")))))</f>
        <v> </v>
      </c>
      <c r="H1284" s="24" t="str">
        <f>IF(J1284&lt;&gt;1,"",IF(I1284="SBJ","CB","?"))</f>
        <v> </v>
      </c>
      <c r="I1284" s="25" t="str">
        <f>IF(OR(E1284="",E1284="!!!",F1284="NEW"),"",INDEX(B1283:B$2,-1+SUMPRODUCT(MAX(ROW(E1283:E$2)*(E1284=E1283:E$2)))))</f>
        <v> </v>
      </c>
      <c r="J1284" s="25" t="str">
        <f>IF(OR(E1284="",E1284="!!!",F1284="NEW"),"",COUNTBLANK(OFFSET(A$1,,,SUMPRODUCT(MAX(ROW(E$2:E1284)*(E1284=E$2:E1284)))))-COUNTBLANK(OFFSET(A$1,,,SUMPRODUCT(MAX(ROW(E$1:E1283)*(E2=E$1:E1283))))))</f>
        <v> </v>
      </c>
      <c r="K1284" s="25" t="str">
        <f>IF(OR(E1284="",E1284="!!!",F1284="NEW"),"",INDEX(J$1:J1283,SUMPRODUCT(MAX(ROW(E$1:E1283)*(E1284=E$1:E1283)))))</f>
        <v> </v>
      </c>
      <c r="L1284" s="26"/>
    </row>
    <row r="1285" spans="1:12">
      <c r="A1285" s="20" t="s">
        <v>1079</v>
      </c>
      <c r="E1285" s="21">
        <f>IF(D1285="?OLD","!!!","")</f>
        <v/>
      </c>
      <c r="F1285" s="22" t="str">
        <f>IF(OR(E1285="",E1285="!!!"),"",IF(NOT(ISNA(VLOOKUP(E1285,E$1:E1284,1,FALSE()))),"OLD",IF(AND(E1285&lt;&gt;"",E1285&lt;&gt;"!!!"),"NEW","")))</f>
        <v> </v>
      </c>
      <c r="G1285" s="23" t="str">
        <f>IF(OR(E1285="",E1285="!!!"),"",IF(OR(J1285=0,AND(J1285=1,K1285=1),AND(J1285=1,I1285="SBJ"),AND(J1285=1,I1285=0)),"?IN_FOCUS",IF(J1285&lt;=2,"?ACTIVATED",IF(J1285&lt;&gt;"","?FAMILIAR",IF(F1285="NEW",IF(ISNA(VLOOKUP(E1285,#REF!,1,FALSE())),"?TYPE_IDENTIFIABLE","?REFERENTIAL"),"_")))))</f>
        <v> </v>
      </c>
      <c r="H1285" s="24" t="str">
        <f>IF(J1285&lt;&gt;1,"",IF(I1285="SBJ","CB","?"))</f>
        <v> </v>
      </c>
      <c r="I1285" s="25" t="str">
        <f>IF(OR(E1285="",E1285="!!!",F1285="NEW"),"",INDEX(B1284:B$2,-1+SUMPRODUCT(MAX(ROW(E1284:E$2)*(E1285=E1284:E$2)))))</f>
        <v> </v>
      </c>
      <c r="J1285" s="25" t="str">
        <f>IF(OR(E1285="",E1285="!!!",F1285="NEW"),"",COUNTBLANK(OFFSET(A$1,,,SUMPRODUCT(MAX(ROW(E$2:E1285)*(E1285=E$2:E1285)))))-COUNTBLANK(OFFSET(A$1,,,SUMPRODUCT(MAX(ROW(E$1:E1284)*(E2=E$1:E1284))))))</f>
        <v> </v>
      </c>
      <c r="K1285" s="25" t="str">
        <f>IF(OR(E1285="",E1285="!!!",F1285="NEW"),"",INDEX(J$1:J1284,SUMPRODUCT(MAX(ROW(E$1:E1284)*(E1285=E$1:E1284)))))</f>
        <v> </v>
      </c>
      <c r="L1285" s="26"/>
    </row>
    <row r="1286" spans="1:12">
      <c r="A1286" s="20" t="s">
        <v>1080</v>
      </c>
      <c r="B1286" s="27" t="s">
        <v>577</v>
      </c>
      <c r="E1286" s="21">
        <f>IF(D1286="?OLD","!!!","")</f>
        <v/>
      </c>
      <c r="F1286" s="22" t="str">
        <f>IF(OR(E1286="",E1286="!!!"),"",IF(NOT(ISNA(VLOOKUP(E1286,E$1:E1285,1,FALSE()))),"OLD",IF(AND(E1286&lt;&gt;"",E1286&lt;&gt;"!!!"),"NEW","")))</f>
        <v> </v>
      </c>
      <c r="G1286" s="23" t="str">
        <f>IF(OR(E1286="",E1286="!!!"),"",IF(OR(J1286=0,AND(J1286=1,K1286=1),AND(J1286=1,I1286="SBJ"),AND(J1286=1,I1286=0)),"?IN_FOCUS",IF(J1286&lt;=2,"?ACTIVATED",IF(J1286&lt;&gt;"","?FAMILIAR",IF(F1286="NEW",IF(ISNA(VLOOKUP(E1286,#REF!,1,FALSE())),"?TYPE_IDENTIFIABLE","?REFERENTIAL"),"_")))))</f>
        <v> </v>
      </c>
      <c r="H1286" s="24" t="str">
        <f>IF(J1286&lt;&gt;1,"",IF(I1286="SBJ","CB","?"))</f>
        <v> </v>
      </c>
      <c r="I1286" s="25" t="str">
        <f>IF(OR(E1286="",E1286="!!!",F1286="NEW"),"",INDEX(B1285:B$2,-1+SUMPRODUCT(MAX(ROW(E1285:E$2)*(E1286=E1285:E$2)))))</f>
        <v> </v>
      </c>
      <c r="J1286" s="25" t="str">
        <f>IF(OR(E1286="",E1286="!!!",F1286="NEW"),"",COUNTBLANK(OFFSET(A$1,,,SUMPRODUCT(MAX(ROW(E$2:E1286)*(E1286=E$2:E1286)))))-COUNTBLANK(OFFSET(A$1,,,SUMPRODUCT(MAX(ROW(E$1:E1285)*(E2=E$1:E1285))))))</f>
        <v> </v>
      </c>
      <c r="K1286" s="25" t="str">
        <f>IF(OR(E1286="",E1286="!!!",F1286="NEW"),"",INDEX(J$1:J1285,SUMPRODUCT(MAX(ROW(E$1:E1285)*(E1286=E$1:E1285)))))</f>
        <v> </v>
      </c>
      <c r="L1286" s="26"/>
    </row>
    <row r="1287" spans="1:12">
      <c r="A1287" s="20" t="s">
        <v>475</v>
      </c>
      <c r="B1287" s="27" t="s">
        <v>483</v>
      </c>
      <c r="C1287" s="27" t="s">
        <v>477</v>
      </c>
      <c r="D1287" s="27" t="s">
        <v>478</v>
      </c>
      <c r="E1287" s="21">
        <f>IF(D1287="?OLD","!!!","")</f>
        <v/>
      </c>
      <c r="F1287" s="22" t="str">
        <f>IF(OR(E1287="",E1287="!!!"),"",IF(NOT(ISNA(VLOOKUP(E1287,E$1:E1286,1,FALSE()))),"OLD",IF(AND(E1287&lt;&gt;"",E1287&lt;&gt;"!!!"),"NEW","")))</f>
        <v> </v>
      </c>
      <c r="G1287" s="23" t="str">
        <f>IF(OR(E1287="",E1287="!!!"),"",IF(OR(J1287=0,AND(J1287=1,K1287=1),AND(J1287=1,I1287="SBJ"),AND(J1287=1,I1287=0)),"?IN_FOCUS",IF(J1287&lt;=2,"?ACTIVATED",IF(J1287&lt;&gt;"","?FAMILIAR",IF(F1287="NEW",IF(ISNA(VLOOKUP(E1287,#REF!,1,FALSE())),"?TYPE_IDENTIFIABLE","?REFERENTIAL"),"_")))))</f>
        <v> </v>
      </c>
      <c r="H1287" s="24" t="str">
        <f>IF(J1287&lt;&gt;1,"",IF(I1287="SBJ","CB","?"))</f>
        <v> </v>
      </c>
      <c r="I1287" s="25" t="str">
        <f>IF(OR(E1287="",E1287="!!!",F1287="NEW"),"",INDEX(B1286:B$2,-1+SUMPRODUCT(MAX(ROW(E1286:E$2)*(E1287=E1286:E$2)))))</f>
        <v> </v>
      </c>
      <c r="J1287" s="25" t="str">
        <f>IF(OR(E1287="",E1287="!!!",F1287="NEW"),"",COUNTBLANK(OFFSET(A$1,,,SUMPRODUCT(MAX(ROW(E$2:E1287)*(E1287=E$2:E1287)))))-COUNTBLANK(OFFSET(A$1,,,SUMPRODUCT(MAX(ROW(E$1:E1286)*(E2=E$1:E1286))))))</f>
        <v> </v>
      </c>
      <c r="K1287" s="25" t="str">
        <f>IF(OR(E1287="",E1287="!!!",F1287="NEW"),"",INDEX(J$1:J1286,SUMPRODUCT(MAX(ROW(E$1:E1286)*(E1287=E$1:E1286)))))</f>
        <v> </v>
      </c>
      <c r="L1287" s="26"/>
    </row>
    <row r="1288" spans="1:12">
      <c r="A1288" s="20" t="s">
        <v>1081</v>
      </c>
      <c r="E1288" s="21">
        <f>IF(D1288="?OLD","!!!","")</f>
        <v/>
      </c>
      <c r="F1288" s="22" t="str">
        <f>IF(OR(E1288="",E1288="!!!"),"",IF(NOT(ISNA(VLOOKUP(E1288,E$1:E1287,1,FALSE()))),"OLD",IF(AND(E1288&lt;&gt;"",E1288&lt;&gt;"!!!"),"NEW","")))</f>
        <v> </v>
      </c>
      <c r="G1288" s="23" t="str">
        <f>IF(OR(E1288="",E1288="!!!"),"",IF(OR(J1288=0,AND(J1288=1,K1288=1),AND(J1288=1,I1288="SBJ"),AND(J1288=1,I1288=0)),"?IN_FOCUS",IF(J1288&lt;=2,"?ACTIVATED",IF(J1288&lt;&gt;"","?FAMILIAR",IF(F1288="NEW",IF(ISNA(VLOOKUP(E1288,#REF!,1,FALSE())),"?TYPE_IDENTIFIABLE","?REFERENTIAL"),"_")))))</f>
        <v> </v>
      </c>
      <c r="H1288" s="24" t="str">
        <f>IF(J1288&lt;&gt;1,"",IF(I1288="SBJ","CB","?"))</f>
        <v> </v>
      </c>
      <c r="I1288" s="25" t="str">
        <f>IF(OR(E1288="",E1288="!!!",F1288="NEW"),"",INDEX(B1287:B$2,-1+SUMPRODUCT(MAX(ROW(E1287:E$2)*(E1288=E1287:E$2)))))</f>
        <v> </v>
      </c>
      <c r="J1288" s="25" t="str">
        <f>IF(OR(E1288="",E1288="!!!",F1288="NEW"),"",COUNTBLANK(OFFSET(A$1,,,SUMPRODUCT(MAX(ROW(E$2:E1288)*(E1288=E$2:E1288)))))-COUNTBLANK(OFFSET(A$1,,,SUMPRODUCT(MAX(ROW(E$1:E1287)*(E2=E$1:E1287))))))</f>
        <v> </v>
      </c>
      <c r="K1288" s="25" t="str">
        <f>IF(OR(E1288="",E1288="!!!",F1288="NEW"),"",INDEX(J$1:J1287,SUMPRODUCT(MAX(ROW(E$1:E1287)*(E1288=E$1:E1287)))))</f>
        <v> </v>
      </c>
      <c r="L1288" s="26"/>
    </row>
    <row r="1289" spans="1:12">
      <c r="A1289" s="20" t="s">
        <v>1082</v>
      </c>
      <c r="E1289" s="21">
        <f>IF(D1289="?OLD","!!!","")</f>
        <v/>
      </c>
      <c r="F1289" s="22" t="str">
        <f>IF(OR(E1289="",E1289="!!!"),"",IF(NOT(ISNA(VLOOKUP(E1289,E$1:E1288,1,FALSE()))),"OLD",IF(AND(E1289&lt;&gt;"",E1289&lt;&gt;"!!!"),"NEW","")))</f>
        <v> </v>
      </c>
      <c r="G1289" s="23" t="str">
        <f>IF(OR(E1289="",E1289="!!!"),"",IF(OR(J1289=0,AND(J1289=1,K1289=1),AND(J1289=1,I1289="SBJ"),AND(J1289=1,I1289=0)),"?IN_FOCUS",IF(J1289&lt;=2,"?ACTIVATED",IF(J1289&lt;&gt;"","?FAMILIAR",IF(F1289="NEW",IF(ISNA(VLOOKUP(E1289,#REF!,1,FALSE())),"?TYPE_IDENTIFIABLE","?REFERENTIAL"),"_")))))</f>
        <v> </v>
      </c>
      <c r="H1289" s="24" t="str">
        <f>IF(J1289&lt;&gt;1,"",IF(I1289="SBJ","CB","?"))</f>
        <v> </v>
      </c>
      <c r="I1289" s="25" t="str">
        <f>IF(OR(E1289="",E1289="!!!",F1289="NEW"),"",INDEX(B1288:B$2,-1+SUMPRODUCT(MAX(ROW(E1288:E$2)*(E1289=E1288:E$2)))))</f>
        <v> </v>
      </c>
      <c r="J1289" s="25" t="str">
        <f>IF(OR(E1289="",E1289="!!!",F1289="NEW"),"",COUNTBLANK(OFFSET(A$1,,,SUMPRODUCT(MAX(ROW(E$2:E1289)*(E1289=E$2:E1289)))))-COUNTBLANK(OFFSET(A$1,,,SUMPRODUCT(MAX(ROW(E$1:E1288)*(E2=E$1:E1288))))))</f>
        <v> </v>
      </c>
      <c r="K1289" s="25" t="str">
        <f>IF(OR(E1289="",E1289="!!!",F1289="NEW"),"",INDEX(J$1:J1288,SUMPRODUCT(MAX(ROW(E$1:E1288)*(E1289=E$1:E1288)))))</f>
        <v> </v>
      </c>
      <c r="L1289" s="26"/>
    </row>
    <row r="1290" spans="1:12">
      <c r="A1290" s="20" t="s">
        <v>1083</v>
      </c>
      <c r="B1290" s="27" t="s">
        <v>577</v>
      </c>
      <c r="E1290" s="21">
        <f>IF(D1290="?OLD","!!!","")</f>
        <v/>
      </c>
      <c r="F1290" s="22" t="str">
        <f>IF(OR(E1290="",E1290="!!!"),"",IF(NOT(ISNA(VLOOKUP(E1290,E$1:E1289,1,FALSE()))),"OLD",IF(AND(E1290&lt;&gt;"",E1290&lt;&gt;"!!!"),"NEW","")))</f>
        <v> </v>
      </c>
      <c r="G1290" s="23" t="str">
        <f>IF(OR(E1290="",E1290="!!!"),"",IF(OR(J1290=0,AND(J1290=1,K1290=1),AND(J1290=1,I1290="SBJ"),AND(J1290=1,I1290=0)),"?IN_FOCUS",IF(J1290&lt;=2,"?ACTIVATED",IF(J1290&lt;&gt;"","?FAMILIAR",IF(F1290="NEW",IF(ISNA(VLOOKUP(E1290,#REF!,1,FALSE())),"?TYPE_IDENTIFIABLE","?REFERENTIAL"),"_")))))</f>
        <v> </v>
      </c>
      <c r="H1290" s="24" t="str">
        <f>IF(J1290&lt;&gt;1,"",IF(I1290="SBJ","CB","?"))</f>
        <v> </v>
      </c>
      <c r="I1290" s="25" t="str">
        <f>IF(OR(E1290="",E1290="!!!",F1290="NEW"),"",INDEX(B1289:B$2,-1+SUMPRODUCT(MAX(ROW(E1289:E$2)*(E1290=E1289:E$2)))))</f>
        <v> </v>
      </c>
      <c r="J1290" s="25" t="str">
        <f>IF(OR(E1290="",E1290="!!!",F1290="NEW"),"",COUNTBLANK(OFFSET(A$1,,,SUMPRODUCT(MAX(ROW(E$2:E1290)*(E1290=E$2:E1290)))))-COUNTBLANK(OFFSET(A$1,,,SUMPRODUCT(MAX(ROW(E$1:E1289)*(E2=E$1:E1289))))))</f>
        <v> </v>
      </c>
      <c r="K1290" s="25" t="str">
        <f>IF(OR(E1290="",E1290="!!!",F1290="NEW"),"",INDEX(J$1:J1289,SUMPRODUCT(MAX(ROW(E$1:E1289)*(E1290=E$1:E1289)))))</f>
        <v> </v>
      </c>
      <c r="L1290" s="26"/>
    </row>
    <row r="1291" spans="1:12">
      <c r="A1291" s="20" t="s">
        <v>253</v>
      </c>
      <c r="E1291" s="21">
        <f>IF(D1291="?OLD","!!!","")</f>
        <v/>
      </c>
      <c r="F1291" s="22" t="str">
        <f>IF(OR(E1291="",E1291="!!!"),"",IF(NOT(ISNA(VLOOKUP(E1291,E$1:E1290,1,FALSE()))),"OLD",IF(AND(E1291&lt;&gt;"",E1291&lt;&gt;"!!!"),"NEW","")))</f>
        <v> </v>
      </c>
      <c r="G1291" s="23" t="str">
        <f>IF(OR(E1291="",E1291="!!!"),"",IF(OR(J1291=0,AND(J1291=1,K1291=1),AND(J1291=1,I1291="SBJ"),AND(J1291=1,I1291=0)),"?IN_FOCUS",IF(J1291&lt;=2,"?ACTIVATED",IF(J1291&lt;&gt;"","?FAMILIAR",IF(F1291="NEW",IF(ISNA(VLOOKUP(E1291,#REF!,1,FALSE())),"?TYPE_IDENTIFIABLE","?REFERENTIAL"),"_")))))</f>
        <v> </v>
      </c>
      <c r="H1291" s="24" t="str">
        <f>IF(J1291&lt;&gt;1,"",IF(I1291="SBJ","CB","?"))</f>
        <v> </v>
      </c>
      <c r="I1291" s="25" t="str">
        <f>IF(OR(E1291="",E1291="!!!",F1291="NEW"),"",INDEX(B1290:B$2,-1+SUMPRODUCT(MAX(ROW(E1290:E$2)*(E1291=E1290:E$2)))))</f>
        <v> </v>
      </c>
      <c r="J1291" s="25" t="str">
        <f>IF(OR(E1291="",E1291="!!!",F1291="NEW"),"",COUNTBLANK(OFFSET(A$1,,,SUMPRODUCT(MAX(ROW(E$2:E1291)*(E1291=E$2:E1291)))))-COUNTBLANK(OFFSET(A$1,,,SUMPRODUCT(MAX(ROW(E$1:E1290)*(E2=E$1:E1290))))))</f>
        <v> </v>
      </c>
      <c r="K1291" s="25" t="str">
        <f>IF(OR(E1291="",E1291="!!!",F1291="NEW"),"",INDEX(J$1:J1290,SUMPRODUCT(MAX(ROW(E$1:E1290)*(E1291=E$1:E1290)))))</f>
        <v> </v>
      </c>
      <c r="L1291" s="26"/>
    </row>
    <row r="1292" spans="1:12">
      <c r="A1292" s="20"/>
    </row>
    <row r="1293" spans="1:12">
      <c r="A1293" s="20" t="s">
        <v>1084</v>
      </c>
    </row>
    <row r="1294" spans="1:12">
      <c r="A1294" s="20" t="s">
        <v>1085</v>
      </c>
      <c r="E1294" s="21">
        <f>IF(D1294="?OLD","!!!","")</f>
        <v/>
      </c>
      <c r="F1294" s="22" t="str">
        <f>IF(OR(E1294="",E1294="!!!"),"",IF(NOT(ISNA(VLOOKUP(E1294,E$1:E1293,1,FALSE()))),"OLD",IF(AND(E1294&lt;&gt;"",E1294&lt;&gt;"!!!"),"NEW","")))</f>
        <v> </v>
      </c>
      <c r="G1294" s="23" t="str">
        <f>IF(OR(E1294="",E1294="!!!"),"",IF(OR(J1294=0,AND(J1294=1,K1294=1),AND(J1294=1,I1294="SBJ"),AND(J1294=1,I1294=0)),"?IN_FOCUS",IF(J1294&lt;=2,"?ACTIVATED",IF(J1294&lt;&gt;"","?FAMILIAR",IF(F1294="NEW",IF(ISNA(VLOOKUP(E1294,#REF!,1,FALSE())),"?TYPE_IDENTIFIABLE","?REFERENTIAL"),"_")))))</f>
        <v> </v>
      </c>
      <c r="H1294" s="24" t="str">
        <f>IF(J1294&lt;&gt;1,"",IF(I1294="SBJ","CB","?"))</f>
        <v> </v>
      </c>
      <c r="I1294" s="25" t="str">
        <f>IF(OR(E1294="",E1294="!!!",F1294="NEW"),"",INDEX(B1293:B$2,-1+SUMPRODUCT(MAX(ROW(E1293:E$2)*(E1294=E1293:E$2)))))</f>
        <v> </v>
      </c>
      <c r="J1294" s="25" t="str">
        <f>IF(OR(E1294="",E1294="!!!",F1294="NEW"),"",COUNTBLANK(OFFSET(A$1,,,SUMPRODUCT(MAX(ROW(E$2:E1294)*(E1294=E$2:E1294)))))-COUNTBLANK(OFFSET(A$1,,,SUMPRODUCT(MAX(ROW(E$1:E1293)*(E2=E$1:E1293))))))</f>
        <v> </v>
      </c>
      <c r="K1294" s="25" t="str">
        <f>IF(OR(E1294="",E1294="!!!",F1294="NEW"),"",INDEX(J$1:J1293,SUMPRODUCT(MAX(ROW(E$1:E1293)*(E1294=E$1:E1293)))))</f>
        <v> </v>
      </c>
      <c r="L1294" s="26"/>
    </row>
    <row r="1295" spans="1:12">
      <c r="A1295" s="20" t="s">
        <v>482</v>
      </c>
      <c r="E1295" s="21">
        <f>IF(D1295="?OLD","!!!","")</f>
        <v/>
      </c>
      <c r="F1295" s="22" t="str">
        <f>IF(OR(E1295="",E1295="!!!"),"",IF(NOT(ISNA(VLOOKUP(E1295,E$1:E1294,1,FALSE()))),"OLD",IF(AND(E1295&lt;&gt;"",E1295&lt;&gt;"!!!"),"NEW","")))</f>
        <v> </v>
      </c>
      <c r="G1295" s="23" t="str">
        <f>IF(OR(E1295="",E1295="!!!"),"",IF(OR(J1295=0,AND(J1295=1,K1295=1),AND(J1295=1,I1295="SBJ"),AND(J1295=1,I1295=0)),"?IN_FOCUS",IF(J1295&lt;=2,"?ACTIVATED",IF(J1295&lt;&gt;"","?FAMILIAR",IF(F1295="NEW",IF(ISNA(VLOOKUP(E1295,#REF!,1,FALSE())),"?TYPE_IDENTIFIABLE","?REFERENTIAL"),"_")))))</f>
        <v> </v>
      </c>
      <c r="H1295" s="24" t="str">
        <f>IF(J1295&lt;&gt;1,"",IF(I1295="SBJ","CB","?"))</f>
        <v> </v>
      </c>
      <c r="I1295" s="25" t="str">
        <f>IF(OR(E1295="",E1295="!!!",F1295="NEW"),"",INDEX(B1294:B$2,-1+SUMPRODUCT(MAX(ROW(E1294:E$2)*(E1295=E1294:E$2)))))</f>
        <v> </v>
      </c>
      <c r="J1295" s="25" t="str">
        <f>IF(OR(E1295="",E1295="!!!",F1295="NEW"),"",COUNTBLANK(OFFSET(A$1,,,SUMPRODUCT(MAX(ROW(E$2:E1295)*(E1295=E$2:E1295)))))-COUNTBLANK(OFFSET(A$1,,,SUMPRODUCT(MAX(ROW(E$1:E1294)*(E2=E$1:E1294))))))</f>
        <v> </v>
      </c>
      <c r="K1295" s="25" t="str">
        <f>IF(OR(E1295="",E1295="!!!",F1295="NEW"),"",INDEX(J$1:J1294,SUMPRODUCT(MAX(ROW(E$1:E1294)*(E1295=E$1:E1294)))))</f>
        <v> </v>
      </c>
      <c r="L1295" s="26"/>
    </row>
    <row r="1296" spans="1:12">
      <c r="A1296" s="20" t="s">
        <v>1086</v>
      </c>
      <c r="E1296" s="21">
        <f>IF(D1296="?OLD","!!!","")</f>
        <v/>
      </c>
      <c r="F1296" s="22" t="str">
        <f>IF(OR(E1296="",E1296="!!!"),"",IF(NOT(ISNA(VLOOKUP(E1296,E$1:E1295,1,FALSE()))),"OLD",IF(AND(E1296&lt;&gt;"",E1296&lt;&gt;"!!!"),"NEW","")))</f>
        <v> </v>
      </c>
      <c r="G1296" s="23" t="str">
        <f>IF(OR(E1296="",E1296="!!!"),"",IF(OR(J1296=0,AND(J1296=1,K1296=1),AND(J1296=1,I1296="SBJ"),AND(J1296=1,I1296=0)),"?IN_FOCUS",IF(J1296&lt;=2,"?ACTIVATED",IF(J1296&lt;&gt;"","?FAMILIAR",IF(F1296="NEW",IF(ISNA(VLOOKUP(E1296,#REF!,1,FALSE())),"?TYPE_IDENTIFIABLE","?REFERENTIAL"),"_")))))</f>
        <v> </v>
      </c>
      <c r="H1296" s="24" t="str">
        <f>IF(J1296&lt;&gt;1,"",IF(I1296="SBJ","CB","?"))</f>
        <v> </v>
      </c>
      <c r="I1296" s="25" t="str">
        <f>IF(OR(E1296="",E1296="!!!",F1296="NEW"),"",INDEX(B1295:B$2,-1+SUMPRODUCT(MAX(ROW(E1295:E$2)*(E1296=E1295:E$2)))))</f>
        <v> </v>
      </c>
      <c r="J1296" s="25" t="str">
        <f>IF(OR(E1296="",E1296="!!!",F1296="NEW"),"",COUNTBLANK(OFFSET(A$1,,,SUMPRODUCT(MAX(ROW(E$2:E1296)*(E1296=E$2:E1296)))))-COUNTBLANK(OFFSET(A$1,,,SUMPRODUCT(MAX(ROW(E$1:E1295)*(E2=E$1:E1295))))))</f>
        <v> </v>
      </c>
      <c r="K1296" s="25" t="str">
        <f>IF(OR(E1296="",E1296="!!!",F1296="NEW"),"",INDEX(J$1:J1295,SUMPRODUCT(MAX(ROW(E$1:E1295)*(E1296=E$1:E1295)))))</f>
        <v> </v>
      </c>
      <c r="L1296" s="26"/>
    </row>
    <row r="1297" spans="1:12">
      <c r="A1297" s="20" t="s">
        <v>253</v>
      </c>
      <c r="E1297" s="21">
        <f>IF(D1297="?OLD","!!!","")</f>
        <v/>
      </c>
      <c r="F1297" s="22" t="str">
        <f>IF(OR(E1297="",E1297="!!!"),"",IF(NOT(ISNA(VLOOKUP(E1297,E$1:E1296,1,FALSE()))),"OLD",IF(AND(E1297&lt;&gt;"",E1297&lt;&gt;"!!!"),"NEW","")))</f>
        <v> </v>
      </c>
      <c r="G1297" s="23" t="str">
        <f>IF(OR(E1297="",E1297="!!!"),"",IF(OR(J1297=0,AND(J1297=1,K1297=1),AND(J1297=1,I1297="SBJ"),AND(J1297=1,I1297=0)),"?IN_FOCUS",IF(J1297&lt;=2,"?ACTIVATED",IF(J1297&lt;&gt;"","?FAMILIAR",IF(F1297="NEW",IF(ISNA(VLOOKUP(E1297,#REF!,1,FALSE())),"?TYPE_IDENTIFIABLE","?REFERENTIAL"),"_")))))</f>
        <v> </v>
      </c>
      <c r="H1297" s="24" t="str">
        <f>IF(J1297&lt;&gt;1,"",IF(I1297="SBJ","CB","?"))</f>
        <v> </v>
      </c>
      <c r="I1297" s="25" t="str">
        <f>IF(OR(E1297="",E1297="!!!",F1297="NEW"),"",INDEX(B1296:B$2,-1+SUMPRODUCT(MAX(ROW(E1296:E$2)*(E1297=E1296:E$2)))))</f>
        <v> </v>
      </c>
      <c r="J1297" s="25" t="str">
        <f>IF(OR(E1297="",E1297="!!!",F1297="NEW"),"",COUNTBLANK(OFFSET(A$1,,,SUMPRODUCT(MAX(ROW(E$2:E1297)*(E1297=E$2:E1297)))))-COUNTBLANK(OFFSET(A$1,,,SUMPRODUCT(MAX(ROW(E$1:E1296)*(E2=E$1:E1296))))))</f>
        <v> </v>
      </c>
      <c r="K1297" s="25" t="str">
        <f>IF(OR(E1297="",E1297="!!!",F1297="NEW"),"",INDEX(J$1:J1296,SUMPRODUCT(MAX(ROW(E$1:E1296)*(E1297=E$1:E1296)))))</f>
        <v> </v>
      </c>
      <c r="L1297" s="26"/>
    </row>
    <row r="1298" spans="1:12">
      <c r="A1298" s="20"/>
    </row>
    <row r="1299" spans="1:12">
      <c r="A1299" s="20" t="s">
        <v>1087</v>
      </c>
    </row>
    <row r="1300" spans="1:12">
      <c r="A1300" s="20" t="s">
        <v>606</v>
      </c>
      <c r="B1300" s="27" t="s">
        <v>476</v>
      </c>
      <c r="C1300" s="27" t="s">
        <v>477</v>
      </c>
      <c r="D1300" s="27" t="s">
        <v>478</v>
      </c>
      <c r="E1300" s="21">
        <f>IF(D1300="?OLD","!!!","")</f>
        <v/>
      </c>
      <c r="F1300" s="22" t="str">
        <f>IF(OR(E1300="",E1300="!!!"),"",IF(NOT(ISNA(VLOOKUP(E1300,E$1:E1299,1,FALSE()))),"OLD",IF(AND(E1300&lt;&gt;"",E1300&lt;&gt;"!!!"),"NEW","")))</f>
        <v> </v>
      </c>
      <c r="G1300" s="23" t="str">
        <f>IF(OR(E1300="",E1300="!!!"),"",IF(OR(J1300=0,AND(J1300=1,K1300=1),AND(J1300=1,I1300="SBJ"),AND(J1300=1,I1300=0)),"?IN_FOCUS",IF(J1300&lt;=2,"?ACTIVATED",IF(J1300&lt;&gt;"","?FAMILIAR",IF(F1300="NEW",IF(ISNA(VLOOKUP(E1300,#REF!,1,FALSE())),"?TYPE_IDENTIFIABLE","?REFERENTIAL"),"_")))))</f>
        <v> </v>
      </c>
      <c r="H1300" s="24" t="str">
        <f>IF(J1300&lt;&gt;1,"",IF(I1300="SBJ","CB","?"))</f>
        <v> </v>
      </c>
      <c r="I1300" s="25" t="str">
        <f>IF(OR(E1300="",E1300="!!!",F1300="NEW"),"",INDEX(B1299:B$2,-1+SUMPRODUCT(MAX(ROW(E1299:E$2)*(E1300=E1299:E$2)))))</f>
        <v> </v>
      </c>
      <c r="J1300" s="25" t="str">
        <f>IF(OR(E1300="",E1300="!!!",F1300="NEW"),"",COUNTBLANK(OFFSET(A$1,,,SUMPRODUCT(MAX(ROW(E$2:E1300)*(E1300=E$2:E1300)))))-COUNTBLANK(OFFSET(A$1,,,SUMPRODUCT(MAX(ROW(E$1:E1299)*(E2=E$1:E1299))))))</f>
        <v> </v>
      </c>
      <c r="K1300" s="25" t="str">
        <f>IF(OR(E1300="",E1300="!!!",F1300="NEW"),"",INDEX(J$1:J1299,SUMPRODUCT(MAX(ROW(E$1:E1299)*(E1300=E$1:E1299)))))</f>
        <v> </v>
      </c>
      <c r="L1300" s="26"/>
    </row>
    <row r="1301" spans="1:12">
      <c r="A1301" s="20" t="s">
        <v>1088</v>
      </c>
      <c r="B1301" s="27" t="s">
        <v>521</v>
      </c>
      <c r="C1301" s="27" t="s">
        <v>477</v>
      </c>
      <c r="D1301" s="27" t="s">
        <v>478</v>
      </c>
      <c r="E1301" s="21">
        <f>IF(D1301="?OLD","!!!","")</f>
        <v/>
      </c>
      <c r="F1301" s="22" t="str">
        <f>IF(OR(E1301="",E1301="!!!"),"",IF(NOT(ISNA(VLOOKUP(E1301,E$1:E1300,1,FALSE()))),"OLD",IF(AND(E1301&lt;&gt;"",E1301&lt;&gt;"!!!"),"NEW","")))</f>
        <v> </v>
      </c>
      <c r="G1301" s="23" t="str">
        <f>IF(OR(E1301="",E1301="!!!"),"",IF(OR(J1301=0,AND(J1301=1,K1301=1),AND(J1301=1,I1301="SBJ"),AND(J1301=1,I1301=0)),"?IN_FOCUS",IF(J1301&lt;=2,"?ACTIVATED",IF(J1301&lt;&gt;"","?FAMILIAR",IF(F1301="NEW",IF(ISNA(VLOOKUP(E1301,#REF!,1,FALSE())),"?TYPE_IDENTIFIABLE","?REFERENTIAL"),"_")))))</f>
        <v> </v>
      </c>
      <c r="H1301" s="24" t="str">
        <f>IF(J1301&lt;&gt;1,"",IF(I1301="SBJ","CB","?"))</f>
        <v> </v>
      </c>
      <c r="I1301" s="25" t="str">
        <f>IF(OR(E1301="",E1301="!!!",F1301="NEW"),"",INDEX(B1300:B$2,-1+SUMPRODUCT(MAX(ROW(E1300:E$2)*(E1301=E1300:E$2)))))</f>
        <v> </v>
      </c>
      <c r="J1301" s="25" t="str">
        <f>IF(OR(E1301="",E1301="!!!",F1301="NEW"),"",COUNTBLANK(OFFSET(A$1,,,SUMPRODUCT(MAX(ROW(E$2:E1301)*(E1301=E$2:E1301)))))-COUNTBLANK(OFFSET(A$1,,,SUMPRODUCT(MAX(ROW(E$1:E1300)*(E2=E$1:E1300))))))</f>
        <v> </v>
      </c>
      <c r="K1301" s="25" t="str">
        <f>IF(OR(E1301="",E1301="!!!",F1301="NEW"),"",INDEX(J$1:J1300,SUMPRODUCT(MAX(ROW(E$1:E1300)*(E1301=E$1:E1300)))))</f>
        <v> </v>
      </c>
      <c r="L1301" s="26"/>
    </row>
    <row r="1302" spans="1:12">
      <c r="A1302" s="20" t="s">
        <v>1089</v>
      </c>
      <c r="E1302" s="21">
        <f>IF(D1302="?OLD","!!!","")</f>
        <v/>
      </c>
      <c r="F1302" s="22" t="str">
        <f>IF(OR(E1302="",E1302="!!!"),"",IF(NOT(ISNA(VLOOKUP(E1302,E$1:E1301,1,FALSE()))),"OLD",IF(AND(E1302&lt;&gt;"",E1302&lt;&gt;"!!!"),"NEW","")))</f>
        <v> </v>
      </c>
      <c r="G1302" s="23" t="str">
        <f>IF(OR(E1302="",E1302="!!!"),"",IF(OR(J1302=0,AND(J1302=1,K1302=1),AND(J1302=1,I1302="SBJ"),AND(J1302=1,I1302=0)),"?IN_FOCUS",IF(J1302&lt;=2,"?ACTIVATED",IF(J1302&lt;&gt;"","?FAMILIAR",IF(F1302="NEW",IF(ISNA(VLOOKUP(E1302,#REF!,1,FALSE())),"?TYPE_IDENTIFIABLE","?REFERENTIAL"),"_")))))</f>
        <v> </v>
      </c>
      <c r="H1302" s="24" t="str">
        <f>IF(J1302&lt;&gt;1,"",IF(I1302="SBJ","CB","?"))</f>
        <v> </v>
      </c>
      <c r="I1302" s="25" t="str">
        <f>IF(OR(E1302="",E1302="!!!",F1302="NEW"),"",INDEX(B1301:B$2,-1+SUMPRODUCT(MAX(ROW(E1301:E$2)*(E1302=E1301:E$2)))))</f>
        <v> </v>
      </c>
      <c r="J1302" s="25" t="str">
        <f>IF(OR(E1302="",E1302="!!!",F1302="NEW"),"",COUNTBLANK(OFFSET(A$1,,,SUMPRODUCT(MAX(ROW(E$2:E1302)*(E1302=E$2:E1302)))))-COUNTBLANK(OFFSET(A$1,,,SUMPRODUCT(MAX(ROW(E$1:E1301)*(E2=E$1:E1301))))))</f>
        <v> </v>
      </c>
      <c r="K1302" s="25" t="str">
        <f>IF(OR(E1302="",E1302="!!!",F1302="NEW"),"",INDEX(J$1:J1301,SUMPRODUCT(MAX(ROW(E$1:E1301)*(E1302=E$1:E1301)))))</f>
        <v> </v>
      </c>
      <c r="L1302" s="26"/>
    </row>
    <row r="1303" spans="1:12">
      <c r="A1303" s="20" t="s">
        <v>515</v>
      </c>
      <c r="E1303" s="21">
        <f>IF(D1303="?OLD","!!!","")</f>
        <v/>
      </c>
      <c r="F1303" s="22" t="str">
        <f>IF(OR(E1303="",E1303="!!!"),"",IF(NOT(ISNA(VLOOKUP(E1303,E$1:E1302,1,FALSE()))),"OLD",IF(AND(E1303&lt;&gt;"",E1303&lt;&gt;"!!!"),"NEW","")))</f>
        <v> </v>
      </c>
      <c r="G1303" s="23" t="str">
        <f>IF(OR(E1303="",E1303="!!!"),"",IF(OR(J1303=0,AND(J1303=1,K1303=1),AND(J1303=1,I1303="SBJ"),AND(J1303=1,I1303=0)),"?IN_FOCUS",IF(J1303&lt;=2,"?ACTIVATED",IF(J1303&lt;&gt;"","?FAMILIAR",IF(F1303="NEW",IF(ISNA(VLOOKUP(E1303,#REF!,1,FALSE())),"?TYPE_IDENTIFIABLE","?REFERENTIAL"),"_")))))</f>
        <v> </v>
      </c>
      <c r="H1303" s="24" t="str">
        <f>IF(J1303&lt;&gt;1,"",IF(I1303="SBJ","CB","?"))</f>
        <v> </v>
      </c>
      <c r="I1303" s="25" t="str">
        <f>IF(OR(E1303="",E1303="!!!",F1303="NEW"),"",INDEX(B1302:B$2,-1+SUMPRODUCT(MAX(ROW(E1302:E$2)*(E1303=E1302:E$2)))))</f>
        <v> </v>
      </c>
      <c r="J1303" s="25" t="str">
        <f>IF(OR(E1303="",E1303="!!!",F1303="NEW"),"",COUNTBLANK(OFFSET(A$1,,,SUMPRODUCT(MAX(ROW(E$2:E1303)*(E1303=E$2:E1303)))))-COUNTBLANK(OFFSET(A$1,,,SUMPRODUCT(MAX(ROW(E$1:E1302)*(E2=E$1:E1302))))))</f>
        <v> </v>
      </c>
      <c r="K1303" s="25" t="str">
        <f>IF(OR(E1303="",E1303="!!!",F1303="NEW"),"",INDEX(J$1:J1302,SUMPRODUCT(MAX(ROW(E$1:E1302)*(E1303=E$1:E1302)))))</f>
        <v> </v>
      </c>
      <c r="L1303" s="26"/>
    </row>
    <row r="1304" spans="1:12">
      <c r="A1304" s="20"/>
    </row>
    <row r="1305" spans="1:12">
      <c r="A1305" s="20" t="s">
        <v>1090</v>
      </c>
    </row>
    <row r="1306" spans="1:12">
      <c r="A1306" s="20" t="s">
        <v>502</v>
      </c>
      <c r="E1306" s="21">
        <f>IF(D1306="?OLD","!!!","")</f>
        <v/>
      </c>
      <c r="F1306" s="22" t="str">
        <f>IF(OR(E1306="",E1306="!!!"),"",IF(NOT(ISNA(VLOOKUP(E1306,E$1:E1305,1,FALSE()))),"OLD",IF(AND(E1306&lt;&gt;"",E1306&lt;&gt;"!!!"),"NEW","")))</f>
        <v> </v>
      </c>
      <c r="G1306" s="23" t="str">
        <f>IF(OR(E1306="",E1306="!!!"),"",IF(OR(J1306=0,AND(J1306=1,K1306=1),AND(J1306=1,I1306="SBJ"),AND(J1306=1,I1306=0)),"?IN_FOCUS",IF(J1306&lt;=2,"?ACTIVATED",IF(J1306&lt;&gt;"","?FAMILIAR",IF(F1306="NEW",IF(ISNA(VLOOKUP(E1306,#REF!,1,FALSE())),"?TYPE_IDENTIFIABLE","?REFERENTIAL"),"_")))))</f>
        <v> </v>
      </c>
      <c r="H1306" s="24" t="str">
        <f>IF(J1306&lt;&gt;1,"",IF(I1306="SBJ","CB","?"))</f>
        <v> </v>
      </c>
      <c r="I1306" s="25" t="str">
        <f>IF(OR(E1306="",E1306="!!!",F1306="NEW"),"",INDEX(B1305:B$2,-1+SUMPRODUCT(MAX(ROW(E1305:E$2)*(E1306=E1305:E$2)))))</f>
        <v> </v>
      </c>
      <c r="J1306" s="25" t="str">
        <f>IF(OR(E1306="",E1306="!!!",F1306="NEW"),"",COUNTBLANK(OFFSET(A$1,,,SUMPRODUCT(MAX(ROW(E$2:E1306)*(E1306=E$2:E1306)))))-COUNTBLANK(OFFSET(A$1,,,SUMPRODUCT(MAX(ROW(E$1:E1305)*(E2=E$1:E1305))))))</f>
        <v> </v>
      </c>
      <c r="K1306" s="25" t="str">
        <f>IF(OR(E1306="",E1306="!!!",F1306="NEW"),"",INDEX(J$1:J1305,SUMPRODUCT(MAX(ROW(E$1:E1305)*(E1306=E$1:E1305)))))</f>
        <v> </v>
      </c>
      <c r="L1306" s="26"/>
    </row>
    <row r="1307" spans="1:12">
      <c r="A1307" s="20" t="s">
        <v>1091</v>
      </c>
      <c r="E1307" s="21">
        <f>IF(D1307="?OLD","!!!","")</f>
        <v/>
      </c>
      <c r="F1307" s="22" t="str">
        <f>IF(OR(E1307="",E1307="!!!"),"",IF(NOT(ISNA(VLOOKUP(E1307,E$1:E1306,1,FALSE()))),"OLD",IF(AND(E1307&lt;&gt;"",E1307&lt;&gt;"!!!"),"NEW","")))</f>
        <v> </v>
      </c>
      <c r="G1307" s="23" t="str">
        <f>IF(OR(E1307="",E1307="!!!"),"",IF(OR(J1307=0,AND(J1307=1,K1307=1),AND(J1307=1,I1307="SBJ"),AND(J1307=1,I1307=0)),"?IN_FOCUS",IF(J1307&lt;=2,"?ACTIVATED",IF(J1307&lt;&gt;"","?FAMILIAR",IF(F1307="NEW",IF(ISNA(VLOOKUP(E1307,#REF!,1,FALSE())),"?TYPE_IDENTIFIABLE","?REFERENTIAL"),"_")))))</f>
        <v> </v>
      </c>
      <c r="H1307" s="24" t="str">
        <f>IF(J1307&lt;&gt;1,"",IF(I1307="SBJ","CB","?"))</f>
        <v> </v>
      </c>
      <c r="I1307" s="25" t="str">
        <f>IF(OR(E1307="",E1307="!!!",F1307="NEW"),"",INDEX(B1306:B$2,-1+SUMPRODUCT(MAX(ROW(E1306:E$2)*(E1307=E1306:E$2)))))</f>
        <v> </v>
      </c>
      <c r="J1307" s="25" t="str">
        <f>IF(OR(E1307="",E1307="!!!",F1307="NEW"),"",COUNTBLANK(OFFSET(A$1,,,SUMPRODUCT(MAX(ROW(E$2:E1307)*(E1307=E$2:E1307)))))-COUNTBLANK(OFFSET(A$1,,,SUMPRODUCT(MAX(ROW(E$1:E1306)*(E2=E$1:E1306))))))</f>
        <v> </v>
      </c>
      <c r="K1307" s="25" t="str">
        <f>IF(OR(E1307="",E1307="!!!",F1307="NEW"),"",INDEX(J$1:J1306,SUMPRODUCT(MAX(ROW(E$1:E1306)*(E1307=E$1:E1306)))))</f>
        <v> </v>
      </c>
      <c r="L1307" s="26"/>
    </row>
    <row r="1308" spans="1:12">
      <c r="A1308" s="20" t="s">
        <v>475</v>
      </c>
      <c r="B1308" s="27" t="s">
        <v>476</v>
      </c>
      <c r="C1308" s="27" t="s">
        <v>477</v>
      </c>
      <c r="D1308" s="27" t="s">
        <v>478</v>
      </c>
      <c r="E1308" s="21">
        <f>IF(D1308="?OLD","!!!","")</f>
        <v/>
      </c>
      <c r="F1308" s="22" t="str">
        <f>IF(OR(E1308="",E1308="!!!"),"",IF(NOT(ISNA(VLOOKUP(E1308,E$1:E1307,1,FALSE()))),"OLD",IF(AND(E1308&lt;&gt;"",E1308&lt;&gt;"!!!"),"NEW","")))</f>
        <v> </v>
      </c>
      <c r="G1308" s="23" t="str">
        <f>IF(OR(E1308="",E1308="!!!"),"",IF(OR(J1308=0,AND(J1308=1,K1308=1),AND(J1308=1,I1308="SBJ"),AND(J1308=1,I1308=0)),"?IN_FOCUS",IF(J1308&lt;=2,"?ACTIVATED",IF(J1308&lt;&gt;"","?FAMILIAR",IF(F1308="NEW",IF(ISNA(VLOOKUP(E1308,#REF!,1,FALSE())),"?TYPE_IDENTIFIABLE","?REFERENTIAL"),"_")))))</f>
        <v> </v>
      </c>
      <c r="H1308" s="24" t="str">
        <f>IF(J1308&lt;&gt;1,"",IF(I1308="SBJ","CB","?"))</f>
        <v> </v>
      </c>
      <c r="I1308" s="25" t="str">
        <f>IF(OR(E1308="",E1308="!!!",F1308="NEW"),"",INDEX(B1307:B$2,-1+SUMPRODUCT(MAX(ROW(E1307:E$2)*(E1308=E1307:E$2)))))</f>
        <v> </v>
      </c>
      <c r="J1308" s="25" t="str">
        <f>IF(OR(E1308="",E1308="!!!",F1308="NEW"),"",COUNTBLANK(OFFSET(A$1,,,SUMPRODUCT(MAX(ROW(E$2:E1308)*(E1308=E$2:E1308)))))-COUNTBLANK(OFFSET(A$1,,,SUMPRODUCT(MAX(ROW(E$1:E1307)*(E2=E$1:E1307))))))</f>
        <v> </v>
      </c>
      <c r="K1308" s="25" t="str">
        <f>IF(OR(E1308="",E1308="!!!",F1308="NEW"),"",INDEX(J$1:J1307,SUMPRODUCT(MAX(ROW(E$1:E1307)*(E1308=E$1:E1307)))))</f>
        <v> </v>
      </c>
      <c r="L1308" s="26"/>
    </row>
    <row r="1309" spans="1:12">
      <c r="A1309" s="20" t="s">
        <v>1092</v>
      </c>
      <c r="E1309" s="21">
        <f>IF(D1309="?OLD","!!!","")</f>
        <v/>
      </c>
      <c r="F1309" s="22" t="str">
        <f>IF(OR(E1309="",E1309="!!!"),"",IF(NOT(ISNA(VLOOKUP(E1309,E$1:E1308,1,FALSE()))),"OLD",IF(AND(E1309&lt;&gt;"",E1309&lt;&gt;"!!!"),"NEW","")))</f>
        <v> </v>
      </c>
      <c r="G1309" s="23" t="str">
        <f>IF(OR(E1309="",E1309="!!!"),"",IF(OR(J1309=0,AND(J1309=1,K1309=1),AND(J1309=1,I1309="SBJ"),AND(J1309=1,I1309=0)),"?IN_FOCUS",IF(J1309&lt;=2,"?ACTIVATED",IF(J1309&lt;&gt;"","?FAMILIAR",IF(F1309="NEW",IF(ISNA(VLOOKUP(E1309,#REF!,1,FALSE())),"?TYPE_IDENTIFIABLE","?REFERENTIAL"),"_")))))</f>
        <v> </v>
      </c>
      <c r="H1309" s="24" t="str">
        <f>IF(J1309&lt;&gt;1,"",IF(I1309="SBJ","CB","?"))</f>
        <v> </v>
      </c>
      <c r="I1309" s="25" t="str">
        <f>IF(OR(E1309="",E1309="!!!",F1309="NEW"),"",INDEX(B1308:B$2,-1+SUMPRODUCT(MAX(ROW(E1308:E$2)*(E1309=E1308:E$2)))))</f>
        <v> </v>
      </c>
      <c r="J1309" s="25" t="str">
        <f>IF(OR(E1309="",E1309="!!!",F1309="NEW"),"",COUNTBLANK(OFFSET(A$1,,,SUMPRODUCT(MAX(ROW(E$2:E1309)*(E1309=E$2:E1309)))))-COUNTBLANK(OFFSET(A$1,,,SUMPRODUCT(MAX(ROW(E$1:E1308)*(E2=E$1:E1308))))))</f>
        <v> </v>
      </c>
      <c r="K1309" s="25" t="str">
        <f>IF(OR(E1309="",E1309="!!!",F1309="NEW"),"",INDEX(J$1:J1308,SUMPRODUCT(MAX(ROW(E$1:E1308)*(E1309=E$1:E1308)))))</f>
        <v> </v>
      </c>
      <c r="L1309" s="26"/>
    </row>
    <row r="1310" spans="1:12">
      <c r="A1310" s="20" t="s">
        <v>1029</v>
      </c>
      <c r="B1310" s="27" t="s">
        <v>521</v>
      </c>
      <c r="E1310" s="21">
        <f>IF(D1310="?OLD","!!!","")</f>
        <v/>
      </c>
      <c r="F1310" s="22" t="str">
        <f>IF(OR(E1310="",E1310="!!!"),"",IF(NOT(ISNA(VLOOKUP(E1310,E$1:E1309,1,FALSE()))),"OLD",IF(AND(E1310&lt;&gt;"",E1310&lt;&gt;"!!!"),"NEW","")))</f>
        <v> </v>
      </c>
      <c r="G1310" s="23" t="str">
        <f>IF(OR(E1310="",E1310="!!!"),"",IF(OR(J1310=0,AND(J1310=1,K1310=1),AND(J1310=1,I1310="SBJ"),AND(J1310=1,I1310=0)),"?IN_FOCUS",IF(J1310&lt;=2,"?ACTIVATED",IF(J1310&lt;&gt;"","?FAMILIAR",IF(F1310="NEW",IF(ISNA(VLOOKUP(E1310,#REF!,1,FALSE())),"?TYPE_IDENTIFIABLE","?REFERENTIAL"),"_")))))</f>
        <v> </v>
      </c>
      <c r="H1310" s="24" t="str">
        <f>IF(J1310&lt;&gt;1,"",IF(I1310="SBJ","CB","?"))</f>
        <v> </v>
      </c>
      <c r="I1310" s="25" t="str">
        <f>IF(OR(E1310="",E1310="!!!",F1310="NEW"),"",INDEX(B1309:B$2,-1+SUMPRODUCT(MAX(ROW(E1309:E$2)*(E1310=E1309:E$2)))))</f>
        <v> </v>
      </c>
      <c r="J1310" s="25" t="str">
        <f>IF(OR(E1310="",E1310="!!!",F1310="NEW"),"",COUNTBLANK(OFFSET(A$1,,,SUMPRODUCT(MAX(ROW(E$2:E1310)*(E1310=E$2:E1310)))))-COUNTBLANK(OFFSET(A$1,,,SUMPRODUCT(MAX(ROW(E$1:E1309)*(E2=E$1:E1309))))))</f>
        <v> </v>
      </c>
      <c r="K1310" s="25" t="str">
        <f>IF(OR(E1310="",E1310="!!!",F1310="NEW"),"",INDEX(J$1:J1309,SUMPRODUCT(MAX(ROW(E$1:E1309)*(E1310=E$1:E1309)))))</f>
        <v> </v>
      </c>
      <c r="L1310" s="26"/>
    </row>
    <row r="1311" spans="1:12">
      <c r="A1311" s="20" t="s">
        <v>1031</v>
      </c>
      <c r="E1311" s="21">
        <f>IF(D1311="?OLD","!!!","")</f>
        <v/>
      </c>
      <c r="F1311" s="22" t="str">
        <f>IF(OR(E1311="",E1311="!!!"),"",IF(NOT(ISNA(VLOOKUP(E1311,E$1:E1310,1,FALSE()))),"OLD",IF(AND(E1311&lt;&gt;"",E1311&lt;&gt;"!!!"),"NEW","")))</f>
        <v> </v>
      </c>
      <c r="G1311" s="23" t="str">
        <f>IF(OR(E1311="",E1311="!!!"),"",IF(OR(J1311=0,AND(J1311=1,K1311=1),AND(J1311=1,I1311="SBJ"),AND(J1311=1,I1311=0)),"?IN_FOCUS",IF(J1311&lt;=2,"?ACTIVATED",IF(J1311&lt;&gt;"","?FAMILIAR",IF(F1311="NEW",IF(ISNA(VLOOKUP(E1311,#REF!,1,FALSE())),"?TYPE_IDENTIFIABLE","?REFERENTIAL"),"_")))))</f>
        <v> </v>
      </c>
      <c r="H1311" s="24" t="str">
        <f>IF(J1311&lt;&gt;1,"",IF(I1311="SBJ","CB","?"))</f>
        <v> </v>
      </c>
      <c r="I1311" s="25" t="str">
        <f>IF(OR(E1311="",E1311="!!!",F1311="NEW"),"",INDEX(B1310:B$2,-1+SUMPRODUCT(MAX(ROW(E1310:E$2)*(E1311=E1310:E$2)))))</f>
        <v> </v>
      </c>
      <c r="J1311" s="25" t="str">
        <f>IF(OR(E1311="",E1311="!!!",F1311="NEW"),"",COUNTBLANK(OFFSET(A$1,,,SUMPRODUCT(MAX(ROW(E$2:E1311)*(E1311=E$2:E1311)))))-COUNTBLANK(OFFSET(A$1,,,SUMPRODUCT(MAX(ROW(E$1:E1310)*(E2=E$1:E1310))))))</f>
        <v> </v>
      </c>
      <c r="K1311" s="25" t="str">
        <f>IF(OR(E1311="",E1311="!!!",F1311="NEW"),"",INDEX(J$1:J1310,SUMPRODUCT(MAX(ROW(E$1:E1310)*(E1311=E$1:E1310)))))</f>
        <v> </v>
      </c>
      <c r="L1311" s="26"/>
    </row>
    <row r="1312" spans="1:12">
      <c r="A1312" s="20" t="s">
        <v>482</v>
      </c>
      <c r="E1312" s="21">
        <f>IF(D1312="?OLD","!!!","")</f>
        <v/>
      </c>
      <c r="F1312" s="22" t="str">
        <f>IF(OR(E1312="",E1312="!!!"),"",IF(NOT(ISNA(VLOOKUP(E1312,E$1:E1311,1,FALSE()))),"OLD",IF(AND(E1312&lt;&gt;"",E1312&lt;&gt;"!!!"),"NEW","")))</f>
        <v> </v>
      </c>
      <c r="G1312" s="23" t="str">
        <f>IF(OR(E1312="",E1312="!!!"),"",IF(OR(J1312=0,AND(J1312=1,K1312=1),AND(J1312=1,I1312="SBJ"),AND(J1312=1,I1312=0)),"?IN_FOCUS",IF(J1312&lt;=2,"?ACTIVATED",IF(J1312&lt;&gt;"","?FAMILIAR",IF(F1312="NEW",IF(ISNA(VLOOKUP(E1312,#REF!,1,FALSE())),"?TYPE_IDENTIFIABLE","?REFERENTIAL"),"_")))))</f>
        <v> </v>
      </c>
      <c r="H1312" s="24" t="str">
        <f>IF(J1312&lt;&gt;1,"",IF(I1312="SBJ","CB","?"))</f>
        <v> </v>
      </c>
      <c r="I1312" s="25" t="str">
        <f>IF(OR(E1312="",E1312="!!!",F1312="NEW"),"",INDEX(B1311:B$2,-1+SUMPRODUCT(MAX(ROW(E1311:E$2)*(E1312=E1311:E$2)))))</f>
        <v> </v>
      </c>
      <c r="J1312" s="25" t="str">
        <f>IF(OR(E1312="",E1312="!!!",F1312="NEW"),"",COUNTBLANK(OFFSET(A$1,,,SUMPRODUCT(MAX(ROW(E$2:E1312)*(E1312=E$2:E1312)))))-COUNTBLANK(OFFSET(A$1,,,SUMPRODUCT(MAX(ROW(E$1:E1311)*(E2=E$1:E1311))))))</f>
        <v> </v>
      </c>
      <c r="K1312" s="25" t="str">
        <f>IF(OR(E1312="",E1312="!!!",F1312="NEW"),"",INDEX(J$1:J1311,SUMPRODUCT(MAX(ROW(E$1:E1311)*(E1312=E$1:E1311)))))</f>
        <v> </v>
      </c>
      <c r="L1312" s="26"/>
    </row>
    <row r="1313" spans="1:12">
      <c r="A1313" s="20" t="s">
        <v>656</v>
      </c>
      <c r="E1313" s="21">
        <f>IF(D1313="?OLD","!!!","")</f>
        <v/>
      </c>
      <c r="F1313" s="22" t="str">
        <f>IF(OR(E1313="",E1313="!!!"),"",IF(NOT(ISNA(VLOOKUP(E1313,E$1:E1312,1,FALSE()))),"OLD",IF(AND(E1313&lt;&gt;"",E1313&lt;&gt;"!!!"),"NEW","")))</f>
        <v> </v>
      </c>
      <c r="G1313" s="23" t="str">
        <f>IF(OR(E1313="",E1313="!!!"),"",IF(OR(J1313=0,AND(J1313=1,K1313=1),AND(J1313=1,I1313="SBJ"),AND(J1313=1,I1313=0)),"?IN_FOCUS",IF(J1313&lt;=2,"?ACTIVATED",IF(J1313&lt;&gt;"","?FAMILIAR",IF(F1313="NEW",IF(ISNA(VLOOKUP(E1313,#REF!,1,FALSE())),"?TYPE_IDENTIFIABLE","?REFERENTIAL"),"_")))))</f>
        <v> </v>
      </c>
      <c r="H1313" s="24" t="str">
        <f>IF(J1313&lt;&gt;1,"",IF(I1313="SBJ","CB","?"))</f>
        <v> </v>
      </c>
      <c r="I1313" s="25" t="str">
        <f>IF(OR(E1313="",E1313="!!!",F1313="NEW"),"",INDEX(B1312:B$2,-1+SUMPRODUCT(MAX(ROW(E1312:E$2)*(E1313=E1312:E$2)))))</f>
        <v> </v>
      </c>
      <c r="J1313" s="25" t="str">
        <f>IF(OR(E1313="",E1313="!!!",F1313="NEW"),"",COUNTBLANK(OFFSET(A$1,,,SUMPRODUCT(MAX(ROW(E$2:E1313)*(E1313=E$2:E1313)))))-COUNTBLANK(OFFSET(A$1,,,SUMPRODUCT(MAX(ROW(E$1:E1312)*(E2=E$1:E1312))))))</f>
        <v> </v>
      </c>
      <c r="K1313" s="25" t="str">
        <f>IF(OR(E1313="",E1313="!!!",F1313="NEW"),"",INDEX(J$1:J1312,SUMPRODUCT(MAX(ROW(E$1:E1312)*(E1313=E$1:E1312)))))</f>
        <v> </v>
      </c>
      <c r="L1313" s="26"/>
    </row>
    <row r="1314" spans="1:12">
      <c r="A1314" s="20" t="s">
        <v>380</v>
      </c>
      <c r="E1314" s="21">
        <f>IF(D1314="?OLD","!!!","")</f>
        <v/>
      </c>
      <c r="F1314" s="22" t="str">
        <f>IF(OR(E1314="",E1314="!!!"),"",IF(NOT(ISNA(VLOOKUP(E1314,E$1:E1313,1,FALSE()))),"OLD",IF(AND(E1314&lt;&gt;"",E1314&lt;&gt;"!!!"),"NEW","")))</f>
        <v> </v>
      </c>
      <c r="G1314" s="23" t="str">
        <f>IF(OR(E1314="",E1314="!!!"),"",IF(OR(J1314=0,AND(J1314=1,K1314=1),AND(J1314=1,I1314="SBJ"),AND(J1314=1,I1314=0)),"?IN_FOCUS",IF(J1314&lt;=2,"?ACTIVATED",IF(J1314&lt;&gt;"","?FAMILIAR",IF(F1314="NEW",IF(ISNA(VLOOKUP(E1314,#REF!,1,FALSE())),"?TYPE_IDENTIFIABLE","?REFERENTIAL"),"_")))))</f>
        <v> </v>
      </c>
      <c r="H1314" s="24" t="str">
        <f>IF(J1314&lt;&gt;1,"",IF(I1314="SBJ","CB","?"))</f>
        <v> </v>
      </c>
      <c r="I1314" s="25" t="str">
        <f>IF(OR(E1314="",E1314="!!!",F1314="NEW"),"",INDEX(B1313:B$2,-1+SUMPRODUCT(MAX(ROW(E1313:E$2)*(E1314=E1313:E$2)))))</f>
        <v> </v>
      </c>
      <c r="J1314" s="25" t="str">
        <f>IF(OR(E1314="",E1314="!!!",F1314="NEW"),"",COUNTBLANK(OFFSET(A$1,,,SUMPRODUCT(MAX(ROW(E$2:E1314)*(E1314=E$2:E1314)))))-COUNTBLANK(OFFSET(A$1,,,SUMPRODUCT(MAX(ROW(E$1:E1313)*(E2=E$1:E1313))))))</f>
        <v> </v>
      </c>
      <c r="K1314" s="25" t="str">
        <f>IF(OR(E1314="",E1314="!!!",F1314="NEW"),"",INDEX(J$1:J1313,SUMPRODUCT(MAX(ROW(E$1:E1313)*(E1314=E$1:E1313)))))</f>
        <v> </v>
      </c>
      <c r="L1314" s="26"/>
    </row>
    <row r="1315" spans="1:12">
      <c r="A1315" s="20" t="s">
        <v>984</v>
      </c>
      <c r="B1315" s="27" t="s">
        <v>483</v>
      </c>
      <c r="C1315" s="27" t="s">
        <v>477</v>
      </c>
      <c r="D1315" s="27" t="s">
        <v>478</v>
      </c>
      <c r="E1315" s="21">
        <f>IF(D1315="?OLD","!!!","")</f>
        <v/>
      </c>
      <c r="F1315" s="22" t="str">
        <f>IF(OR(E1315="",E1315="!!!"),"",IF(NOT(ISNA(VLOOKUP(E1315,E$1:E1314,1,FALSE()))),"OLD",IF(AND(E1315&lt;&gt;"",E1315&lt;&gt;"!!!"),"NEW","")))</f>
        <v> </v>
      </c>
      <c r="G1315" s="23" t="str">
        <f>IF(OR(E1315="",E1315="!!!"),"",IF(OR(J1315=0,AND(J1315=1,K1315=1),AND(J1315=1,I1315="SBJ"),AND(J1315=1,I1315=0)),"?IN_FOCUS",IF(J1315&lt;=2,"?ACTIVATED",IF(J1315&lt;&gt;"","?FAMILIAR",IF(F1315="NEW",IF(ISNA(VLOOKUP(E1315,#REF!,1,FALSE())),"?TYPE_IDENTIFIABLE","?REFERENTIAL"),"_")))))</f>
        <v> </v>
      </c>
      <c r="H1315" s="24" t="str">
        <f>IF(J1315&lt;&gt;1,"",IF(I1315="SBJ","CB","?"))</f>
        <v> </v>
      </c>
      <c r="I1315" s="25" t="str">
        <f>IF(OR(E1315="",E1315="!!!",F1315="NEW"),"",INDEX(B1314:B$2,-1+SUMPRODUCT(MAX(ROW(E1314:E$2)*(E1315=E1314:E$2)))))</f>
        <v> </v>
      </c>
      <c r="J1315" s="25" t="str">
        <f>IF(OR(E1315="",E1315="!!!",F1315="NEW"),"",COUNTBLANK(OFFSET(A$1,,,SUMPRODUCT(MAX(ROW(E$2:E1315)*(E1315=E$2:E1315)))))-COUNTBLANK(OFFSET(A$1,,,SUMPRODUCT(MAX(ROW(E$1:E1314)*(E2=E$1:E1314))))))</f>
        <v> </v>
      </c>
      <c r="K1315" s="25" t="str">
        <f>IF(OR(E1315="",E1315="!!!",F1315="NEW"),"",INDEX(J$1:J1314,SUMPRODUCT(MAX(ROW(E$1:E1314)*(E1315=E$1:E1314)))))</f>
        <v> </v>
      </c>
      <c r="L1315" s="26"/>
    </row>
    <row r="1316" spans="1:12">
      <c r="A1316" s="20" t="s">
        <v>1093</v>
      </c>
      <c r="E1316" s="21">
        <f>IF(D1316="?OLD","!!!","")</f>
        <v/>
      </c>
      <c r="F1316" s="22" t="str">
        <f>IF(OR(E1316="",E1316="!!!"),"",IF(NOT(ISNA(VLOOKUP(E1316,E$1:E1315,1,FALSE()))),"OLD",IF(AND(E1316&lt;&gt;"",E1316&lt;&gt;"!!!"),"NEW","")))</f>
        <v> </v>
      </c>
      <c r="G1316" s="23" t="str">
        <f>IF(OR(E1316="",E1316="!!!"),"",IF(OR(J1316=0,AND(J1316=1,K1316=1),AND(J1316=1,I1316="SBJ"),AND(J1316=1,I1316=0)),"?IN_FOCUS",IF(J1316&lt;=2,"?ACTIVATED",IF(J1316&lt;&gt;"","?FAMILIAR",IF(F1316="NEW",IF(ISNA(VLOOKUP(E1316,#REF!,1,FALSE())),"?TYPE_IDENTIFIABLE","?REFERENTIAL"),"_")))))</f>
        <v> </v>
      </c>
      <c r="H1316" s="24" t="str">
        <f>IF(J1316&lt;&gt;1,"",IF(I1316="SBJ","CB","?"))</f>
        <v> </v>
      </c>
      <c r="I1316" s="25" t="str">
        <f>IF(OR(E1316="",E1316="!!!",F1316="NEW"),"",INDEX(B1315:B$2,-1+SUMPRODUCT(MAX(ROW(E1315:E$2)*(E1316=E1315:E$2)))))</f>
        <v> </v>
      </c>
      <c r="J1316" s="25" t="str">
        <f>IF(OR(E1316="",E1316="!!!",F1316="NEW"),"",COUNTBLANK(OFFSET(A$1,,,SUMPRODUCT(MAX(ROW(E$2:E1316)*(E1316=E$2:E1316)))))-COUNTBLANK(OFFSET(A$1,,,SUMPRODUCT(MAX(ROW(E$1:E1315)*(E2=E$1:E1315))))))</f>
        <v> </v>
      </c>
      <c r="K1316" s="25" t="str">
        <f>IF(OR(E1316="",E1316="!!!",F1316="NEW"),"",INDEX(J$1:J1315,SUMPRODUCT(MAX(ROW(E$1:E1315)*(E1316=E$1:E1315)))))</f>
        <v> </v>
      </c>
      <c r="L1316" s="26"/>
    </row>
    <row r="1317" spans="1:12">
      <c r="A1317" s="20" t="s">
        <v>1094</v>
      </c>
      <c r="E1317" s="21">
        <f>IF(D1317="?OLD","!!!","")</f>
        <v/>
      </c>
      <c r="F1317" s="22" t="str">
        <f>IF(OR(E1317="",E1317="!!!"),"",IF(NOT(ISNA(VLOOKUP(E1317,E$1:E1316,1,FALSE()))),"OLD",IF(AND(E1317&lt;&gt;"",E1317&lt;&gt;"!!!"),"NEW","")))</f>
        <v> </v>
      </c>
      <c r="G1317" s="23" t="str">
        <f>IF(OR(E1317="",E1317="!!!"),"",IF(OR(J1317=0,AND(J1317=1,K1317=1),AND(J1317=1,I1317="SBJ"),AND(J1317=1,I1317=0)),"?IN_FOCUS",IF(J1317&lt;=2,"?ACTIVATED",IF(J1317&lt;&gt;"","?FAMILIAR",IF(F1317="NEW",IF(ISNA(VLOOKUP(E1317,#REF!,1,FALSE())),"?TYPE_IDENTIFIABLE","?REFERENTIAL"),"_")))))</f>
        <v> </v>
      </c>
      <c r="H1317" s="24" t="str">
        <f>IF(J1317&lt;&gt;1,"",IF(I1317="SBJ","CB","?"))</f>
        <v> </v>
      </c>
      <c r="I1317" s="25" t="str">
        <f>IF(OR(E1317="",E1317="!!!",F1317="NEW"),"",INDEX(B1316:B$2,-1+SUMPRODUCT(MAX(ROW(E1316:E$2)*(E1317=E1316:E$2)))))</f>
        <v> </v>
      </c>
      <c r="J1317" s="25" t="str">
        <f>IF(OR(E1317="",E1317="!!!",F1317="NEW"),"",COUNTBLANK(OFFSET(A$1,,,SUMPRODUCT(MAX(ROW(E$2:E1317)*(E1317=E$2:E1317)))))-COUNTBLANK(OFFSET(A$1,,,SUMPRODUCT(MAX(ROW(E$1:E1316)*(E2=E$1:E1316))))))</f>
        <v> </v>
      </c>
      <c r="K1317" s="25" t="str">
        <f>IF(OR(E1317="",E1317="!!!",F1317="NEW"),"",INDEX(J$1:J1316,SUMPRODUCT(MAX(ROW(E$1:E1316)*(E1317=E$1:E1316)))))</f>
        <v> </v>
      </c>
      <c r="L1317" s="26"/>
    </row>
    <row r="1318" spans="1:12">
      <c r="A1318" s="20" t="s">
        <v>534</v>
      </c>
      <c r="E1318" s="21">
        <f>IF(D1318="?OLD","!!!","")</f>
        <v/>
      </c>
      <c r="F1318" s="22" t="str">
        <f>IF(OR(E1318="",E1318="!!!"),"",IF(NOT(ISNA(VLOOKUP(E1318,E$1:E1317,1,FALSE()))),"OLD",IF(AND(E1318&lt;&gt;"",E1318&lt;&gt;"!!!"),"NEW","")))</f>
        <v> </v>
      </c>
      <c r="G1318" s="23" t="str">
        <f>IF(OR(E1318="",E1318="!!!"),"",IF(OR(J1318=0,AND(J1318=1,K1318=1),AND(J1318=1,I1318="SBJ"),AND(J1318=1,I1318=0)),"?IN_FOCUS",IF(J1318&lt;=2,"?ACTIVATED",IF(J1318&lt;&gt;"","?FAMILIAR",IF(F1318="NEW",IF(ISNA(VLOOKUP(E1318,#REF!,1,FALSE())),"?TYPE_IDENTIFIABLE","?REFERENTIAL"),"_")))))</f>
        <v> </v>
      </c>
      <c r="H1318" s="24" t="str">
        <f>IF(J1318&lt;&gt;1,"",IF(I1318="SBJ","CB","?"))</f>
        <v> </v>
      </c>
      <c r="I1318" s="25" t="str">
        <f>IF(OR(E1318="",E1318="!!!",F1318="NEW"),"",INDEX(B1317:B$2,-1+SUMPRODUCT(MAX(ROW(E1317:E$2)*(E1318=E1317:E$2)))))</f>
        <v> </v>
      </c>
      <c r="J1318" s="25" t="str">
        <f>IF(OR(E1318="",E1318="!!!",F1318="NEW"),"",COUNTBLANK(OFFSET(A$1,,,SUMPRODUCT(MAX(ROW(E$2:E1318)*(E1318=E$2:E1318)))))-COUNTBLANK(OFFSET(A$1,,,SUMPRODUCT(MAX(ROW(E$1:E1317)*(E2=E$1:E1317))))))</f>
        <v> </v>
      </c>
      <c r="K1318" s="25" t="str">
        <f>IF(OR(E1318="",E1318="!!!",F1318="NEW"),"",INDEX(J$1:J1317,SUMPRODUCT(MAX(ROW(E$1:E1317)*(E1318=E$1:E1317)))))</f>
        <v> </v>
      </c>
      <c r="L1318" s="26"/>
    </row>
    <row r="1319" spans="1:12">
      <c r="A1319" s="20" t="s">
        <v>914</v>
      </c>
      <c r="E1319" s="21">
        <f>IF(D1319="?OLD","!!!","")</f>
        <v/>
      </c>
      <c r="F1319" s="22" t="str">
        <f>IF(OR(E1319="",E1319="!!!"),"",IF(NOT(ISNA(VLOOKUP(E1319,E$1:E1318,1,FALSE()))),"OLD",IF(AND(E1319&lt;&gt;"",E1319&lt;&gt;"!!!"),"NEW","")))</f>
        <v> </v>
      </c>
      <c r="G1319" s="23" t="str">
        <f>IF(OR(E1319="",E1319="!!!"),"",IF(OR(J1319=0,AND(J1319=1,K1319=1),AND(J1319=1,I1319="SBJ"),AND(J1319=1,I1319=0)),"?IN_FOCUS",IF(J1319&lt;=2,"?ACTIVATED",IF(J1319&lt;&gt;"","?FAMILIAR",IF(F1319="NEW",IF(ISNA(VLOOKUP(E1319,#REF!,1,FALSE())),"?TYPE_IDENTIFIABLE","?REFERENTIAL"),"_")))))</f>
        <v> </v>
      </c>
      <c r="H1319" s="24" t="str">
        <f>IF(J1319&lt;&gt;1,"",IF(I1319="SBJ","CB","?"))</f>
        <v> </v>
      </c>
      <c r="I1319" s="25" t="str">
        <f>IF(OR(E1319="",E1319="!!!",F1319="NEW"),"",INDEX(B1318:B$2,-1+SUMPRODUCT(MAX(ROW(E1318:E$2)*(E1319=E1318:E$2)))))</f>
        <v> </v>
      </c>
      <c r="J1319" s="25" t="str">
        <f>IF(OR(E1319="",E1319="!!!",F1319="NEW"),"",COUNTBLANK(OFFSET(A$1,,,SUMPRODUCT(MAX(ROW(E$2:E1319)*(E1319=E$2:E1319)))))-COUNTBLANK(OFFSET(A$1,,,SUMPRODUCT(MAX(ROW(E$1:E1318)*(E2=E$1:E1318))))))</f>
        <v> </v>
      </c>
      <c r="K1319" s="25" t="str">
        <f>IF(OR(E1319="",E1319="!!!",F1319="NEW"),"",INDEX(J$1:J1318,SUMPRODUCT(MAX(ROW(E$1:E1318)*(E1319=E$1:E1318)))))</f>
        <v> </v>
      </c>
      <c r="L1319" s="26"/>
    </row>
    <row r="1320" spans="1:12">
      <c r="A1320" s="20" t="s">
        <v>912</v>
      </c>
      <c r="E1320" s="21">
        <f>IF(D1320="?OLD","!!!","")</f>
        <v/>
      </c>
      <c r="F1320" s="22" t="str">
        <f>IF(OR(E1320="",E1320="!!!"),"",IF(NOT(ISNA(VLOOKUP(E1320,E$1:E1319,1,FALSE()))),"OLD",IF(AND(E1320&lt;&gt;"",E1320&lt;&gt;"!!!"),"NEW","")))</f>
        <v> </v>
      </c>
      <c r="G1320" s="23" t="str">
        <f>IF(OR(E1320="",E1320="!!!"),"",IF(OR(J1320=0,AND(J1320=1,K1320=1),AND(J1320=1,I1320="SBJ"),AND(J1320=1,I1320=0)),"?IN_FOCUS",IF(J1320&lt;=2,"?ACTIVATED",IF(J1320&lt;&gt;"","?FAMILIAR",IF(F1320="NEW",IF(ISNA(VLOOKUP(E1320,#REF!,1,FALSE())),"?TYPE_IDENTIFIABLE","?REFERENTIAL"),"_")))))</f>
        <v> </v>
      </c>
      <c r="H1320" s="24" t="str">
        <f>IF(J1320&lt;&gt;1,"",IF(I1320="SBJ","CB","?"))</f>
        <v> </v>
      </c>
      <c r="I1320" s="25" t="str">
        <f>IF(OR(E1320="",E1320="!!!",F1320="NEW"),"",INDEX(B1319:B$2,-1+SUMPRODUCT(MAX(ROW(E1319:E$2)*(E1320=E1319:E$2)))))</f>
        <v> </v>
      </c>
      <c r="J1320" s="25" t="str">
        <f>IF(OR(E1320="",E1320="!!!",F1320="NEW"),"",COUNTBLANK(OFFSET(A$1,,,SUMPRODUCT(MAX(ROW(E$2:E1320)*(E1320=E$2:E1320)))))-COUNTBLANK(OFFSET(A$1,,,SUMPRODUCT(MAX(ROW(E$1:E1319)*(E2=E$1:E1319))))))</f>
        <v> </v>
      </c>
      <c r="K1320" s="25" t="str">
        <f>IF(OR(E1320="",E1320="!!!",F1320="NEW"),"",INDEX(J$1:J1319,SUMPRODUCT(MAX(ROW(E$1:E1319)*(E1320=E$1:E1319)))))</f>
        <v> </v>
      </c>
      <c r="L1320" s="26"/>
    </row>
    <row r="1321" spans="1:12">
      <c r="A1321" s="20" t="s">
        <v>253</v>
      </c>
      <c r="E1321" s="21">
        <f>IF(D1321="?OLD","!!!","")</f>
        <v/>
      </c>
      <c r="F1321" s="22" t="str">
        <f>IF(OR(E1321="",E1321="!!!"),"",IF(NOT(ISNA(VLOOKUP(E1321,E$1:E1320,1,FALSE()))),"OLD",IF(AND(E1321&lt;&gt;"",E1321&lt;&gt;"!!!"),"NEW","")))</f>
        <v> </v>
      </c>
      <c r="G1321" s="23" t="str">
        <f>IF(OR(E1321="",E1321="!!!"),"",IF(OR(J1321=0,AND(J1321=1,K1321=1),AND(J1321=1,I1321="SBJ"),AND(J1321=1,I1321=0)),"?IN_FOCUS",IF(J1321&lt;=2,"?ACTIVATED",IF(J1321&lt;&gt;"","?FAMILIAR",IF(F1321="NEW",IF(ISNA(VLOOKUP(E1321,#REF!,1,FALSE())),"?TYPE_IDENTIFIABLE","?REFERENTIAL"),"_")))))</f>
        <v> </v>
      </c>
      <c r="H1321" s="24" t="str">
        <f>IF(J1321&lt;&gt;1,"",IF(I1321="SBJ","CB","?"))</f>
        <v> </v>
      </c>
      <c r="I1321" s="25" t="str">
        <f>IF(OR(E1321="",E1321="!!!",F1321="NEW"),"",INDEX(B1320:B$2,-1+SUMPRODUCT(MAX(ROW(E1320:E$2)*(E1321=E1320:E$2)))))</f>
        <v> </v>
      </c>
      <c r="J1321" s="25" t="str">
        <f>IF(OR(E1321="",E1321="!!!",F1321="NEW"),"",COUNTBLANK(OFFSET(A$1,,,SUMPRODUCT(MAX(ROW(E$2:E1321)*(E1321=E$2:E1321)))))-COUNTBLANK(OFFSET(A$1,,,SUMPRODUCT(MAX(ROW(E$1:E1320)*(E2=E$1:E1320))))))</f>
        <v> </v>
      </c>
      <c r="K1321" s="25" t="str">
        <f>IF(OR(E1321="",E1321="!!!",F1321="NEW"),"",INDEX(J$1:J1320,SUMPRODUCT(MAX(ROW(E$1:E1320)*(E1321=E$1:E1320)))))</f>
        <v> </v>
      </c>
      <c r="L1321" s="26"/>
    </row>
    <row r="1322" spans="1:12">
      <c r="A1322" s="20"/>
    </row>
    <row r="1323" spans="1:12">
      <c r="A1323" s="20" t="s">
        <v>1095</v>
      </c>
    </row>
    <row r="1324" spans="1:12">
      <c r="A1324" s="20" t="s">
        <v>1096</v>
      </c>
      <c r="E1324" s="21">
        <f>IF(D1324="?OLD","!!!","")</f>
        <v/>
      </c>
      <c r="F1324" s="22" t="str">
        <f>IF(OR(E1324="",E1324="!!!"),"",IF(NOT(ISNA(VLOOKUP(E1324,E$1:E1323,1,FALSE()))),"OLD",IF(AND(E1324&lt;&gt;"",E1324&lt;&gt;"!!!"),"NEW","")))</f>
        <v> </v>
      </c>
      <c r="G1324" s="23" t="str">
        <f>IF(OR(E1324="",E1324="!!!"),"",IF(OR(J1324=0,AND(J1324=1,K1324=1),AND(J1324=1,I1324="SBJ"),AND(J1324=1,I1324=0)),"?IN_FOCUS",IF(J1324&lt;=2,"?ACTIVATED",IF(J1324&lt;&gt;"","?FAMILIAR",IF(F1324="NEW",IF(ISNA(VLOOKUP(E1324,#REF!,1,FALSE())),"?TYPE_IDENTIFIABLE","?REFERENTIAL"),"_")))))</f>
        <v> </v>
      </c>
      <c r="H1324" s="24" t="str">
        <f>IF(J1324&lt;&gt;1,"",IF(I1324="SBJ","CB","?"))</f>
        <v> </v>
      </c>
      <c r="I1324" s="25" t="str">
        <f>IF(OR(E1324="",E1324="!!!",F1324="NEW"),"",INDEX(B1323:B$2,-1+SUMPRODUCT(MAX(ROW(E1323:E$2)*(E1324=E1323:E$2)))))</f>
        <v> </v>
      </c>
      <c r="J1324" s="25" t="str">
        <f>IF(OR(E1324="",E1324="!!!",F1324="NEW"),"",COUNTBLANK(OFFSET(A$1,,,SUMPRODUCT(MAX(ROW(E$2:E1324)*(E1324=E$2:E1324)))))-COUNTBLANK(OFFSET(A$1,,,SUMPRODUCT(MAX(ROW(E$1:E1323)*(E2=E$1:E1323))))))</f>
        <v> </v>
      </c>
      <c r="K1324" s="25" t="str">
        <f>IF(OR(E1324="",E1324="!!!",F1324="NEW"),"",INDEX(J$1:J1323,SUMPRODUCT(MAX(ROW(E$1:E1323)*(E1324=E$1:E1323)))))</f>
        <v> </v>
      </c>
      <c r="L1324" s="26"/>
    </row>
    <row r="1325" spans="1:12">
      <c r="A1325" s="20" t="s">
        <v>569</v>
      </c>
      <c r="B1325" s="27" t="s">
        <v>476</v>
      </c>
      <c r="C1325" s="27" t="s">
        <v>477</v>
      </c>
      <c r="D1325" s="27" t="s">
        <v>478</v>
      </c>
      <c r="E1325" s="21">
        <f>IF(D1325="?OLD","!!!","")</f>
        <v/>
      </c>
      <c r="F1325" s="22" t="str">
        <f>IF(OR(E1325="",E1325="!!!"),"",IF(NOT(ISNA(VLOOKUP(E1325,E$1:E1324,1,FALSE()))),"OLD",IF(AND(E1325&lt;&gt;"",E1325&lt;&gt;"!!!"),"NEW","")))</f>
        <v> </v>
      </c>
      <c r="G1325" s="23" t="str">
        <f>IF(OR(E1325="",E1325="!!!"),"",IF(OR(J1325=0,AND(J1325=1,K1325=1),AND(J1325=1,I1325="SBJ"),AND(J1325=1,I1325=0)),"?IN_FOCUS",IF(J1325&lt;=2,"?ACTIVATED",IF(J1325&lt;&gt;"","?FAMILIAR",IF(F1325="NEW",IF(ISNA(VLOOKUP(E1325,#REF!,1,FALSE())),"?TYPE_IDENTIFIABLE","?REFERENTIAL"),"_")))))</f>
        <v> </v>
      </c>
      <c r="H1325" s="24" t="str">
        <f>IF(J1325&lt;&gt;1,"",IF(I1325="SBJ","CB","?"))</f>
        <v> </v>
      </c>
      <c r="I1325" s="25" t="str">
        <f>IF(OR(E1325="",E1325="!!!",F1325="NEW"),"",INDEX(B1324:B$2,-1+SUMPRODUCT(MAX(ROW(E1324:E$2)*(E1325=E1324:E$2)))))</f>
        <v> </v>
      </c>
      <c r="J1325" s="25" t="str">
        <f>IF(OR(E1325="",E1325="!!!",F1325="NEW"),"",COUNTBLANK(OFFSET(A$1,,,SUMPRODUCT(MAX(ROW(E$2:E1325)*(E1325=E$2:E1325)))))-COUNTBLANK(OFFSET(A$1,,,SUMPRODUCT(MAX(ROW(E$1:E1324)*(E2=E$1:E1324))))))</f>
        <v> </v>
      </c>
      <c r="K1325" s="25" t="str">
        <f>IF(OR(E1325="",E1325="!!!",F1325="NEW"),"",INDEX(J$1:J1324,SUMPRODUCT(MAX(ROW(E$1:E1324)*(E1325=E$1:E1324)))))</f>
        <v> </v>
      </c>
      <c r="L1325" s="26"/>
    </row>
    <row r="1326" spans="1:12">
      <c r="A1326" s="20" t="s">
        <v>1097</v>
      </c>
      <c r="E1326" s="21">
        <f>IF(D1326="?OLD","!!!","")</f>
        <v/>
      </c>
      <c r="F1326" s="22" t="str">
        <f>IF(OR(E1326="",E1326="!!!"),"",IF(NOT(ISNA(VLOOKUP(E1326,E$1:E1325,1,FALSE()))),"OLD",IF(AND(E1326&lt;&gt;"",E1326&lt;&gt;"!!!"),"NEW","")))</f>
        <v> </v>
      </c>
      <c r="G1326" s="23" t="str">
        <f>IF(OR(E1326="",E1326="!!!"),"",IF(OR(J1326=0,AND(J1326=1,K1326=1),AND(J1326=1,I1326="SBJ"),AND(J1326=1,I1326=0)),"?IN_FOCUS",IF(J1326&lt;=2,"?ACTIVATED",IF(J1326&lt;&gt;"","?FAMILIAR",IF(F1326="NEW",IF(ISNA(VLOOKUP(E1326,#REF!,1,FALSE())),"?TYPE_IDENTIFIABLE","?REFERENTIAL"),"_")))))</f>
        <v> </v>
      </c>
      <c r="H1326" s="24" t="str">
        <f>IF(J1326&lt;&gt;1,"",IF(I1326="SBJ","CB","?"))</f>
        <v> </v>
      </c>
      <c r="I1326" s="25" t="str">
        <f>IF(OR(E1326="",E1326="!!!",F1326="NEW"),"",INDEX(B1325:B$2,-1+SUMPRODUCT(MAX(ROW(E1325:E$2)*(E1326=E1325:E$2)))))</f>
        <v> </v>
      </c>
      <c r="J1326" s="25" t="str">
        <f>IF(OR(E1326="",E1326="!!!",F1326="NEW"),"",COUNTBLANK(OFFSET(A$1,,,SUMPRODUCT(MAX(ROW(E$2:E1326)*(E1326=E$2:E1326)))))-COUNTBLANK(OFFSET(A$1,,,SUMPRODUCT(MAX(ROW(E$1:E1325)*(E2=E$1:E1325))))))</f>
        <v> </v>
      </c>
      <c r="K1326" s="25" t="str">
        <f>IF(OR(E1326="",E1326="!!!",F1326="NEW"),"",INDEX(J$1:J1325,SUMPRODUCT(MAX(ROW(E$1:E1325)*(E1326=E$1:E1325)))))</f>
        <v> </v>
      </c>
      <c r="L1326" s="26"/>
    </row>
    <row r="1327" spans="1:12">
      <c r="A1327" s="20" t="s">
        <v>513</v>
      </c>
      <c r="E1327" s="21">
        <f>IF(D1327="?OLD","!!!","")</f>
        <v/>
      </c>
      <c r="F1327" s="22" t="str">
        <f>IF(OR(E1327="",E1327="!!!"),"",IF(NOT(ISNA(VLOOKUP(E1327,E$1:E1326,1,FALSE()))),"OLD",IF(AND(E1327&lt;&gt;"",E1327&lt;&gt;"!!!"),"NEW","")))</f>
        <v> </v>
      </c>
      <c r="G1327" s="23" t="str">
        <f>IF(OR(E1327="",E1327="!!!"),"",IF(OR(J1327=0,AND(J1327=1,K1327=1),AND(J1327=1,I1327="SBJ"),AND(J1327=1,I1327=0)),"?IN_FOCUS",IF(J1327&lt;=2,"?ACTIVATED",IF(J1327&lt;&gt;"","?FAMILIAR",IF(F1327="NEW",IF(ISNA(VLOOKUP(E1327,#REF!,1,FALSE())),"?TYPE_IDENTIFIABLE","?REFERENTIAL"),"_")))))</f>
        <v> </v>
      </c>
      <c r="H1327" s="24" t="str">
        <f>IF(J1327&lt;&gt;1,"",IF(I1327="SBJ","CB","?"))</f>
        <v> </v>
      </c>
      <c r="I1327" s="25" t="str">
        <f>IF(OR(E1327="",E1327="!!!",F1327="NEW"),"",INDEX(B1326:B$2,-1+SUMPRODUCT(MAX(ROW(E1326:E$2)*(E1327=E1326:E$2)))))</f>
        <v> </v>
      </c>
      <c r="J1327" s="25" t="str">
        <f>IF(OR(E1327="",E1327="!!!",F1327="NEW"),"",COUNTBLANK(OFFSET(A$1,,,SUMPRODUCT(MAX(ROW(E$2:E1327)*(E1327=E$2:E1327)))))-COUNTBLANK(OFFSET(A$1,,,SUMPRODUCT(MAX(ROW(E$1:E1326)*(E2=E$1:E1326))))))</f>
        <v> </v>
      </c>
      <c r="K1327" s="25" t="str">
        <f>IF(OR(E1327="",E1327="!!!",F1327="NEW"),"",INDEX(J$1:J1326,SUMPRODUCT(MAX(ROW(E$1:E1326)*(E1327=E$1:E1326)))))</f>
        <v> </v>
      </c>
      <c r="L1327" s="26"/>
    </row>
    <row r="1328" spans="1:12">
      <c r="A1328" s="20" t="s">
        <v>1098</v>
      </c>
      <c r="E1328" s="21">
        <f>IF(D1328="?OLD","!!!","")</f>
        <v/>
      </c>
      <c r="F1328" s="22" t="str">
        <f>IF(OR(E1328="",E1328="!!!"),"",IF(NOT(ISNA(VLOOKUP(E1328,E$1:E1327,1,FALSE()))),"OLD",IF(AND(E1328&lt;&gt;"",E1328&lt;&gt;"!!!"),"NEW","")))</f>
        <v> </v>
      </c>
      <c r="G1328" s="23" t="str">
        <f>IF(OR(E1328="",E1328="!!!"),"",IF(OR(J1328=0,AND(J1328=1,K1328=1),AND(J1328=1,I1328="SBJ"),AND(J1328=1,I1328=0)),"?IN_FOCUS",IF(J1328&lt;=2,"?ACTIVATED",IF(J1328&lt;&gt;"","?FAMILIAR",IF(F1328="NEW",IF(ISNA(VLOOKUP(E1328,#REF!,1,FALSE())),"?TYPE_IDENTIFIABLE","?REFERENTIAL"),"_")))))</f>
        <v> </v>
      </c>
      <c r="H1328" s="24" t="str">
        <f>IF(J1328&lt;&gt;1,"",IF(I1328="SBJ","CB","?"))</f>
        <v> </v>
      </c>
      <c r="I1328" s="25" t="str">
        <f>IF(OR(E1328="",E1328="!!!",F1328="NEW"),"",INDEX(B1327:B$2,-1+SUMPRODUCT(MAX(ROW(E1327:E$2)*(E1328=E1327:E$2)))))</f>
        <v> </v>
      </c>
      <c r="J1328" s="25" t="str">
        <f>IF(OR(E1328="",E1328="!!!",F1328="NEW"),"",COUNTBLANK(OFFSET(A$1,,,SUMPRODUCT(MAX(ROW(E$2:E1328)*(E1328=E$2:E1328)))))-COUNTBLANK(OFFSET(A$1,,,SUMPRODUCT(MAX(ROW(E$1:E1327)*(E2=E$1:E1327))))))</f>
        <v> </v>
      </c>
      <c r="K1328" s="25" t="str">
        <f>IF(OR(E1328="",E1328="!!!",F1328="NEW"),"",INDEX(J$1:J1327,SUMPRODUCT(MAX(ROW(E$1:E1327)*(E1328=E$1:E1327)))))</f>
        <v> </v>
      </c>
      <c r="L1328" s="26"/>
    </row>
    <row r="1329" spans="1:12">
      <c r="A1329" s="20" t="s">
        <v>773</v>
      </c>
      <c r="E1329" s="21">
        <f>IF(D1329="?OLD","!!!","")</f>
        <v/>
      </c>
      <c r="F1329" s="22" t="str">
        <f>IF(OR(E1329="",E1329="!!!"),"",IF(NOT(ISNA(VLOOKUP(E1329,E$1:E1328,1,FALSE()))),"OLD",IF(AND(E1329&lt;&gt;"",E1329&lt;&gt;"!!!"),"NEW","")))</f>
        <v> </v>
      </c>
      <c r="G1329" s="23" t="str">
        <f>IF(OR(E1329="",E1329="!!!"),"",IF(OR(J1329=0,AND(J1329=1,K1329=1),AND(J1329=1,I1329="SBJ"),AND(J1329=1,I1329=0)),"?IN_FOCUS",IF(J1329&lt;=2,"?ACTIVATED",IF(J1329&lt;&gt;"","?FAMILIAR",IF(F1329="NEW",IF(ISNA(VLOOKUP(E1329,#REF!,1,FALSE())),"?TYPE_IDENTIFIABLE","?REFERENTIAL"),"_")))))</f>
        <v> </v>
      </c>
      <c r="H1329" s="24" t="str">
        <f>IF(J1329&lt;&gt;1,"",IF(I1329="SBJ","CB","?"))</f>
        <v> </v>
      </c>
      <c r="I1329" s="25" t="str">
        <f>IF(OR(E1329="",E1329="!!!",F1329="NEW"),"",INDEX(B1328:B$2,-1+SUMPRODUCT(MAX(ROW(E1328:E$2)*(E1329=E1328:E$2)))))</f>
        <v> </v>
      </c>
      <c r="J1329" s="25" t="str">
        <f>IF(OR(E1329="",E1329="!!!",F1329="NEW"),"",COUNTBLANK(OFFSET(A$1,,,SUMPRODUCT(MAX(ROW(E$2:E1329)*(E1329=E$2:E1329)))))-COUNTBLANK(OFFSET(A$1,,,SUMPRODUCT(MAX(ROW(E$1:E1328)*(E2=E$1:E1328))))))</f>
        <v> </v>
      </c>
      <c r="K1329" s="25" t="str">
        <f>IF(OR(E1329="",E1329="!!!",F1329="NEW"),"",INDEX(J$1:J1328,SUMPRODUCT(MAX(ROW(E$1:E1328)*(E1329=E$1:E1328)))))</f>
        <v> </v>
      </c>
      <c r="L1329" s="26"/>
    </row>
    <row r="1330" spans="1:12">
      <c r="A1330" s="20" t="s">
        <v>1099</v>
      </c>
      <c r="B1330" s="27" t="s">
        <v>473</v>
      </c>
      <c r="C1330" s="27" t="s">
        <v>497</v>
      </c>
      <c r="E1330" s="21">
        <f>IF(D1330="?OLD","!!!","")</f>
        <v/>
      </c>
      <c r="F1330" s="22" t="str">
        <f>IF(OR(E1330="",E1330="!!!"),"",IF(NOT(ISNA(VLOOKUP(E1330,E$1:E1329,1,FALSE()))),"OLD",IF(AND(E1330&lt;&gt;"",E1330&lt;&gt;"!!!"),"NEW","")))</f>
        <v> </v>
      </c>
      <c r="G1330" s="23" t="str">
        <f>IF(OR(E1330="",E1330="!!!"),"",IF(OR(J1330=0,AND(J1330=1,K1330=1),AND(J1330=1,I1330="SBJ"),AND(J1330=1,I1330=0)),"?IN_FOCUS",IF(J1330&lt;=2,"?ACTIVATED",IF(J1330&lt;&gt;"","?FAMILIAR",IF(F1330="NEW",IF(ISNA(VLOOKUP(E1330,#REF!,1,FALSE())),"?TYPE_IDENTIFIABLE","?REFERENTIAL"),"_")))))</f>
        <v> </v>
      </c>
      <c r="H1330" s="24" t="str">
        <f>IF(J1330&lt;&gt;1,"",IF(I1330="SBJ","CB","?"))</f>
        <v> </v>
      </c>
      <c r="I1330" s="25" t="str">
        <f>IF(OR(E1330="",E1330="!!!",F1330="NEW"),"",INDEX(B1329:B$2,-1+SUMPRODUCT(MAX(ROW(E1329:E$2)*(E1330=E1329:E$2)))))</f>
        <v> </v>
      </c>
      <c r="J1330" s="25" t="str">
        <f>IF(OR(E1330="",E1330="!!!",F1330="NEW"),"",COUNTBLANK(OFFSET(A$1,,,SUMPRODUCT(MAX(ROW(E$2:E1330)*(E1330=E$2:E1330)))))-COUNTBLANK(OFFSET(A$1,,,SUMPRODUCT(MAX(ROW(E$1:E1329)*(E2=E$1:E1329))))))</f>
        <v> </v>
      </c>
      <c r="K1330" s="25" t="str">
        <f>IF(OR(E1330="",E1330="!!!",F1330="NEW"),"",INDEX(J$1:J1329,SUMPRODUCT(MAX(ROW(E$1:E1329)*(E1330=E$1:E1329)))))</f>
        <v> </v>
      </c>
      <c r="L1330" s="26"/>
    </row>
    <row r="1331" spans="1:12">
      <c r="A1331" s="20" t="s">
        <v>482</v>
      </c>
      <c r="E1331" s="21">
        <f>IF(D1331="?OLD","!!!","")</f>
        <v/>
      </c>
      <c r="F1331" s="22" t="str">
        <f>IF(OR(E1331="",E1331="!!!"),"",IF(NOT(ISNA(VLOOKUP(E1331,E$1:E1330,1,FALSE()))),"OLD",IF(AND(E1331&lt;&gt;"",E1331&lt;&gt;"!!!"),"NEW","")))</f>
        <v> </v>
      </c>
      <c r="G1331" s="23" t="str">
        <f>IF(OR(E1331="",E1331="!!!"),"",IF(OR(J1331=0,AND(J1331=1,K1331=1),AND(J1331=1,I1331="SBJ"),AND(J1331=1,I1331=0)),"?IN_FOCUS",IF(J1331&lt;=2,"?ACTIVATED",IF(J1331&lt;&gt;"","?FAMILIAR",IF(F1331="NEW",IF(ISNA(VLOOKUP(E1331,#REF!,1,FALSE())),"?TYPE_IDENTIFIABLE","?REFERENTIAL"),"_")))))</f>
        <v> </v>
      </c>
      <c r="H1331" s="24" t="str">
        <f>IF(J1331&lt;&gt;1,"",IF(I1331="SBJ","CB","?"))</f>
        <v> </v>
      </c>
      <c r="I1331" s="25" t="str">
        <f>IF(OR(E1331="",E1331="!!!",F1331="NEW"),"",INDEX(B1330:B$2,-1+SUMPRODUCT(MAX(ROW(E1330:E$2)*(E1331=E1330:E$2)))))</f>
        <v> </v>
      </c>
      <c r="J1331" s="25" t="str">
        <f>IF(OR(E1331="",E1331="!!!",F1331="NEW"),"",COUNTBLANK(OFFSET(A$1,,,SUMPRODUCT(MAX(ROW(E$2:E1331)*(E1331=E$2:E1331)))))-COUNTBLANK(OFFSET(A$1,,,SUMPRODUCT(MAX(ROW(E$1:E1330)*(E2=E$1:E1330))))))</f>
        <v> </v>
      </c>
      <c r="K1331" s="25" t="str">
        <f>IF(OR(E1331="",E1331="!!!",F1331="NEW"),"",INDEX(J$1:J1330,SUMPRODUCT(MAX(ROW(E$1:E1330)*(E1331=E$1:E1330)))))</f>
        <v> </v>
      </c>
      <c r="L1331" s="26"/>
    </row>
    <row r="1332" spans="1:12">
      <c r="A1332" s="20" t="s">
        <v>498</v>
      </c>
      <c r="E1332" s="21">
        <f>IF(D1332="?OLD","!!!","")</f>
        <v/>
      </c>
      <c r="F1332" s="22" t="str">
        <f>IF(OR(E1332="",E1332="!!!"),"",IF(NOT(ISNA(VLOOKUP(E1332,E$1:E1331,1,FALSE()))),"OLD",IF(AND(E1332&lt;&gt;"",E1332&lt;&gt;"!!!"),"NEW","")))</f>
        <v> </v>
      </c>
      <c r="G1332" s="23" t="str">
        <f>IF(OR(E1332="",E1332="!!!"),"",IF(OR(J1332=0,AND(J1332=1,K1332=1),AND(J1332=1,I1332="SBJ"),AND(J1332=1,I1332=0)),"?IN_FOCUS",IF(J1332&lt;=2,"?ACTIVATED",IF(J1332&lt;&gt;"","?FAMILIAR",IF(F1332="NEW",IF(ISNA(VLOOKUP(E1332,#REF!,1,FALSE())),"?TYPE_IDENTIFIABLE","?REFERENTIAL"),"_")))))</f>
        <v> </v>
      </c>
      <c r="H1332" s="24" t="str">
        <f>IF(J1332&lt;&gt;1,"",IF(I1332="SBJ","CB","?"))</f>
        <v> </v>
      </c>
      <c r="I1332" s="25" t="str">
        <f>IF(OR(E1332="",E1332="!!!",F1332="NEW"),"",INDEX(B1331:B$2,-1+SUMPRODUCT(MAX(ROW(E1331:E$2)*(E1332=E1331:E$2)))))</f>
        <v> </v>
      </c>
      <c r="J1332" s="25" t="str">
        <f>IF(OR(E1332="",E1332="!!!",F1332="NEW"),"",COUNTBLANK(OFFSET(A$1,,,SUMPRODUCT(MAX(ROW(E$2:E1332)*(E1332=E$2:E1332)))))-COUNTBLANK(OFFSET(A$1,,,SUMPRODUCT(MAX(ROW(E$1:E1331)*(E2=E$1:E1331))))))</f>
        <v> </v>
      </c>
      <c r="K1332" s="25" t="str">
        <f>IF(OR(E1332="",E1332="!!!",F1332="NEW"),"",INDEX(J$1:J1331,SUMPRODUCT(MAX(ROW(E$1:E1331)*(E1332=E$1:E1331)))))</f>
        <v> </v>
      </c>
      <c r="L1332" s="26"/>
    </row>
    <row r="1333" spans="1:12">
      <c r="A1333" s="20" t="s">
        <v>513</v>
      </c>
      <c r="E1333" s="21">
        <f>IF(D1333="?OLD","!!!","")</f>
        <v/>
      </c>
      <c r="F1333" s="22" t="str">
        <f>IF(OR(E1333="",E1333="!!!"),"",IF(NOT(ISNA(VLOOKUP(E1333,E$1:E1332,1,FALSE()))),"OLD",IF(AND(E1333&lt;&gt;"",E1333&lt;&gt;"!!!"),"NEW","")))</f>
        <v> </v>
      </c>
      <c r="G1333" s="23" t="str">
        <f>IF(OR(E1333="",E1333="!!!"),"",IF(OR(J1333=0,AND(J1333=1,K1333=1),AND(J1333=1,I1333="SBJ"),AND(J1333=1,I1333=0)),"?IN_FOCUS",IF(J1333&lt;=2,"?ACTIVATED",IF(J1333&lt;&gt;"","?FAMILIAR",IF(F1333="NEW",IF(ISNA(VLOOKUP(E1333,#REF!,1,FALSE())),"?TYPE_IDENTIFIABLE","?REFERENTIAL"),"_")))))</f>
        <v> </v>
      </c>
      <c r="H1333" s="24" t="str">
        <f>IF(J1333&lt;&gt;1,"",IF(I1333="SBJ","CB","?"))</f>
        <v> </v>
      </c>
      <c r="I1333" s="25" t="str">
        <f>IF(OR(E1333="",E1333="!!!",F1333="NEW"),"",INDEX(B1332:B$2,-1+SUMPRODUCT(MAX(ROW(E1332:E$2)*(E1333=E1332:E$2)))))</f>
        <v> </v>
      </c>
      <c r="J1333" s="25" t="str">
        <f>IF(OR(E1333="",E1333="!!!",F1333="NEW"),"",COUNTBLANK(OFFSET(A$1,,,SUMPRODUCT(MAX(ROW(E$2:E1333)*(E1333=E$2:E1333)))))-COUNTBLANK(OFFSET(A$1,,,SUMPRODUCT(MAX(ROW(E$1:E1332)*(E2=E$1:E1332))))))</f>
        <v> </v>
      </c>
      <c r="K1333" s="25" t="str">
        <f>IF(OR(E1333="",E1333="!!!",F1333="NEW"),"",INDEX(J$1:J1332,SUMPRODUCT(MAX(ROW(E$1:E1332)*(E1333=E$1:E1332)))))</f>
        <v> </v>
      </c>
      <c r="L1333" s="26"/>
    </row>
    <row r="1334" spans="1:12">
      <c r="A1334" s="20" t="s">
        <v>1100</v>
      </c>
      <c r="E1334" s="21">
        <f>IF(D1334="?OLD","!!!","")</f>
        <v/>
      </c>
      <c r="F1334" s="22" t="str">
        <f>IF(OR(E1334="",E1334="!!!"),"",IF(NOT(ISNA(VLOOKUP(E1334,E$1:E1333,1,FALSE()))),"OLD",IF(AND(E1334&lt;&gt;"",E1334&lt;&gt;"!!!"),"NEW","")))</f>
        <v> </v>
      </c>
      <c r="G1334" s="23" t="str">
        <f>IF(OR(E1334="",E1334="!!!"),"",IF(OR(J1334=0,AND(J1334=1,K1334=1),AND(J1334=1,I1334="SBJ"),AND(J1334=1,I1334=0)),"?IN_FOCUS",IF(J1334&lt;=2,"?ACTIVATED",IF(J1334&lt;&gt;"","?FAMILIAR",IF(F1334="NEW",IF(ISNA(VLOOKUP(E1334,#REF!,1,FALSE())),"?TYPE_IDENTIFIABLE","?REFERENTIAL"),"_")))))</f>
        <v> </v>
      </c>
      <c r="H1334" s="24" t="str">
        <f>IF(J1334&lt;&gt;1,"",IF(I1334="SBJ","CB","?"))</f>
        <v> </v>
      </c>
      <c r="I1334" s="25" t="str">
        <f>IF(OR(E1334="",E1334="!!!",F1334="NEW"),"",INDEX(B1333:B$2,-1+SUMPRODUCT(MAX(ROW(E1333:E$2)*(E1334=E1333:E$2)))))</f>
        <v> </v>
      </c>
      <c r="J1334" s="25" t="str">
        <f>IF(OR(E1334="",E1334="!!!",F1334="NEW"),"",COUNTBLANK(OFFSET(A$1,,,SUMPRODUCT(MAX(ROW(E$2:E1334)*(E1334=E$2:E1334)))))-COUNTBLANK(OFFSET(A$1,,,SUMPRODUCT(MAX(ROW(E$1:E1333)*(E2=E$1:E1333))))))</f>
        <v> </v>
      </c>
      <c r="K1334" s="25" t="str">
        <f>IF(OR(E1334="",E1334="!!!",F1334="NEW"),"",INDEX(J$1:J1333,SUMPRODUCT(MAX(ROW(E$1:E1333)*(E1334=E$1:E1333)))))</f>
        <v> </v>
      </c>
      <c r="L1334" s="26"/>
    </row>
    <row r="1335" spans="1:12">
      <c r="A1335" s="20" t="s">
        <v>534</v>
      </c>
      <c r="E1335" s="21">
        <f>IF(D1335="?OLD","!!!","")</f>
        <v/>
      </c>
      <c r="F1335" s="22" t="str">
        <f>IF(OR(E1335="",E1335="!!!"),"",IF(NOT(ISNA(VLOOKUP(E1335,E$1:E1334,1,FALSE()))),"OLD",IF(AND(E1335&lt;&gt;"",E1335&lt;&gt;"!!!"),"NEW","")))</f>
        <v> </v>
      </c>
      <c r="G1335" s="23" t="str">
        <f>IF(OR(E1335="",E1335="!!!"),"",IF(OR(J1335=0,AND(J1335=1,K1335=1),AND(J1335=1,I1335="SBJ"),AND(J1335=1,I1335=0)),"?IN_FOCUS",IF(J1335&lt;=2,"?ACTIVATED",IF(J1335&lt;&gt;"","?FAMILIAR",IF(F1335="NEW",IF(ISNA(VLOOKUP(E1335,#REF!,1,FALSE())),"?TYPE_IDENTIFIABLE","?REFERENTIAL"),"_")))))</f>
        <v> </v>
      </c>
      <c r="H1335" s="24" t="str">
        <f>IF(J1335&lt;&gt;1,"",IF(I1335="SBJ","CB","?"))</f>
        <v> </v>
      </c>
      <c r="I1335" s="25" t="str">
        <f>IF(OR(E1335="",E1335="!!!",F1335="NEW"),"",INDEX(B1334:B$2,-1+SUMPRODUCT(MAX(ROW(E1334:E$2)*(E1335=E1334:E$2)))))</f>
        <v> </v>
      </c>
      <c r="J1335" s="25" t="str">
        <f>IF(OR(E1335="",E1335="!!!",F1335="NEW"),"",COUNTBLANK(OFFSET(A$1,,,SUMPRODUCT(MAX(ROW(E$2:E1335)*(E1335=E$2:E1335)))))-COUNTBLANK(OFFSET(A$1,,,SUMPRODUCT(MAX(ROW(E$1:E1334)*(E2=E$1:E1334))))))</f>
        <v> </v>
      </c>
      <c r="K1335" s="25" t="str">
        <f>IF(OR(E1335="",E1335="!!!",F1335="NEW"),"",INDEX(J$1:J1334,SUMPRODUCT(MAX(ROW(E$1:E1334)*(E1335=E$1:E1334)))))</f>
        <v> </v>
      </c>
      <c r="L1335" s="26"/>
    </row>
    <row r="1336" spans="1:12">
      <c r="A1336" s="20" t="s">
        <v>1101</v>
      </c>
      <c r="E1336" s="21">
        <f>IF(D1336="?OLD","!!!","")</f>
        <v/>
      </c>
      <c r="F1336" s="22" t="str">
        <f>IF(OR(E1336="",E1336="!!!"),"",IF(NOT(ISNA(VLOOKUP(E1336,E$1:E1335,1,FALSE()))),"OLD",IF(AND(E1336&lt;&gt;"",E1336&lt;&gt;"!!!"),"NEW","")))</f>
        <v> </v>
      </c>
      <c r="G1336" s="23" t="str">
        <f>IF(OR(E1336="",E1336="!!!"),"",IF(OR(J1336=0,AND(J1336=1,K1336=1),AND(J1336=1,I1336="SBJ"),AND(J1336=1,I1336=0)),"?IN_FOCUS",IF(J1336&lt;=2,"?ACTIVATED",IF(J1336&lt;&gt;"","?FAMILIAR",IF(F1336="NEW",IF(ISNA(VLOOKUP(E1336,#REF!,1,FALSE())),"?TYPE_IDENTIFIABLE","?REFERENTIAL"),"_")))))</f>
        <v> </v>
      </c>
      <c r="H1336" s="24" t="str">
        <f>IF(J1336&lt;&gt;1,"",IF(I1336="SBJ","CB","?"))</f>
        <v> </v>
      </c>
      <c r="I1336" s="25" t="str">
        <f>IF(OR(E1336="",E1336="!!!",F1336="NEW"),"",INDEX(B1335:B$2,-1+SUMPRODUCT(MAX(ROW(E1335:E$2)*(E1336=E1335:E$2)))))</f>
        <v> </v>
      </c>
      <c r="J1336" s="25" t="str">
        <f>IF(OR(E1336="",E1336="!!!",F1336="NEW"),"",COUNTBLANK(OFFSET(A$1,,,SUMPRODUCT(MAX(ROW(E$2:E1336)*(E1336=E$2:E1336)))))-COUNTBLANK(OFFSET(A$1,,,SUMPRODUCT(MAX(ROW(E$1:E1335)*(E2=E$1:E1335))))))</f>
        <v> </v>
      </c>
      <c r="K1336" s="25" t="str">
        <f>IF(OR(E1336="",E1336="!!!",F1336="NEW"),"",INDEX(J$1:J1335,SUMPRODUCT(MAX(ROW(E$1:E1335)*(E1336=E$1:E1335)))))</f>
        <v> </v>
      </c>
      <c r="L1336" s="26"/>
    </row>
    <row r="1337" spans="1:12">
      <c r="A1337" s="20" t="s">
        <v>253</v>
      </c>
      <c r="E1337" s="21">
        <f>IF(D1337="?OLD","!!!","")</f>
        <v/>
      </c>
      <c r="F1337" s="22" t="str">
        <f>IF(OR(E1337="",E1337="!!!"),"",IF(NOT(ISNA(VLOOKUP(E1337,E$1:E1336,1,FALSE()))),"OLD",IF(AND(E1337&lt;&gt;"",E1337&lt;&gt;"!!!"),"NEW","")))</f>
        <v> </v>
      </c>
      <c r="G1337" s="23" t="str">
        <f>IF(OR(E1337="",E1337="!!!"),"",IF(OR(J1337=0,AND(J1337=1,K1337=1),AND(J1337=1,I1337="SBJ"),AND(J1337=1,I1337=0)),"?IN_FOCUS",IF(J1337&lt;=2,"?ACTIVATED",IF(J1337&lt;&gt;"","?FAMILIAR",IF(F1337="NEW",IF(ISNA(VLOOKUP(E1337,#REF!,1,FALSE())),"?TYPE_IDENTIFIABLE","?REFERENTIAL"),"_")))))</f>
        <v> </v>
      </c>
      <c r="H1337" s="24" t="str">
        <f>IF(J1337&lt;&gt;1,"",IF(I1337="SBJ","CB","?"))</f>
        <v> </v>
      </c>
      <c r="I1337" s="25" t="str">
        <f>IF(OR(E1337="",E1337="!!!",F1337="NEW"),"",INDEX(B1336:B$2,-1+SUMPRODUCT(MAX(ROW(E1336:E$2)*(E1337=E1336:E$2)))))</f>
        <v> </v>
      </c>
      <c r="J1337" s="25" t="str">
        <f>IF(OR(E1337="",E1337="!!!",F1337="NEW"),"",COUNTBLANK(OFFSET(A$1,,,SUMPRODUCT(MAX(ROW(E$2:E1337)*(E1337=E$2:E1337)))))-COUNTBLANK(OFFSET(A$1,,,SUMPRODUCT(MAX(ROW(E$1:E1336)*(E2=E$1:E1336))))))</f>
        <v> </v>
      </c>
      <c r="K1337" s="25" t="str">
        <f>IF(OR(E1337="",E1337="!!!",F1337="NEW"),"",INDEX(J$1:J1336,SUMPRODUCT(MAX(ROW(E$1:E1336)*(E1337=E$1:E1336)))))</f>
        <v> </v>
      </c>
      <c r="L1337" s="26"/>
    </row>
    <row r="1338" spans="1:12">
      <c r="A1338" s="20"/>
    </row>
    <row r="1339" spans="1:12">
      <c r="A1339" s="20" t="s">
        <v>1102</v>
      </c>
    </row>
    <row r="1340" spans="1:12">
      <c r="A1340" s="20" t="s">
        <v>1103</v>
      </c>
      <c r="E1340" s="21">
        <f>IF(D1340="?OLD","!!!","")</f>
        <v/>
      </c>
      <c r="F1340" s="22" t="str">
        <f>IF(OR(E1340="",E1340="!!!"),"",IF(NOT(ISNA(VLOOKUP(E1340,E$1:E1339,1,FALSE()))),"OLD",IF(AND(E1340&lt;&gt;"",E1340&lt;&gt;"!!!"),"NEW","")))</f>
        <v> </v>
      </c>
      <c r="G1340" s="23" t="str">
        <f>IF(OR(E1340="",E1340="!!!"),"",IF(OR(J1340=0,AND(J1340=1,K1340=1),AND(J1340=1,I1340="SBJ"),AND(J1340=1,I1340=0)),"?IN_FOCUS",IF(J1340&lt;=2,"?ACTIVATED",IF(J1340&lt;&gt;"","?FAMILIAR",IF(F1340="NEW",IF(ISNA(VLOOKUP(E1340,#REF!,1,FALSE())),"?TYPE_IDENTIFIABLE","?REFERENTIAL"),"_")))))</f>
        <v> </v>
      </c>
      <c r="H1340" s="24" t="str">
        <f>IF(J1340&lt;&gt;1,"",IF(I1340="SBJ","CB","?"))</f>
        <v> </v>
      </c>
      <c r="I1340" s="25" t="str">
        <f>IF(OR(E1340="",E1340="!!!",F1340="NEW"),"",INDEX(B1339:B$2,-1+SUMPRODUCT(MAX(ROW(E1339:E$2)*(E1340=E1339:E$2)))))</f>
        <v> </v>
      </c>
      <c r="J1340" s="25" t="str">
        <f>IF(OR(E1340="",E1340="!!!",F1340="NEW"),"",COUNTBLANK(OFFSET(A$1,,,SUMPRODUCT(MAX(ROW(E$2:E1340)*(E1340=E$2:E1340)))))-COUNTBLANK(OFFSET(A$1,,,SUMPRODUCT(MAX(ROW(E$1:E1339)*(E2=E$1:E1339))))))</f>
        <v> </v>
      </c>
      <c r="K1340" s="25" t="str">
        <f>IF(OR(E1340="",E1340="!!!",F1340="NEW"),"",INDEX(J$1:J1339,SUMPRODUCT(MAX(ROW(E$1:E1339)*(E1340=E$1:E1339)))))</f>
        <v> </v>
      </c>
      <c r="L1340" s="26"/>
    </row>
    <row r="1341" spans="1:12">
      <c r="A1341" s="20" t="s">
        <v>253</v>
      </c>
      <c r="E1341" s="21">
        <f>IF(D1341="?OLD","!!!","")</f>
        <v/>
      </c>
      <c r="F1341" s="22" t="str">
        <f>IF(OR(E1341="",E1341="!!!"),"",IF(NOT(ISNA(VLOOKUP(E1341,E$1:E1340,1,FALSE()))),"OLD",IF(AND(E1341&lt;&gt;"",E1341&lt;&gt;"!!!"),"NEW","")))</f>
        <v> </v>
      </c>
      <c r="G1341" s="23" t="str">
        <f>IF(OR(E1341="",E1341="!!!"),"",IF(OR(J1341=0,AND(J1341=1,K1341=1),AND(J1341=1,I1341="SBJ"),AND(J1341=1,I1341=0)),"?IN_FOCUS",IF(J1341&lt;=2,"?ACTIVATED",IF(J1341&lt;&gt;"","?FAMILIAR",IF(F1341="NEW",IF(ISNA(VLOOKUP(E1341,#REF!,1,FALSE())),"?TYPE_IDENTIFIABLE","?REFERENTIAL"),"_")))))</f>
        <v> </v>
      </c>
      <c r="H1341" s="24" t="str">
        <f>IF(J1341&lt;&gt;1,"",IF(I1341="SBJ","CB","?"))</f>
        <v> </v>
      </c>
      <c r="I1341" s="25" t="str">
        <f>IF(OR(E1341="",E1341="!!!",F1341="NEW"),"",INDEX(B1340:B$2,-1+SUMPRODUCT(MAX(ROW(E1340:E$2)*(E1341=E1340:E$2)))))</f>
        <v> </v>
      </c>
      <c r="J1341" s="25" t="str">
        <f>IF(OR(E1341="",E1341="!!!",F1341="NEW"),"",COUNTBLANK(OFFSET(A$1,,,SUMPRODUCT(MAX(ROW(E$2:E1341)*(E1341=E$2:E1341)))))-COUNTBLANK(OFFSET(A$1,,,SUMPRODUCT(MAX(ROW(E$1:E1340)*(E2=E$1:E1340))))))</f>
        <v> </v>
      </c>
      <c r="K1341" s="25" t="str">
        <f>IF(OR(E1341="",E1341="!!!",F1341="NEW"),"",INDEX(J$1:J1340,SUMPRODUCT(MAX(ROW(E$1:E1340)*(E1341=E$1:E1340)))))</f>
        <v> </v>
      </c>
      <c r="L1341" s="26"/>
    </row>
    <row r="1342" spans="1:12">
      <c r="A1342" s="20"/>
    </row>
    <row r="1343" spans="1:12">
      <c r="A1343" s="20" t="s">
        <v>1104</v>
      </c>
    </row>
    <row r="1344" spans="1:12">
      <c r="A1344" s="20" t="s">
        <v>792</v>
      </c>
      <c r="E1344" s="21">
        <f>IF(D1344="?OLD","!!!","")</f>
        <v/>
      </c>
      <c r="F1344" s="22" t="str">
        <f>IF(OR(E1344="",E1344="!!!"),"",IF(NOT(ISNA(VLOOKUP(E1344,E$1:E1343,1,FALSE()))),"OLD",IF(AND(E1344&lt;&gt;"",E1344&lt;&gt;"!!!"),"NEW","")))</f>
        <v> </v>
      </c>
      <c r="G1344" s="23" t="str">
        <f>IF(OR(E1344="",E1344="!!!"),"",IF(OR(J1344=0,AND(J1344=1,K1344=1),AND(J1344=1,I1344="SBJ"),AND(J1344=1,I1344=0)),"?IN_FOCUS",IF(J1344&lt;=2,"?ACTIVATED",IF(J1344&lt;&gt;"","?FAMILIAR",IF(F1344="NEW",IF(ISNA(VLOOKUP(E1344,#REF!,1,FALSE())),"?TYPE_IDENTIFIABLE","?REFERENTIAL"),"_")))))</f>
        <v> </v>
      </c>
      <c r="H1344" s="24" t="str">
        <f>IF(J1344&lt;&gt;1,"",IF(I1344="SBJ","CB","?"))</f>
        <v> </v>
      </c>
      <c r="I1344" s="25" t="str">
        <f>IF(OR(E1344="",E1344="!!!",F1344="NEW"),"",INDEX(B1343:B$2,-1+SUMPRODUCT(MAX(ROW(E1343:E$2)*(E1344=E1343:E$2)))))</f>
        <v> </v>
      </c>
      <c r="J1344" s="25" t="str">
        <f>IF(OR(E1344="",E1344="!!!",F1344="NEW"),"",COUNTBLANK(OFFSET(A$1,,,SUMPRODUCT(MAX(ROW(E$2:E1344)*(E1344=E$2:E1344)))))-COUNTBLANK(OFFSET(A$1,,,SUMPRODUCT(MAX(ROW(E$1:E1343)*(E2=E$1:E1343))))))</f>
        <v> </v>
      </c>
      <c r="K1344" s="25" t="str">
        <f>IF(OR(E1344="",E1344="!!!",F1344="NEW"),"",INDEX(J$1:J1343,SUMPRODUCT(MAX(ROW(E$1:E1343)*(E1344=E$1:E1343)))))</f>
        <v> </v>
      </c>
      <c r="L1344" s="26"/>
    </row>
    <row r="1345" spans="1:12">
      <c r="A1345" s="20" t="s">
        <v>1105</v>
      </c>
      <c r="E1345" s="21">
        <f>IF(D1345="?OLD","!!!","")</f>
        <v/>
      </c>
      <c r="F1345" s="22" t="str">
        <f>IF(OR(E1345="",E1345="!!!"),"",IF(NOT(ISNA(VLOOKUP(E1345,E$1:E1344,1,FALSE()))),"OLD",IF(AND(E1345&lt;&gt;"",E1345&lt;&gt;"!!!"),"NEW","")))</f>
        <v> </v>
      </c>
      <c r="G1345" s="23" t="str">
        <f>IF(OR(E1345="",E1345="!!!"),"",IF(OR(J1345=0,AND(J1345=1,K1345=1),AND(J1345=1,I1345="SBJ"),AND(J1345=1,I1345=0)),"?IN_FOCUS",IF(J1345&lt;=2,"?ACTIVATED",IF(J1345&lt;&gt;"","?FAMILIAR",IF(F1345="NEW",IF(ISNA(VLOOKUP(E1345,#REF!,1,FALSE())),"?TYPE_IDENTIFIABLE","?REFERENTIAL"),"_")))))</f>
        <v> </v>
      </c>
      <c r="H1345" s="24" t="str">
        <f>IF(J1345&lt;&gt;1,"",IF(I1345="SBJ","CB","?"))</f>
        <v> </v>
      </c>
      <c r="I1345" s="25" t="str">
        <f>IF(OR(E1345="",E1345="!!!",F1345="NEW"),"",INDEX(B1344:B$2,-1+SUMPRODUCT(MAX(ROW(E1344:E$2)*(E1345=E1344:E$2)))))</f>
        <v> </v>
      </c>
      <c r="J1345" s="25" t="str">
        <f>IF(OR(E1345="",E1345="!!!",F1345="NEW"),"",COUNTBLANK(OFFSET(A$1,,,SUMPRODUCT(MAX(ROW(E$2:E1345)*(E1345=E$2:E1345)))))-COUNTBLANK(OFFSET(A$1,,,SUMPRODUCT(MAX(ROW(E$1:E1344)*(E2=E$1:E1344))))))</f>
        <v> </v>
      </c>
      <c r="K1345" s="25" t="str">
        <f>IF(OR(E1345="",E1345="!!!",F1345="NEW"),"",INDEX(J$1:J1344,SUMPRODUCT(MAX(ROW(E$1:E1344)*(E1345=E$1:E1344)))))</f>
        <v> </v>
      </c>
      <c r="L1345" s="26"/>
    </row>
    <row r="1346" spans="1:12">
      <c r="A1346" s="20" t="s">
        <v>299</v>
      </c>
      <c r="B1346" s="27" t="s">
        <v>476</v>
      </c>
      <c r="C1346" s="27" t="s">
        <v>477</v>
      </c>
      <c r="D1346" s="27" t="s">
        <v>478</v>
      </c>
      <c r="E1346" s="21">
        <f>IF(D1346="?OLD","!!!","")</f>
        <v/>
      </c>
      <c r="F1346" s="22" t="str">
        <f>IF(OR(E1346="",E1346="!!!"),"",IF(NOT(ISNA(VLOOKUP(E1346,E$1:E1345,1,FALSE()))),"OLD",IF(AND(E1346&lt;&gt;"",E1346&lt;&gt;"!!!"),"NEW","")))</f>
        <v> </v>
      </c>
      <c r="G1346" s="23" t="str">
        <f>IF(OR(E1346="",E1346="!!!"),"",IF(OR(J1346=0,AND(J1346=1,K1346=1),AND(J1346=1,I1346="SBJ"),AND(J1346=1,I1346=0)),"?IN_FOCUS",IF(J1346&lt;=2,"?ACTIVATED",IF(J1346&lt;&gt;"","?FAMILIAR",IF(F1346="NEW",IF(ISNA(VLOOKUP(E1346,#REF!,1,FALSE())),"?TYPE_IDENTIFIABLE","?REFERENTIAL"),"_")))))</f>
        <v> </v>
      </c>
      <c r="H1346" s="24" t="str">
        <f>IF(J1346&lt;&gt;1,"",IF(I1346="SBJ","CB","?"))</f>
        <v> </v>
      </c>
      <c r="I1346" s="25" t="str">
        <f>IF(OR(E1346="",E1346="!!!",F1346="NEW"),"",INDEX(B1345:B$2,-1+SUMPRODUCT(MAX(ROW(E1345:E$2)*(E1346=E1345:E$2)))))</f>
        <v> </v>
      </c>
      <c r="J1346" s="25" t="str">
        <f>IF(OR(E1346="",E1346="!!!",F1346="NEW"),"",COUNTBLANK(OFFSET(A$1,,,SUMPRODUCT(MAX(ROW(E$2:E1346)*(E1346=E$2:E1346)))))-COUNTBLANK(OFFSET(A$1,,,SUMPRODUCT(MAX(ROW(E$1:E1345)*(E2=E$1:E1345))))))</f>
        <v> </v>
      </c>
      <c r="K1346" s="25" t="str">
        <f>IF(OR(E1346="",E1346="!!!",F1346="NEW"),"",INDEX(J$1:J1345,SUMPRODUCT(MAX(ROW(E$1:E1345)*(E1346=E$1:E1345)))))</f>
        <v> </v>
      </c>
      <c r="L1346" s="26"/>
    </row>
    <row r="1347" spans="1:12">
      <c r="A1347" s="20" t="s">
        <v>493</v>
      </c>
      <c r="E1347" s="21">
        <f>IF(D1347="?OLD","!!!","")</f>
        <v/>
      </c>
      <c r="F1347" s="22" t="str">
        <f>IF(OR(E1347="",E1347="!!!"),"",IF(NOT(ISNA(VLOOKUP(E1347,E$1:E1346,1,FALSE()))),"OLD",IF(AND(E1347&lt;&gt;"",E1347&lt;&gt;"!!!"),"NEW","")))</f>
        <v> </v>
      </c>
      <c r="G1347" s="23" t="str">
        <f>IF(OR(E1347="",E1347="!!!"),"",IF(OR(J1347=0,AND(J1347=1,K1347=1),AND(J1347=1,I1347="SBJ"),AND(J1347=1,I1347=0)),"?IN_FOCUS",IF(J1347&lt;=2,"?ACTIVATED",IF(J1347&lt;&gt;"","?FAMILIAR",IF(F1347="NEW",IF(ISNA(VLOOKUP(E1347,#REF!,1,FALSE())),"?TYPE_IDENTIFIABLE","?REFERENTIAL"),"_")))))</f>
        <v> </v>
      </c>
      <c r="H1347" s="24" t="str">
        <f>IF(J1347&lt;&gt;1,"",IF(I1347="SBJ","CB","?"))</f>
        <v> </v>
      </c>
      <c r="I1347" s="25" t="str">
        <f>IF(OR(E1347="",E1347="!!!",F1347="NEW"),"",INDEX(B1346:B$2,-1+SUMPRODUCT(MAX(ROW(E1346:E$2)*(E1347=E1346:E$2)))))</f>
        <v> </v>
      </c>
      <c r="J1347" s="25" t="str">
        <f>IF(OR(E1347="",E1347="!!!",F1347="NEW"),"",COUNTBLANK(OFFSET(A$1,,,SUMPRODUCT(MAX(ROW(E$2:E1347)*(E1347=E$2:E1347)))))-COUNTBLANK(OFFSET(A$1,,,SUMPRODUCT(MAX(ROW(E$1:E1346)*(E2=E$1:E1346))))))</f>
        <v> </v>
      </c>
      <c r="K1347" s="25" t="str">
        <f>IF(OR(E1347="",E1347="!!!",F1347="NEW"),"",INDEX(J$1:J1346,SUMPRODUCT(MAX(ROW(E$1:E1346)*(E1347=E$1:E1346)))))</f>
        <v> </v>
      </c>
      <c r="L1347" s="26"/>
    </row>
    <row r="1348" spans="1:12">
      <c r="A1348" s="20" t="s">
        <v>679</v>
      </c>
      <c r="E1348" s="21">
        <f>IF(D1348="?OLD","!!!","")</f>
        <v/>
      </c>
      <c r="F1348" s="22" t="str">
        <f>IF(OR(E1348="",E1348="!!!"),"",IF(NOT(ISNA(VLOOKUP(E1348,E$1:E1347,1,FALSE()))),"OLD",IF(AND(E1348&lt;&gt;"",E1348&lt;&gt;"!!!"),"NEW","")))</f>
        <v> </v>
      </c>
      <c r="G1348" s="23" t="str">
        <f>IF(OR(E1348="",E1348="!!!"),"",IF(OR(J1348=0,AND(J1348=1,K1348=1),AND(J1348=1,I1348="SBJ"),AND(J1348=1,I1348=0)),"?IN_FOCUS",IF(J1348&lt;=2,"?ACTIVATED",IF(J1348&lt;&gt;"","?FAMILIAR",IF(F1348="NEW",IF(ISNA(VLOOKUP(E1348,#REF!,1,FALSE())),"?TYPE_IDENTIFIABLE","?REFERENTIAL"),"_")))))</f>
        <v> </v>
      </c>
      <c r="H1348" s="24" t="str">
        <f>IF(J1348&lt;&gt;1,"",IF(I1348="SBJ","CB","?"))</f>
        <v> </v>
      </c>
      <c r="I1348" s="25" t="str">
        <f>IF(OR(E1348="",E1348="!!!",F1348="NEW"),"",INDEX(B1347:B$2,-1+SUMPRODUCT(MAX(ROW(E1347:E$2)*(E1348=E1347:E$2)))))</f>
        <v> </v>
      </c>
      <c r="J1348" s="25" t="str">
        <f>IF(OR(E1348="",E1348="!!!",F1348="NEW"),"",COUNTBLANK(OFFSET(A$1,,,SUMPRODUCT(MAX(ROW(E$2:E1348)*(E1348=E$2:E1348)))))-COUNTBLANK(OFFSET(A$1,,,SUMPRODUCT(MAX(ROW(E$1:E1347)*(E2=E$1:E1347))))))</f>
        <v> </v>
      </c>
      <c r="K1348" s="25" t="str">
        <f>IF(OR(E1348="",E1348="!!!",F1348="NEW"),"",INDEX(J$1:J1347,SUMPRODUCT(MAX(ROW(E$1:E1347)*(E1348=E$1:E1347)))))</f>
        <v> </v>
      </c>
      <c r="L1348" s="26"/>
    </row>
    <row r="1349" spans="1:12">
      <c r="A1349" s="20" t="s">
        <v>1106</v>
      </c>
      <c r="E1349" s="21">
        <f>IF(D1349="?OLD","!!!","")</f>
        <v/>
      </c>
      <c r="F1349" s="22" t="str">
        <f>IF(OR(E1349="",E1349="!!!"),"",IF(NOT(ISNA(VLOOKUP(E1349,E$1:E1348,1,FALSE()))),"OLD",IF(AND(E1349&lt;&gt;"",E1349&lt;&gt;"!!!"),"NEW","")))</f>
        <v> </v>
      </c>
      <c r="G1349" s="23" t="str">
        <f>IF(OR(E1349="",E1349="!!!"),"",IF(OR(J1349=0,AND(J1349=1,K1349=1),AND(J1349=1,I1349="SBJ"),AND(J1349=1,I1349=0)),"?IN_FOCUS",IF(J1349&lt;=2,"?ACTIVATED",IF(J1349&lt;&gt;"","?FAMILIAR",IF(F1349="NEW",IF(ISNA(VLOOKUP(E1349,#REF!,1,FALSE())),"?TYPE_IDENTIFIABLE","?REFERENTIAL"),"_")))))</f>
        <v> </v>
      </c>
      <c r="H1349" s="24" t="str">
        <f>IF(J1349&lt;&gt;1,"",IF(I1349="SBJ","CB","?"))</f>
        <v> </v>
      </c>
      <c r="I1349" s="25" t="str">
        <f>IF(OR(E1349="",E1349="!!!",F1349="NEW"),"",INDEX(B1348:B$2,-1+SUMPRODUCT(MAX(ROW(E1348:E$2)*(E1349=E1348:E$2)))))</f>
        <v> </v>
      </c>
      <c r="J1349" s="25" t="str">
        <f>IF(OR(E1349="",E1349="!!!",F1349="NEW"),"",COUNTBLANK(OFFSET(A$1,,,SUMPRODUCT(MAX(ROW(E$2:E1349)*(E1349=E$2:E1349)))))-COUNTBLANK(OFFSET(A$1,,,SUMPRODUCT(MAX(ROW(E$1:E1348)*(E2=E$1:E1348))))))</f>
        <v> </v>
      </c>
      <c r="K1349" s="25" t="str">
        <f>IF(OR(E1349="",E1349="!!!",F1349="NEW"),"",INDEX(J$1:J1348,SUMPRODUCT(MAX(ROW(E$1:E1348)*(E1349=E$1:E1348)))))</f>
        <v> </v>
      </c>
      <c r="L1349" s="26"/>
    </row>
    <row r="1350" spans="1:12">
      <c r="A1350" s="20" t="s">
        <v>1107</v>
      </c>
      <c r="B1350" s="27" t="s">
        <v>511</v>
      </c>
      <c r="C1350" s="27" t="s">
        <v>620</v>
      </c>
      <c r="D1350" s="27" t="s">
        <v>478</v>
      </c>
      <c r="E1350" s="21">
        <f>IF(D1350="?OLD","!!!","")</f>
        <v/>
      </c>
      <c r="F1350" s="22" t="str">
        <f>IF(OR(E1350="",E1350="!!!"),"",IF(NOT(ISNA(VLOOKUP(E1350,E$1:E1349,1,FALSE()))),"OLD",IF(AND(E1350&lt;&gt;"",E1350&lt;&gt;"!!!"),"NEW","")))</f>
        <v> </v>
      </c>
      <c r="G1350" s="23" t="str">
        <f>IF(OR(E1350="",E1350="!!!"),"",IF(OR(J1350=0,AND(J1350=1,K1350=1),AND(J1350=1,I1350="SBJ"),AND(J1350=1,I1350=0)),"?IN_FOCUS",IF(J1350&lt;=2,"?ACTIVATED",IF(J1350&lt;&gt;"","?FAMILIAR",IF(F1350="NEW",IF(ISNA(VLOOKUP(E1350,#REF!,1,FALSE())),"?TYPE_IDENTIFIABLE","?REFERENTIAL"),"_")))))</f>
        <v> </v>
      </c>
      <c r="H1350" s="24" t="str">
        <f>IF(J1350&lt;&gt;1,"",IF(I1350="SBJ","CB","?"))</f>
        <v> </v>
      </c>
      <c r="I1350" s="25" t="str">
        <f>IF(OR(E1350="",E1350="!!!",F1350="NEW"),"",INDEX(B1349:B$2,-1+SUMPRODUCT(MAX(ROW(E1349:E$2)*(E1350=E1349:E$2)))))</f>
        <v> </v>
      </c>
      <c r="J1350" s="25" t="str">
        <f>IF(OR(E1350="",E1350="!!!",F1350="NEW"),"",COUNTBLANK(OFFSET(A$1,,,SUMPRODUCT(MAX(ROW(E$2:E1350)*(E1350=E$2:E1350)))))-COUNTBLANK(OFFSET(A$1,,,SUMPRODUCT(MAX(ROW(E$1:E1349)*(E2=E$1:E1349))))))</f>
        <v> </v>
      </c>
      <c r="K1350" s="25" t="str">
        <f>IF(OR(E1350="",E1350="!!!",F1350="NEW"),"",INDEX(J$1:J1349,SUMPRODUCT(MAX(ROW(E$1:E1349)*(E1350=E$1:E1349)))))</f>
        <v> </v>
      </c>
      <c r="L1350" s="26"/>
    </row>
    <row r="1351" spans="1:12">
      <c r="A1351" s="20" t="s">
        <v>785</v>
      </c>
      <c r="B1351" s="27" t="s">
        <v>577</v>
      </c>
      <c r="E1351" s="21">
        <f>IF(D1351="?OLD","!!!","")</f>
        <v/>
      </c>
      <c r="F1351" s="22" t="str">
        <f>IF(OR(E1351="",E1351="!!!"),"",IF(NOT(ISNA(VLOOKUP(E1351,E$1:E1350,1,FALSE()))),"OLD",IF(AND(E1351&lt;&gt;"",E1351&lt;&gt;"!!!"),"NEW","")))</f>
        <v> </v>
      </c>
      <c r="G1351" s="23" t="str">
        <f>IF(OR(E1351="",E1351="!!!"),"",IF(OR(J1351=0,AND(J1351=1,K1351=1),AND(J1351=1,I1351="SBJ"),AND(J1351=1,I1351=0)),"?IN_FOCUS",IF(J1351&lt;=2,"?ACTIVATED",IF(J1351&lt;&gt;"","?FAMILIAR",IF(F1351="NEW",IF(ISNA(VLOOKUP(E1351,#REF!,1,FALSE())),"?TYPE_IDENTIFIABLE","?REFERENTIAL"),"_")))))</f>
        <v> </v>
      </c>
      <c r="H1351" s="24" t="str">
        <f>IF(J1351&lt;&gt;1,"",IF(I1351="SBJ","CB","?"))</f>
        <v> </v>
      </c>
      <c r="I1351" s="25" t="str">
        <f>IF(OR(E1351="",E1351="!!!",F1351="NEW"),"",INDEX(B1350:B$2,-1+SUMPRODUCT(MAX(ROW(E1350:E$2)*(E1351=E1350:E$2)))))</f>
        <v> </v>
      </c>
      <c r="J1351" s="25" t="str">
        <f>IF(OR(E1351="",E1351="!!!",F1351="NEW"),"",COUNTBLANK(OFFSET(A$1,,,SUMPRODUCT(MAX(ROW(E$2:E1351)*(E1351=E$2:E1351)))))-COUNTBLANK(OFFSET(A$1,,,SUMPRODUCT(MAX(ROW(E$1:E1350)*(E2=E$1:E1350))))))</f>
        <v> </v>
      </c>
      <c r="K1351" s="25" t="str">
        <f>IF(OR(E1351="",E1351="!!!",F1351="NEW"),"",INDEX(J$1:J1350,SUMPRODUCT(MAX(ROW(E$1:E1350)*(E1351=E$1:E1350)))))</f>
        <v> </v>
      </c>
      <c r="L1351" s="26"/>
    </row>
    <row r="1352" spans="1:12">
      <c r="A1352" s="20" t="s">
        <v>482</v>
      </c>
      <c r="E1352" s="21">
        <f>IF(D1352="?OLD","!!!","")</f>
        <v/>
      </c>
      <c r="F1352" s="22" t="str">
        <f>IF(OR(E1352="",E1352="!!!"),"",IF(NOT(ISNA(VLOOKUP(E1352,E$1:E1351,1,FALSE()))),"OLD",IF(AND(E1352&lt;&gt;"",E1352&lt;&gt;"!!!"),"NEW","")))</f>
        <v> </v>
      </c>
      <c r="G1352" s="23" t="str">
        <f>IF(OR(E1352="",E1352="!!!"),"",IF(OR(J1352=0,AND(J1352=1,K1352=1),AND(J1352=1,I1352="SBJ"),AND(J1352=1,I1352=0)),"?IN_FOCUS",IF(J1352&lt;=2,"?ACTIVATED",IF(J1352&lt;&gt;"","?FAMILIAR",IF(F1352="NEW",IF(ISNA(VLOOKUP(E1352,#REF!,1,FALSE())),"?TYPE_IDENTIFIABLE","?REFERENTIAL"),"_")))))</f>
        <v> </v>
      </c>
      <c r="H1352" s="24" t="str">
        <f>IF(J1352&lt;&gt;1,"",IF(I1352="SBJ","CB","?"))</f>
        <v> </v>
      </c>
      <c r="I1352" s="25" t="str">
        <f>IF(OR(E1352="",E1352="!!!",F1352="NEW"),"",INDEX(B1351:B$2,-1+SUMPRODUCT(MAX(ROW(E1351:E$2)*(E1352=E1351:E$2)))))</f>
        <v> </v>
      </c>
      <c r="J1352" s="25" t="str">
        <f>IF(OR(E1352="",E1352="!!!",F1352="NEW"),"",COUNTBLANK(OFFSET(A$1,,,SUMPRODUCT(MAX(ROW(E$2:E1352)*(E1352=E$2:E1352)))))-COUNTBLANK(OFFSET(A$1,,,SUMPRODUCT(MAX(ROW(E$1:E1351)*(E2=E$1:E1351))))))</f>
        <v> </v>
      </c>
      <c r="K1352" s="25" t="str">
        <f>IF(OR(E1352="",E1352="!!!",F1352="NEW"),"",INDEX(J$1:J1351,SUMPRODUCT(MAX(ROW(E$1:E1351)*(E1352=E$1:E1351)))))</f>
        <v> </v>
      </c>
      <c r="L1352" s="26"/>
    </row>
    <row r="1353" spans="1:12">
      <c r="A1353" s="20" t="s">
        <v>493</v>
      </c>
      <c r="E1353" s="21">
        <f>IF(D1353="?OLD","!!!","")</f>
        <v/>
      </c>
      <c r="F1353" s="22" t="str">
        <f>IF(OR(E1353="",E1353="!!!"),"",IF(NOT(ISNA(VLOOKUP(E1353,E$1:E1352,1,FALSE()))),"OLD",IF(AND(E1353&lt;&gt;"",E1353&lt;&gt;"!!!"),"NEW","")))</f>
        <v> </v>
      </c>
      <c r="G1353" s="23" t="str">
        <f>IF(OR(E1353="",E1353="!!!"),"",IF(OR(J1353=0,AND(J1353=1,K1353=1),AND(J1353=1,I1353="SBJ"),AND(J1353=1,I1353=0)),"?IN_FOCUS",IF(J1353&lt;=2,"?ACTIVATED",IF(J1353&lt;&gt;"","?FAMILIAR",IF(F1353="NEW",IF(ISNA(VLOOKUP(E1353,#REF!,1,FALSE())),"?TYPE_IDENTIFIABLE","?REFERENTIAL"),"_")))))</f>
        <v> </v>
      </c>
      <c r="H1353" s="24" t="str">
        <f>IF(J1353&lt;&gt;1,"",IF(I1353="SBJ","CB","?"))</f>
        <v> </v>
      </c>
      <c r="I1353" s="25" t="str">
        <f>IF(OR(E1353="",E1353="!!!",F1353="NEW"),"",INDEX(B1352:B$2,-1+SUMPRODUCT(MAX(ROW(E1352:E$2)*(E1353=E1352:E$2)))))</f>
        <v> </v>
      </c>
      <c r="J1353" s="25" t="str">
        <f>IF(OR(E1353="",E1353="!!!",F1353="NEW"),"",COUNTBLANK(OFFSET(A$1,,,SUMPRODUCT(MAX(ROW(E$2:E1353)*(E1353=E$2:E1353)))))-COUNTBLANK(OFFSET(A$1,,,SUMPRODUCT(MAX(ROW(E$1:E1352)*(E2=E$1:E1352))))))</f>
        <v> </v>
      </c>
      <c r="K1353" s="25" t="str">
        <f>IF(OR(E1353="",E1353="!!!",F1353="NEW"),"",INDEX(J$1:J1352,SUMPRODUCT(MAX(ROW(E$1:E1352)*(E1353=E$1:E1352)))))</f>
        <v> </v>
      </c>
      <c r="L1353" s="26"/>
    </row>
    <row r="1354" spans="1:12">
      <c r="A1354" s="20" t="s">
        <v>265</v>
      </c>
      <c r="E1354" s="21">
        <f>IF(D1354="?OLD","!!!","")</f>
        <v/>
      </c>
      <c r="F1354" s="22" t="str">
        <f>IF(OR(E1354="",E1354="!!!"),"",IF(NOT(ISNA(VLOOKUP(E1354,E$1:E1353,1,FALSE()))),"OLD",IF(AND(E1354&lt;&gt;"",E1354&lt;&gt;"!!!"),"NEW","")))</f>
        <v> </v>
      </c>
      <c r="G1354" s="23" t="str">
        <f>IF(OR(E1354="",E1354="!!!"),"",IF(OR(J1354=0,AND(J1354=1,K1354=1),AND(J1354=1,I1354="SBJ"),AND(J1354=1,I1354=0)),"?IN_FOCUS",IF(J1354&lt;=2,"?ACTIVATED",IF(J1354&lt;&gt;"","?FAMILIAR",IF(F1354="NEW",IF(ISNA(VLOOKUP(E1354,#REF!,1,FALSE())),"?TYPE_IDENTIFIABLE","?REFERENTIAL"),"_")))))</f>
        <v> </v>
      </c>
      <c r="H1354" s="24" t="str">
        <f>IF(J1354&lt;&gt;1,"",IF(I1354="SBJ","CB","?"))</f>
        <v> </v>
      </c>
      <c r="I1354" s="25" t="str">
        <f>IF(OR(E1354="",E1354="!!!",F1354="NEW"),"",INDEX(B1353:B$2,-1+SUMPRODUCT(MAX(ROW(E1353:E$2)*(E1354=E1353:E$2)))))</f>
        <v> </v>
      </c>
      <c r="J1354" s="25" t="str">
        <f>IF(OR(E1354="",E1354="!!!",F1354="NEW"),"",COUNTBLANK(OFFSET(A$1,,,SUMPRODUCT(MAX(ROW(E$2:E1354)*(E1354=E$2:E1354)))))-COUNTBLANK(OFFSET(A$1,,,SUMPRODUCT(MAX(ROW(E$1:E1353)*(E2=E$1:E1353))))))</f>
        <v> </v>
      </c>
      <c r="K1354" s="25" t="str">
        <f>IF(OR(E1354="",E1354="!!!",F1354="NEW"),"",INDEX(J$1:J1353,SUMPRODUCT(MAX(ROW(E$1:E1353)*(E1354=E$1:E1353)))))</f>
        <v> </v>
      </c>
      <c r="L1354" s="26"/>
    </row>
    <row r="1355" spans="1:12">
      <c r="A1355" s="20" t="s">
        <v>796</v>
      </c>
      <c r="E1355" s="21">
        <f>IF(D1355="?OLD","!!!","")</f>
        <v/>
      </c>
      <c r="F1355" s="22" t="str">
        <f>IF(OR(E1355="",E1355="!!!"),"",IF(NOT(ISNA(VLOOKUP(E1355,E$1:E1354,1,FALSE()))),"OLD",IF(AND(E1355&lt;&gt;"",E1355&lt;&gt;"!!!"),"NEW","")))</f>
        <v> </v>
      </c>
      <c r="G1355" s="23" t="str">
        <f>IF(OR(E1355="",E1355="!!!"),"",IF(OR(J1355=0,AND(J1355=1,K1355=1),AND(J1355=1,I1355="SBJ"),AND(J1355=1,I1355=0)),"?IN_FOCUS",IF(J1355&lt;=2,"?ACTIVATED",IF(J1355&lt;&gt;"","?FAMILIAR",IF(F1355="NEW",IF(ISNA(VLOOKUP(E1355,#REF!,1,FALSE())),"?TYPE_IDENTIFIABLE","?REFERENTIAL"),"_")))))</f>
        <v> </v>
      </c>
      <c r="H1355" s="24" t="str">
        <f>IF(J1355&lt;&gt;1,"",IF(I1355="SBJ","CB","?"))</f>
        <v> </v>
      </c>
      <c r="I1355" s="25" t="str">
        <f>IF(OR(E1355="",E1355="!!!",F1355="NEW"),"",INDEX(B1354:B$2,-1+SUMPRODUCT(MAX(ROW(E1354:E$2)*(E1355=E1354:E$2)))))</f>
        <v> </v>
      </c>
      <c r="J1355" s="25" t="str">
        <f>IF(OR(E1355="",E1355="!!!",F1355="NEW"),"",COUNTBLANK(OFFSET(A$1,,,SUMPRODUCT(MAX(ROW(E$2:E1355)*(E1355=E$2:E1355)))))-COUNTBLANK(OFFSET(A$1,,,SUMPRODUCT(MAX(ROW(E$1:E1354)*(E2=E$1:E1354))))))</f>
        <v> </v>
      </c>
      <c r="K1355" s="25" t="str">
        <f>IF(OR(E1355="",E1355="!!!",F1355="NEW"),"",INDEX(J$1:J1354,SUMPRODUCT(MAX(ROW(E$1:E1354)*(E1355=E$1:E1354)))))</f>
        <v> </v>
      </c>
      <c r="L1355" s="26"/>
    </row>
    <row r="1356" spans="1:12">
      <c r="A1356" s="20" t="s">
        <v>515</v>
      </c>
      <c r="E1356" s="21">
        <f>IF(D1356="?OLD","!!!","")</f>
        <v/>
      </c>
      <c r="F1356" s="22" t="str">
        <f>IF(OR(E1356="",E1356="!!!"),"",IF(NOT(ISNA(VLOOKUP(E1356,E$1:E1355,1,FALSE()))),"OLD",IF(AND(E1356&lt;&gt;"",E1356&lt;&gt;"!!!"),"NEW","")))</f>
        <v> </v>
      </c>
      <c r="G1356" s="23" t="str">
        <f>IF(OR(E1356="",E1356="!!!"),"",IF(OR(J1356=0,AND(J1356=1,K1356=1),AND(J1356=1,I1356="SBJ"),AND(J1356=1,I1356=0)),"?IN_FOCUS",IF(J1356&lt;=2,"?ACTIVATED",IF(J1356&lt;&gt;"","?FAMILIAR",IF(F1356="NEW",IF(ISNA(VLOOKUP(E1356,#REF!,1,FALSE())),"?TYPE_IDENTIFIABLE","?REFERENTIAL"),"_")))))</f>
        <v> </v>
      </c>
      <c r="H1356" s="24" t="str">
        <f>IF(J1356&lt;&gt;1,"",IF(I1356="SBJ","CB","?"))</f>
        <v> </v>
      </c>
      <c r="I1356" s="25" t="str">
        <f>IF(OR(E1356="",E1356="!!!",F1356="NEW"),"",INDEX(B1355:B$2,-1+SUMPRODUCT(MAX(ROW(E1355:E$2)*(E1356=E1355:E$2)))))</f>
        <v> </v>
      </c>
      <c r="J1356" s="25" t="str">
        <f>IF(OR(E1356="",E1356="!!!",F1356="NEW"),"",COUNTBLANK(OFFSET(A$1,,,SUMPRODUCT(MAX(ROW(E$2:E1356)*(E1356=E$2:E1356)))))-COUNTBLANK(OFFSET(A$1,,,SUMPRODUCT(MAX(ROW(E$1:E1355)*(E2=E$1:E1355))))))</f>
        <v> </v>
      </c>
      <c r="K1356" s="25" t="str">
        <f>IF(OR(E1356="",E1356="!!!",F1356="NEW"),"",INDEX(J$1:J1355,SUMPRODUCT(MAX(ROW(E$1:E1355)*(E1356=E$1:E1355)))))</f>
        <v> </v>
      </c>
      <c r="L1356" s="26"/>
    </row>
    <row r="1357" spans="1:12">
      <c r="A1357" s="20"/>
    </row>
    <row r="1358" spans="1:12">
      <c r="A1358" s="20" t="s">
        <v>1108</v>
      </c>
    </row>
    <row r="1359" spans="1:12">
      <c r="A1359" s="20" t="s">
        <v>1050</v>
      </c>
      <c r="E1359" s="21">
        <f>IF(D1359="?OLD","!!!","")</f>
        <v/>
      </c>
      <c r="F1359" s="22" t="str">
        <f>IF(OR(E1359="",E1359="!!!"),"",IF(NOT(ISNA(VLOOKUP(E1359,E$1:E1358,1,FALSE()))),"OLD",IF(AND(E1359&lt;&gt;"",E1359&lt;&gt;"!!!"),"NEW","")))</f>
        <v> </v>
      </c>
      <c r="G1359" s="23" t="str">
        <f>IF(OR(E1359="",E1359="!!!"),"",IF(OR(J1359=0,AND(J1359=1,K1359=1),AND(J1359=1,I1359="SBJ"),AND(J1359=1,I1359=0)),"?IN_FOCUS",IF(J1359&lt;=2,"?ACTIVATED",IF(J1359&lt;&gt;"","?FAMILIAR",IF(F1359="NEW",IF(ISNA(VLOOKUP(E1359,#REF!,1,FALSE())),"?TYPE_IDENTIFIABLE","?REFERENTIAL"),"_")))))</f>
        <v> </v>
      </c>
      <c r="H1359" s="24" t="str">
        <f>IF(J1359&lt;&gt;1,"",IF(I1359="SBJ","CB","?"))</f>
        <v> </v>
      </c>
      <c r="I1359" s="25" t="str">
        <f>IF(OR(E1359="",E1359="!!!",F1359="NEW"),"",INDEX(B1358:B$2,-1+SUMPRODUCT(MAX(ROW(E1358:E$2)*(E1359=E1358:E$2)))))</f>
        <v> </v>
      </c>
      <c r="J1359" s="25" t="str">
        <f>IF(OR(E1359="",E1359="!!!",F1359="NEW"),"",COUNTBLANK(OFFSET(A$1,,,SUMPRODUCT(MAX(ROW(E$2:E1359)*(E1359=E$2:E1359)))))-COUNTBLANK(OFFSET(A$1,,,SUMPRODUCT(MAX(ROW(E$1:E1358)*(E2=E$1:E1358))))))</f>
        <v> </v>
      </c>
      <c r="K1359" s="25" t="str">
        <f>IF(OR(E1359="",E1359="!!!",F1359="NEW"),"",INDEX(J$1:J1358,SUMPRODUCT(MAX(ROW(E$1:E1358)*(E1359=E$1:E1358)))))</f>
        <v> </v>
      </c>
      <c r="L1359" s="26"/>
    </row>
    <row r="1360" spans="1:12">
      <c r="A1360" s="20" t="s">
        <v>482</v>
      </c>
      <c r="E1360" s="21">
        <f>IF(D1360="?OLD","!!!","")</f>
        <v/>
      </c>
      <c r="F1360" s="22" t="str">
        <f>IF(OR(E1360="",E1360="!!!"),"",IF(NOT(ISNA(VLOOKUP(E1360,E$1:E1359,1,FALSE()))),"OLD",IF(AND(E1360&lt;&gt;"",E1360&lt;&gt;"!!!"),"NEW","")))</f>
        <v> </v>
      </c>
      <c r="G1360" s="23" t="str">
        <f>IF(OR(E1360="",E1360="!!!"),"",IF(OR(J1360=0,AND(J1360=1,K1360=1),AND(J1360=1,I1360="SBJ"),AND(J1360=1,I1360=0)),"?IN_FOCUS",IF(J1360&lt;=2,"?ACTIVATED",IF(J1360&lt;&gt;"","?FAMILIAR",IF(F1360="NEW",IF(ISNA(VLOOKUP(E1360,#REF!,1,FALSE())),"?TYPE_IDENTIFIABLE","?REFERENTIAL"),"_")))))</f>
        <v> </v>
      </c>
      <c r="H1360" s="24" t="str">
        <f>IF(J1360&lt;&gt;1,"",IF(I1360="SBJ","CB","?"))</f>
        <v> </v>
      </c>
      <c r="I1360" s="25" t="str">
        <f>IF(OR(E1360="",E1360="!!!",F1360="NEW"),"",INDEX(B1359:B$2,-1+SUMPRODUCT(MAX(ROW(E1359:E$2)*(E1360=E1359:E$2)))))</f>
        <v> </v>
      </c>
      <c r="J1360" s="25" t="str">
        <f>IF(OR(E1360="",E1360="!!!",F1360="NEW"),"",COUNTBLANK(OFFSET(A$1,,,SUMPRODUCT(MAX(ROW(E$2:E1360)*(E1360=E$2:E1360)))))-COUNTBLANK(OFFSET(A$1,,,SUMPRODUCT(MAX(ROW(E$1:E1359)*(E2=E$1:E1359))))))</f>
        <v> </v>
      </c>
      <c r="K1360" s="25" t="str">
        <f>IF(OR(E1360="",E1360="!!!",F1360="NEW"),"",INDEX(J$1:J1359,SUMPRODUCT(MAX(ROW(E$1:E1359)*(E1360=E$1:E1359)))))</f>
        <v> </v>
      </c>
      <c r="L1360" s="26"/>
    </row>
    <row r="1361" spans="1:12">
      <c r="A1361" s="20" t="s">
        <v>1109</v>
      </c>
      <c r="E1361" s="21">
        <f>IF(D1361="?OLD","!!!","")</f>
        <v/>
      </c>
      <c r="F1361" s="22" t="str">
        <f>IF(OR(E1361="",E1361="!!!"),"",IF(NOT(ISNA(VLOOKUP(E1361,E$1:E1360,1,FALSE()))),"OLD",IF(AND(E1361&lt;&gt;"",E1361&lt;&gt;"!!!"),"NEW","")))</f>
        <v> </v>
      </c>
      <c r="G1361" s="23" t="str">
        <f>IF(OR(E1361="",E1361="!!!"),"",IF(OR(J1361=0,AND(J1361=1,K1361=1),AND(J1361=1,I1361="SBJ"),AND(J1361=1,I1361=0)),"?IN_FOCUS",IF(J1361&lt;=2,"?ACTIVATED",IF(J1361&lt;&gt;"","?FAMILIAR",IF(F1361="NEW",IF(ISNA(VLOOKUP(E1361,#REF!,1,FALSE())),"?TYPE_IDENTIFIABLE","?REFERENTIAL"),"_")))))</f>
        <v> </v>
      </c>
      <c r="H1361" s="24" t="str">
        <f>IF(J1361&lt;&gt;1,"",IF(I1361="SBJ","CB","?"))</f>
        <v> </v>
      </c>
      <c r="I1361" s="25" t="str">
        <f>IF(OR(E1361="",E1361="!!!",F1361="NEW"),"",INDEX(B1360:B$2,-1+SUMPRODUCT(MAX(ROW(E1360:E$2)*(E1361=E1360:E$2)))))</f>
        <v> </v>
      </c>
      <c r="J1361" s="25" t="str">
        <f>IF(OR(E1361="",E1361="!!!",F1361="NEW"),"",COUNTBLANK(OFFSET(A$1,,,SUMPRODUCT(MAX(ROW(E$2:E1361)*(E1361=E$2:E1361)))))-COUNTBLANK(OFFSET(A$1,,,SUMPRODUCT(MAX(ROW(E$1:E1360)*(E2=E$1:E1360))))))</f>
        <v> </v>
      </c>
      <c r="K1361" s="25" t="str">
        <f>IF(OR(E1361="",E1361="!!!",F1361="NEW"),"",INDEX(J$1:J1360,SUMPRODUCT(MAX(ROW(E$1:E1360)*(E1361=E$1:E1360)))))</f>
        <v> </v>
      </c>
      <c r="L1361" s="26"/>
    </row>
    <row r="1362" spans="1:12">
      <c r="A1362" s="20" t="s">
        <v>1110</v>
      </c>
      <c r="B1362" s="27" t="s">
        <v>577</v>
      </c>
      <c r="C1362" s="27" t="s">
        <v>477</v>
      </c>
      <c r="D1362" s="27" t="s">
        <v>478</v>
      </c>
      <c r="E1362" s="21">
        <f>IF(D1362="?OLD","!!!","")</f>
        <v/>
      </c>
      <c r="F1362" s="22" t="str">
        <f>IF(OR(E1362="",E1362="!!!"),"",IF(NOT(ISNA(VLOOKUP(E1362,E$1:E1361,1,FALSE()))),"OLD",IF(AND(E1362&lt;&gt;"",E1362&lt;&gt;"!!!"),"NEW","")))</f>
        <v> </v>
      </c>
      <c r="G1362" s="23" t="str">
        <f>IF(OR(E1362="",E1362="!!!"),"",IF(OR(J1362=0,AND(J1362=1,K1362=1),AND(J1362=1,I1362="SBJ"),AND(J1362=1,I1362=0)),"?IN_FOCUS",IF(J1362&lt;=2,"?ACTIVATED",IF(J1362&lt;&gt;"","?FAMILIAR",IF(F1362="NEW",IF(ISNA(VLOOKUP(E1362,#REF!,1,FALSE())),"?TYPE_IDENTIFIABLE","?REFERENTIAL"),"_")))))</f>
        <v> </v>
      </c>
      <c r="H1362" s="24" t="str">
        <f>IF(J1362&lt;&gt;1,"",IF(I1362="SBJ","CB","?"))</f>
        <v> </v>
      </c>
      <c r="I1362" s="25" t="str">
        <f>IF(OR(E1362="",E1362="!!!",F1362="NEW"),"",INDEX(B1361:B$2,-1+SUMPRODUCT(MAX(ROW(E1361:E$2)*(E1362=E1361:E$2)))))</f>
        <v> </v>
      </c>
      <c r="J1362" s="25" t="str">
        <f>IF(OR(E1362="",E1362="!!!",F1362="NEW"),"",COUNTBLANK(OFFSET(A$1,,,SUMPRODUCT(MAX(ROW(E$2:E1362)*(E1362=E$2:E1362)))))-COUNTBLANK(OFFSET(A$1,,,SUMPRODUCT(MAX(ROW(E$1:E1361)*(E2=E$1:E1361))))))</f>
        <v> </v>
      </c>
      <c r="K1362" s="25" t="str">
        <f>IF(OR(E1362="",E1362="!!!",F1362="NEW"),"",INDEX(J$1:J1361,SUMPRODUCT(MAX(ROW(E$1:E1361)*(E1362=E$1:E1361)))))</f>
        <v> </v>
      </c>
      <c r="L1362" s="26"/>
    </row>
    <row r="1363" spans="1:12">
      <c r="A1363" s="20" t="s">
        <v>44</v>
      </c>
      <c r="E1363" s="21">
        <f>IF(D1363="?OLD","!!!","")</f>
        <v/>
      </c>
      <c r="F1363" s="22" t="str">
        <f>IF(OR(E1363="",E1363="!!!"),"",IF(NOT(ISNA(VLOOKUP(E1363,E$1:E1362,1,FALSE()))),"OLD",IF(AND(E1363&lt;&gt;"",E1363&lt;&gt;"!!!"),"NEW","")))</f>
        <v> </v>
      </c>
      <c r="G1363" s="23" t="str">
        <f>IF(OR(E1363="",E1363="!!!"),"",IF(OR(J1363=0,AND(J1363=1,K1363=1),AND(J1363=1,I1363="SBJ"),AND(J1363=1,I1363=0)),"?IN_FOCUS",IF(J1363&lt;=2,"?ACTIVATED",IF(J1363&lt;&gt;"","?FAMILIAR",IF(F1363="NEW",IF(ISNA(VLOOKUP(E1363,#REF!,1,FALSE())),"?TYPE_IDENTIFIABLE","?REFERENTIAL"),"_")))))</f>
        <v> </v>
      </c>
      <c r="H1363" s="24" t="str">
        <f>IF(J1363&lt;&gt;1,"",IF(I1363="SBJ","CB","?"))</f>
        <v> </v>
      </c>
      <c r="I1363" s="25" t="str">
        <f>IF(OR(E1363="",E1363="!!!",F1363="NEW"),"",INDEX(B1362:B$2,-1+SUMPRODUCT(MAX(ROW(E1362:E$2)*(E1363=E1362:E$2)))))</f>
        <v> </v>
      </c>
      <c r="J1363" s="25" t="str">
        <f>IF(OR(E1363="",E1363="!!!",F1363="NEW"),"",COUNTBLANK(OFFSET(A$1,,,SUMPRODUCT(MAX(ROW(E$2:E1363)*(E1363=E$2:E1363)))))-COUNTBLANK(OFFSET(A$1,,,SUMPRODUCT(MAX(ROW(E$1:E1362)*(E2=E$1:E1362))))))</f>
        <v> </v>
      </c>
      <c r="K1363" s="25" t="str">
        <f>IF(OR(E1363="",E1363="!!!",F1363="NEW"),"",INDEX(J$1:J1362,SUMPRODUCT(MAX(ROW(E$1:E1362)*(E1363=E$1:E1362)))))</f>
        <v> </v>
      </c>
      <c r="L1363" s="26"/>
    </row>
    <row r="1364" spans="1:12">
      <c r="A1364" s="20" t="s">
        <v>789</v>
      </c>
      <c r="B1364" s="27" t="s">
        <v>577</v>
      </c>
      <c r="C1364" s="27" t="s">
        <v>477</v>
      </c>
      <c r="D1364" s="27" t="s">
        <v>478</v>
      </c>
      <c r="E1364" s="21">
        <f>IF(D1364="?OLD","!!!","")</f>
        <v/>
      </c>
      <c r="F1364" s="22" t="str">
        <f>IF(OR(E1364="",E1364="!!!"),"",IF(NOT(ISNA(VLOOKUP(E1364,E$1:E1363,1,FALSE()))),"OLD",IF(AND(E1364&lt;&gt;"",E1364&lt;&gt;"!!!"),"NEW","")))</f>
        <v> </v>
      </c>
      <c r="G1364" s="23" t="str">
        <f>IF(OR(E1364="",E1364="!!!"),"",IF(OR(J1364=0,AND(J1364=1,K1364=1),AND(J1364=1,I1364="SBJ"),AND(J1364=1,I1364=0)),"?IN_FOCUS",IF(J1364&lt;=2,"?ACTIVATED",IF(J1364&lt;&gt;"","?FAMILIAR",IF(F1364="NEW",IF(ISNA(VLOOKUP(E1364,#REF!,1,FALSE())),"?TYPE_IDENTIFIABLE","?REFERENTIAL"),"_")))))</f>
        <v> </v>
      </c>
      <c r="H1364" s="24" t="str">
        <f>IF(J1364&lt;&gt;1,"",IF(I1364="SBJ","CB","?"))</f>
        <v> </v>
      </c>
      <c r="I1364" s="25" t="str">
        <f>IF(OR(E1364="",E1364="!!!",F1364="NEW"),"",INDEX(B1363:B$2,-1+SUMPRODUCT(MAX(ROW(E1363:E$2)*(E1364=E1363:E$2)))))</f>
        <v> </v>
      </c>
      <c r="J1364" s="25" t="str">
        <f>IF(OR(E1364="",E1364="!!!",F1364="NEW"),"",COUNTBLANK(OFFSET(A$1,,,SUMPRODUCT(MAX(ROW(E$2:E1364)*(E1364=E$2:E1364)))))-COUNTBLANK(OFFSET(A$1,,,SUMPRODUCT(MAX(ROW(E$1:E1363)*(E2=E$1:E1363))))))</f>
        <v> </v>
      </c>
      <c r="K1364" s="25" t="str">
        <f>IF(OR(E1364="",E1364="!!!",F1364="NEW"),"",INDEX(J$1:J1363,SUMPRODUCT(MAX(ROW(E$1:E1363)*(E1364=E$1:E1363)))))</f>
        <v> </v>
      </c>
      <c r="L1364" s="26"/>
    </row>
    <row r="1365" spans="1:12">
      <c r="A1365" s="20" t="s">
        <v>576</v>
      </c>
      <c r="B1365" s="27" t="s">
        <v>577</v>
      </c>
      <c r="C1365" s="27" t="s">
        <v>477</v>
      </c>
      <c r="D1365" s="27" t="s">
        <v>478</v>
      </c>
      <c r="E1365" s="21">
        <f>IF(D1365="?OLD","!!!","")</f>
        <v/>
      </c>
      <c r="F1365" s="22" t="str">
        <f>IF(OR(E1365="",E1365="!!!"),"",IF(NOT(ISNA(VLOOKUP(E1365,E$1:E1364,1,FALSE()))),"OLD",IF(AND(E1365&lt;&gt;"",E1365&lt;&gt;"!!!"),"NEW","")))</f>
        <v> </v>
      </c>
      <c r="G1365" s="23" t="str">
        <f>IF(OR(E1365="",E1365="!!!"),"",IF(OR(J1365=0,AND(J1365=1,K1365=1),AND(J1365=1,I1365="SBJ"),AND(J1365=1,I1365=0)),"?IN_FOCUS",IF(J1365&lt;=2,"?ACTIVATED",IF(J1365&lt;&gt;"","?FAMILIAR",IF(F1365="NEW",IF(ISNA(VLOOKUP(E1365,#REF!,1,FALSE())),"?TYPE_IDENTIFIABLE","?REFERENTIAL"),"_")))))</f>
        <v> </v>
      </c>
      <c r="H1365" s="24" t="str">
        <f>IF(J1365&lt;&gt;1,"",IF(I1365="SBJ","CB","?"))</f>
        <v> </v>
      </c>
      <c r="I1365" s="25" t="str">
        <f>IF(OR(E1365="",E1365="!!!",F1365="NEW"),"",INDEX(B1364:B$2,-1+SUMPRODUCT(MAX(ROW(E1364:E$2)*(E1365=E1364:E$2)))))</f>
        <v> </v>
      </c>
      <c r="J1365" s="25" t="str">
        <f>IF(OR(E1365="",E1365="!!!",F1365="NEW"),"",COUNTBLANK(OFFSET(A$1,,,SUMPRODUCT(MAX(ROW(E$2:E1365)*(E1365=E$2:E1365)))))-COUNTBLANK(OFFSET(A$1,,,SUMPRODUCT(MAX(ROW(E$1:E1364)*(E2=E$1:E1364))))))</f>
        <v> </v>
      </c>
      <c r="K1365" s="25" t="str">
        <f>IF(OR(E1365="",E1365="!!!",F1365="NEW"),"",INDEX(J$1:J1364,SUMPRODUCT(MAX(ROW(E$1:E1364)*(E1365=E$1:E1364)))))</f>
        <v> </v>
      </c>
      <c r="L1365" s="26"/>
    </row>
    <row r="1366" spans="1:12">
      <c r="A1366" s="20" t="s">
        <v>253</v>
      </c>
      <c r="E1366" s="21">
        <f>IF(D1366="?OLD","!!!","")</f>
        <v/>
      </c>
      <c r="F1366" s="22" t="str">
        <f>IF(OR(E1366="",E1366="!!!"),"",IF(NOT(ISNA(VLOOKUP(E1366,E$1:E1365,1,FALSE()))),"OLD",IF(AND(E1366&lt;&gt;"",E1366&lt;&gt;"!!!"),"NEW","")))</f>
        <v> </v>
      </c>
      <c r="G1366" s="23" t="str">
        <f>IF(OR(E1366="",E1366="!!!"),"",IF(OR(J1366=0,AND(J1366=1,K1366=1),AND(J1366=1,I1366="SBJ"),AND(J1366=1,I1366=0)),"?IN_FOCUS",IF(J1366&lt;=2,"?ACTIVATED",IF(J1366&lt;&gt;"","?FAMILIAR",IF(F1366="NEW",IF(ISNA(VLOOKUP(E1366,#REF!,1,FALSE())),"?TYPE_IDENTIFIABLE","?REFERENTIAL"),"_")))))</f>
        <v> </v>
      </c>
      <c r="H1366" s="24" t="str">
        <f>IF(J1366&lt;&gt;1,"",IF(I1366="SBJ","CB","?"))</f>
        <v> </v>
      </c>
      <c r="I1366" s="25" t="str">
        <f>IF(OR(E1366="",E1366="!!!",F1366="NEW"),"",INDEX(B1365:B$2,-1+SUMPRODUCT(MAX(ROW(E1365:E$2)*(E1366=E1365:E$2)))))</f>
        <v> </v>
      </c>
      <c r="J1366" s="25" t="str">
        <f>IF(OR(E1366="",E1366="!!!",F1366="NEW"),"",COUNTBLANK(OFFSET(A$1,,,SUMPRODUCT(MAX(ROW(E$2:E1366)*(E1366=E$2:E1366)))))-COUNTBLANK(OFFSET(A$1,,,SUMPRODUCT(MAX(ROW(E$1:E1365)*(E2=E$1:E1365))))))</f>
        <v> </v>
      </c>
      <c r="K1366" s="25" t="str">
        <f>IF(OR(E1366="",E1366="!!!",F1366="NEW"),"",INDEX(J$1:J1365,SUMPRODUCT(MAX(ROW(E$1:E1365)*(E1366=E$1:E1365)))))</f>
        <v> </v>
      </c>
      <c r="L1366" s="26"/>
    </row>
    <row r="1367" spans="1:12">
      <c r="A1367" s="20"/>
    </row>
    <row r="1368" spans="1:12">
      <c r="A1368" s="20" t="s">
        <v>1111</v>
      </c>
    </row>
    <row r="1369" spans="1:12">
      <c r="A1369" s="20" t="s">
        <v>1112</v>
      </c>
      <c r="E1369" s="21">
        <f>IF(D1369="?OLD","!!!","")</f>
        <v/>
      </c>
      <c r="F1369" s="22" t="str">
        <f>IF(OR(E1369="",E1369="!!!"),"",IF(NOT(ISNA(VLOOKUP(E1369,E$1:E1368,1,FALSE()))),"OLD",IF(AND(E1369&lt;&gt;"",E1369&lt;&gt;"!!!"),"NEW","")))</f>
        <v> </v>
      </c>
      <c r="G1369" s="23" t="str">
        <f>IF(OR(E1369="",E1369="!!!"),"",IF(OR(J1369=0,AND(J1369=1,K1369=1),AND(J1369=1,I1369="SBJ"),AND(J1369=1,I1369=0)),"?IN_FOCUS",IF(J1369&lt;=2,"?ACTIVATED",IF(J1369&lt;&gt;"","?FAMILIAR",IF(F1369="NEW",IF(ISNA(VLOOKUP(E1369,#REF!,1,FALSE())),"?TYPE_IDENTIFIABLE","?REFERENTIAL"),"_")))))</f>
        <v> </v>
      </c>
      <c r="H1369" s="24" t="str">
        <f>IF(J1369&lt;&gt;1,"",IF(I1369="SBJ","CB","?"))</f>
        <v> </v>
      </c>
      <c r="I1369" s="25" t="str">
        <f>IF(OR(E1369="",E1369="!!!",F1369="NEW"),"",INDEX(B1368:B$2,-1+SUMPRODUCT(MAX(ROW(E1368:E$2)*(E1369=E1368:E$2)))))</f>
        <v> </v>
      </c>
      <c r="J1369" s="25" t="str">
        <f>IF(OR(E1369="",E1369="!!!",F1369="NEW"),"",COUNTBLANK(OFFSET(A$1,,,SUMPRODUCT(MAX(ROW(E$2:E1369)*(E1369=E$2:E1369)))))-COUNTBLANK(OFFSET(A$1,,,SUMPRODUCT(MAX(ROW(E$1:E1368)*(E2=E$1:E1368))))))</f>
        <v> </v>
      </c>
      <c r="K1369" s="25" t="str">
        <f>IF(OR(E1369="",E1369="!!!",F1369="NEW"),"",INDEX(J$1:J1368,SUMPRODUCT(MAX(ROW(E$1:E1368)*(E1369=E$1:E1368)))))</f>
        <v> </v>
      </c>
      <c r="L1369" s="26"/>
    </row>
    <row r="1370" spans="1:12">
      <c r="A1370" s="20" t="s">
        <v>482</v>
      </c>
      <c r="E1370" s="21">
        <f>IF(D1370="?OLD","!!!","")</f>
        <v/>
      </c>
      <c r="F1370" s="22" t="str">
        <f>IF(OR(E1370="",E1370="!!!"),"",IF(NOT(ISNA(VLOOKUP(E1370,E$1:E1369,1,FALSE()))),"OLD",IF(AND(E1370&lt;&gt;"",E1370&lt;&gt;"!!!"),"NEW","")))</f>
        <v> </v>
      </c>
      <c r="G1370" s="23" t="str">
        <f>IF(OR(E1370="",E1370="!!!"),"",IF(OR(J1370=0,AND(J1370=1,K1370=1),AND(J1370=1,I1370="SBJ"),AND(J1370=1,I1370=0)),"?IN_FOCUS",IF(J1370&lt;=2,"?ACTIVATED",IF(J1370&lt;&gt;"","?FAMILIAR",IF(F1370="NEW",IF(ISNA(VLOOKUP(E1370,#REF!,1,FALSE())),"?TYPE_IDENTIFIABLE","?REFERENTIAL"),"_")))))</f>
        <v> </v>
      </c>
      <c r="H1370" s="24" t="str">
        <f>IF(J1370&lt;&gt;1,"",IF(I1370="SBJ","CB","?"))</f>
        <v> </v>
      </c>
      <c r="I1370" s="25" t="str">
        <f>IF(OR(E1370="",E1370="!!!",F1370="NEW"),"",INDEX(B1369:B$2,-1+SUMPRODUCT(MAX(ROW(E1369:E$2)*(E1370=E1369:E$2)))))</f>
        <v> </v>
      </c>
      <c r="J1370" s="25" t="str">
        <f>IF(OR(E1370="",E1370="!!!",F1370="NEW"),"",COUNTBLANK(OFFSET(A$1,,,SUMPRODUCT(MAX(ROW(E$2:E1370)*(E1370=E$2:E1370)))))-COUNTBLANK(OFFSET(A$1,,,SUMPRODUCT(MAX(ROW(E$1:E1369)*(E2=E$1:E1369))))))</f>
        <v> </v>
      </c>
      <c r="K1370" s="25" t="str">
        <f>IF(OR(E1370="",E1370="!!!",F1370="NEW"),"",INDEX(J$1:J1369,SUMPRODUCT(MAX(ROW(E$1:E1369)*(E1370=E$1:E1369)))))</f>
        <v> </v>
      </c>
      <c r="L1370" s="26"/>
    </row>
    <row r="1371" spans="1:12">
      <c r="A1371" s="20" t="s">
        <v>1113</v>
      </c>
      <c r="E1371" s="21">
        <f>IF(D1371="?OLD","!!!","")</f>
        <v/>
      </c>
      <c r="F1371" s="22" t="str">
        <f>IF(OR(E1371="",E1371="!!!"),"",IF(NOT(ISNA(VLOOKUP(E1371,E$1:E1370,1,FALSE()))),"OLD",IF(AND(E1371&lt;&gt;"",E1371&lt;&gt;"!!!"),"NEW","")))</f>
        <v> </v>
      </c>
      <c r="G1371" s="23" t="str">
        <f>IF(OR(E1371="",E1371="!!!"),"",IF(OR(J1371=0,AND(J1371=1,K1371=1),AND(J1371=1,I1371="SBJ"),AND(J1371=1,I1371=0)),"?IN_FOCUS",IF(J1371&lt;=2,"?ACTIVATED",IF(J1371&lt;&gt;"","?FAMILIAR",IF(F1371="NEW",IF(ISNA(VLOOKUP(E1371,#REF!,1,FALSE())),"?TYPE_IDENTIFIABLE","?REFERENTIAL"),"_")))))</f>
        <v> </v>
      </c>
      <c r="H1371" s="24" t="str">
        <f>IF(J1371&lt;&gt;1,"",IF(I1371="SBJ","CB","?"))</f>
        <v> </v>
      </c>
      <c r="I1371" s="25" t="str">
        <f>IF(OR(E1371="",E1371="!!!",F1371="NEW"),"",INDEX(B1370:B$2,-1+SUMPRODUCT(MAX(ROW(E1370:E$2)*(E1371=E1370:E$2)))))</f>
        <v> </v>
      </c>
      <c r="J1371" s="25" t="str">
        <f>IF(OR(E1371="",E1371="!!!",F1371="NEW"),"",COUNTBLANK(OFFSET(A$1,,,SUMPRODUCT(MAX(ROW(E$2:E1371)*(E1371=E$2:E1371)))))-COUNTBLANK(OFFSET(A$1,,,SUMPRODUCT(MAX(ROW(E$1:E1370)*(E2=E$1:E1370))))))</f>
        <v> </v>
      </c>
      <c r="K1371" s="25" t="str">
        <f>IF(OR(E1371="",E1371="!!!",F1371="NEW"),"",INDEX(J$1:J1370,SUMPRODUCT(MAX(ROW(E$1:E1370)*(E1371=E$1:E1370)))))</f>
        <v> </v>
      </c>
      <c r="L1371" s="26"/>
    </row>
    <row r="1372" spans="1:12">
      <c r="A1372" s="20" t="s">
        <v>482</v>
      </c>
      <c r="E1372" s="21">
        <f>IF(D1372="?OLD","!!!","")</f>
        <v/>
      </c>
      <c r="F1372" s="22" t="str">
        <f>IF(OR(E1372="",E1372="!!!"),"",IF(NOT(ISNA(VLOOKUP(E1372,E$1:E1371,1,FALSE()))),"OLD",IF(AND(E1372&lt;&gt;"",E1372&lt;&gt;"!!!"),"NEW","")))</f>
        <v> </v>
      </c>
      <c r="G1372" s="23" t="str">
        <f>IF(OR(E1372="",E1372="!!!"),"",IF(OR(J1372=0,AND(J1372=1,K1372=1),AND(J1372=1,I1372="SBJ"),AND(J1372=1,I1372=0)),"?IN_FOCUS",IF(J1372&lt;=2,"?ACTIVATED",IF(J1372&lt;&gt;"","?FAMILIAR",IF(F1372="NEW",IF(ISNA(VLOOKUP(E1372,#REF!,1,FALSE())),"?TYPE_IDENTIFIABLE","?REFERENTIAL"),"_")))))</f>
        <v> </v>
      </c>
      <c r="H1372" s="24" t="str">
        <f>IF(J1372&lt;&gt;1,"",IF(I1372="SBJ","CB","?"))</f>
        <v> </v>
      </c>
      <c r="I1372" s="25" t="str">
        <f>IF(OR(E1372="",E1372="!!!",F1372="NEW"),"",INDEX(B1371:B$2,-1+SUMPRODUCT(MAX(ROW(E1371:E$2)*(E1372=E1371:E$2)))))</f>
        <v> </v>
      </c>
      <c r="J1372" s="25" t="str">
        <f>IF(OR(E1372="",E1372="!!!",F1372="NEW"),"",COUNTBLANK(OFFSET(A$1,,,SUMPRODUCT(MAX(ROW(E$2:E1372)*(E1372=E$2:E1372)))))-COUNTBLANK(OFFSET(A$1,,,SUMPRODUCT(MAX(ROW(E$1:E1371)*(E2=E$1:E1371))))))</f>
        <v> </v>
      </c>
      <c r="K1372" s="25" t="str">
        <f>IF(OR(E1372="",E1372="!!!",F1372="NEW"),"",INDEX(J$1:J1371,SUMPRODUCT(MAX(ROW(E$1:E1371)*(E1372=E$1:E1371)))))</f>
        <v> </v>
      </c>
      <c r="L1372" s="26"/>
    </row>
    <row r="1373" spans="1:12">
      <c r="A1373" s="20" t="s">
        <v>777</v>
      </c>
      <c r="E1373" s="21">
        <f>IF(D1373="?OLD","!!!","")</f>
        <v/>
      </c>
      <c r="F1373" s="22" t="str">
        <f>IF(OR(E1373="",E1373="!!!"),"",IF(NOT(ISNA(VLOOKUP(E1373,E$1:E1372,1,FALSE()))),"OLD",IF(AND(E1373&lt;&gt;"",E1373&lt;&gt;"!!!"),"NEW","")))</f>
        <v> </v>
      </c>
      <c r="G1373" s="23" t="str">
        <f>IF(OR(E1373="",E1373="!!!"),"",IF(OR(J1373=0,AND(J1373=1,K1373=1),AND(J1373=1,I1373="SBJ"),AND(J1373=1,I1373=0)),"?IN_FOCUS",IF(J1373&lt;=2,"?ACTIVATED",IF(J1373&lt;&gt;"","?FAMILIAR",IF(F1373="NEW",IF(ISNA(VLOOKUP(E1373,#REF!,1,FALSE())),"?TYPE_IDENTIFIABLE","?REFERENTIAL"),"_")))))</f>
        <v> </v>
      </c>
      <c r="H1373" s="24" t="str">
        <f>IF(J1373&lt;&gt;1,"",IF(I1373="SBJ","CB","?"))</f>
        <v> </v>
      </c>
      <c r="I1373" s="25" t="str">
        <f>IF(OR(E1373="",E1373="!!!",F1373="NEW"),"",INDEX(B1372:B$2,-1+SUMPRODUCT(MAX(ROW(E1372:E$2)*(E1373=E1372:E$2)))))</f>
        <v> </v>
      </c>
      <c r="J1373" s="25" t="str">
        <f>IF(OR(E1373="",E1373="!!!",F1373="NEW"),"",COUNTBLANK(OFFSET(A$1,,,SUMPRODUCT(MAX(ROW(E$2:E1373)*(E1373=E$2:E1373)))))-COUNTBLANK(OFFSET(A$1,,,SUMPRODUCT(MAX(ROW(E$1:E1372)*(E2=E$1:E1372))))))</f>
        <v> </v>
      </c>
      <c r="K1373" s="25" t="str">
        <f>IF(OR(E1373="",E1373="!!!",F1373="NEW"),"",INDEX(J$1:J1372,SUMPRODUCT(MAX(ROW(E$1:E1372)*(E1373=E$1:E1372)))))</f>
        <v> </v>
      </c>
      <c r="L1373" s="26"/>
    </row>
    <row r="1374" spans="1:12">
      <c r="A1374" s="20" t="s">
        <v>482</v>
      </c>
      <c r="E1374" s="21">
        <f>IF(D1374="?OLD","!!!","")</f>
        <v/>
      </c>
      <c r="F1374" s="22" t="str">
        <f>IF(OR(E1374="",E1374="!!!"),"",IF(NOT(ISNA(VLOOKUP(E1374,E$1:E1373,1,FALSE()))),"OLD",IF(AND(E1374&lt;&gt;"",E1374&lt;&gt;"!!!"),"NEW","")))</f>
        <v> </v>
      </c>
      <c r="G1374" s="23" t="str">
        <f>IF(OR(E1374="",E1374="!!!"),"",IF(OR(J1374=0,AND(J1374=1,K1374=1),AND(J1374=1,I1374="SBJ"),AND(J1374=1,I1374=0)),"?IN_FOCUS",IF(J1374&lt;=2,"?ACTIVATED",IF(J1374&lt;&gt;"","?FAMILIAR",IF(F1374="NEW",IF(ISNA(VLOOKUP(E1374,#REF!,1,FALSE())),"?TYPE_IDENTIFIABLE","?REFERENTIAL"),"_")))))</f>
        <v> </v>
      </c>
      <c r="H1374" s="24" t="str">
        <f>IF(J1374&lt;&gt;1,"",IF(I1374="SBJ","CB","?"))</f>
        <v> </v>
      </c>
      <c r="I1374" s="25" t="str">
        <f>IF(OR(E1374="",E1374="!!!",F1374="NEW"),"",INDEX(B1373:B$2,-1+SUMPRODUCT(MAX(ROW(E1373:E$2)*(E1374=E1373:E$2)))))</f>
        <v> </v>
      </c>
      <c r="J1374" s="25" t="str">
        <f>IF(OR(E1374="",E1374="!!!",F1374="NEW"),"",COUNTBLANK(OFFSET(A$1,,,SUMPRODUCT(MAX(ROW(E$2:E1374)*(E1374=E$2:E1374)))))-COUNTBLANK(OFFSET(A$1,,,SUMPRODUCT(MAX(ROW(E$1:E1373)*(E2=E$1:E1373))))))</f>
        <v> </v>
      </c>
      <c r="K1374" s="25" t="str">
        <f>IF(OR(E1374="",E1374="!!!",F1374="NEW"),"",INDEX(J$1:J1373,SUMPRODUCT(MAX(ROW(E$1:E1373)*(E1374=E$1:E1373)))))</f>
        <v> </v>
      </c>
      <c r="L1374" s="26"/>
    </row>
    <row r="1375" spans="1:12">
      <c r="A1375" s="20" t="s">
        <v>1114</v>
      </c>
      <c r="E1375" s="21">
        <f>IF(D1375="?OLD","!!!","")</f>
        <v/>
      </c>
      <c r="F1375" s="22" t="str">
        <f>IF(OR(E1375="",E1375="!!!"),"",IF(NOT(ISNA(VLOOKUP(E1375,E$1:E1374,1,FALSE()))),"OLD",IF(AND(E1375&lt;&gt;"",E1375&lt;&gt;"!!!"),"NEW","")))</f>
        <v> </v>
      </c>
      <c r="G1375" s="23" t="str">
        <f>IF(OR(E1375="",E1375="!!!"),"",IF(OR(J1375=0,AND(J1375=1,K1375=1),AND(J1375=1,I1375="SBJ"),AND(J1375=1,I1375=0)),"?IN_FOCUS",IF(J1375&lt;=2,"?ACTIVATED",IF(J1375&lt;&gt;"","?FAMILIAR",IF(F1375="NEW",IF(ISNA(VLOOKUP(E1375,#REF!,1,FALSE())),"?TYPE_IDENTIFIABLE","?REFERENTIAL"),"_")))))</f>
        <v> </v>
      </c>
      <c r="H1375" s="24" t="str">
        <f>IF(J1375&lt;&gt;1,"",IF(I1375="SBJ","CB","?"))</f>
        <v> </v>
      </c>
      <c r="I1375" s="25" t="str">
        <f>IF(OR(E1375="",E1375="!!!",F1375="NEW"),"",INDEX(B1374:B$2,-1+SUMPRODUCT(MAX(ROW(E1374:E$2)*(E1375=E1374:E$2)))))</f>
        <v> </v>
      </c>
      <c r="J1375" s="25" t="str">
        <f>IF(OR(E1375="",E1375="!!!",F1375="NEW"),"",COUNTBLANK(OFFSET(A$1,,,SUMPRODUCT(MAX(ROW(E$2:E1375)*(E1375=E$2:E1375)))))-COUNTBLANK(OFFSET(A$1,,,SUMPRODUCT(MAX(ROW(E$1:E1374)*(E2=E$1:E1374))))))</f>
        <v> </v>
      </c>
      <c r="K1375" s="25" t="str">
        <f>IF(OR(E1375="",E1375="!!!",F1375="NEW"),"",INDEX(J$1:J1374,SUMPRODUCT(MAX(ROW(E$1:E1374)*(E1375=E$1:E1374)))))</f>
        <v> </v>
      </c>
      <c r="L1375" s="26"/>
    </row>
    <row r="1376" spans="1:12">
      <c r="A1376" s="20" t="s">
        <v>482</v>
      </c>
      <c r="E1376" s="21">
        <f>IF(D1376="?OLD","!!!","")</f>
        <v/>
      </c>
      <c r="F1376" s="22" t="str">
        <f>IF(OR(E1376="",E1376="!!!"),"",IF(NOT(ISNA(VLOOKUP(E1376,E$1:E1375,1,FALSE()))),"OLD",IF(AND(E1376&lt;&gt;"",E1376&lt;&gt;"!!!"),"NEW","")))</f>
        <v> </v>
      </c>
      <c r="G1376" s="23" t="str">
        <f>IF(OR(E1376="",E1376="!!!"),"",IF(OR(J1376=0,AND(J1376=1,K1376=1),AND(J1376=1,I1376="SBJ"),AND(J1376=1,I1376=0)),"?IN_FOCUS",IF(J1376&lt;=2,"?ACTIVATED",IF(J1376&lt;&gt;"","?FAMILIAR",IF(F1376="NEW",IF(ISNA(VLOOKUP(E1376,#REF!,1,FALSE())),"?TYPE_IDENTIFIABLE","?REFERENTIAL"),"_")))))</f>
        <v> </v>
      </c>
      <c r="H1376" s="24" t="str">
        <f>IF(J1376&lt;&gt;1,"",IF(I1376="SBJ","CB","?"))</f>
        <v> </v>
      </c>
      <c r="I1376" s="25" t="str">
        <f>IF(OR(E1376="",E1376="!!!",F1376="NEW"),"",INDEX(B1375:B$2,-1+SUMPRODUCT(MAX(ROW(E1375:E$2)*(E1376=E1375:E$2)))))</f>
        <v> </v>
      </c>
      <c r="J1376" s="25" t="str">
        <f>IF(OR(E1376="",E1376="!!!",F1376="NEW"),"",COUNTBLANK(OFFSET(A$1,,,SUMPRODUCT(MAX(ROW(E$2:E1376)*(E1376=E$2:E1376)))))-COUNTBLANK(OFFSET(A$1,,,SUMPRODUCT(MAX(ROW(E$1:E1375)*(E2=E$1:E1375))))))</f>
        <v> </v>
      </c>
      <c r="K1376" s="25" t="str">
        <f>IF(OR(E1376="",E1376="!!!",F1376="NEW"),"",INDEX(J$1:J1375,SUMPRODUCT(MAX(ROW(E$1:E1375)*(E1376=E$1:E1375)))))</f>
        <v> </v>
      </c>
      <c r="L1376" s="26"/>
    </row>
    <row r="1377" spans="1:12">
      <c r="A1377" s="20" t="s">
        <v>1115</v>
      </c>
      <c r="E1377" s="21">
        <f>IF(D1377="?OLD","!!!","")</f>
        <v/>
      </c>
      <c r="F1377" s="22" t="str">
        <f>IF(OR(E1377="",E1377="!!!"),"",IF(NOT(ISNA(VLOOKUP(E1377,E$1:E1376,1,FALSE()))),"OLD",IF(AND(E1377&lt;&gt;"",E1377&lt;&gt;"!!!"),"NEW","")))</f>
        <v> </v>
      </c>
      <c r="G1377" s="23" t="str">
        <f>IF(OR(E1377="",E1377="!!!"),"",IF(OR(J1377=0,AND(J1377=1,K1377=1),AND(J1377=1,I1377="SBJ"),AND(J1377=1,I1377=0)),"?IN_FOCUS",IF(J1377&lt;=2,"?ACTIVATED",IF(J1377&lt;&gt;"","?FAMILIAR",IF(F1377="NEW",IF(ISNA(VLOOKUP(E1377,#REF!,1,FALSE())),"?TYPE_IDENTIFIABLE","?REFERENTIAL"),"_")))))</f>
        <v> </v>
      </c>
      <c r="H1377" s="24" t="str">
        <f>IF(J1377&lt;&gt;1,"",IF(I1377="SBJ","CB","?"))</f>
        <v> </v>
      </c>
      <c r="I1377" s="25" t="str">
        <f>IF(OR(E1377="",E1377="!!!",F1377="NEW"),"",INDEX(B1376:B$2,-1+SUMPRODUCT(MAX(ROW(E1376:E$2)*(E1377=E1376:E$2)))))</f>
        <v> </v>
      </c>
      <c r="J1377" s="25" t="str">
        <f>IF(OR(E1377="",E1377="!!!",F1377="NEW"),"",COUNTBLANK(OFFSET(A$1,,,SUMPRODUCT(MAX(ROW(E$2:E1377)*(E1377=E$2:E1377)))))-COUNTBLANK(OFFSET(A$1,,,SUMPRODUCT(MAX(ROW(E$1:E1376)*(E2=E$1:E1376))))))</f>
        <v> </v>
      </c>
      <c r="K1377" s="25" t="str">
        <f>IF(OR(E1377="",E1377="!!!",F1377="NEW"),"",INDEX(J$1:J1376,SUMPRODUCT(MAX(ROW(E$1:E1376)*(E1377=E$1:E1376)))))</f>
        <v> </v>
      </c>
      <c r="L1377" s="26"/>
    </row>
    <row r="1378" spans="1:12">
      <c r="A1378" s="20" t="s">
        <v>253</v>
      </c>
      <c r="E1378" s="21">
        <f>IF(D1378="?OLD","!!!","")</f>
        <v/>
      </c>
      <c r="F1378" s="22" t="str">
        <f>IF(OR(E1378="",E1378="!!!"),"",IF(NOT(ISNA(VLOOKUP(E1378,E$1:E1377,1,FALSE()))),"OLD",IF(AND(E1378&lt;&gt;"",E1378&lt;&gt;"!!!"),"NEW","")))</f>
        <v> </v>
      </c>
      <c r="G1378" s="23" t="str">
        <f>IF(OR(E1378="",E1378="!!!"),"",IF(OR(J1378=0,AND(J1378=1,K1378=1),AND(J1378=1,I1378="SBJ"),AND(J1378=1,I1378=0)),"?IN_FOCUS",IF(J1378&lt;=2,"?ACTIVATED",IF(J1378&lt;&gt;"","?FAMILIAR",IF(F1378="NEW",IF(ISNA(VLOOKUP(E1378,#REF!,1,FALSE())),"?TYPE_IDENTIFIABLE","?REFERENTIAL"),"_")))))</f>
        <v> </v>
      </c>
      <c r="H1378" s="24" t="str">
        <f>IF(J1378&lt;&gt;1,"",IF(I1378="SBJ","CB","?"))</f>
        <v> </v>
      </c>
      <c r="I1378" s="25" t="str">
        <f>IF(OR(E1378="",E1378="!!!",F1378="NEW"),"",INDEX(B1377:B$2,-1+SUMPRODUCT(MAX(ROW(E1377:E$2)*(E1378=E1377:E$2)))))</f>
        <v> </v>
      </c>
      <c r="J1378" s="25" t="str">
        <f>IF(OR(E1378="",E1378="!!!",F1378="NEW"),"",COUNTBLANK(OFFSET(A$1,,,SUMPRODUCT(MAX(ROW(E$2:E1378)*(E1378=E$2:E1378)))))-COUNTBLANK(OFFSET(A$1,,,SUMPRODUCT(MAX(ROW(E$1:E1377)*(E2=E$1:E1377))))))</f>
        <v> </v>
      </c>
      <c r="K1378" s="25" t="str">
        <f>IF(OR(E1378="",E1378="!!!",F1378="NEW"),"",INDEX(J$1:J1377,SUMPRODUCT(MAX(ROW(E$1:E1377)*(E1378=E$1:E1377)))))</f>
        <v> </v>
      </c>
      <c r="L1378" s="26"/>
    </row>
    <row r="1379" spans="1:12">
      <c r="A1379" s="20"/>
    </row>
    <row r="1380" spans="1:12">
      <c r="A1380" s="20" t="s">
        <v>1116</v>
      </c>
    </row>
    <row r="1381" spans="1:12">
      <c r="A1381" s="20" t="s">
        <v>714</v>
      </c>
      <c r="E1381" s="21">
        <f>IF(D1381="?OLD","!!!","")</f>
        <v/>
      </c>
      <c r="F1381" s="22" t="str">
        <f>IF(OR(E1381="",E1381="!!!"),"",IF(NOT(ISNA(VLOOKUP(E1381,E$1:E1380,1,FALSE()))),"OLD",IF(AND(E1381&lt;&gt;"",E1381&lt;&gt;"!!!"),"NEW","")))</f>
        <v> </v>
      </c>
      <c r="G1381" s="23" t="str">
        <f>IF(OR(E1381="",E1381="!!!"),"",IF(OR(J1381=0,AND(J1381=1,K1381=1),AND(J1381=1,I1381="SBJ"),AND(J1381=1,I1381=0)),"?IN_FOCUS",IF(J1381&lt;=2,"?ACTIVATED",IF(J1381&lt;&gt;"","?FAMILIAR",IF(F1381="NEW",IF(ISNA(VLOOKUP(E1381,#REF!,1,FALSE())),"?TYPE_IDENTIFIABLE","?REFERENTIAL"),"_")))))</f>
        <v> </v>
      </c>
      <c r="H1381" s="24" t="str">
        <f>IF(J1381&lt;&gt;1,"",IF(I1381="SBJ","CB","?"))</f>
        <v> </v>
      </c>
      <c r="I1381" s="25" t="str">
        <f>IF(OR(E1381="",E1381="!!!",F1381="NEW"),"",INDEX(B1380:B$2,-1+SUMPRODUCT(MAX(ROW(E1380:E$2)*(E1381=E1380:E$2)))))</f>
        <v> </v>
      </c>
      <c r="J1381" s="25" t="str">
        <f>IF(OR(E1381="",E1381="!!!",F1381="NEW"),"",COUNTBLANK(OFFSET(A$1,,,SUMPRODUCT(MAX(ROW(E$2:E1381)*(E1381=E$2:E1381)))))-COUNTBLANK(OFFSET(A$1,,,SUMPRODUCT(MAX(ROW(E$1:E1380)*(E2=E$1:E1380))))))</f>
        <v> </v>
      </c>
      <c r="K1381" s="25" t="str">
        <f>IF(OR(E1381="",E1381="!!!",F1381="NEW"),"",INDEX(J$1:J1380,SUMPRODUCT(MAX(ROW(E$1:E1380)*(E1381=E$1:E1380)))))</f>
        <v> </v>
      </c>
      <c r="L1381" s="26"/>
    </row>
    <row r="1382" spans="1:12">
      <c r="A1382" s="20" t="s">
        <v>482</v>
      </c>
      <c r="E1382" s="21">
        <f>IF(D1382="?OLD","!!!","")</f>
        <v/>
      </c>
      <c r="F1382" s="22" t="str">
        <f>IF(OR(E1382="",E1382="!!!"),"",IF(NOT(ISNA(VLOOKUP(E1382,E$1:E1381,1,FALSE()))),"OLD",IF(AND(E1382&lt;&gt;"",E1382&lt;&gt;"!!!"),"NEW","")))</f>
        <v> </v>
      </c>
      <c r="G1382" s="23" t="str">
        <f>IF(OR(E1382="",E1382="!!!"),"",IF(OR(J1382=0,AND(J1382=1,K1382=1),AND(J1382=1,I1382="SBJ"),AND(J1382=1,I1382=0)),"?IN_FOCUS",IF(J1382&lt;=2,"?ACTIVATED",IF(J1382&lt;&gt;"","?FAMILIAR",IF(F1382="NEW",IF(ISNA(VLOOKUP(E1382,#REF!,1,FALSE())),"?TYPE_IDENTIFIABLE","?REFERENTIAL"),"_")))))</f>
        <v> </v>
      </c>
      <c r="H1382" s="24" t="str">
        <f>IF(J1382&lt;&gt;1,"",IF(I1382="SBJ","CB","?"))</f>
        <v> </v>
      </c>
      <c r="I1382" s="25" t="str">
        <f>IF(OR(E1382="",E1382="!!!",F1382="NEW"),"",INDEX(B1381:B$2,-1+SUMPRODUCT(MAX(ROW(E1381:E$2)*(E1382=E1381:E$2)))))</f>
        <v> </v>
      </c>
      <c r="J1382" s="25" t="str">
        <f>IF(OR(E1382="",E1382="!!!",F1382="NEW"),"",COUNTBLANK(OFFSET(A$1,,,SUMPRODUCT(MAX(ROW(E$2:E1382)*(E1382=E$2:E1382)))))-COUNTBLANK(OFFSET(A$1,,,SUMPRODUCT(MAX(ROW(E$1:E1381)*(E2=E$1:E1381))))))</f>
        <v> </v>
      </c>
      <c r="K1382" s="25" t="str">
        <f>IF(OR(E1382="",E1382="!!!",F1382="NEW"),"",INDEX(J$1:J1381,SUMPRODUCT(MAX(ROW(E$1:E1381)*(E1382=E$1:E1381)))))</f>
        <v> </v>
      </c>
      <c r="L1382" s="26"/>
    </row>
    <row r="1383" spans="1:12">
      <c r="A1383" s="20" t="s">
        <v>1117</v>
      </c>
      <c r="E1383" s="21">
        <f>IF(D1383="?OLD","!!!","")</f>
        <v/>
      </c>
      <c r="F1383" s="22" t="str">
        <f>IF(OR(E1383="",E1383="!!!"),"",IF(NOT(ISNA(VLOOKUP(E1383,E$1:E1382,1,FALSE()))),"OLD",IF(AND(E1383&lt;&gt;"",E1383&lt;&gt;"!!!"),"NEW","")))</f>
        <v> </v>
      </c>
      <c r="G1383" s="23" t="str">
        <f>IF(OR(E1383="",E1383="!!!"),"",IF(OR(J1383=0,AND(J1383=1,K1383=1),AND(J1383=1,I1383="SBJ"),AND(J1383=1,I1383=0)),"?IN_FOCUS",IF(J1383&lt;=2,"?ACTIVATED",IF(J1383&lt;&gt;"","?FAMILIAR",IF(F1383="NEW",IF(ISNA(VLOOKUP(E1383,#REF!,1,FALSE())),"?TYPE_IDENTIFIABLE","?REFERENTIAL"),"_")))))</f>
        <v> </v>
      </c>
      <c r="H1383" s="24" t="str">
        <f>IF(J1383&lt;&gt;1,"",IF(I1383="SBJ","CB","?"))</f>
        <v> </v>
      </c>
      <c r="I1383" s="25" t="str">
        <f>IF(OR(E1383="",E1383="!!!",F1383="NEW"),"",INDEX(B1382:B$2,-1+SUMPRODUCT(MAX(ROW(E1382:E$2)*(E1383=E1382:E$2)))))</f>
        <v> </v>
      </c>
      <c r="J1383" s="25" t="str">
        <f>IF(OR(E1383="",E1383="!!!",F1383="NEW"),"",COUNTBLANK(OFFSET(A$1,,,SUMPRODUCT(MAX(ROW(E$2:E1383)*(E1383=E$2:E1383)))))-COUNTBLANK(OFFSET(A$1,,,SUMPRODUCT(MAX(ROW(E$1:E1382)*(E2=E$1:E1382))))))</f>
        <v> </v>
      </c>
      <c r="K1383" s="25" t="str">
        <f>IF(OR(E1383="",E1383="!!!",F1383="NEW"),"",INDEX(J$1:J1382,SUMPRODUCT(MAX(ROW(E$1:E1382)*(E1383=E$1:E1382)))))</f>
        <v> </v>
      </c>
      <c r="L1383" s="26"/>
    </row>
    <row r="1384" spans="1:12">
      <c r="A1384" s="20" t="s">
        <v>253</v>
      </c>
      <c r="E1384" s="21">
        <f>IF(D1384="?OLD","!!!","")</f>
        <v/>
      </c>
      <c r="F1384" s="22" t="str">
        <f>IF(OR(E1384="",E1384="!!!"),"",IF(NOT(ISNA(VLOOKUP(E1384,E$1:E1383,1,FALSE()))),"OLD",IF(AND(E1384&lt;&gt;"",E1384&lt;&gt;"!!!"),"NEW","")))</f>
        <v> </v>
      </c>
      <c r="G1384" s="23" t="str">
        <f>IF(OR(E1384="",E1384="!!!"),"",IF(OR(J1384=0,AND(J1384=1,K1384=1),AND(J1384=1,I1384="SBJ"),AND(J1384=1,I1384=0)),"?IN_FOCUS",IF(J1384&lt;=2,"?ACTIVATED",IF(J1384&lt;&gt;"","?FAMILIAR",IF(F1384="NEW",IF(ISNA(VLOOKUP(E1384,#REF!,1,FALSE())),"?TYPE_IDENTIFIABLE","?REFERENTIAL"),"_")))))</f>
        <v> </v>
      </c>
      <c r="H1384" s="24" t="str">
        <f>IF(J1384&lt;&gt;1,"",IF(I1384="SBJ","CB","?"))</f>
        <v> </v>
      </c>
      <c r="I1384" s="25" t="str">
        <f>IF(OR(E1384="",E1384="!!!",F1384="NEW"),"",INDEX(B1383:B$2,-1+SUMPRODUCT(MAX(ROW(E1383:E$2)*(E1384=E1383:E$2)))))</f>
        <v> </v>
      </c>
      <c r="J1384" s="25" t="str">
        <f>IF(OR(E1384="",E1384="!!!",F1384="NEW"),"",COUNTBLANK(OFFSET(A$1,,,SUMPRODUCT(MAX(ROW(E$2:E1384)*(E1384=E$2:E1384)))))-COUNTBLANK(OFFSET(A$1,,,SUMPRODUCT(MAX(ROW(E$1:E1383)*(E2=E$1:E1383))))))</f>
        <v> </v>
      </c>
      <c r="K1384" s="25" t="str">
        <f>IF(OR(E1384="",E1384="!!!",F1384="NEW"),"",INDEX(J$1:J1383,SUMPRODUCT(MAX(ROW(E$1:E1383)*(E1384=E$1:E1383)))))</f>
        <v> </v>
      </c>
      <c r="L1384" s="26"/>
    </row>
    <row r="1385" spans="1:12">
      <c r="A1385" s="20" t="s">
        <v>253</v>
      </c>
      <c r="E1385" s="21">
        <f>IF(D1385="?OLD","!!!","")</f>
        <v/>
      </c>
      <c r="F1385" s="22" t="str">
        <f>IF(OR(E1385="",E1385="!!!"),"",IF(NOT(ISNA(VLOOKUP(E1385,E$1:E1384,1,FALSE()))),"OLD",IF(AND(E1385&lt;&gt;"",E1385&lt;&gt;"!!!"),"NEW","")))</f>
        <v> </v>
      </c>
      <c r="G1385" s="23" t="str">
        <f>IF(OR(E1385="",E1385="!!!"),"",IF(OR(J1385=0,AND(J1385=1,K1385=1),AND(J1385=1,I1385="SBJ"),AND(J1385=1,I1385=0)),"?IN_FOCUS",IF(J1385&lt;=2,"?ACTIVATED",IF(J1385&lt;&gt;"","?FAMILIAR",IF(F1385="NEW",IF(ISNA(VLOOKUP(E1385,#REF!,1,FALSE())),"?TYPE_IDENTIFIABLE","?REFERENTIAL"),"_")))))</f>
        <v> </v>
      </c>
      <c r="H1385" s="24" t="str">
        <f>IF(J1385&lt;&gt;1,"",IF(I1385="SBJ","CB","?"))</f>
        <v> </v>
      </c>
      <c r="I1385" s="25" t="str">
        <f>IF(OR(E1385="",E1385="!!!",F1385="NEW"),"",INDEX(B1384:B$2,-1+SUMPRODUCT(MAX(ROW(E1384:E$2)*(E1385=E1384:E$2)))))</f>
        <v> </v>
      </c>
      <c r="J1385" s="25" t="str">
        <f>IF(OR(E1385="",E1385="!!!",F1385="NEW"),"",COUNTBLANK(OFFSET(A$1,,,SUMPRODUCT(MAX(ROW(E$2:E1385)*(E1385=E$2:E1385)))))-COUNTBLANK(OFFSET(A$1,,,SUMPRODUCT(MAX(ROW(E$1:E1384)*(E2=E$1:E1384))))))</f>
        <v> </v>
      </c>
      <c r="K1385" s="25" t="str">
        <f>IF(OR(E1385="",E1385="!!!",F1385="NEW"),"",INDEX(J$1:J1384,SUMPRODUCT(MAX(ROW(E$1:E1384)*(E1385=E$1:E1384)))))</f>
        <v> </v>
      </c>
      <c r="L1385" s="26"/>
    </row>
    <row r="1386" spans="1:12">
      <c r="A1386" s="20" t="s">
        <v>253</v>
      </c>
      <c r="E1386" s="21">
        <f>IF(D1386="?OLD","!!!","")</f>
        <v/>
      </c>
      <c r="F1386" s="22" t="str">
        <f>IF(OR(E1386="",E1386="!!!"),"",IF(NOT(ISNA(VLOOKUP(E1386,E$1:E1385,1,FALSE()))),"OLD",IF(AND(E1386&lt;&gt;"",E1386&lt;&gt;"!!!"),"NEW","")))</f>
        <v> </v>
      </c>
      <c r="G1386" s="23" t="str">
        <f>IF(OR(E1386="",E1386="!!!"),"",IF(OR(J1386=0,AND(J1386=1,K1386=1),AND(J1386=1,I1386="SBJ"),AND(J1386=1,I1386=0)),"?IN_FOCUS",IF(J1386&lt;=2,"?ACTIVATED",IF(J1386&lt;&gt;"","?FAMILIAR",IF(F1386="NEW",IF(ISNA(VLOOKUP(E1386,#REF!,1,FALSE())),"?TYPE_IDENTIFIABLE","?REFERENTIAL"),"_")))))</f>
        <v> </v>
      </c>
      <c r="H1386" s="24" t="str">
        <f>IF(J1386&lt;&gt;1,"",IF(I1386="SBJ","CB","?"))</f>
        <v> </v>
      </c>
      <c r="I1386" s="25" t="str">
        <f>IF(OR(E1386="",E1386="!!!",F1386="NEW"),"",INDEX(B1385:B$2,-1+SUMPRODUCT(MAX(ROW(E1385:E$2)*(E1386=E1385:E$2)))))</f>
        <v> </v>
      </c>
      <c r="J1386" s="25" t="str">
        <f>IF(OR(E1386="",E1386="!!!",F1386="NEW"),"",COUNTBLANK(OFFSET(A$1,,,SUMPRODUCT(MAX(ROW(E$2:E1386)*(E1386=E$2:E1386)))))-COUNTBLANK(OFFSET(A$1,,,SUMPRODUCT(MAX(ROW(E$1:E1385)*(E2=E$1:E1385))))))</f>
        <v> </v>
      </c>
      <c r="K1386" s="25" t="str">
        <f>IF(OR(E1386="",E1386="!!!",F1386="NEW"),"",INDEX(J$1:J1385,SUMPRODUCT(MAX(ROW(E$1:E1385)*(E1386=E$1:E1385)))))</f>
        <v> </v>
      </c>
      <c r="L1386" s="26"/>
    </row>
    <row r="1387" spans="1:12">
      <c r="A1387" s="20"/>
    </row>
    <row r="1388" spans="1:12">
      <c r="A1388" s="20" t="s">
        <v>1118</v>
      </c>
    </row>
    <row r="1389" spans="1:12">
      <c r="A1389" s="20" t="s">
        <v>606</v>
      </c>
      <c r="B1389" s="27" t="s">
        <v>476</v>
      </c>
      <c r="C1389" s="27" t="s">
        <v>477</v>
      </c>
      <c r="D1389" s="27" t="s">
        <v>478</v>
      </c>
      <c r="E1389" s="21">
        <f>IF(D1389="?OLD","!!!","")</f>
        <v/>
      </c>
      <c r="F1389" s="22" t="str">
        <f>IF(OR(E1389="",E1389="!!!"),"",IF(NOT(ISNA(VLOOKUP(E1389,E$1:E1388,1,FALSE()))),"OLD",IF(AND(E1389&lt;&gt;"",E1389&lt;&gt;"!!!"),"NEW","")))</f>
        <v> </v>
      </c>
      <c r="G1389" s="23" t="str">
        <f>IF(OR(E1389="",E1389="!!!"),"",IF(OR(J1389=0,AND(J1389=1,K1389=1),AND(J1389=1,I1389="SBJ"),AND(J1389=1,I1389=0)),"?IN_FOCUS",IF(J1389&lt;=2,"?ACTIVATED",IF(J1389&lt;&gt;"","?FAMILIAR",IF(F1389="NEW",IF(ISNA(VLOOKUP(E1389,#REF!,1,FALSE())),"?TYPE_IDENTIFIABLE","?REFERENTIAL"),"_")))))</f>
        <v> </v>
      </c>
      <c r="H1389" s="24" t="str">
        <f>IF(J1389&lt;&gt;1,"",IF(I1389="SBJ","CB","?"))</f>
        <v> </v>
      </c>
      <c r="I1389" s="25" t="str">
        <f>IF(OR(E1389="",E1389="!!!",F1389="NEW"),"",INDEX(B1388:B$2,-1+SUMPRODUCT(MAX(ROW(E1388:E$2)*(E1389=E1388:E$2)))))</f>
        <v> </v>
      </c>
      <c r="J1389" s="25" t="str">
        <f>IF(OR(E1389="",E1389="!!!",F1389="NEW"),"",COUNTBLANK(OFFSET(A$1,,,SUMPRODUCT(MAX(ROW(E$2:E1389)*(E1389=E$2:E1389)))))-COUNTBLANK(OFFSET(A$1,,,SUMPRODUCT(MAX(ROW(E$1:E1388)*(E2=E$1:E1388))))))</f>
        <v> </v>
      </c>
      <c r="K1389" s="25" t="str">
        <f>IF(OR(E1389="",E1389="!!!",F1389="NEW"),"",INDEX(J$1:J1388,SUMPRODUCT(MAX(ROW(E$1:E1388)*(E1389=E$1:E1388)))))</f>
        <v> </v>
      </c>
      <c r="L1389" s="26"/>
    </row>
    <row r="1390" spans="1:12">
      <c r="A1390" s="20" t="s">
        <v>1119</v>
      </c>
      <c r="E1390" s="21">
        <f>IF(D1390="?OLD","!!!","")</f>
        <v/>
      </c>
      <c r="F1390" s="22" t="str">
        <f>IF(OR(E1390="",E1390="!!!"),"",IF(NOT(ISNA(VLOOKUP(E1390,E$1:E1389,1,FALSE()))),"OLD",IF(AND(E1390&lt;&gt;"",E1390&lt;&gt;"!!!"),"NEW","")))</f>
        <v> </v>
      </c>
      <c r="G1390" s="23" t="str">
        <f>IF(OR(E1390="",E1390="!!!"),"",IF(OR(J1390=0,AND(J1390=1,K1390=1),AND(J1390=1,I1390="SBJ"),AND(J1390=1,I1390=0)),"?IN_FOCUS",IF(J1390&lt;=2,"?ACTIVATED",IF(J1390&lt;&gt;"","?FAMILIAR",IF(F1390="NEW",IF(ISNA(VLOOKUP(E1390,#REF!,1,FALSE())),"?TYPE_IDENTIFIABLE","?REFERENTIAL"),"_")))))</f>
        <v> </v>
      </c>
      <c r="H1390" s="24" t="str">
        <f>IF(J1390&lt;&gt;1,"",IF(I1390="SBJ","CB","?"))</f>
        <v> </v>
      </c>
      <c r="I1390" s="25" t="str">
        <f>IF(OR(E1390="",E1390="!!!",F1390="NEW"),"",INDEX(B1389:B$2,-1+SUMPRODUCT(MAX(ROW(E1389:E$2)*(E1390=E1389:E$2)))))</f>
        <v> </v>
      </c>
      <c r="J1390" s="25" t="str">
        <f>IF(OR(E1390="",E1390="!!!",F1390="NEW"),"",COUNTBLANK(OFFSET(A$1,,,SUMPRODUCT(MAX(ROW(E$2:E1390)*(E1390=E$2:E1390)))))-COUNTBLANK(OFFSET(A$1,,,SUMPRODUCT(MAX(ROW(E$1:E1389)*(E2=E$1:E1389))))))</f>
        <v> </v>
      </c>
      <c r="K1390" s="25" t="str">
        <f>IF(OR(E1390="",E1390="!!!",F1390="NEW"),"",INDEX(J$1:J1389,SUMPRODUCT(MAX(ROW(E$1:E1389)*(E1390=E$1:E1389)))))</f>
        <v> </v>
      </c>
      <c r="L1390" s="26"/>
    </row>
    <row r="1391" spans="1:12">
      <c r="A1391" s="20" t="s">
        <v>482</v>
      </c>
      <c r="E1391" s="21">
        <f>IF(D1391="?OLD","!!!","")</f>
        <v/>
      </c>
      <c r="F1391" s="22" t="str">
        <f>IF(OR(E1391="",E1391="!!!"),"",IF(NOT(ISNA(VLOOKUP(E1391,E$1:E1390,1,FALSE()))),"OLD",IF(AND(E1391&lt;&gt;"",E1391&lt;&gt;"!!!"),"NEW","")))</f>
        <v> </v>
      </c>
      <c r="G1391" s="23" t="str">
        <f>IF(OR(E1391="",E1391="!!!"),"",IF(OR(J1391=0,AND(J1391=1,K1391=1),AND(J1391=1,I1391="SBJ"),AND(J1391=1,I1391=0)),"?IN_FOCUS",IF(J1391&lt;=2,"?ACTIVATED",IF(J1391&lt;&gt;"","?FAMILIAR",IF(F1391="NEW",IF(ISNA(VLOOKUP(E1391,#REF!,1,FALSE())),"?TYPE_IDENTIFIABLE","?REFERENTIAL"),"_")))))</f>
        <v> </v>
      </c>
      <c r="H1391" s="24" t="str">
        <f>IF(J1391&lt;&gt;1,"",IF(I1391="SBJ","CB","?"))</f>
        <v> </v>
      </c>
      <c r="I1391" s="25" t="str">
        <f>IF(OR(E1391="",E1391="!!!",F1391="NEW"),"",INDEX(B1390:B$2,-1+SUMPRODUCT(MAX(ROW(E1390:E$2)*(E1391=E1390:E$2)))))</f>
        <v> </v>
      </c>
      <c r="J1391" s="25" t="str">
        <f>IF(OR(E1391="",E1391="!!!",F1391="NEW"),"",COUNTBLANK(OFFSET(A$1,,,SUMPRODUCT(MAX(ROW(E$2:E1391)*(E1391=E$2:E1391)))))-COUNTBLANK(OFFSET(A$1,,,SUMPRODUCT(MAX(ROW(E$1:E1390)*(E2=E$1:E1390))))))</f>
        <v> </v>
      </c>
      <c r="K1391" s="25" t="str">
        <f>IF(OR(E1391="",E1391="!!!",F1391="NEW"),"",INDEX(J$1:J1390,SUMPRODUCT(MAX(ROW(E$1:E1390)*(E1391=E$1:E1390)))))</f>
        <v> </v>
      </c>
      <c r="L1391" s="26"/>
    </row>
    <row r="1392" spans="1:12">
      <c r="A1392" s="20" t="s">
        <v>218</v>
      </c>
      <c r="B1392" s="27" t="s">
        <v>577</v>
      </c>
      <c r="C1392" s="27" t="s">
        <v>484</v>
      </c>
      <c r="E1392" s="21">
        <f>IF(D1392="?OLD","!!!","")</f>
        <v/>
      </c>
      <c r="F1392" s="22" t="str">
        <f>IF(OR(E1392="",E1392="!!!"),"",IF(NOT(ISNA(VLOOKUP(E1392,E$1:E1391,1,FALSE()))),"OLD",IF(AND(E1392&lt;&gt;"",E1392&lt;&gt;"!!!"),"NEW","")))</f>
        <v> </v>
      </c>
      <c r="G1392" s="23" t="str">
        <f>IF(OR(E1392="",E1392="!!!"),"",IF(OR(J1392=0,AND(J1392=1,K1392=1),AND(J1392=1,I1392="SBJ"),AND(J1392=1,I1392=0)),"?IN_FOCUS",IF(J1392&lt;=2,"?ACTIVATED",IF(J1392&lt;&gt;"","?FAMILIAR",IF(F1392="NEW",IF(ISNA(VLOOKUP(E1392,#REF!,1,FALSE())),"?TYPE_IDENTIFIABLE","?REFERENTIAL"),"_")))))</f>
        <v> </v>
      </c>
      <c r="H1392" s="24" t="str">
        <f>IF(J1392&lt;&gt;1,"",IF(I1392="SBJ","CB","?"))</f>
        <v> </v>
      </c>
      <c r="I1392" s="25" t="str">
        <f>IF(OR(E1392="",E1392="!!!",F1392="NEW"),"",INDEX(B1391:B$2,-1+SUMPRODUCT(MAX(ROW(E1391:E$2)*(E1392=E1391:E$2)))))</f>
        <v> </v>
      </c>
      <c r="J1392" s="25" t="str">
        <f>IF(OR(E1392="",E1392="!!!",F1392="NEW"),"",COUNTBLANK(OFFSET(A$1,,,SUMPRODUCT(MAX(ROW(E$2:E1392)*(E1392=E$2:E1392)))))-COUNTBLANK(OFFSET(A$1,,,SUMPRODUCT(MAX(ROW(E$1:E1391)*(E2=E$1:E1391))))))</f>
        <v> </v>
      </c>
      <c r="K1392" s="25" t="str">
        <f>IF(OR(E1392="",E1392="!!!",F1392="NEW"),"",INDEX(J$1:J1391,SUMPRODUCT(MAX(ROW(E$1:E1391)*(E1392=E$1:E1391)))))</f>
        <v> </v>
      </c>
      <c r="L1392" s="26"/>
    </row>
    <row r="1393" spans="1:12">
      <c r="A1393" s="20" t="s">
        <v>1120</v>
      </c>
      <c r="E1393" s="21">
        <f>IF(D1393="?OLD","!!!","")</f>
        <v/>
      </c>
      <c r="F1393" s="22" t="str">
        <f>IF(OR(E1393="",E1393="!!!"),"",IF(NOT(ISNA(VLOOKUP(E1393,E$1:E1392,1,FALSE()))),"OLD",IF(AND(E1393&lt;&gt;"",E1393&lt;&gt;"!!!"),"NEW","")))</f>
        <v> </v>
      </c>
      <c r="G1393" s="23" t="str">
        <f>IF(OR(E1393="",E1393="!!!"),"",IF(OR(J1393=0,AND(J1393=1,K1393=1),AND(J1393=1,I1393="SBJ"),AND(J1393=1,I1393=0)),"?IN_FOCUS",IF(J1393&lt;=2,"?ACTIVATED",IF(J1393&lt;&gt;"","?FAMILIAR",IF(F1393="NEW",IF(ISNA(VLOOKUP(E1393,#REF!,1,FALSE())),"?TYPE_IDENTIFIABLE","?REFERENTIAL"),"_")))))</f>
        <v> </v>
      </c>
      <c r="H1393" s="24" t="str">
        <f>IF(J1393&lt;&gt;1,"",IF(I1393="SBJ","CB","?"))</f>
        <v> </v>
      </c>
      <c r="I1393" s="25" t="str">
        <f>IF(OR(E1393="",E1393="!!!",F1393="NEW"),"",INDEX(B1392:B$2,-1+SUMPRODUCT(MAX(ROW(E1392:E$2)*(E1393=E1392:E$2)))))</f>
        <v> </v>
      </c>
      <c r="J1393" s="25" t="str">
        <f>IF(OR(E1393="",E1393="!!!",F1393="NEW"),"",COUNTBLANK(OFFSET(A$1,,,SUMPRODUCT(MAX(ROW(E$2:E1393)*(E1393=E$2:E1393)))))-COUNTBLANK(OFFSET(A$1,,,SUMPRODUCT(MAX(ROW(E$1:E1392)*(E2=E$1:E1392))))))</f>
        <v> </v>
      </c>
      <c r="K1393" s="25" t="str">
        <f>IF(OR(E1393="",E1393="!!!",F1393="NEW"),"",INDEX(J$1:J1392,SUMPRODUCT(MAX(ROW(E$1:E1392)*(E1393=E$1:E1392)))))</f>
        <v> </v>
      </c>
      <c r="L1393" s="26"/>
    </row>
    <row r="1394" spans="1:12">
      <c r="A1394" s="20" t="s">
        <v>1121</v>
      </c>
      <c r="B1394" s="27" t="s">
        <v>483</v>
      </c>
      <c r="E1394" s="21">
        <f>IF(D1394="?OLD","!!!","")</f>
        <v/>
      </c>
      <c r="F1394" s="22" t="str">
        <f>IF(OR(E1394="",E1394="!!!"),"",IF(NOT(ISNA(VLOOKUP(E1394,E$1:E1393,1,FALSE()))),"OLD",IF(AND(E1394&lt;&gt;"",E1394&lt;&gt;"!!!"),"NEW","")))</f>
        <v> </v>
      </c>
      <c r="G1394" s="23" t="str">
        <f>IF(OR(E1394="",E1394="!!!"),"",IF(OR(J1394=0,AND(J1394=1,K1394=1),AND(J1394=1,I1394="SBJ"),AND(J1394=1,I1394=0)),"?IN_FOCUS",IF(J1394&lt;=2,"?ACTIVATED",IF(J1394&lt;&gt;"","?FAMILIAR",IF(F1394="NEW",IF(ISNA(VLOOKUP(E1394,#REF!,1,FALSE())),"?TYPE_IDENTIFIABLE","?REFERENTIAL"),"_")))))</f>
        <v> </v>
      </c>
      <c r="H1394" s="24" t="str">
        <f>IF(J1394&lt;&gt;1,"",IF(I1394="SBJ","CB","?"))</f>
        <v> </v>
      </c>
      <c r="I1394" s="25" t="str">
        <f>IF(OR(E1394="",E1394="!!!",F1394="NEW"),"",INDEX(B1393:B$2,-1+SUMPRODUCT(MAX(ROW(E1393:E$2)*(E1394=E1393:E$2)))))</f>
        <v> </v>
      </c>
      <c r="J1394" s="25" t="str">
        <f>IF(OR(E1394="",E1394="!!!",F1394="NEW"),"",COUNTBLANK(OFFSET(A$1,,,SUMPRODUCT(MAX(ROW(E$2:E1394)*(E1394=E$2:E1394)))))-COUNTBLANK(OFFSET(A$1,,,SUMPRODUCT(MAX(ROW(E$1:E1393)*(E2=E$1:E1393))))))</f>
        <v> </v>
      </c>
      <c r="K1394" s="25" t="str">
        <f>IF(OR(E1394="",E1394="!!!",F1394="NEW"),"",INDEX(J$1:J1393,SUMPRODUCT(MAX(ROW(E$1:E1393)*(E1394=E$1:E1393)))))</f>
        <v> </v>
      </c>
      <c r="L1394" s="26"/>
    </row>
    <row r="1395" spans="1:12">
      <c r="A1395" s="20" t="s">
        <v>482</v>
      </c>
      <c r="E1395" s="21">
        <f>IF(D1395="?OLD","!!!","")</f>
        <v/>
      </c>
      <c r="F1395" s="22" t="str">
        <f>IF(OR(E1395="",E1395="!!!"),"",IF(NOT(ISNA(VLOOKUP(E1395,E$1:E1394,1,FALSE()))),"OLD",IF(AND(E1395&lt;&gt;"",E1395&lt;&gt;"!!!"),"NEW","")))</f>
        <v> </v>
      </c>
      <c r="G1395" s="23" t="str">
        <f>IF(OR(E1395="",E1395="!!!"),"",IF(OR(J1395=0,AND(J1395=1,K1395=1),AND(J1395=1,I1395="SBJ"),AND(J1395=1,I1395=0)),"?IN_FOCUS",IF(J1395&lt;=2,"?ACTIVATED",IF(J1395&lt;&gt;"","?FAMILIAR",IF(F1395="NEW",IF(ISNA(VLOOKUP(E1395,#REF!,1,FALSE())),"?TYPE_IDENTIFIABLE","?REFERENTIAL"),"_")))))</f>
        <v> </v>
      </c>
      <c r="H1395" s="24" t="str">
        <f>IF(J1395&lt;&gt;1,"",IF(I1395="SBJ","CB","?"))</f>
        <v> </v>
      </c>
      <c r="I1395" s="25" t="str">
        <f>IF(OR(E1395="",E1395="!!!",F1395="NEW"),"",INDEX(B1394:B$2,-1+SUMPRODUCT(MAX(ROW(E1394:E$2)*(E1395=E1394:E$2)))))</f>
        <v> </v>
      </c>
      <c r="J1395" s="25" t="str">
        <f>IF(OR(E1395="",E1395="!!!",F1395="NEW"),"",COUNTBLANK(OFFSET(A$1,,,SUMPRODUCT(MAX(ROW(E$2:E1395)*(E1395=E$2:E1395)))))-COUNTBLANK(OFFSET(A$1,,,SUMPRODUCT(MAX(ROW(E$1:E1394)*(E2=E$1:E1394))))))</f>
        <v> </v>
      </c>
      <c r="K1395" s="25" t="str">
        <f>IF(OR(E1395="",E1395="!!!",F1395="NEW"),"",INDEX(J$1:J1394,SUMPRODUCT(MAX(ROW(E$1:E1394)*(E1395=E$1:E1394)))))</f>
        <v> </v>
      </c>
      <c r="L1395" s="26"/>
    </row>
    <row r="1396" spans="1:12">
      <c r="A1396" s="20" t="s">
        <v>1122</v>
      </c>
      <c r="E1396" s="21">
        <f>IF(D1396="?OLD","!!!","")</f>
        <v/>
      </c>
      <c r="F1396" s="22" t="str">
        <f>IF(OR(E1396="",E1396="!!!"),"",IF(NOT(ISNA(VLOOKUP(E1396,E$1:E1395,1,FALSE()))),"OLD",IF(AND(E1396&lt;&gt;"",E1396&lt;&gt;"!!!"),"NEW","")))</f>
        <v> </v>
      </c>
      <c r="G1396" s="23" t="str">
        <f>IF(OR(E1396="",E1396="!!!"),"",IF(OR(J1396=0,AND(J1396=1,K1396=1),AND(J1396=1,I1396="SBJ"),AND(J1396=1,I1396=0)),"?IN_FOCUS",IF(J1396&lt;=2,"?ACTIVATED",IF(J1396&lt;&gt;"","?FAMILIAR",IF(F1396="NEW",IF(ISNA(VLOOKUP(E1396,#REF!,1,FALSE())),"?TYPE_IDENTIFIABLE","?REFERENTIAL"),"_")))))</f>
        <v> </v>
      </c>
      <c r="H1396" s="24" t="str">
        <f>IF(J1396&lt;&gt;1,"",IF(I1396="SBJ","CB","?"))</f>
        <v> </v>
      </c>
      <c r="I1396" s="25" t="str">
        <f>IF(OR(E1396="",E1396="!!!",F1396="NEW"),"",INDEX(B1395:B$2,-1+SUMPRODUCT(MAX(ROW(E1395:E$2)*(E1396=E1395:E$2)))))</f>
        <v> </v>
      </c>
      <c r="J1396" s="25" t="str">
        <f>IF(OR(E1396="",E1396="!!!",F1396="NEW"),"",COUNTBLANK(OFFSET(A$1,,,SUMPRODUCT(MAX(ROW(E$2:E1396)*(E1396=E$2:E1396)))))-COUNTBLANK(OFFSET(A$1,,,SUMPRODUCT(MAX(ROW(E$1:E1395)*(E2=E$1:E1395))))))</f>
        <v> </v>
      </c>
      <c r="K1396" s="25" t="str">
        <f>IF(OR(E1396="",E1396="!!!",F1396="NEW"),"",INDEX(J$1:J1395,SUMPRODUCT(MAX(ROW(E$1:E1395)*(E1396=E$1:E1395)))))</f>
        <v> </v>
      </c>
      <c r="L1396" s="26"/>
    </row>
    <row r="1397" spans="1:12">
      <c r="A1397" s="20" t="s">
        <v>724</v>
      </c>
      <c r="E1397" s="21">
        <f>IF(D1397="?OLD","!!!","")</f>
        <v/>
      </c>
      <c r="F1397" s="22" t="str">
        <f>IF(OR(E1397="",E1397="!!!"),"",IF(NOT(ISNA(VLOOKUP(E1397,E$1:E1396,1,FALSE()))),"OLD",IF(AND(E1397&lt;&gt;"",E1397&lt;&gt;"!!!"),"NEW","")))</f>
        <v> </v>
      </c>
      <c r="G1397" s="23" t="str">
        <f>IF(OR(E1397="",E1397="!!!"),"",IF(OR(J1397=0,AND(J1397=1,K1397=1),AND(J1397=1,I1397="SBJ"),AND(J1397=1,I1397=0)),"?IN_FOCUS",IF(J1397&lt;=2,"?ACTIVATED",IF(J1397&lt;&gt;"","?FAMILIAR",IF(F1397="NEW",IF(ISNA(VLOOKUP(E1397,#REF!,1,FALSE())),"?TYPE_IDENTIFIABLE","?REFERENTIAL"),"_")))))</f>
        <v> </v>
      </c>
      <c r="H1397" s="24" t="str">
        <f>IF(J1397&lt;&gt;1,"",IF(I1397="SBJ","CB","?"))</f>
        <v> </v>
      </c>
      <c r="I1397" s="25" t="str">
        <f>IF(OR(E1397="",E1397="!!!",F1397="NEW"),"",INDEX(B1396:B$2,-1+SUMPRODUCT(MAX(ROW(E1396:E$2)*(E1397=E1396:E$2)))))</f>
        <v> </v>
      </c>
      <c r="J1397" s="25" t="str">
        <f>IF(OR(E1397="",E1397="!!!",F1397="NEW"),"",COUNTBLANK(OFFSET(A$1,,,SUMPRODUCT(MAX(ROW(E$2:E1397)*(E1397=E$2:E1397)))))-COUNTBLANK(OFFSET(A$1,,,SUMPRODUCT(MAX(ROW(E$1:E1396)*(E2=E$1:E1396))))))</f>
        <v> </v>
      </c>
      <c r="K1397" s="25" t="str">
        <f>IF(OR(E1397="",E1397="!!!",F1397="NEW"),"",INDEX(J$1:J1396,SUMPRODUCT(MAX(ROW(E$1:E1396)*(E1397=E$1:E1396)))))</f>
        <v> </v>
      </c>
      <c r="L1397" s="26"/>
    </row>
    <row r="1398" spans="1:12">
      <c r="A1398" s="20" t="s">
        <v>728</v>
      </c>
      <c r="B1398" s="27" t="s">
        <v>511</v>
      </c>
      <c r="C1398" s="27" t="s">
        <v>497</v>
      </c>
      <c r="D1398" s="27" t="s">
        <v>478</v>
      </c>
      <c r="E1398" s="21">
        <f>IF(D1398="?OLD","!!!","")</f>
        <v/>
      </c>
      <c r="F1398" s="22" t="str">
        <f>IF(OR(E1398="",E1398="!!!"),"",IF(NOT(ISNA(VLOOKUP(E1398,E$1:E1397,1,FALSE()))),"OLD",IF(AND(E1398&lt;&gt;"",E1398&lt;&gt;"!!!"),"NEW","")))</f>
        <v> </v>
      </c>
      <c r="G1398" s="23" t="str">
        <f>IF(OR(E1398="",E1398="!!!"),"",IF(OR(J1398=0,AND(J1398=1,K1398=1),AND(J1398=1,I1398="SBJ"),AND(J1398=1,I1398=0)),"?IN_FOCUS",IF(J1398&lt;=2,"?ACTIVATED",IF(J1398&lt;&gt;"","?FAMILIAR",IF(F1398="NEW",IF(ISNA(VLOOKUP(E1398,#REF!,1,FALSE())),"?TYPE_IDENTIFIABLE","?REFERENTIAL"),"_")))))</f>
        <v> </v>
      </c>
      <c r="H1398" s="24" t="str">
        <f>IF(J1398&lt;&gt;1,"",IF(I1398="SBJ","CB","?"))</f>
        <v> </v>
      </c>
      <c r="I1398" s="25" t="str">
        <f>IF(OR(E1398="",E1398="!!!",F1398="NEW"),"",INDEX(B1397:B$2,-1+SUMPRODUCT(MAX(ROW(E1397:E$2)*(E1398=E1397:E$2)))))</f>
        <v> </v>
      </c>
      <c r="J1398" s="25" t="str">
        <f>IF(OR(E1398="",E1398="!!!",F1398="NEW"),"",COUNTBLANK(OFFSET(A$1,,,SUMPRODUCT(MAX(ROW(E$2:E1398)*(E1398=E$2:E1398)))))-COUNTBLANK(OFFSET(A$1,,,SUMPRODUCT(MAX(ROW(E$1:E1397)*(E2=E$1:E1397))))))</f>
        <v> </v>
      </c>
      <c r="K1398" s="25" t="str">
        <f>IF(OR(E1398="",E1398="!!!",F1398="NEW"),"",INDEX(J$1:J1397,SUMPRODUCT(MAX(ROW(E$1:E1397)*(E1398=E$1:E1397)))))</f>
        <v> </v>
      </c>
      <c r="L1398" s="26"/>
    </row>
    <row r="1399" spans="1:12">
      <c r="A1399" s="20" t="s">
        <v>253</v>
      </c>
      <c r="E1399" s="21">
        <f>IF(D1399="?OLD","!!!","")</f>
        <v/>
      </c>
      <c r="F1399" s="22" t="str">
        <f>IF(OR(E1399="",E1399="!!!"),"",IF(NOT(ISNA(VLOOKUP(E1399,E$1:E1398,1,FALSE()))),"OLD",IF(AND(E1399&lt;&gt;"",E1399&lt;&gt;"!!!"),"NEW","")))</f>
        <v> </v>
      </c>
      <c r="G1399" s="23" t="str">
        <f>IF(OR(E1399="",E1399="!!!"),"",IF(OR(J1399=0,AND(J1399=1,K1399=1),AND(J1399=1,I1399="SBJ"),AND(J1399=1,I1399=0)),"?IN_FOCUS",IF(J1399&lt;=2,"?ACTIVATED",IF(J1399&lt;&gt;"","?FAMILIAR",IF(F1399="NEW",IF(ISNA(VLOOKUP(E1399,#REF!,1,FALSE())),"?TYPE_IDENTIFIABLE","?REFERENTIAL"),"_")))))</f>
        <v> </v>
      </c>
      <c r="H1399" s="24" t="str">
        <f>IF(J1399&lt;&gt;1,"",IF(I1399="SBJ","CB","?"))</f>
        <v> </v>
      </c>
      <c r="I1399" s="25" t="str">
        <f>IF(OR(E1399="",E1399="!!!",F1399="NEW"),"",INDEX(B1398:B$2,-1+SUMPRODUCT(MAX(ROW(E1398:E$2)*(E1399=E1398:E$2)))))</f>
        <v> </v>
      </c>
      <c r="J1399" s="25" t="str">
        <f>IF(OR(E1399="",E1399="!!!",F1399="NEW"),"",COUNTBLANK(OFFSET(A$1,,,SUMPRODUCT(MAX(ROW(E$2:E1399)*(E1399=E$2:E1399)))))-COUNTBLANK(OFFSET(A$1,,,SUMPRODUCT(MAX(ROW(E$1:E1398)*(E2=E$1:E1398))))))</f>
        <v> </v>
      </c>
      <c r="K1399" s="25" t="str">
        <f>IF(OR(E1399="",E1399="!!!",F1399="NEW"),"",INDEX(J$1:J1398,SUMPRODUCT(MAX(ROW(E$1:E1398)*(E1399=E$1:E1398)))))</f>
        <v> </v>
      </c>
      <c r="L1399" s="26"/>
    </row>
    <row r="1400" spans="1:12">
      <c r="A1400" s="20"/>
    </row>
    <row r="1401" spans="1:12">
      <c r="A1401" s="20" t="s">
        <v>500</v>
      </c>
      <c r="E1401" s="21">
        <f>IF(D1401="?OLD","!!!","")</f>
        <v/>
      </c>
      <c r="F1401" s="22" t="str">
        <f>IF(OR(E1401="",E1401="!!!"),"",IF(NOT(ISNA(VLOOKUP(E1401,E$1:E1400,1,FALSE()))),"OLD",IF(AND(E1401&lt;&gt;"",E1401&lt;&gt;"!!!"),"NEW","")))</f>
        <v> </v>
      </c>
      <c r="G1401" s="23" t="str">
        <f>IF(OR(E1401="",E1401="!!!"),"",IF(OR(J1401=0,AND(J1401=1,K1401=1),AND(J1401=1,I1401="SBJ"),AND(J1401=1,I1401=0)),"?IN_FOCUS",IF(J1401&lt;=2,"?ACTIVATED",IF(J1401&lt;&gt;"","?FAMILIAR",IF(F1401="NEW",IF(ISNA(VLOOKUP(E1401,#REF!,1,FALSE())),"?TYPE_IDENTIFIABLE","?REFERENTIAL"),"_")))))</f>
        <v> </v>
      </c>
      <c r="H1401" s="24" t="str">
        <f>IF(J1401&lt;&gt;1,"",IF(I1401="SBJ","CB","?"))</f>
        <v> </v>
      </c>
      <c r="I1401" s="25" t="str">
        <f>IF(OR(E1401="",E1401="!!!",F1401="NEW"),"",INDEX(B1400:B$2,-1+SUMPRODUCT(MAX(ROW(E1400:E$2)*(E1401=E1400:E$2)))))</f>
        <v> </v>
      </c>
      <c r="J1401" s="25" t="str">
        <f>IF(OR(E1401="",E1401="!!!",F1401="NEW"),"",COUNTBLANK(OFFSET(A$1,,,SUMPRODUCT(MAX(ROW(E$2:E1401)*(E1401=E$2:E1401)))))-COUNTBLANK(OFFSET(A$1,,,SUMPRODUCT(MAX(ROW(E$1:E1400)*(E2=E$1:E1400))))))</f>
        <v> </v>
      </c>
      <c r="K1401" s="25" t="str">
        <f>IF(OR(E1401="",E1401="!!!",F1401="NEW"),"",INDEX(J$1:J1400,SUMPRODUCT(MAX(ROW(E$1:E1400)*(E1401=E$1:E1400)))))</f>
        <v> </v>
      </c>
      <c r="L1401" s="26"/>
    </row>
    <row r="1402" spans="1:12">
      <c r="A1402" s="20" t="s">
        <v>1123</v>
      </c>
    </row>
    <row r="1403" spans="1:12">
      <c r="A1403" s="20" t="s">
        <v>1124</v>
      </c>
      <c r="B1403" s="27" t="s">
        <v>476</v>
      </c>
      <c r="C1403" s="27" t="s">
        <v>477</v>
      </c>
      <c r="D1403" s="27" t="s">
        <v>478</v>
      </c>
      <c r="E1403" s="21">
        <f>IF(D1403="?OLD","!!!","")</f>
        <v/>
      </c>
      <c r="F1403" s="22" t="str">
        <f>IF(OR(E1403="",E1403="!!!"),"",IF(NOT(ISNA(VLOOKUP(E1403,E$1:E1402,1,FALSE()))),"OLD",IF(AND(E1403&lt;&gt;"",E1403&lt;&gt;"!!!"),"NEW","")))</f>
        <v> </v>
      </c>
      <c r="G1403" s="23" t="str">
        <f>IF(OR(E1403="",E1403="!!!"),"",IF(OR(J1403=0,AND(J1403=1,K1403=1),AND(J1403=1,I1403="SBJ"),AND(J1403=1,I1403=0)),"?IN_FOCUS",IF(J1403&lt;=2,"?ACTIVATED",IF(J1403&lt;&gt;"","?FAMILIAR",IF(F1403="NEW",IF(ISNA(VLOOKUP(E1403,#REF!,1,FALSE())),"?TYPE_IDENTIFIABLE","?REFERENTIAL"),"_")))))</f>
        <v> </v>
      </c>
      <c r="H1403" s="24" t="str">
        <f>IF(J1403&lt;&gt;1,"",IF(I1403="SBJ","CB","?"))</f>
        <v> </v>
      </c>
      <c r="I1403" s="25" t="str">
        <f>IF(OR(E1403="",E1403="!!!",F1403="NEW"),"",INDEX(B1402:B$2,-1+SUMPRODUCT(MAX(ROW(E1402:E$2)*(E1403=E1402:E$2)))))</f>
        <v> </v>
      </c>
      <c r="J1403" s="25" t="str">
        <f>IF(OR(E1403="",E1403="!!!",F1403="NEW"),"",COUNTBLANK(OFFSET(A$1,,,SUMPRODUCT(MAX(ROW(E$2:E1403)*(E1403=E$2:E1403)))))-COUNTBLANK(OFFSET(A$1,,,SUMPRODUCT(MAX(ROW(E$1:E1402)*(E2=E$1:E1402))))))</f>
        <v> </v>
      </c>
      <c r="K1403" s="25" t="str">
        <f>IF(OR(E1403="",E1403="!!!",F1403="NEW"),"",INDEX(J$1:J1402,SUMPRODUCT(MAX(ROW(E$1:E1402)*(E1403=E$1:E1402)))))</f>
        <v> </v>
      </c>
      <c r="L1403" s="26"/>
    </row>
    <row r="1404" spans="1:12">
      <c r="A1404" s="20" t="s">
        <v>1120</v>
      </c>
      <c r="E1404" s="21">
        <f>IF(D1404="?OLD","!!!","")</f>
        <v/>
      </c>
      <c r="F1404" s="22" t="str">
        <f>IF(OR(E1404="",E1404="!!!"),"",IF(NOT(ISNA(VLOOKUP(E1404,E$1:E1403,1,FALSE()))),"OLD",IF(AND(E1404&lt;&gt;"",E1404&lt;&gt;"!!!"),"NEW","")))</f>
        <v> </v>
      </c>
      <c r="G1404" s="23" t="str">
        <f>IF(OR(E1404="",E1404="!!!"),"",IF(OR(J1404=0,AND(J1404=1,K1404=1),AND(J1404=1,I1404="SBJ"),AND(J1404=1,I1404=0)),"?IN_FOCUS",IF(J1404&lt;=2,"?ACTIVATED",IF(J1404&lt;&gt;"","?FAMILIAR",IF(F1404="NEW",IF(ISNA(VLOOKUP(E1404,#REF!,1,FALSE())),"?TYPE_IDENTIFIABLE","?REFERENTIAL"),"_")))))</f>
        <v> </v>
      </c>
      <c r="H1404" s="24" t="str">
        <f>IF(J1404&lt;&gt;1,"",IF(I1404="SBJ","CB","?"))</f>
        <v> </v>
      </c>
      <c r="I1404" s="25" t="str">
        <f>IF(OR(E1404="",E1404="!!!",F1404="NEW"),"",INDEX(B1403:B$2,-1+SUMPRODUCT(MAX(ROW(E1403:E$2)*(E1404=E1403:E$2)))))</f>
        <v> </v>
      </c>
      <c r="J1404" s="25" t="str">
        <f>IF(OR(E1404="",E1404="!!!",F1404="NEW"),"",COUNTBLANK(OFFSET(A$1,,,SUMPRODUCT(MAX(ROW(E$2:E1404)*(E1404=E$2:E1404)))))-COUNTBLANK(OFFSET(A$1,,,SUMPRODUCT(MAX(ROW(E$1:E1403)*(E2=E$1:E1403))))))</f>
        <v> </v>
      </c>
      <c r="K1404" s="25" t="str">
        <f>IF(OR(E1404="",E1404="!!!",F1404="NEW"),"",INDEX(J$1:J1403,SUMPRODUCT(MAX(ROW(E$1:E1403)*(E1404=E$1:E1403)))))</f>
        <v> </v>
      </c>
      <c r="L1404" s="26"/>
    </row>
    <row r="1405" spans="1:12">
      <c r="A1405" s="20" t="s">
        <v>504</v>
      </c>
      <c r="E1405" s="21">
        <f>IF(D1405="?OLD","!!!","")</f>
        <v/>
      </c>
      <c r="F1405" s="22" t="str">
        <f>IF(OR(E1405="",E1405="!!!"),"",IF(NOT(ISNA(VLOOKUP(E1405,E$1:E1404,1,FALSE()))),"OLD",IF(AND(E1405&lt;&gt;"",E1405&lt;&gt;"!!!"),"NEW","")))</f>
        <v> </v>
      </c>
      <c r="G1405" s="23" t="str">
        <f>IF(OR(E1405="",E1405="!!!"),"",IF(OR(J1405=0,AND(J1405=1,K1405=1),AND(J1405=1,I1405="SBJ"),AND(J1405=1,I1405=0)),"?IN_FOCUS",IF(J1405&lt;=2,"?ACTIVATED",IF(J1405&lt;&gt;"","?FAMILIAR",IF(F1405="NEW",IF(ISNA(VLOOKUP(E1405,#REF!,1,FALSE())),"?TYPE_IDENTIFIABLE","?REFERENTIAL"),"_")))))</f>
        <v> </v>
      </c>
      <c r="H1405" s="24" t="str">
        <f>IF(J1405&lt;&gt;1,"",IF(I1405="SBJ","CB","?"))</f>
        <v> </v>
      </c>
      <c r="I1405" s="25" t="str">
        <f>IF(OR(E1405="",E1405="!!!",F1405="NEW"),"",INDEX(B1404:B$2,-1+SUMPRODUCT(MAX(ROW(E1404:E$2)*(E1405=E1404:E$2)))))</f>
        <v> </v>
      </c>
      <c r="J1405" s="25" t="str">
        <f>IF(OR(E1405="",E1405="!!!",F1405="NEW"),"",COUNTBLANK(OFFSET(A$1,,,SUMPRODUCT(MAX(ROW(E$2:E1405)*(E1405=E$2:E1405)))))-COUNTBLANK(OFFSET(A$1,,,SUMPRODUCT(MAX(ROW(E$1:E1404)*(E2=E$1:E1404))))))</f>
        <v> </v>
      </c>
      <c r="K1405" s="25" t="str">
        <f>IF(OR(E1405="",E1405="!!!",F1405="NEW"),"",INDEX(J$1:J1404,SUMPRODUCT(MAX(ROW(E$1:E1404)*(E1405=E$1:E1404)))))</f>
        <v> </v>
      </c>
      <c r="L1405" s="26"/>
    </row>
    <row r="1406" spans="1:12">
      <c r="A1406" s="20" t="s">
        <v>505</v>
      </c>
      <c r="E1406" s="21">
        <f>IF(D1406="?OLD","!!!","")</f>
        <v/>
      </c>
      <c r="F1406" s="22" t="str">
        <f>IF(OR(E1406="",E1406="!!!"),"",IF(NOT(ISNA(VLOOKUP(E1406,E$1:E1405,1,FALSE()))),"OLD",IF(AND(E1406&lt;&gt;"",E1406&lt;&gt;"!!!"),"NEW","")))</f>
        <v> </v>
      </c>
      <c r="G1406" s="23" t="str">
        <f>IF(OR(E1406="",E1406="!!!"),"",IF(OR(J1406=0,AND(J1406=1,K1406=1),AND(J1406=1,I1406="SBJ"),AND(J1406=1,I1406=0)),"?IN_FOCUS",IF(J1406&lt;=2,"?ACTIVATED",IF(J1406&lt;&gt;"","?FAMILIAR",IF(F1406="NEW",IF(ISNA(VLOOKUP(E1406,#REF!,1,FALSE())),"?TYPE_IDENTIFIABLE","?REFERENTIAL"),"_")))))</f>
        <v> </v>
      </c>
      <c r="H1406" s="24" t="str">
        <f>IF(J1406&lt;&gt;1,"",IF(I1406="SBJ","CB","?"))</f>
        <v> </v>
      </c>
      <c r="I1406" s="25" t="str">
        <f>IF(OR(E1406="",E1406="!!!",F1406="NEW"),"",INDEX(B1405:B$2,-1+SUMPRODUCT(MAX(ROW(E1405:E$2)*(E1406=E1405:E$2)))))</f>
        <v> </v>
      </c>
      <c r="J1406" s="25" t="str">
        <f>IF(OR(E1406="",E1406="!!!",F1406="NEW"),"",COUNTBLANK(OFFSET(A$1,,,SUMPRODUCT(MAX(ROW(E$2:E1406)*(E1406=E$2:E1406)))))-COUNTBLANK(OFFSET(A$1,,,SUMPRODUCT(MAX(ROW(E$1:E1405)*(E2=E$1:E1405))))))</f>
        <v> </v>
      </c>
      <c r="K1406" s="25" t="str">
        <f>IF(OR(E1406="",E1406="!!!",F1406="NEW"),"",INDEX(J$1:J1405,SUMPRODUCT(MAX(ROW(E$1:E1405)*(E1406=E$1:E1405)))))</f>
        <v> </v>
      </c>
      <c r="L1406" s="26"/>
    </row>
    <row r="1407" spans="1:12">
      <c r="A1407" s="20" t="s">
        <v>1125</v>
      </c>
      <c r="E1407" s="21">
        <f>IF(D1407="?OLD","!!!","")</f>
        <v/>
      </c>
      <c r="F1407" s="22" t="str">
        <f>IF(OR(E1407="",E1407="!!!"),"",IF(NOT(ISNA(VLOOKUP(E1407,E$1:E1406,1,FALSE()))),"OLD",IF(AND(E1407&lt;&gt;"",E1407&lt;&gt;"!!!"),"NEW","")))</f>
        <v> </v>
      </c>
      <c r="G1407" s="23" t="str">
        <f>IF(OR(E1407="",E1407="!!!"),"",IF(OR(J1407=0,AND(J1407=1,K1407=1),AND(J1407=1,I1407="SBJ"),AND(J1407=1,I1407=0)),"?IN_FOCUS",IF(J1407&lt;=2,"?ACTIVATED",IF(J1407&lt;&gt;"","?FAMILIAR",IF(F1407="NEW",IF(ISNA(VLOOKUP(E1407,#REF!,1,FALSE())),"?TYPE_IDENTIFIABLE","?REFERENTIAL"),"_")))))</f>
        <v> </v>
      </c>
      <c r="H1407" s="24" t="str">
        <f>IF(J1407&lt;&gt;1,"",IF(I1407="SBJ","CB","?"))</f>
        <v> </v>
      </c>
      <c r="I1407" s="25" t="str">
        <f>IF(OR(E1407="",E1407="!!!",F1407="NEW"),"",INDEX(B1406:B$2,-1+SUMPRODUCT(MAX(ROW(E1406:E$2)*(E1407=E1406:E$2)))))</f>
        <v> </v>
      </c>
      <c r="J1407" s="25" t="str">
        <f>IF(OR(E1407="",E1407="!!!",F1407="NEW"),"",COUNTBLANK(OFFSET(A$1,,,SUMPRODUCT(MAX(ROW(E$2:E1407)*(E1407=E$2:E1407)))))-COUNTBLANK(OFFSET(A$1,,,SUMPRODUCT(MAX(ROW(E$1:E1406)*(E2=E$1:E1406))))))</f>
        <v> </v>
      </c>
      <c r="K1407" s="25" t="str">
        <f>IF(OR(E1407="",E1407="!!!",F1407="NEW"),"",INDEX(J$1:J1406,SUMPRODUCT(MAX(ROW(E$1:E1406)*(E1407=E$1:E1406)))))</f>
        <v> </v>
      </c>
      <c r="L1407" s="26"/>
    </row>
    <row r="1408" spans="1:12">
      <c r="A1408" s="20" t="s">
        <v>482</v>
      </c>
      <c r="E1408" s="21">
        <f>IF(D1408="?OLD","!!!","")</f>
        <v/>
      </c>
      <c r="F1408" s="22" t="str">
        <f>IF(OR(E1408="",E1408="!!!"),"",IF(NOT(ISNA(VLOOKUP(E1408,E$1:E1407,1,FALSE()))),"OLD",IF(AND(E1408&lt;&gt;"",E1408&lt;&gt;"!!!"),"NEW","")))</f>
        <v> </v>
      </c>
      <c r="G1408" s="23" t="str">
        <f>IF(OR(E1408="",E1408="!!!"),"",IF(OR(J1408=0,AND(J1408=1,K1408=1),AND(J1408=1,I1408="SBJ"),AND(J1408=1,I1408=0)),"?IN_FOCUS",IF(J1408&lt;=2,"?ACTIVATED",IF(J1408&lt;&gt;"","?FAMILIAR",IF(F1408="NEW",IF(ISNA(VLOOKUP(E1408,#REF!,1,FALSE())),"?TYPE_IDENTIFIABLE","?REFERENTIAL"),"_")))))</f>
        <v> </v>
      </c>
      <c r="H1408" s="24" t="str">
        <f>IF(J1408&lt;&gt;1,"",IF(I1408="SBJ","CB","?"))</f>
        <v> </v>
      </c>
      <c r="I1408" s="25" t="str">
        <f>IF(OR(E1408="",E1408="!!!",F1408="NEW"),"",INDEX(B1407:B$2,-1+SUMPRODUCT(MAX(ROW(E1407:E$2)*(E1408=E1407:E$2)))))</f>
        <v> </v>
      </c>
      <c r="J1408" s="25" t="str">
        <f>IF(OR(E1408="",E1408="!!!",F1408="NEW"),"",COUNTBLANK(OFFSET(A$1,,,SUMPRODUCT(MAX(ROW(E$2:E1408)*(E1408=E$2:E1408)))))-COUNTBLANK(OFFSET(A$1,,,SUMPRODUCT(MAX(ROW(E$1:E1407)*(E2=E$1:E1407))))))</f>
        <v> </v>
      </c>
      <c r="K1408" s="25" t="str">
        <f>IF(OR(E1408="",E1408="!!!",F1408="NEW"),"",INDEX(J$1:J1407,SUMPRODUCT(MAX(ROW(E$1:E1407)*(E1408=E$1:E1407)))))</f>
        <v> </v>
      </c>
      <c r="L1408" s="26"/>
    </row>
    <row r="1409" spans="1:12">
      <c r="A1409" s="20" t="s">
        <v>583</v>
      </c>
      <c r="B1409" s="27" t="s">
        <v>483</v>
      </c>
      <c r="C1409" s="27" t="s">
        <v>477</v>
      </c>
      <c r="D1409" s="27" t="s">
        <v>478</v>
      </c>
      <c r="E1409" s="21">
        <f>IF(D1409="?OLD","!!!","")</f>
        <v/>
      </c>
      <c r="F1409" s="22" t="str">
        <f>IF(OR(E1409="",E1409="!!!"),"",IF(NOT(ISNA(VLOOKUP(E1409,E$1:E1408,1,FALSE()))),"OLD",IF(AND(E1409&lt;&gt;"",E1409&lt;&gt;"!!!"),"NEW","")))</f>
        <v> </v>
      </c>
      <c r="G1409" s="23" t="str">
        <f>IF(OR(E1409="",E1409="!!!"),"",IF(OR(J1409=0,AND(J1409=1,K1409=1),AND(J1409=1,I1409="SBJ"),AND(J1409=1,I1409=0)),"?IN_FOCUS",IF(J1409&lt;=2,"?ACTIVATED",IF(J1409&lt;&gt;"","?FAMILIAR",IF(F1409="NEW",IF(ISNA(VLOOKUP(E1409,#REF!,1,FALSE())),"?TYPE_IDENTIFIABLE","?REFERENTIAL"),"_")))))</f>
        <v> </v>
      </c>
      <c r="H1409" s="24" t="str">
        <f>IF(J1409&lt;&gt;1,"",IF(I1409="SBJ","CB","?"))</f>
        <v> </v>
      </c>
      <c r="I1409" s="25" t="str">
        <f>IF(OR(E1409="",E1409="!!!",F1409="NEW"),"",INDEX(B1408:B$2,-1+SUMPRODUCT(MAX(ROW(E1408:E$2)*(E1409=E1408:E$2)))))</f>
        <v> </v>
      </c>
      <c r="J1409" s="25" t="str">
        <f>IF(OR(E1409="",E1409="!!!",F1409="NEW"),"",COUNTBLANK(OFFSET(A$1,,,SUMPRODUCT(MAX(ROW(E$2:E1409)*(E1409=E$2:E1409)))))-COUNTBLANK(OFFSET(A$1,,,SUMPRODUCT(MAX(ROW(E$1:E1408)*(E2=E$1:E1408))))))</f>
        <v> </v>
      </c>
      <c r="K1409" s="25" t="str">
        <f>IF(OR(E1409="",E1409="!!!",F1409="NEW"),"",INDEX(J$1:J1408,SUMPRODUCT(MAX(ROW(E$1:E1408)*(E1409=E$1:E1408)))))</f>
        <v> </v>
      </c>
      <c r="L1409" s="26"/>
    </row>
    <row r="1410" spans="1:12">
      <c r="A1410" s="20" t="s">
        <v>773</v>
      </c>
      <c r="E1410" s="21">
        <f>IF(D1410="?OLD","!!!","")</f>
        <v/>
      </c>
      <c r="F1410" s="22" t="str">
        <f>IF(OR(E1410="",E1410="!!!"),"",IF(NOT(ISNA(VLOOKUP(E1410,E$1:E1409,1,FALSE()))),"OLD",IF(AND(E1410&lt;&gt;"",E1410&lt;&gt;"!!!"),"NEW","")))</f>
        <v> </v>
      </c>
      <c r="G1410" s="23" t="str">
        <f>IF(OR(E1410="",E1410="!!!"),"",IF(OR(J1410=0,AND(J1410=1,K1410=1),AND(J1410=1,I1410="SBJ"),AND(J1410=1,I1410=0)),"?IN_FOCUS",IF(J1410&lt;=2,"?ACTIVATED",IF(J1410&lt;&gt;"","?FAMILIAR",IF(F1410="NEW",IF(ISNA(VLOOKUP(E1410,#REF!,1,FALSE())),"?TYPE_IDENTIFIABLE","?REFERENTIAL"),"_")))))</f>
        <v> </v>
      </c>
      <c r="H1410" s="24" t="str">
        <f>IF(J1410&lt;&gt;1,"",IF(I1410="SBJ","CB","?"))</f>
        <v> </v>
      </c>
      <c r="I1410" s="25" t="str">
        <f>IF(OR(E1410="",E1410="!!!",F1410="NEW"),"",INDEX(B1409:B$2,-1+SUMPRODUCT(MAX(ROW(E1409:E$2)*(E1410=E1409:E$2)))))</f>
        <v> </v>
      </c>
      <c r="J1410" s="25" t="str">
        <f>IF(OR(E1410="",E1410="!!!",F1410="NEW"),"",COUNTBLANK(OFFSET(A$1,,,SUMPRODUCT(MAX(ROW(E$2:E1410)*(E1410=E$2:E1410)))))-COUNTBLANK(OFFSET(A$1,,,SUMPRODUCT(MAX(ROW(E$1:E1409)*(E2=E$1:E1409))))))</f>
        <v> </v>
      </c>
      <c r="K1410" s="25" t="str">
        <f>IF(OR(E1410="",E1410="!!!",F1410="NEW"),"",INDEX(J$1:J1409,SUMPRODUCT(MAX(ROW(E$1:E1409)*(E1410=E$1:E1409)))))</f>
        <v> </v>
      </c>
      <c r="L1410" s="26"/>
    </row>
    <row r="1411" spans="1:12">
      <c r="A1411" s="20" t="s">
        <v>493</v>
      </c>
      <c r="E1411" s="21">
        <f>IF(D1411="?OLD","!!!","")</f>
        <v/>
      </c>
      <c r="F1411" s="22" t="str">
        <f>IF(OR(E1411="",E1411="!!!"),"",IF(NOT(ISNA(VLOOKUP(E1411,E$1:E1410,1,FALSE()))),"OLD",IF(AND(E1411&lt;&gt;"",E1411&lt;&gt;"!!!"),"NEW","")))</f>
        <v> </v>
      </c>
      <c r="G1411" s="23" t="str">
        <f>IF(OR(E1411="",E1411="!!!"),"",IF(OR(J1411=0,AND(J1411=1,K1411=1),AND(J1411=1,I1411="SBJ"),AND(J1411=1,I1411=0)),"?IN_FOCUS",IF(J1411&lt;=2,"?ACTIVATED",IF(J1411&lt;&gt;"","?FAMILIAR",IF(F1411="NEW",IF(ISNA(VLOOKUP(E1411,#REF!,1,FALSE())),"?TYPE_IDENTIFIABLE","?REFERENTIAL"),"_")))))</f>
        <v> </v>
      </c>
      <c r="H1411" s="24" t="str">
        <f>IF(J1411&lt;&gt;1,"",IF(I1411="SBJ","CB","?"))</f>
        <v> </v>
      </c>
      <c r="I1411" s="25" t="str">
        <f>IF(OR(E1411="",E1411="!!!",F1411="NEW"),"",INDEX(B1410:B$2,-1+SUMPRODUCT(MAX(ROW(E1410:E$2)*(E1411=E1410:E$2)))))</f>
        <v> </v>
      </c>
      <c r="J1411" s="25" t="str">
        <f>IF(OR(E1411="",E1411="!!!",F1411="NEW"),"",COUNTBLANK(OFFSET(A$1,,,SUMPRODUCT(MAX(ROW(E$2:E1411)*(E1411=E$2:E1411)))))-COUNTBLANK(OFFSET(A$1,,,SUMPRODUCT(MAX(ROW(E$1:E1410)*(E2=E$1:E1410))))))</f>
        <v> </v>
      </c>
      <c r="K1411" s="25" t="str">
        <f>IF(OR(E1411="",E1411="!!!",F1411="NEW"),"",INDEX(J$1:J1410,SUMPRODUCT(MAX(ROW(E$1:E1410)*(E1411=E$1:E1410)))))</f>
        <v> </v>
      </c>
      <c r="L1411" s="26"/>
    </row>
    <row r="1412" spans="1:12">
      <c r="A1412" s="20" t="s">
        <v>1126</v>
      </c>
      <c r="E1412" s="21">
        <f>IF(D1412="?OLD","!!!","")</f>
        <v/>
      </c>
      <c r="F1412" s="22" t="str">
        <f>IF(OR(E1412="",E1412="!!!"),"",IF(NOT(ISNA(VLOOKUP(E1412,E$1:E1411,1,FALSE()))),"OLD",IF(AND(E1412&lt;&gt;"",E1412&lt;&gt;"!!!"),"NEW","")))</f>
        <v> </v>
      </c>
      <c r="G1412" s="23" t="str">
        <f>IF(OR(E1412="",E1412="!!!"),"",IF(OR(J1412=0,AND(J1412=1,K1412=1),AND(J1412=1,I1412="SBJ"),AND(J1412=1,I1412=0)),"?IN_FOCUS",IF(J1412&lt;=2,"?ACTIVATED",IF(J1412&lt;&gt;"","?FAMILIAR",IF(F1412="NEW",IF(ISNA(VLOOKUP(E1412,#REF!,1,FALSE())),"?TYPE_IDENTIFIABLE","?REFERENTIAL"),"_")))))</f>
        <v> </v>
      </c>
      <c r="H1412" s="24" t="str">
        <f>IF(J1412&lt;&gt;1,"",IF(I1412="SBJ","CB","?"))</f>
        <v> </v>
      </c>
      <c r="I1412" s="25" t="str">
        <f>IF(OR(E1412="",E1412="!!!",F1412="NEW"),"",INDEX(B1411:B$2,-1+SUMPRODUCT(MAX(ROW(E1411:E$2)*(E1412=E1411:E$2)))))</f>
        <v> </v>
      </c>
      <c r="J1412" s="25" t="str">
        <f>IF(OR(E1412="",E1412="!!!",F1412="NEW"),"",COUNTBLANK(OFFSET(A$1,,,SUMPRODUCT(MAX(ROW(E$2:E1412)*(E1412=E$2:E1412)))))-COUNTBLANK(OFFSET(A$1,,,SUMPRODUCT(MAX(ROW(E$1:E1411)*(E2=E$1:E1411))))))</f>
        <v> </v>
      </c>
      <c r="K1412" s="25" t="str">
        <f>IF(OR(E1412="",E1412="!!!",F1412="NEW"),"",INDEX(J$1:J1411,SUMPRODUCT(MAX(ROW(E$1:E1411)*(E1412=E$1:E1411)))))</f>
        <v> </v>
      </c>
      <c r="L1412" s="26"/>
    </row>
    <row r="1413" spans="1:12">
      <c r="A1413" s="20" t="s">
        <v>1127</v>
      </c>
      <c r="E1413" s="21">
        <f>IF(D1413="?OLD","!!!","")</f>
        <v/>
      </c>
      <c r="F1413" s="22" t="str">
        <f>IF(OR(E1413="",E1413="!!!"),"",IF(NOT(ISNA(VLOOKUP(E1413,E$1:E1412,1,FALSE()))),"OLD",IF(AND(E1413&lt;&gt;"",E1413&lt;&gt;"!!!"),"NEW","")))</f>
        <v> </v>
      </c>
      <c r="G1413" s="23" t="str">
        <f>IF(OR(E1413="",E1413="!!!"),"",IF(OR(J1413=0,AND(J1413=1,K1413=1),AND(J1413=1,I1413="SBJ"),AND(J1413=1,I1413=0)),"?IN_FOCUS",IF(J1413&lt;=2,"?ACTIVATED",IF(J1413&lt;&gt;"","?FAMILIAR",IF(F1413="NEW",IF(ISNA(VLOOKUP(E1413,#REF!,1,FALSE())),"?TYPE_IDENTIFIABLE","?REFERENTIAL"),"_")))))</f>
        <v> </v>
      </c>
      <c r="H1413" s="24" t="str">
        <f>IF(J1413&lt;&gt;1,"",IF(I1413="SBJ","CB","?"))</f>
        <v> </v>
      </c>
      <c r="I1413" s="25" t="str">
        <f>IF(OR(E1413="",E1413="!!!",F1413="NEW"),"",INDEX(B1412:B$2,-1+SUMPRODUCT(MAX(ROW(E1412:E$2)*(E1413=E1412:E$2)))))</f>
        <v> </v>
      </c>
      <c r="J1413" s="25" t="str">
        <f>IF(OR(E1413="",E1413="!!!",F1413="NEW"),"",COUNTBLANK(OFFSET(A$1,,,SUMPRODUCT(MAX(ROW(E$2:E1413)*(E1413=E$2:E1413)))))-COUNTBLANK(OFFSET(A$1,,,SUMPRODUCT(MAX(ROW(E$1:E1412)*(E2=E$1:E1412))))))</f>
        <v> </v>
      </c>
      <c r="K1413" s="25" t="str">
        <f>IF(OR(E1413="",E1413="!!!",F1413="NEW"),"",INDEX(J$1:J1412,SUMPRODUCT(MAX(ROW(E$1:E1412)*(E1413=E$1:E1412)))))</f>
        <v> </v>
      </c>
      <c r="L1413" s="26"/>
    </row>
    <row r="1414" spans="1:12">
      <c r="A1414" s="20" t="s">
        <v>482</v>
      </c>
      <c r="E1414" s="21">
        <f>IF(D1414="?OLD","!!!","")</f>
        <v/>
      </c>
      <c r="F1414" s="22" t="str">
        <f>IF(OR(E1414="",E1414="!!!"),"",IF(NOT(ISNA(VLOOKUP(E1414,E$1:E1413,1,FALSE()))),"OLD",IF(AND(E1414&lt;&gt;"",E1414&lt;&gt;"!!!"),"NEW","")))</f>
        <v> </v>
      </c>
      <c r="G1414" s="23" t="str">
        <f>IF(OR(E1414="",E1414="!!!"),"",IF(OR(J1414=0,AND(J1414=1,K1414=1),AND(J1414=1,I1414="SBJ"),AND(J1414=1,I1414=0)),"?IN_FOCUS",IF(J1414&lt;=2,"?ACTIVATED",IF(J1414&lt;&gt;"","?FAMILIAR",IF(F1414="NEW",IF(ISNA(VLOOKUP(E1414,#REF!,1,FALSE())),"?TYPE_IDENTIFIABLE","?REFERENTIAL"),"_")))))</f>
        <v> </v>
      </c>
      <c r="H1414" s="24" t="str">
        <f>IF(J1414&lt;&gt;1,"",IF(I1414="SBJ","CB","?"))</f>
        <v> </v>
      </c>
      <c r="I1414" s="25" t="str">
        <f>IF(OR(E1414="",E1414="!!!",F1414="NEW"),"",INDEX(B1413:B$2,-1+SUMPRODUCT(MAX(ROW(E1413:E$2)*(E1414=E1413:E$2)))))</f>
        <v> </v>
      </c>
      <c r="J1414" s="25" t="str">
        <f>IF(OR(E1414="",E1414="!!!",F1414="NEW"),"",COUNTBLANK(OFFSET(A$1,,,SUMPRODUCT(MAX(ROW(E$2:E1414)*(E1414=E$2:E1414)))))-COUNTBLANK(OFFSET(A$1,,,SUMPRODUCT(MAX(ROW(E$1:E1413)*(E2=E$1:E1413))))))</f>
        <v> </v>
      </c>
      <c r="K1414" s="25" t="str">
        <f>IF(OR(E1414="",E1414="!!!",F1414="NEW"),"",INDEX(J$1:J1413,SUMPRODUCT(MAX(ROW(E$1:E1413)*(E1414=E$1:E1413)))))</f>
        <v> </v>
      </c>
      <c r="L1414" s="26"/>
    </row>
    <row r="1415" spans="1:12">
      <c r="A1415" s="20" t="s">
        <v>568</v>
      </c>
      <c r="E1415" s="21">
        <f>IF(D1415="?OLD","!!!","")</f>
        <v/>
      </c>
      <c r="F1415" s="22" t="str">
        <f>IF(OR(E1415="",E1415="!!!"),"",IF(NOT(ISNA(VLOOKUP(E1415,E$1:E1414,1,FALSE()))),"OLD",IF(AND(E1415&lt;&gt;"",E1415&lt;&gt;"!!!"),"NEW","")))</f>
        <v> </v>
      </c>
      <c r="G1415" s="23" t="str">
        <f>IF(OR(E1415="",E1415="!!!"),"",IF(OR(J1415=0,AND(J1415=1,K1415=1),AND(J1415=1,I1415="SBJ"),AND(J1415=1,I1415=0)),"?IN_FOCUS",IF(J1415&lt;=2,"?ACTIVATED",IF(J1415&lt;&gt;"","?FAMILIAR",IF(F1415="NEW",IF(ISNA(VLOOKUP(E1415,#REF!,1,FALSE())),"?TYPE_IDENTIFIABLE","?REFERENTIAL"),"_")))))</f>
        <v> </v>
      </c>
      <c r="H1415" s="24" t="str">
        <f>IF(J1415&lt;&gt;1,"",IF(I1415="SBJ","CB","?"))</f>
        <v> </v>
      </c>
      <c r="I1415" s="25" t="str">
        <f>IF(OR(E1415="",E1415="!!!",F1415="NEW"),"",INDEX(B1414:B$2,-1+SUMPRODUCT(MAX(ROW(E1414:E$2)*(E1415=E1414:E$2)))))</f>
        <v> </v>
      </c>
      <c r="J1415" s="25" t="str">
        <f>IF(OR(E1415="",E1415="!!!",F1415="NEW"),"",COUNTBLANK(OFFSET(A$1,,,SUMPRODUCT(MAX(ROW(E$2:E1415)*(E1415=E$2:E1415)))))-COUNTBLANK(OFFSET(A$1,,,SUMPRODUCT(MAX(ROW(E$1:E1414)*(E2=E$1:E1414))))))</f>
        <v> </v>
      </c>
      <c r="K1415" s="25" t="str">
        <f>IF(OR(E1415="",E1415="!!!",F1415="NEW"),"",INDEX(J$1:J1414,SUMPRODUCT(MAX(ROW(E$1:E1414)*(E1415=E$1:E1414)))))</f>
        <v> </v>
      </c>
      <c r="L1415" s="26"/>
    </row>
    <row r="1416" spans="1:12">
      <c r="A1416" s="20" t="s">
        <v>1128</v>
      </c>
      <c r="E1416" s="21">
        <f>IF(D1416="?OLD","!!!","")</f>
        <v/>
      </c>
      <c r="F1416" s="22" t="str">
        <f>IF(OR(E1416="",E1416="!!!"),"",IF(NOT(ISNA(VLOOKUP(E1416,E$1:E1415,1,FALSE()))),"OLD",IF(AND(E1416&lt;&gt;"",E1416&lt;&gt;"!!!"),"NEW","")))</f>
        <v> </v>
      </c>
      <c r="G1416" s="23" t="str">
        <f>IF(OR(E1416="",E1416="!!!"),"",IF(OR(J1416=0,AND(J1416=1,K1416=1),AND(J1416=1,I1416="SBJ"),AND(J1416=1,I1416=0)),"?IN_FOCUS",IF(J1416&lt;=2,"?ACTIVATED",IF(J1416&lt;&gt;"","?FAMILIAR",IF(F1416="NEW",IF(ISNA(VLOOKUP(E1416,#REF!,1,FALSE())),"?TYPE_IDENTIFIABLE","?REFERENTIAL"),"_")))))</f>
        <v> </v>
      </c>
      <c r="H1416" s="24" t="str">
        <f>IF(J1416&lt;&gt;1,"",IF(I1416="SBJ","CB","?"))</f>
        <v> </v>
      </c>
      <c r="I1416" s="25" t="str">
        <f>IF(OR(E1416="",E1416="!!!",F1416="NEW"),"",INDEX(B1415:B$2,-1+SUMPRODUCT(MAX(ROW(E1415:E$2)*(E1416=E1415:E$2)))))</f>
        <v> </v>
      </c>
      <c r="J1416" s="25" t="str">
        <f>IF(OR(E1416="",E1416="!!!",F1416="NEW"),"",COUNTBLANK(OFFSET(A$1,,,SUMPRODUCT(MAX(ROW(E$2:E1416)*(E1416=E$2:E1416)))))-COUNTBLANK(OFFSET(A$1,,,SUMPRODUCT(MAX(ROW(E$1:E1415)*(E2=E$1:E1415))))))</f>
        <v> </v>
      </c>
      <c r="K1416" s="25" t="str">
        <f>IF(OR(E1416="",E1416="!!!",F1416="NEW"),"",INDEX(J$1:J1415,SUMPRODUCT(MAX(ROW(E$1:E1415)*(E1416=E$1:E1415)))))</f>
        <v> </v>
      </c>
      <c r="L1416" s="26"/>
    </row>
    <row r="1417" spans="1:12">
      <c r="A1417" s="20" t="s">
        <v>1035</v>
      </c>
      <c r="B1417" s="27" t="s">
        <v>692</v>
      </c>
      <c r="E1417" s="21">
        <f>IF(D1417="?OLD","!!!","")</f>
        <v/>
      </c>
      <c r="F1417" s="22" t="str">
        <f>IF(OR(E1417="",E1417="!!!"),"",IF(NOT(ISNA(VLOOKUP(E1417,E$1:E1416,1,FALSE()))),"OLD",IF(AND(E1417&lt;&gt;"",E1417&lt;&gt;"!!!"),"NEW","")))</f>
        <v> </v>
      </c>
      <c r="G1417" s="23" t="str">
        <f>IF(OR(E1417="",E1417="!!!"),"",IF(OR(J1417=0,AND(J1417=1,K1417=1),AND(J1417=1,I1417="SBJ"),AND(J1417=1,I1417=0)),"?IN_FOCUS",IF(J1417&lt;=2,"?ACTIVATED",IF(J1417&lt;&gt;"","?FAMILIAR",IF(F1417="NEW",IF(ISNA(VLOOKUP(E1417,#REF!,1,FALSE())),"?TYPE_IDENTIFIABLE","?REFERENTIAL"),"_")))))</f>
        <v> </v>
      </c>
      <c r="H1417" s="24" t="str">
        <f>IF(J1417&lt;&gt;1,"",IF(I1417="SBJ","CB","?"))</f>
        <v> </v>
      </c>
      <c r="I1417" s="25" t="str">
        <f>IF(OR(E1417="",E1417="!!!",F1417="NEW"),"",INDEX(B1416:B$2,-1+SUMPRODUCT(MAX(ROW(E1416:E$2)*(E1417=E1416:E$2)))))</f>
        <v> </v>
      </c>
      <c r="J1417" s="25" t="str">
        <f>IF(OR(E1417="",E1417="!!!",F1417="NEW"),"",COUNTBLANK(OFFSET(A$1,,,SUMPRODUCT(MAX(ROW(E$2:E1417)*(E1417=E$2:E1417)))))-COUNTBLANK(OFFSET(A$1,,,SUMPRODUCT(MAX(ROW(E$1:E1416)*(E2=E$1:E1416))))))</f>
        <v> </v>
      </c>
      <c r="K1417" s="25" t="str">
        <f>IF(OR(E1417="",E1417="!!!",F1417="NEW"),"",INDEX(J$1:J1416,SUMPRODUCT(MAX(ROW(E$1:E1416)*(E1417=E$1:E1416)))))</f>
        <v> </v>
      </c>
      <c r="L1417" s="26"/>
    </row>
    <row r="1418" spans="1:12">
      <c r="A1418" s="20" t="s">
        <v>1029</v>
      </c>
      <c r="B1418" s="27" t="s">
        <v>692</v>
      </c>
      <c r="E1418" s="21">
        <f>IF(D1418="?OLD","!!!","")</f>
        <v/>
      </c>
      <c r="F1418" s="22" t="str">
        <f>IF(OR(E1418="",E1418="!!!"),"",IF(NOT(ISNA(VLOOKUP(E1418,E$1:E1417,1,FALSE()))),"OLD",IF(AND(E1418&lt;&gt;"",E1418&lt;&gt;"!!!"),"NEW","")))</f>
        <v> </v>
      </c>
      <c r="G1418" s="23" t="str">
        <f>IF(OR(E1418="",E1418="!!!"),"",IF(OR(J1418=0,AND(J1418=1,K1418=1),AND(J1418=1,I1418="SBJ"),AND(J1418=1,I1418=0)),"?IN_FOCUS",IF(J1418&lt;=2,"?ACTIVATED",IF(J1418&lt;&gt;"","?FAMILIAR",IF(F1418="NEW",IF(ISNA(VLOOKUP(E1418,#REF!,1,FALSE())),"?TYPE_IDENTIFIABLE","?REFERENTIAL"),"_")))))</f>
        <v> </v>
      </c>
      <c r="H1418" s="24" t="str">
        <f>IF(J1418&lt;&gt;1,"",IF(I1418="SBJ","CB","?"))</f>
        <v> </v>
      </c>
      <c r="I1418" s="25" t="str">
        <f>IF(OR(E1418="",E1418="!!!",F1418="NEW"),"",INDEX(B1417:B$2,-1+SUMPRODUCT(MAX(ROW(E1417:E$2)*(E1418=E1417:E$2)))))</f>
        <v> </v>
      </c>
      <c r="J1418" s="25" t="str">
        <f>IF(OR(E1418="",E1418="!!!",F1418="NEW"),"",COUNTBLANK(OFFSET(A$1,,,SUMPRODUCT(MAX(ROW(E$2:E1418)*(E1418=E$2:E1418)))))-COUNTBLANK(OFFSET(A$1,,,SUMPRODUCT(MAX(ROW(E$1:E1417)*(E2=E$1:E1417))))))</f>
        <v> </v>
      </c>
      <c r="K1418" s="25" t="str">
        <f>IF(OR(E1418="",E1418="!!!",F1418="NEW"),"",INDEX(J$1:J1417,SUMPRODUCT(MAX(ROW(E$1:E1417)*(E1418=E$1:E1417)))))</f>
        <v> </v>
      </c>
      <c r="L1418" s="26"/>
    </row>
    <row r="1419" spans="1:12">
      <c r="A1419" s="20" t="s">
        <v>1129</v>
      </c>
      <c r="E1419" s="21">
        <f>IF(D1419="?OLD","!!!","")</f>
        <v/>
      </c>
      <c r="F1419" s="22" t="str">
        <f>IF(OR(E1419="",E1419="!!!"),"",IF(NOT(ISNA(VLOOKUP(E1419,E$1:E1418,1,FALSE()))),"OLD",IF(AND(E1419&lt;&gt;"",E1419&lt;&gt;"!!!"),"NEW","")))</f>
        <v> </v>
      </c>
      <c r="G1419" s="23" t="str">
        <f>IF(OR(E1419="",E1419="!!!"),"",IF(OR(J1419=0,AND(J1419=1,K1419=1),AND(J1419=1,I1419="SBJ"),AND(J1419=1,I1419=0)),"?IN_FOCUS",IF(J1419&lt;=2,"?ACTIVATED",IF(J1419&lt;&gt;"","?FAMILIAR",IF(F1419="NEW",IF(ISNA(VLOOKUP(E1419,#REF!,1,FALSE())),"?TYPE_IDENTIFIABLE","?REFERENTIAL"),"_")))))</f>
        <v> </v>
      </c>
      <c r="H1419" s="24" t="str">
        <f>IF(J1419&lt;&gt;1,"",IF(I1419="SBJ","CB","?"))</f>
        <v> </v>
      </c>
      <c r="I1419" s="25" t="str">
        <f>IF(OR(E1419="",E1419="!!!",F1419="NEW"),"",INDEX(B1418:B$2,-1+SUMPRODUCT(MAX(ROW(E1418:E$2)*(E1419=E1418:E$2)))))</f>
        <v> </v>
      </c>
      <c r="J1419" s="25" t="str">
        <f>IF(OR(E1419="",E1419="!!!",F1419="NEW"),"",COUNTBLANK(OFFSET(A$1,,,SUMPRODUCT(MAX(ROW(E$2:E1419)*(E1419=E$2:E1419)))))-COUNTBLANK(OFFSET(A$1,,,SUMPRODUCT(MAX(ROW(E$1:E1418)*(E2=E$1:E1418))))))</f>
        <v> </v>
      </c>
      <c r="K1419" s="25" t="str">
        <f>IF(OR(E1419="",E1419="!!!",F1419="NEW"),"",INDEX(J$1:J1418,SUMPRODUCT(MAX(ROW(E$1:E1418)*(E1419=E$1:E1418)))))</f>
        <v> </v>
      </c>
      <c r="L1419" s="26"/>
    </row>
    <row r="1420" spans="1:12">
      <c r="A1420" s="20" t="s">
        <v>1130</v>
      </c>
      <c r="B1420" s="27" t="s">
        <v>874</v>
      </c>
      <c r="C1420" s="27" t="s">
        <v>620</v>
      </c>
      <c r="D1420" s="27" t="s">
        <v>478</v>
      </c>
      <c r="E1420" s="21">
        <f>IF(D1420="?OLD","!!!","")</f>
        <v/>
      </c>
      <c r="F1420" s="22" t="str">
        <f>IF(OR(E1420="",E1420="!!!"),"",IF(NOT(ISNA(VLOOKUP(E1420,E$1:E1419,1,FALSE()))),"OLD",IF(AND(E1420&lt;&gt;"",E1420&lt;&gt;"!!!"),"NEW","")))</f>
        <v> </v>
      </c>
      <c r="G1420" s="23" t="str">
        <f>IF(OR(E1420="",E1420="!!!"),"",IF(OR(J1420=0,AND(J1420=1,K1420=1),AND(J1420=1,I1420="SBJ"),AND(J1420=1,I1420=0)),"?IN_FOCUS",IF(J1420&lt;=2,"?ACTIVATED",IF(J1420&lt;&gt;"","?FAMILIAR",IF(F1420="NEW",IF(ISNA(VLOOKUP(E1420,#REF!,1,FALSE())),"?TYPE_IDENTIFIABLE","?REFERENTIAL"),"_")))))</f>
        <v> </v>
      </c>
      <c r="H1420" s="24" t="str">
        <f>IF(J1420&lt;&gt;1,"",IF(I1420="SBJ","CB","?"))</f>
        <v> </v>
      </c>
      <c r="I1420" s="25" t="str">
        <f>IF(OR(E1420="",E1420="!!!",F1420="NEW"),"",INDEX(B1419:B$2,-1+SUMPRODUCT(MAX(ROW(E1419:E$2)*(E1420=E1419:E$2)))))</f>
        <v> </v>
      </c>
      <c r="J1420" s="25" t="str">
        <f>IF(OR(E1420="",E1420="!!!",F1420="NEW"),"",COUNTBLANK(OFFSET(A$1,,,SUMPRODUCT(MAX(ROW(E$2:E1420)*(E1420=E$2:E1420)))))-COUNTBLANK(OFFSET(A$1,,,SUMPRODUCT(MAX(ROW(E$1:E1419)*(E2=E$1:E1419))))))</f>
        <v> </v>
      </c>
      <c r="K1420" s="25" t="str">
        <f>IF(OR(E1420="",E1420="!!!",F1420="NEW"),"",INDEX(J$1:J1419,SUMPRODUCT(MAX(ROW(E$1:E1419)*(E1420=E$1:E1419)))))</f>
        <v> </v>
      </c>
      <c r="L1420" s="26"/>
    </row>
    <row r="1421" spans="1:12">
      <c r="A1421" s="20" t="s">
        <v>1131</v>
      </c>
      <c r="E1421" s="21">
        <f>IF(D1421="?OLD","!!!","")</f>
        <v/>
      </c>
      <c r="F1421" s="22" t="str">
        <f>IF(OR(E1421="",E1421="!!!"),"",IF(NOT(ISNA(VLOOKUP(E1421,E$1:E1420,1,FALSE()))),"OLD",IF(AND(E1421&lt;&gt;"",E1421&lt;&gt;"!!!"),"NEW","")))</f>
        <v> </v>
      </c>
      <c r="G1421" s="23" t="str">
        <f>IF(OR(E1421="",E1421="!!!"),"",IF(OR(J1421=0,AND(J1421=1,K1421=1),AND(J1421=1,I1421="SBJ"),AND(J1421=1,I1421=0)),"?IN_FOCUS",IF(J1421&lt;=2,"?ACTIVATED",IF(J1421&lt;&gt;"","?FAMILIAR",IF(F1421="NEW",IF(ISNA(VLOOKUP(E1421,#REF!,1,FALSE())),"?TYPE_IDENTIFIABLE","?REFERENTIAL"),"_")))))</f>
        <v> </v>
      </c>
      <c r="H1421" s="24" t="str">
        <f>IF(J1421&lt;&gt;1,"",IF(I1421="SBJ","CB","?"))</f>
        <v> </v>
      </c>
      <c r="I1421" s="25" t="str">
        <f>IF(OR(E1421="",E1421="!!!",F1421="NEW"),"",INDEX(B1420:B$2,-1+SUMPRODUCT(MAX(ROW(E1420:E$2)*(E1421=E1420:E$2)))))</f>
        <v> </v>
      </c>
      <c r="J1421" s="25" t="str">
        <f>IF(OR(E1421="",E1421="!!!",F1421="NEW"),"",COUNTBLANK(OFFSET(A$1,,,SUMPRODUCT(MAX(ROW(E$2:E1421)*(E1421=E$2:E1421)))))-COUNTBLANK(OFFSET(A$1,,,SUMPRODUCT(MAX(ROW(E$1:E1420)*(E2=E$1:E1420))))))</f>
        <v> </v>
      </c>
      <c r="K1421" s="25" t="str">
        <f>IF(OR(E1421="",E1421="!!!",F1421="NEW"),"",INDEX(J$1:J1420,SUMPRODUCT(MAX(ROW(E$1:E1420)*(E1421=E$1:E1420)))))</f>
        <v> </v>
      </c>
      <c r="L1421" s="26"/>
    </row>
    <row r="1422" spans="1:12">
      <c r="A1422" s="20" t="s">
        <v>1132</v>
      </c>
      <c r="E1422" s="21">
        <f>IF(D1422="?OLD","!!!","")</f>
        <v/>
      </c>
      <c r="F1422" s="22" t="str">
        <f>IF(OR(E1422="",E1422="!!!"),"",IF(NOT(ISNA(VLOOKUP(E1422,E$1:E1421,1,FALSE()))),"OLD",IF(AND(E1422&lt;&gt;"",E1422&lt;&gt;"!!!"),"NEW","")))</f>
        <v> </v>
      </c>
      <c r="G1422" s="23" t="str">
        <f>IF(OR(E1422="",E1422="!!!"),"",IF(OR(J1422=0,AND(J1422=1,K1422=1),AND(J1422=1,I1422="SBJ"),AND(J1422=1,I1422=0)),"?IN_FOCUS",IF(J1422&lt;=2,"?ACTIVATED",IF(J1422&lt;&gt;"","?FAMILIAR",IF(F1422="NEW",IF(ISNA(VLOOKUP(E1422,#REF!,1,FALSE())),"?TYPE_IDENTIFIABLE","?REFERENTIAL"),"_")))))</f>
        <v> </v>
      </c>
      <c r="H1422" s="24" t="str">
        <f>IF(J1422&lt;&gt;1,"",IF(I1422="SBJ","CB","?"))</f>
        <v> </v>
      </c>
      <c r="I1422" s="25" t="str">
        <f>IF(OR(E1422="",E1422="!!!",F1422="NEW"),"",INDEX(B1421:B$2,-1+SUMPRODUCT(MAX(ROW(E1421:E$2)*(E1422=E1421:E$2)))))</f>
        <v> </v>
      </c>
      <c r="J1422" s="25" t="str">
        <f>IF(OR(E1422="",E1422="!!!",F1422="NEW"),"",COUNTBLANK(OFFSET(A$1,,,SUMPRODUCT(MAX(ROW(E$2:E1422)*(E1422=E$2:E1422)))))-COUNTBLANK(OFFSET(A$1,,,SUMPRODUCT(MAX(ROW(E$1:E1421)*(E2=E$1:E1421))))))</f>
        <v> </v>
      </c>
      <c r="K1422" s="25" t="str">
        <f>IF(OR(E1422="",E1422="!!!",F1422="NEW"),"",INDEX(J$1:J1421,SUMPRODUCT(MAX(ROW(E$1:E1421)*(E1422=E$1:E1421)))))</f>
        <v> </v>
      </c>
      <c r="L1422" s="26"/>
    </row>
    <row r="1423" spans="1:12">
      <c r="A1423" s="20" t="s">
        <v>505</v>
      </c>
      <c r="E1423" s="21">
        <f>IF(D1423="?OLD","!!!","")</f>
        <v/>
      </c>
      <c r="F1423" s="22" t="str">
        <f>IF(OR(E1423="",E1423="!!!"),"",IF(NOT(ISNA(VLOOKUP(E1423,E$1:E1422,1,FALSE()))),"OLD",IF(AND(E1423&lt;&gt;"",E1423&lt;&gt;"!!!"),"NEW","")))</f>
        <v> </v>
      </c>
      <c r="G1423" s="23" t="str">
        <f>IF(OR(E1423="",E1423="!!!"),"",IF(OR(J1423=0,AND(J1423=1,K1423=1),AND(J1423=1,I1423="SBJ"),AND(J1423=1,I1423=0)),"?IN_FOCUS",IF(J1423&lt;=2,"?ACTIVATED",IF(J1423&lt;&gt;"","?FAMILIAR",IF(F1423="NEW",IF(ISNA(VLOOKUP(E1423,#REF!,1,FALSE())),"?TYPE_IDENTIFIABLE","?REFERENTIAL"),"_")))))</f>
        <v> </v>
      </c>
      <c r="H1423" s="24" t="str">
        <f>IF(J1423&lt;&gt;1,"",IF(I1423="SBJ","CB","?"))</f>
        <v> </v>
      </c>
      <c r="I1423" s="25" t="str">
        <f>IF(OR(E1423="",E1423="!!!",F1423="NEW"),"",INDEX(B1422:B$2,-1+SUMPRODUCT(MAX(ROW(E1422:E$2)*(E1423=E1422:E$2)))))</f>
        <v> </v>
      </c>
      <c r="J1423" s="25" t="str">
        <f>IF(OR(E1423="",E1423="!!!",F1423="NEW"),"",COUNTBLANK(OFFSET(A$1,,,SUMPRODUCT(MAX(ROW(E$2:E1423)*(E1423=E$2:E1423)))))-COUNTBLANK(OFFSET(A$1,,,SUMPRODUCT(MAX(ROW(E$1:E1422)*(E2=E$1:E1422))))))</f>
        <v> </v>
      </c>
      <c r="K1423" s="25" t="str">
        <f>IF(OR(E1423="",E1423="!!!",F1423="NEW"),"",INDEX(J$1:J1422,SUMPRODUCT(MAX(ROW(E$1:E1422)*(E1423=E$1:E1422)))))</f>
        <v> </v>
      </c>
      <c r="L1423" s="26"/>
    </row>
    <row r="1424" spans="1:12">
      <c r="A1424" s="20" t="s">
        <v>253</v>
      </c>
      <c r="E1424" s="21">
        <f>IF(D1424="?OLD","!!!","")</f>
        <v/>
      </c>
      <c r="F1424" s="22" t="str">
        <f>IF(OR(E1424="",E1424="!!!"),"",IF(NOT(ISNA(VLOOKUP(E1424,E$1:E1423,1,FALSE()))),"OLD",IF(AND(E1424&lt;&gt;"",E1424&lt;&gt;"!!!"),"NEW","")))</f>
        <v> </v>
      </c>
      <c r="G1424" s="23" t="str">
        <f>IF(OR(E1424="",E1424="!!!"),"",IF(OR(J1424=0,AND(J1424=1,K1424=1),AND(J1424=1,I1424="SBJ"),AND(J1424=1,I1424=0)),"?IN_FOCUS",IF(J1424&lt;=2,"?ACTIVATED",IF(J1424&lt;&gt;"","?FAMILIAR",IF(F1424="NEW",IF(ISNA(VLOOKUP(E1424,#REF!,1,FALSE())),"?TYPE_IDENTIFIABLE","?REFERENTIAL"),"_")))))</f>
        <v> </v>
      </c>
      <c r="H1424" s="24" t="str">
        <f>IF(J1424&lt;&gt;1,"",IF(I1424="SBJ","CB","?"))</f>
        <v> </v>
      </c>
      <c r="I1424" s="25" t="str">
        <f>IF(OR(E1424="",E1424="!!!",F1424="NEW"),"",INDEX(B1423:B$2,-1+SUMPRODUCT(MAX(ROW(E1423:E$2)*(E1424=E1423:E$2)))))</f>
        <v> </v>
      </c>
      <c r="J1424" s="25" t="str">
        <f>IF(OR(E1424="",E1424="!!!",F1424="NEW"),"",COUNTBLANK(OFFSET(A$1,,,SUMPRODUCT(MAX(ROW(E$2:E1424)*(E1424=E$2:E1424)))))-COUNTBLANK(OFFSET(A$1,,,SUMPRODUCT(MAX(ROW(E$1:E1423)*(E2=E$1:E1423))))))</f>
        <v> </v>
      </c>
      <c r="K1424" s="25" t="str">
        <f>IF(OR(E1424="",E1424="!!!",F1424="NEW"),"",INDEX(J$1:J1423,SUMPRODUCT(MAX(ROW(E$1:E1423)*(E1424=E$1:E1423)))))</f>
        <v> </v>
      </c>
      <c r="L1424" s="26"/>
    </row>
    <row r="1425" spans="1:12">
      <c r="A1425" s="20"/>
    </row>
    <row r="1426" spans="1:12">
      <c r="A1426" s="20" t="s">
        <v>1133</v>
      </c>
    </row>
    <row r="1427" spans="1:12">
      <c r="A1427" s="20" t="s">
        <v>1050</v>
      </c>
      <c r="E1427" s="21">
        <f>IF(D1427="?OLD","!!!","")</f>
        <v/>
      </c>
      <c r="F1427" s="22" t="str">
        <f>IF(OR(E1427="",E1427="!!!"),"",IF(NOT(ISNA(VLOOKUP(E1427,E$1:E1426,1,FALSE()))),"OLD",IF(AND(E1427&lt;&gt;"",E1427&lt;&gt;"!!!"),"NEW","")))</f>
        <v> </v>
      </c>
      <c r="G1427" s="23" t="str">
        <f>IF(OR(E1427="",E1427="!!!"),"",IF(OR(J1427=0,AND(J1427=1,K1427=1),AND(J1427=1,I1427="SBJ"),AND(J1427=1,I1427=0)),"?IN_FOCUS",IF(J1427&lt;=2,"?ACTIVATED",IF(J1427&lt;&gt;"","?FAMILIAR",IF(F1427="NEW",IF(ISNA(VLOOKUP(E1427,#REF!,1,FALSE())),"?TYPE_IDENTIFIABLE","?REFERENTIAL"),"_")))))</f>
        <v> </v>
      </c>
      <c r="H1427" s="24" t="str">
        <f>IF(J1427&lt;&gt;1,"",IF(I1427="SBJ","CB","?"))</f>
        <v> </v>
      </c>
      <c r="I1427" s="25" t="str">
        <f>IF(OR(E1427="",E1427="!!!",F1427="NEW"),"",INDEX(B1426:B$2,-1+SUMPRODUCT(MAX(ROW(E1426:E$2)*(E1427=E1426:E$2)))))</f>
        <v> </v>
      </c>
      <c r="J1427" s="25" t="str">
        <f>IF(OR(E1427="",E1427="!!!",F1427="NEW"),"",COUNTBLANK(OFFSET(A$1,,,SUMPRODUCT(MAX(ROW(E$2:E1427)*(E1427=E$2:E1427)))))-COUNTBLANK(OFFSET(A$1,,,SUMPRODUCT(MAX(ROW(E$1:E1426)*(E2=E$1:E1426))))))</f>
        <v> </v>
      </c>
      <c r="K1427" s="25" t="str">
        <f>IF(OR(E1427="",E1427="!!!",F1427="NEW"),"",INDEX(J$1:J1426,SUMPRODUCT(MAX(ROW(E$1:E1426)*(E1427=E$1:E1426)))))</f>
        <v> </v>
      </c>
      <c r="L1427" s="26"/>
    </row>
    <row r="1428" spans="1:12">
      <c r="A1428" s="20" t="s">
        <v>482</v>
      </c>
      <c r="E1428" s="21">
        <f>IF(D1428="?OLD","!!!","")</f>
        <v/>
      </c>
      <c r="F1428" s="22" t="str">
        <f>IF(OR(E1428="",E1428="!!!"),"",IF(NOT(ISNA(VLOOKUP(E1428,E$1:E1427,1,FALSE()))),"OLD",IF(AND(E1428&lt;&gt;"",E1428&lt;&gt;"!!!"),"NEW","")))</f>
        <v> </v>
      </c>
      <c r="G1428" s="23" t="str">
        <f>IF(OR(E1428="",E1428="!!!"),"",IF(OR(J1428=0,AND(J1428=1,K1428=1),AND(J1428=1,I1428="SBJ"),AND(J1428=1,I1428=0)),"?IN_FOCUS",IF(J1428&lt;=2,"?ACTIVATED",IF(J1428&lt;&gt;"","?FAMILIAR",IF(F1428="NEW",IF(ISNA(VLOOKUP(E1428,#REF!,1,FALSE())),"?TYPE_IDENTIFIABLE","?REFERENTIAL"),"_")))))</f>
        <v> </v>
      </c>
      <c r="H1428" s="24" t="str">
        <f>IF(J1428&lt;&gt;1,"",IF(I1428="SBJ","CB","?"))</f>
        <v> </v>
      </c>
      <c r="I1428" s="25" t="str">
        <f>IF(OR(E1428="",E1428="!!!",F1428="NEW"),"",INDEX(B1427:B$2,-1+SUMPRODUCT(MAX(ROW(E1427:E$2)*(E1428=E1427:E$2)))))</f>
        <v> </v>
      </c>
      <c r="J1428" s="25" t="str">
        <f>IF(OR(E1428="",E1428="!!!",F1428="NEW"),"",COUNTBLANK(OFFSET(A$1,,,SUMPRODUCT(MAX(ROW(E$2:E1428)*(E1428=E$2:E1428)))))-COUNTBLANK(OFFSET(A$1,,,SUMPRODUCT(MAX(ROW(E$1:E1427)*(E2=E$1:E1427))))))</f>
        <v> </v>
      </c>
      <c r="K1428" s="25" t="str">
        <f>IF(OR(E1428="",E1428="!!!",F1428="NEW"),"",INDEX(J$1:J1427,SUMPRODUCT(MAX(ROW(E$1:E1427)*(E1428=E$1:E1427)))))</f>
        <v> </v>
      </c>
      <c r="L1428" s="26"/>
    </row>
    <row r="1429" spans="1:12">
      <c r="A1429" s="20" t="s">
        <v>1109</v>
      </c>
      <c r="E1429" s="21">
        <f>IF(D1429="?OLD","!!!","")</f>
        <v/>
      </c>
      <c r="F1429" s="22" t="str">
        <f>IF(OR(E1429="",E1429="!!!"),"",IF(NOT(ISNA(VLOOKUP(E1429,E$1:E1428,1,FALSE()))),"OLD",IF(AND(E1429&lt;&gt;"",E1429&lt;&gt;"!!!"),"NEW","")))</f>
        <v> </v>
      </c>
      <c r="G1429" s="23" t="str">
        <f>IF(OR(E1429="",E1429="!!!"),"",IF(OR(J1429=0,AND(J1429=1,K1429=1),AND(J1429=1,I1429="SBJ"),AND(J1429=1,I1429=0)),"?IN_FOCUS",IF(J1429&lt;=2,"?ACTIVATED",IF(J1429&lt;&gt;"","?FAMILIAR",IF(F1429="NEW",IF(ISNA(VLOOKUP(E1429,#REF!,1,FALSE())),"?TYPE_IDENTIFIABLE","?REFERENTIAL"),"_")))))</f>
        <v> </v>
      </c>
      <c r="H1429" s="24" t="str">
        <f>IF(J1429&lt;&gt;1,"",IF(I1429="SBJ","CB","?"))</f>
        <v> </v>
      </c>
      <c r="I1429" s="25" t="str">
        <f>IF(OR(E1429="",E1429="!!!",F1429="NEW"),"",INDEX(B1428:B$2,-1+SUMPRODUCT(MAX(ROW(E1428:E$2)*(E1429=E1428:E$2)))))</f>
        <v> </v>
      </c>
      <c r="J1429" s="25" t="str">
        <f>IF(OR(E1429="",E1429="!!!",F1429="NEW"),"",COUNTBLANK(OFFSET(A$1,,,SUMPRODUCT(MAX(ROW(E$2:E1429)*(E1429=E$2:E1429)))))-COUNTBLANK(OFFSET(A$1,,,SUMPRODUCT(MAX(ROW(E$1:E1428)*(E2=E$1:E1428))))))</f>
        <v> </v>
      </c>
      <c r="K1429" s="25" t="str">
        <f>IF(OR(E1429="",E1429="!!!",F1429="NEW"),"",INDEX(J$1:J1428,SUMPRODUCT(MAX(ROW(E$1:E1428)*(E1429=E$1:E1428)))))</f>
        <v> </v>
      </c>
      <c r="L1429" s="26"/>
    </row>
    <row r="1430" spans="1:12">
      <c r="A1430" s="20" t="s">
        <v>1110</v>
      </c>
      <c r="B1430" s="27" t="s">
        <v>521</v>
      </c>
      <c r="C1430" s="27" t="s">
        <v>477</v>
      </c>
      <c r="D1430" s="27" t="s">
        <v>478</v>
      </c>
      <c r="E1430" s="21">
        <f>IF(D1430="?OLD","!!!","")</f>
        <v/>
      </c>
      <c r="F1430" s="22" t="str">
        <f>IF(OR(E1430="",E1430="!!!"),"",IF(NOT(ISNA(VLOOKUP(E1430,E$1:E1429,1,FALSE()))),"OLD",IF(AND(E1430&lt;&gt;"",E1430&lt;&gt;"!!!"),"NEW","")))</f>
        <v> </v>
      </c>
      <c r="G1430" s="23" t="str">
        <f>IF(OR(E1430="",E1430="!!!"),"",IF(OR(J1430=0,AND(J1430=1,K1430=1),AND(J1430=1,I1430="SBJ"),AND(J1430=1,I1430=0)),"?IN_FOCUS",IF(J1430&lt;=2,"?ACTIVATED",IF(J1430&lt;&gt;"","?FAMILIAR",IF(F1430="NEW",IF(ISNA(VLOOKUP(E1430,#REF!,1,FALSE())),"?TYPE_IDENTIFIABLE","?REFERENTIAL"),"_")))))</f>
        <v> </v>
      </c>
      <c r="H1430" s="24" t="str">
        <f>IF(J1430&lt;&gt;1,"",IF(I1430="SBJ","CB","?"))</f>
        <v> </v>
      </c>
      <c r="I1430" s="25" t="str">
        <f>IF(OR(E1430="",E1430="!!!",F1430="NEW"),"",INDEX(B1429:B$2,-1+SUMPRODUCT(MAX(ROW(E1429:E$2)*(E1430=E1429:E$2)))))</f>
        <v> </v>
      </c>
      <c r="J1430" s="25" t="str">
        <f>IF(OR(E1430="",E1430="!!!",F1430="NEW"),"",COUNTBLANK(OFFSET(A$1,,,SUMPRODUCT(MAX(ROW(E$2:E1430)*(E1430=E$2:E1430)))))-COUNTBLANK(OFFSET(A$1,,,SUMPRODUCT(MAX(ROW(E$1:E1429)*(E2=E$1:E1429))))))</f>
        <v> </v>
      </c>
      <c r="K1430" s="25" t="str">
        <f>IF(OR(E1430="",E1430="!!!",F1430="NEW"),"",INDEX(J$1:J1429,SUMPRODUCT(MAX(ROW(E$1:E1429)*(E1430=E$1:E1429)))))</f>
        <v> </v>
      </c>
      <c r="L1430" s="26"/>
    </row>
    <row r="1431" spans="1:12">
      <c r="A1431" s="20" t="s">
        <v>1134</v>
      </c>
      <c r="B1431" s="27" t="s">
        <v>577</v>
      </c>
      <c r="E1431" s="21">
        <f>IF(D1431="?OLD","!!!","")</f>
        <v/>
      </c>
      <c r="F1431" s="22" t="str">
        <f>IF(OR(E1431="",E1431="!!!"),"",IF(NOT(ISNA(VLOOKUP(E1431,E$1:E1430,1,FALSE()))),"OLD",IF(AND(E1431&lt;&gt;"",E1431&lt;&gt;"!!!"),"NEW","")))</f>
        <v> </v>
      </c>
      <c r="G1431" s="23" t="str">
        <f>IF(OR(E1431="",E1431="!!!"),"",IF(OR(J1431=0,AND(J1431=1,K1431=1),AND(J1431=1,I1431="SBJ"),AND(J1431=1,I1431=0)),"?IN_FOCUS",IF(J1431&lt;=2,"?ACTIVATED",IF(J1431&lt;&gt;"","?FAMILIAR",IF(F1431="NEW",IF(ISNA(VLOOKUP(E1431,#REF!,1,FALSE())),"?TYPE_IDENTIFIABLE","?REFERENTIAL"),"_")))))</f>
        <v> </v>
      </c>
      <c r="H1431" s="24" t="str">
        <f>IF(J1431&lt;&gt;1,"",IF(I1431="SBJ","CB","?"))</f>
        <v> </v>
      </c>
      <c r="I1431" s="25" t="str">
        <f>IF(OR(E1431="",E1431="!!!",F1431="NEW"),"",INDEX(B1430:B$2,-1+SUMPRODUCT(MAX(ROW(E1430:E$2)*(E1431=E1430:E$2)))))</f>
        <v> </v>
      </c>
      <c r="J1431" s="25" t="str">
        <f>IF(OR(E1431="",E1431="!!!",F1431="NEW"),"",COUNTBLANK(OFFSET(A$1,,,SUMPRODUCT(MAX(ROW(E$2:E1431)*(E1431=E$2:E1431)))))-COUNTBLANK(OFFSET(A$1,,,SUMPRODUCT(MAX(ROW(E$1:E1430)*(E2=E$1:E1430))))))</f>
        <v> </v>
      </c>
      <c r="K1431" s="25" t="str">
        <f>IF(OR(E1431="",E1431="!!!",F1431="NEW"),"",INDEX(J$1:J1430,SUMPRODUCT(MAX(ROW(E$1:E1430)*(E1431=E$1:E1430)))))</f>
        <v> </v>
      </c>
      <c r="L1431" s="26"/>
    </row>
    <row r="1432" spans="1:12">
      <c r="A1432" s="20" t="s">
        <v>576</v>
      </c>
      <c r="B1432" s="27" t="s">
        <v>577</v>
      </c>
      <c r="C1432" s="27" t="s">
        <v>477</v>
      </c>
      <c r="D1432" s="27" t="s">
        <v>478</v>
      </c>
      <c r="E1432" s="21">
        <f>IF(D1432="?OLD","!!!","")</f>
        <v/>
      </c>
      <c r="F1432" s="22" t="str">
        <f>IF(OR(E1432="",E1432="!!!"),"",IF(NOT(ISNA(VLOOKUP(E1432,E$1:E1431,1,FALSE()))),"OLD",IF(AND(E1432&lt;&gt;"",E1432&lt;&gt;"!!!"),"NEW","")))</f>
        <v> </v>
      </c>
      <c r="G1432" s="23" t="str">
        <f>IF(OR(E1432="",E1432="!!!"),"",IF(OR(J1432=0,AND(J1432=1,K1432=1),AND(J1432=1,I1432="SBJ"),AND(J1432=1,I1432=0)),"?IN_FOCUS",IF(J1432&lt;=2,"?ACTIVATED",IF(J1432&lt;&gt;"","?FAMILIAR",IF(F1432="NEW",IF(ISNA(VLOOKUP(E1432,#REF!,1,FALSE())),"?TYPE_IDENTIFIABLE","?REFERENTIAL"),"_")))))</f>
        <v> </v>
      </c>
      <c r="H1432" s="24" t="str">
        <f>IF(J1432&lt;&gt;1,"",IF(I1432="SBJ","CB","?"))</f>
        <v> </v>
      </c>
      <c r="I1432" s="25" t="str">
        <f>IF(OR(E1432="",E1432="!!!",F1432="NEW"),"",INDEX(B1431:B$2,-1+SUMPRODUCT(MAX(ROW(E1431:E$2)*(E1432=E1431:E$2)))))</f>
        <v> </v>
      </c>
      <c r="J1432" s="25" t="str">
        <f>IF(OR(E1432="",E1432="!!!",F1432="NEW"),"",COUNTBLANK(OFFSET(A$1,,,SUMPRODUCT(MAX(ROW(E$2:E1432)*(E1432=E$2:E1432)))))-COUNTBLANK(OFFSET(A$1,,,SUMPRODUCT(MAX(ROW(E$1:E1431)*(E2=E$1:E1431))))))</f>
        <v> </v>
      </c>
      <c r="K1432" s="25" t="str">
        <f>IF(OR(E1432="",E1432="!!!",F1432="NEW"),"",INDEX(J$1:J1431,SUMPRODUCT(MAX(ROW(E$1:E1431)*(E1432=E$1:E1431)))))</f>
        <v> </v>
      </c>
      <c r="L1432" s="26"/>
    </row>
    <row r="1433" spans="1:12">
      <c r="A1433" s="20" t="s">
        <v>44</v>
      </c>
      <c r="E1433" s="21">
        <f>IF(D1433="?OLD","!!!","")</f>
        <v/>
      </c>
      <c r="F1433" s="22" t="str">
        <f>IF(OR(E1433="",E1433="!!!"),"",IF(NOT(ISNA(VLOOKUP(E1433,E$1:E1432,1,FALSE()))),"OLD",IF(AND(E1433&lt;&gt;"",E1433&lt;&gt;"!!!"),"NEW","")))</f>
        <v> </v>
      </c>
      <c r="G1433" s="23" t="str">
        <f>IF(OR(E1433="",E1433="!!!"),"",IF(OR(J1433=0,AND(J1433=1,K1433=1),AND(J1433=1,I1433="SBJ"),AND(J1433=1,I1433=0)),"?IN_FOCUS",IF(J1433&lt;=2,"?ACTIVATED",IF(J1433&lt;&gt;"","?FAMILIAR",IF(F1433="NEW",IF(ISNA(VLOOKUP(E1433,#REF!,1,FALSE())),"?TYPE_IDENTIFIABLE","?REFERENTIAL"),"_")))))</f>
        <v> </v>
      </c>
      <c r="H1433" s="24" t="str">
        <f>IF(J1433&lt;&gt;1,"",IF(I1433="SBJ","CB","?"))</f>
        <v> </v>
      </c>
      <c r="I1433" s="25" t="str">
        <f>IF(OR(E1433="",E1433="!!!",F1433="NEW"),"",INDEX(B1432:B$2,-1+SUMPRODUCT(MAX(ROW(E1432:E$2)*(E1433=E1432:E$2)))))</f>
        <v> </v>
      </c>
      <c r="J1433" s="25" t="str">
        <f>IF(OR(E1433="",E1433="!!!",F1433="NEW"),"",COUNTBLANK(OFFSET(A$1,,,SUMPRODUCT(MAX(ROW(E$2:E1433)*(E1433=E$2:E1433)))))-COUNTBLANK(OFFSET(A$1,,,SUMPRODUCT(MAX(ROW(E$1:E1432)*(E2=E$1:E1432))))))</f>
        <v> </v>
      </c>
      <c r="K1433" s="25" t="str">
        <f>IF(OR(E1433="",E1433="!!!",F1433="NEW"),"",INDEX(J$1:J1432,SUMPRODUCT(MAX(ROW(E$1:E1432)*(E1433=E$1:E1432)))))</f>
        <v> </v>
      </c>
      <c r="L1433" s="26"/>
    </row>
    <row r="1434" spans="1:12">
      <c r="A1434" s="20" t="s">
        <v>253</v>
      </c>
      <c r="E1434" s="21">
        <f>IF(D1434="?OLD","!!!","")</f>
        <v/>
      </c>
      <c r="F1434" s="22" t="str">
        <f>IF(OR(E1434="",E1434="!!!"),"",IF(NOT(ISNA(VLOOKUP(E1434,E$1:E1433,1,FALSE()))),"OLD",IF(AND(E1434&lt;&gt;"",E1434&lt;&gt;"!!!"),"NEW","")))</f>
        <v> </v>
      </c>
      <c r="G1434" s="23" t="str">
        <f>IF(OR(E1434="",E1434="!!!"),"",IF(OR(J1434=0,AND(J1434=1,K1434=1),AND(J1434=1,I1434="SBJ"),AND(J1434=1,I1434=0)),"?IN_FOCUS",IF(J1434&lt;=2,"?ACTIVATED",IF(J1434&lt;&gt;"","?FAMILIAR",IF(F1434="NEW",IF(ISNA(VLOOKUP(E1434,#REF!,1,FALSE())),"?TYPE_IDENTIFIABLE","?REFERENTIAL"),"_")))))</f>
        <v> </v>
      </c>
      <c r="H1434" s="24" t="str">
        <f>IF(J1434&lt;&gt;1,"",IF(I1434="SBJ","CB","?"))</f>
        <v> </v>
      </c>
      <c r="I1434" s="25" t="str">
        <f>IF(OR(E1434="",E1434="!!!",F1434="NEW"),"",INDEX(B1433:B$2,-1+SUMPRODUCT(MAX(ROW(E1433:E$2)*(E1434=E1433:E$2)))))</f>
        <v> </v>
      </c>
      <c r="J1434" s="25" t="str">
        <f>IF(OR(E1434="",E1434="!!!",F1434="NEW"),"",COUNTBLANK(OFFSET(A$1,,,SUMPRODUCT(MAX(ROW(E$2:E1434)*(E1434=E$2:E1434)))))-COUNTBLANK(OFFSET(A$1,,,SUMPRODUCT(MAX(ROW(E$1:E1433)*(E2=E$1:E1433))))))</f>
        <v> </v>
      </c>
      <c r="K1434" s="25" t="str">
        <f>IF(OR(E1434="",E1434="!!!",F1434="NEW"),"",INDEX(J$1:J1433,SUMPRODUCT(MAX(ROW(E$1:E1433)*(E1434=E$1:E1433)))))</f>
        <v> </v>
      </c>
      <c r="L1434" s="26"/>
    </row>
    <row r="1435" spans="1:12">
      <c r="A1435" s="20"/>
    </row>
    <row r="1436" spans="1:12">
      <c r="A1436" s="20" t="s">
        <v>1135</v>
      </c>
    </row>
    <row r="1437" spans="1:12">
      <c r="A1437" s="20" t="s">
        <v>1125</v>
      </c>
      <c r="E1437" s="21">
        <f>IF(D1437="?OLD","!!!","")</f>
        <v/>
      </c>
      <c r="F1437" s="22" t="str">
        <f>IF(OR(E1437="",E1437="!!!"),"",IF(NOT(ISNA(VLOOKUP(E1437,E$1:E1436,1,FALSE()))),"OLD",IF(AND(E1437&lt;&gt;"",E1437&lt;&gt;"!!!"),"NEW","")))</f>
        <v> </v>
      </c>
      <c r="G1437" s="23" t="str">
        <f>IF(OR(E1437="",E1437="!!!"),"",IF(OR(J1437=0,AND(J1437=1,K1437=1),AND(J1437=1,I1437="SBJ"),AND(J1437=1,I1437=0)),"?IN_FOCUS",IF(J1437&lt;=2,"?ACTIVATED",IF(J1437&lt;&gt;"","?FAMILIAR",IF(F1437="NEW",IF(ISNA(VLOOKUP(E1437,#REF!,1,FALSE())),"?TYPE_IDENTIFIABLE","?REFERENTIAL"),"_")))))</f>
        <v> </v>
      </c>
      <c r="H1437" s="24" t="str">
        <f>IF(J1437&lt;&gt;1,"",IF(I1437="SBJ","CB","?"))</f>
        <v> </v>
      </c>
      <c r="I1437" s="25" t="str">
        <f>IF(OR(E1437="",E1437="!!!",F1437="NEW"),"",INDEX(B1436:B$2,-1+SUMPRODUCT(MAX(ROW(E1436:E$2)*(E1437=E1436:E$2)))))</f>
        <v> </v>
      </c>
      <c r="J1437" s="25" t="str">
        <f>IF(OR(E1437="",E1437="!!!",F1437="NEW"),"",COUNTBLANK(OFFSET(A$1,,,SUMPRODUCT(MAX(ROW(E$2:E1437)*(E1437=E$2:E1437)))))-COUNTBLANK(OFFSET(A$1,,,SUMPRODUCT(MAX(ROW(E$1:E1436)*(E2=E$1:E1436))))))</f>
        <v> </v>
      </c>
      <c r="K1437" s="25" t="str">
        <f>IF(OR(E1437="",E1437="!!!",F1437="NEW"),"",INDEX(J$1:J1436,SUMPRODUCT(MAX(ROW(E$1:E1436)*(E1437=E$1:E1436)))))</f>
        <v> </v>
      </c>
      <c r="L1437" s="26"/>
    </row>
    <row r="1438" spans="1:12">
      <c r="A1438" s="20" t="s">
        <v>482</v>
      </c>
      <c r="E1438" s="21">
        <f>IF(D1438="?OLD","!!!","")</f>
        <v/>
      </c>
      <c r="F1438" s="22" t="str">
        <f>IF(OR(E1438="",E1438="!!!"),"",IF(NOT(ISNA(VLOOKUP(E1438,E$1:E1437,1,FALSE()))),"OLD",IF(AND(E1438&lt;&gt;"",E1438&lt;&gt;"!!!"),"NEW","")))</f>
        <v> </v>
      </c>
      <c r="G1438" s="23" t="str">
        <f>IF(OR(E1438="",E1438="!!!"),"",IF(OR(J1438=0,AND(J1438=1,K1438=1),AND(J1438=1,I1438="SBJ"),AND(J1438=1,I1438=0)),"?IN_FOCUS",IF(J1438&lt;=2,"?ACTIVATED",IF(J1438&lt;&gt;"","?FAMILIAR",IF(F1438="NEW",IF(ISNA(VLOOKUP(E1438,#REF!,1,FALSE())),"?TYPE_IDENTIFIABLE","?REFERENTIAL"),"_")))))</f>
        <v> </v>
      </c>
      <c r="H1438" s="24" t="str">
        <f>IF(J1438&lt;&gt;1,"",IF(I1438="SBJ","CB","?"))</f>
        <v> </v>
      </c>
      <c r="I1438" s="25" t="str">
        <f>IF(OR(E1438="",E1438="!!!",F1438="NEW"),"",INDEX(B1437:B$2,-1+SUMPRODUCT(MAX(ROW(E1437:E$2)*(E1438=E1437:E$2)))))</f>
        <v> </v>
      </c>
      <c r="J1438" s="25" t="str">
        <f>IF(OR(E1438="",E1438="!!!",F1438="NEW"),"",COUNTBLANK(OFFSET(A$1,,,SUMPRODUCT(MAX(ROW(E$2:E1438)*(E1438=E$2:E1438)))))-COUNTBLANK(OFFSET(A$1,,,SUMPRODUCT(MAX(ROW(E$1:E1437)*(E2=E$1:E1437))))))</f>
        <v> </v>
      </c>
      <c r="K1438" s="25" t="str">
        <f>IF(OR(E1438="",E1438="!!!",F1438="NEW"),"",INDEX(J$1:J1437,SUMPRODUCT(MAX(ROW(E$1:E1437)*(E1438=E$1:E1437)))))</f>
        <v> </v>
      </c>
      <c r="L1438" s="26"/>
    </row>
    <row r="1439" spans="1:12">
      <c r="A1439" s="20" t="s">
        <v>498</v>
      </c>
      <c r="E1439" s="21">
        <f>IF(D1439="?OLD","!!!","")</f>
        <v/>
      </c>
      <c r="F1439" s="22" t="str">
        <f>IF(OR(E1439="",E1439="!!!"),"",IF(NOT(ISNA(VLOOKUP(E1439,E$1:E1438,1,FALSE()))),"OLD",IF(AND(E1439&lt;&gt;"",E1439&lt;&gt;"!!!"),"NEW","")))</f>
        <v> </v>
      </c>
      <c r="G1439" s="23" t="str">
        <f>IF(OR(E1439="",E1439="!!!"),"",IF(OR(J1439=0,AND(J1439=1,K1439=1),AND(J1439=1,I1439="SBJ"),AND(J1439=1,I1439=0)),"?IN_FOCUS",IF(J1439&lt;=2,"?ACTIVATED",IF(J1439&lt;&gt;"","?FAMILIAR",IF(F1439="NEW",IF(ISNA(VLOOKUP(E1439,#REF!,1,FALSE())),"?TYPE_IDENTIFIABLE","?REFERENTIAL"),"_")))))</f>
        <v> </v>
      </c>
      <c r="H1439" s="24" t="str">
        <f>IF(J1439&lt;&gt;1,"",IF(I1439="SBJ","CB","?"))</f>
        <v> </v>
      </c>
      <c r="I1439" s="25" t="str">
        <f>IF(OR(E1439="",E1439="!!!",F1439="NEW"),"",INDEX(B1438:B$2,-1+SUMPRODUCT(MAX(ROW(E1438:E$2)*(E1439=E1438:E$2)))))</f>
        <v> </v>
      </c>
      <c r="J1439" s="25" t="str">
        <f>IF(OR(E1439="",E1439="!!!",F1439="NEW"),"",COUNTBLANK(OFFSET(A$1,,,SUMPRODUCT(MAX(ROW(E$2:E1439)*(E1439=E$2:E1439)))))-COUNTBLANK(OFFSET(A$1,,,SUMPRODUCT(MAX(ROW(E$1:E1438)*(E2=E$1:E1438))))))</f>
        <v> </v>
      </c>
      <c r="K1439" s="25" t="str">
        <f>IF(OR(E1439="",E1439="!!!",F1439="NEW"),"",INDEX(J$1:J1438,SUMPRODUCT(MAX(ROW(E$1:E1438)*(E1439=E$1:E1438)))))</f>
        <v> </v>
      </c>
      <c r="L1439" s="26"/>
    </row>
    <row r="1440" spans="1:12">
      <c r="A1440" s="20" t="s">
        <v>1136</v>
      </c>
      <c r="E1440" s="21">
        <f>IF(D1440="?OLD","!!!","")</f>
        <v/>
      </c>
      <c r="F1440" s="22" t="str">
        <f>IF(OR(E1440="",E1440="!!!"),"",IF(NOT(ISNA(VLOOKUP(E1440,E$1:E1439,1,FALSE()))),"OLD",IF(AND(E1440&lt;&gt;"",E1440&lt;&gt;"!!!"),"NEW","")))</f>
        <v> </v>
      </c>
      <c r="G1440" s="23" t="str">
        <f>IF(OR(E1440="",E1440="!!!"),"",IF(OR(J1440=0,AND(J1440=1,K1440=1),AND(J1440=1,I1440="SBJ"),AND(J1440=1,I1440=0)),"?IN_FOCUS",IF(J1440&lt;=2,"?ACTIVATED",IF(J1440&lt;&gt;"","?FAMILIAR",IF(F1440="NEW",IF(ISNA(VLOOKUP(E1440,#REF!,1,FALSE())),"?TYPE_IDENTIFIABLE","?REFERENTIAL"),"_")))))</f>
        <v> </v>
      </c>
      <c r="H1440" s="24" t="str">
        <f>IF(J1440&lt;&gt;1,"",IF(I1440="SBJ","CB","?"))</f>
        <v> </v>
      </c>
      <c r="I1440" s="25" t="str">
        <f>IF(OR(E1440="",E1440="!!!",F1440="NEW"),"",INDEX(B1439:B$2,-1+SUMPRODUCT(MAX(ROW(E1439:E$2)*(E1440=E1439:E$2)))))</f>
        <v> </v>
      </c>
      <c r="J1440" s="25" t="str">
        <f>IF(OR(E1440="",E1440="!!!",F1440="NEW"),"",COUNTBLANK(OFFSET(A$1,,,SUMPRODUCT(MAX(ROW(E$2:E1440)*(E1440=E$2:E1440)))))-COUNTBLANK(OFFSET(A$1,,,SUMPRODUCT(MAX(ROW(E$1:E1439)*(E2=E$1:E1439))))))</f>
        <v> </v>
      </c>
      <c r="K1440" s="25" t="str">
        <f>IF(OR(E1440="",E1440="!!!",F1440="NEW"),"",INDEX(J$1:J1439,SUMPRODUCT(MAX(ROW(E$1:E1439)*(E1440=E$1:E1439)))))</f>
        <v> </v>
      </c>
      <c r="L1440" s="26"/>
    </row>
    <row r="1441" spans="1:12">
      <c r="A1441" s="20" t="s">
        <v>515</v>
      </c>
      <c r="E1441" s="21">
        <f>IF(D1441="?OLD","!!!","")</f>
        <v/>
      </c>
      <c r="F1441" s="22" t="str">
        <f>IF(OR(E1441="",E1441="!!!"),"",IF(NOT(ISNA(VLOOKUP(E1441,E$1:E1440,1,FALSE()))),"OLD",IF(AND(E1441&lt;&gt;"",E1441&lt;&gt;"!!!"),"NEW","")))</f>
        <v> </v>
      </c>
      <c r="G1441" s="23" t="str">
        <f>IF(OR(E1441="",E1441="!!!"),"",IF(OR(J1441=0,AND(J1441=1,K1441=1),AND(J1441=1,I1441="SBJ"),AND(J1441=1,I1441=0)),"?IN_FOCUS",IF(J1441&lt;=2,"?ACTIVATED",IF(J1441&lt;&gt;"","?FAMILIAR",IF(F1441="NEW",IF(ISNA(VLOOKUP(E1441,#REF!,1,FALSE())),"?TYPE_IDENTIFIABLE","?REFERENTIAL"),"_")))))</f>
        <v> </v>
      </c>
      <c r="H1441" s="24" t="str">
        <f>IF(J1441&lt;&gt;1,"",IF(I1441="SBJ","CB","?"))</f>
        <v> </v>
      </c>
      <c r="I1441" s="25" t="str">
        <f>IF(OR(E1441="",E1441="!!!",F1441="NEW"),"",INDEX(B1440:B$2,-1+SUMPRODUCT(MAX(ROW(E1440:E$2)*(E1441=E1440:E$2)))))</f>
        <v> </v>
      </c>
      <c r="J1441" s="25" t="str">
        <f>IF(OR(E1441="",E1441="!!!",F1441="NEW"),"",COUNTBLANK(OFFSET(A$1,,,SUMPRODUCT(MAX(ROW(E$2:E1441)*(E1441=E$2:E1441)))))-COUNTBLANK(OFFSET(A$1,,,SUMPRODUCT(MAX(ROW(E$1:E1440)*(E2=E$1:E1440))))))</f>
        <v> </v>
      </c>
      <c r="K1441" s="25" t="str">
        <f>IF(OR(E1441="",E1441="!!!",F1441="NEW"),"",INDEX(J$1:J1440,SUMPRODUCT(MAX(ROW(E$1:E1440)*(E1441=E$1:E1440)))))</f>
        <v> </v>
      </c>
      <c r="L1441" s="26"/>
    </row>
    <row r="1442" spans="1:12">
      <c r="A1442" s="20"/>
    </row>
    <row r="1443" spans="1:12">
      <c r="A1443" s="20" t="s">
        <v>1137</v>
      </c>
    </row>
    <row r="1444" spans="1:12">
      <c r="A1444" s="20" t="s">
        <v>1138</v>
      </c>
      <c r="E1444" s="21">
        <f>IF(D1444="?OLD","!!!","")</f>
        <v/>
      </c>
      <c r="F1444" s="22" t="str">
        <f>IF(OR(E1444="",E1444="!!!"),"",IF(NOT(ISNA(VLOOKUP(E1444,E$1:E1443,1,FALSE()))),"OLD",IF(AND(E1444&lt;&gt;"",E1444&lt;&gt;"!!!"),"NEW","")))</f>
        <v> </v>
      </c>
      <c r="G1444" s="23" t="str">
        <f>IF(OR(E1444="",E1444="!!!"),"",IF(OR(J1444=0,AND(J1444=1,K1444=1),AND(J1444=1,I1444="SBJ"),AND(J1444=1,I1444=0)),"?IN_FOCUS",IF(J1444&lt;=2,"?ACTIVATED",IF(J1444&lt;&gt;"","?FAMILIAR",IF(F1444="NEW",IF(ISNA(VLOOKUP(E1444,#REF!,1,FALSE())),"?TYPE_IDENTIFIABLE","?REFERENTIAL"),"_")))))</f>
        <v> </v>
      </c>
      <c r="H1444" s="24" t="str">
        <f>IF(J1444&lt;&gt;1,"",IF(I1444="SBJ","CB","?"))</f>
        <v> </v>
      </c>
      <c r="I1444" s="25" t="str">
        <f>IF(OR(E1444="",E1444="!!!",F1444="NEW"),"",INDEX(B1443:B$2,-1+SUMPRODUCT(MAX(ROW(E1443:E$2)*(E1444=E1443:E$2)))))</f>
        <v> </v>
      </c>
      <c r="J1444" s="25" t="str">
        <f>IF(OR(E1444="",E1444="!!!",F1444="NEW"),"",COUNTBLANK(OFFSET(A$1,,,SUMPRODUCT(MAX(ROW(E$2:E1444)*(E1444=E$2:E1444)))))-COUNTBLANK(OFFSET(A$1,,,SUMPRODUCT(MAX(ROW(E$1:E1443)*(E2=E$1:E1443))))))</f>
        <v> </v>
      </c>
      <c r="K1444" s="25" t="str">
        <f>IF(OR(E1444="",E1444="!!!",F1444="NEW"),"",INDEX(J$1:J1443,SUMPRODUCT(MAX(ROW(E$1:E1443)*(E1444=E$1:E1443)))))</f>
        <v> </v>
      </c>
      <c r="L1444" s="26"/>
    </row>
    <row r="1445" spans="1:12">
      <c r="A1445" s="20" t="s">
        <v>1139</v>
      </c>
      <c r="E1445" s="21">
        <f>IF(D1445="?OLD","!!!","")</f>
        <v/>
      </c>
      <c r="F1445" s="22" t="str">
        <f>IF(OR(E1445="",E1445="!!!"),"",IF(NOT(ISNA(VLOOKUP(E1445,E$1:E1444,1,FALSE()))),"OLD",IF(AND(E1445&lt;&gt;"",E1445&lt;&gt;"!!!"),"NEW","")))</f>
        <v> </v>
      </c>
      <c r="G1445" s="23" t="str">
        <f>IF(OR(E1445="",E1445="!!!"),"",IF(OR(J1445=0,AND(J1445=1,K1445=1),AND(J1445=1,I1445="SBJ"),AND(J1445=1,I1445=0)),"?IN_FOCUS",IF(J1445&lt;=2,"?ACTIVATED",IF(J1445&lt;&gt;"","?FAMILIAR",IF(F1445="NEW",IF(ISNA(VLOOKUP(E1445,#REF!,1,FALSE())),"?TYPE_IDENTIFIABLE","?REFERENTIAL"),"_")))))</f>
        <v> </v>
      </c>
      <c r="H1445" s="24" t="str">
        <f>IF(J1445&lt;&gt;1,"",IF(I1445="SBJ","CB","?"))</f>
        <v> </v>
      </c>
      <c r="I1445" s="25" t="str">
        <f>IF(OR(E1445="",E1445="!!!",F1445="NEW"),"",INDEX(B1444:B$2,-1+SUMPRODUCT(MAX(ROW(E1444:E$2)*(E1445=E1444:E$2)))))</f>
        <v> </v>
      </c>
      <c r="J1445" s="25" t="str">
        <f>IF(OR(E1445="",E1445="!!!",F1445="NEW"),"",COUNTBLANK(OFFSET(A$1,,,SUMPRODUCT(MAX(ROW(E$2:E1445)*(E1445=E$2:E1445)))))-COUNTBLANK(OFFSET(A$1,,,SUMPRODUCT(MAX(ROW(E$1:E1444)*(E2=E$1:E1444))))))</f>
        <v> </v>
      </c>
      <c r="K1445" s="25" t="str">
        <f>IF(OR(E1445="",E1445="!!!",F1445="NEW"),"",INDEX(J$1:J1444,SUMPRODUCT(MAX(ROW(E$1:E1444)*(E1445=E$1:E1444)))))</f>
        <v> </v>
      </c>
      <c r="L1445" s="26"/>
    </row>
    <row r="1446" spans="1:12">
      <c r="A1446" s="20" t="s">
        <v>253</v>
      </c>
      <c r="E1446" s="21">
        <f>IF(D1446="?OLD","!!!","")</f>
        <v/>
      </c>
      <c r="F1446" s="22" t="str">
        <f>IF(OR(E1446="",E1446="!!!"),"",IF(NOT(ISNA(VLOOKUP(E1446,E$1:E1445,1,FALSE()))),"OLD",IF(AND(E1446&lt;&gt;"",E1446&lt;&gt;"!!!"),"NEW","")))</f>
        <v> </v>
      </c>
      <c r="G1446" s="23" t="str">
        <f>IF(OR(E1446="",E1446="!!!"),"",IF(OR(J1446=0,AND(J1446=1,K1446=1),AND(J1446=1,I1446="SBJ"),AND(J1446=1,I1446=0)),"?IN_FOCUS",IF(J1446&lt;=2,"?ACTIVATED",IF(J1446&lt;&gt;"","?FAMILIAR",IF(F1446="NEW",IF(ISNA(VLOOKUP(E1446,#REF!,1,FALSE())),"?TYPE_IDENTIFIABLE","?REFERENTIAL"),"_")))))</f>
        <v> </v>
      </c>
      <c r="H1446" s="24" t="str">
        <f>IF(J1446&lt;&gt;1,"",IF(I1446="SBJ","CB","?"))</f>
        <v> </v>
      </c>
      <c r="I1446" s="25" t="str">
        <f>IF(OR(E1446="",E1446="!!!",F1446="NEW"),"",INDEX(B1445:B$2,-1+SUMPRODUCT(MAX(ROW(E1445:E$2)*(E1446=E1445:E$2)))))</f>
        <v> </v>
      </c>
      <c r="J1446" s="25" t="str">
        <f>IF(OR(E1446="",E1446="!!!",F1446="NEW"),"",COUNTBLANK(OFFSET(A$1,,,SUMPRODUCT(MAX(ROW(E$2:E1446)*(E1446=E$2:E1446)))))-COUNTBLANK(OFFSET(A$1,,,SUMPRODUCT(MAX(ROW(E$1:E1445)*(E2=E$1:E1445))))))</f>
        <v> </v>
      </c>
      <c r="K1446" s="25" t="str">
        <f>IF(OR(E1446="",E1446="!!!",F1446="NEW"),"",INDEX(J$1:J1445,SUMPRODUCT(MAX(ROW(E$1:E1445)*(E1446=E$1:E1445)))))</f>
        <v> </v>
      </c>
      <c r="L1446" s="26"/>
    </row>
    <row r="1447" spans="1:12">
      <c r="A1447" s="20"/>
    </row>
    <row r="1448" spans="1:12">
      <c r="A1448" s="20" t="s">
        <v>1140</v>
      </c>
    </row>
    <row r="1449" spans="1:12">
      <c r="A1449" s="20" t="s">
        <v>686</v>
      </c>
      <c r="E1449" s="21">
        <f>IF(D1449="?OLD","!!!","")</f>
        <v/>
      </c>
      <c r="F1449" s="22" t="str">
        <f>IF(OR(E1449="",E1449="!!!"),"",IF(NOT(ISNA(VLOOKUP(E1449,E$1:E1448,1,FALSE()))),"OLD",IF(AND(E1449&lt;&gt;"",E1449&lt;&gt;"!!!"),"NEW","")))</f>
        <v> </v>
      </c>
      <c r="G1449" s="23" t="str">
        <f>IF(OR(E1449="",E1449="!!!"),"",IF(OR(J1449=0,AND(J1449=1,K1449=1),AND(J1449=1,I1449="SBJ"),AND(J1449=1,I1449=0)),"?IN_FOCUS",IF(J1449&lt;=2,"?ACTIVATED",IF(J1449&lt;&gt;"","?FAMILIAR",IF(F1449="NEW",IF(ISNA(VLOOKUP(E1449,#REF!,1,FALSE())),"?TYPE_IDENTIFIABLE","?REFERENTIAL"),"_")))))</f>
        <v> </v>
      </c>
      <c r="H1449" s="24" t="str">
        <f>IF(J1449&lt;&gt;1,"",IF(I1449="SBJ","CB","?"))</f>
        <v> </v>
      </c>
      <c r="I1449" s="25" t="str">
        <f>IF(OR(E1449="",E1449="!!!",F1449="NEW"),"",INDEX(B1448:B$2,-1+SUMPRODUCT(MAX(ROW(E1448:E$2)*(E1449=E1448:E$2)))))</f>
        <v> </v>
      </c>
      <c r="J1449" s="25" t="str">
        <f>IF(OR(E1449="",E1449="!!!",F1449="NEW"),"",COUNTBLANK(OFFSET(A$1,,,SUMPRODUCT(MAX(ROW(E$2:E1449)*(E1449=E$2:E1449)))))-COUNTBLANK(OFFSET(A$1,,,SUMPRODUCT(MAX(ROW(E$1:E1448)*(E2=E$1:E1448))))))</f>
        <v> </v>
      </c>
      <c r="K1449" s="25" t="str">
        <f>IF(OR(E1449="",E1449="!!!",F1449="NEW"),"",INDEX(J$1:J1448,SUMPRODUCT(MAX(ROW(E$1:E1448)*(E1449=E$1:E1448)))))</f>
        <v> </v>
      </c>
      <c r="L1449" s="26"/>
    </row>
    <row r="1450" spans="1:12">
      <c r="A1450" s="20" t="s">
        <v>1141</v>
      </c>
      <c r="E1450" s="21">
        <f>IF(D1450="?OLD","!!!","")</f>
        <v/>
      </c>
      <c r="F1450" s="22" t="str">
        <f>IF(OR(E1450="",E1450="!!!"),"",IF(NOT(ISNA(VLOOKUP(E1450,E$1:E1449,1,FALSE()))),"OLD",IF(AND(E1450&lt;&gt;"",E1450&lt;&gt;"!!!"),"NEW","")))</f>
        <v> </v>
      </c>
      <c r="G1450" s="23" t="str">
        <f>IF(OR(E1450="",E1450="!!!"),"",IF(OR(J1450=0,AND(J1450=1,K1450=1),AND(J1450=1,I1450="SBJ"),AND(J1450=1,I1450=0)),"?IN_FOCUS",IF(J1450&lt;=2,"?ACTIVATED",IF(J1450&lt;&gt;"","?FAMILIAR",IF(F1450="NEW",IF(ISNA(VLOOKUP(E1450,#REF!,1,FALSE())),"?TYPE_IDENTIFIABLE","?REFERENTIAL"),"_")))))</f>
        <v> </v>
      </c>
      <c r="H1450" s="24" t="str">
        <f>IF(J1450&lt;&gt;1,"",IF(I1450="SBJ","CB","?"))</f>
        <v> </v>
      </c>
      <c r="I1450" s="25" t="str">
        <f>IF(OR(E1450="",E1450="!!!",F1450="NEW"),"",INDEX(B1449:B$2,-1+SUMPRODUCT(MAX(ROW(E1449:E$2)*(E1450=E1449:E$2)))))</f>
        <v> </v>
      </c>
      <c r="J1450" s="25" t="str">
        <f>IF(OR(E1450="",E1450="!!!",F1450="NEW"),"",COUNTBLANK(OFFSET(A$1,,,SUMPRODUCT(MAX(ROW(E$2:E1450)*(E1450=E$2:E1450)))))-COUNTBLANK(OFFSET(A$1,,,SUMPRODUCT(MAX(ROW(E$1:E1449)*(E2=E$1:E1449))))))</f>
        <v> </v>
      </c>
      <c r="K1450" s="25" t="str">
        <f>IF(OR(E1450="",E1450="!!!",F1450="NEW"),"",INDEX(J$1:J1449,SUMPRODUCT(MAX(ROW(E$1:E1449)*(E1450=E$1:E1449)))))</f>
        <v> </v>
      </c>
      <c r="L1450" s="26"/>
    </row>
    <row r="1451" spans="1:12">
      <c r="A1451" s="20" t="s">
        <v>688</v>
      </c>
      <c r="E1451" s="21">
        <f>IF(D1451="?OLD","!!!","")</f>
        <v/>
      </c>
      <c r="F1451" s="22" t="str">
        <f>IF(OR(E1451="",E1451="!!!"),"",IF(NOT(ISNA(VLOOKUP(E1451,E$1:E1450,1,FALSE()))),"OLD",IF(AND(E1451&lt;&gt;"",E1451&lt;&gt;"!!!"),"NEW","")))</f>
        <v> </v>
      </c>
      <c r="G1451" s="23" t="str">
        <f>IF(OR(E1451="",E1451="!!!"),"",IF(OR(J1451=0,AND(J1451=1,K1451=1),AND(J1451=1,I1451="SBJ"),AND(J1451=1,I1451=0)),"?IN_FOCUS",IF(J1451&lt;=2,"?ACTIVATED",IF(J1451&lt;&gt;"","?FAMILIAR",IF(F1451="NEW",IF(ISNA(VLOOKUP(E1451,#REF!,1,FALSE())),"?TYPE_IDENTIFIABLE","?REFERENTIAL"),"_")))))</f>
        <v> </v>
      </c>
      <c r="H1451" s="24" t="str">
        <f>IF(J1451&lt;&gt;1,"",IF(I1451="SBJ","CB","?"))</f>
        <v> </v>
      </c>
      <c r="I1451" s="25" t="str">
        <f>IF(OR(E1451="",E1451="!!!",F1451="NEW"),"",INDEX(B1450:B$2,-1+SUMPRODUCT(MAX(ROW(E1450:E$2)*(E1451=E1450:E$2)))))</f>
        <v> </v>
      </c>
      <c r="J1451" s="25" t="str">
        <f>IF(OR(E1451="",E1451="!!!",F1451="NEW"),"",COUNTBLANK(OFFSET(A$1,,,SUMPRODUCT(MAX(ROW(E$2:E1451)*(E1451=E$2:E1451)))))-COUNTBLANK(OFFSET(A$1,,,SUMPRODUCT(MAX(ROW(E$1:E1450)*(E2=E$1:E1450))))))</f>
        <v> </v>
      </c>
      <c r="K1451" s="25" t="str">
        <f>IF(OR(E1451="",E1451="!!!",F1451="NEW"),"",INDEX(J$1:J1450,SUMPRODUCT(MAX(ROW(E$1:E1450)*(E1451=E$1:E1450)))))</f>
        <v> </v>
      </c>
      <c r="L1451" s="26"/>
    </row>
    <row r="1452" spans="1:12">
      <c r="A1452" s="20" t="s">
        <v>1142</v>
      </c>
      <c r="E1452" s="21">
        <f>IF(D1452="?OLD","!!!","")</f>
        <v/>
      </c>
      <c r="F1452" s="22" t="str">
        <f>IF(OR(E1452="",E1452="!!!"),"",IF(NOT(ISNA(VLOOKUP(E1452,E$1:E1451,1,FALSE()))),"OLD",IF(AND(E1452&lt;&gt;"",E1452&lt;&gt;"!!!"),"NEW","")))</f>
        <v> </v>
      </c>
      <c r="G1452" s="23" t="str">
        <f>IF(OR(E1452="",E1452="!!!"),"",IF(OR(J1452=0,AND(J1452=1,K1452=1),AND(J1452=1,I1452="SBJ"),AND(J1452=1,I1452=0)),"?IN_FOCUS",IF(J1452&lt;=2,"?ACTIVATED",IF(J1452&lt;&gt;"","?FAMILIAR",IF(F1452="NEW",IF(ISNA(VLOOKUP(E1452,#REF!,1,FALSE())),"?TYPE_IDENTIFIABLE","?REFERENTIAL"),"_")))))</f>
        <v> </v>
      </c>
      <c r="H1452" s="24" t="str">
        <f>IF(J1452&lt;&gt;1,"",IF(I1452="SBJ","CB","?"))</f>
        <v> </v>
      </c>
      <c r="I1452" s="25" t="str">
        <f>IF(OR(E1452="",E1452="!!!",F1452="NEW"),"",INDEX(B1451:B$2,-1+SUMPRODUCT(MAX(ROW(E1451:E$2)*(E1452=E1451:E$2)))))</f>
        <v> </v>
      </c>
      <c r="J1452" s="25" t="str">
        <f>IF(OR(E1452="",E1452="!!!",F1452="NEW"),"",COUNTBLANK(OFFSET(A$1,,,SUMPRODUCT(MAX(ROW(E$2:E1452)*(E1452=E$2:E1452)))))-COUNTBLANK(OFFSET(A$1,,,SUMPRODUCT(MAX(ROW(E$1:E1451)*(E2=E$1:E1451))))))</f>
        <v> </v>
      </c>
      <c r="K1452" s="25" t="str">
        <f>IF(OR(E1452="",E1452="!!!",F1452="NEW"),"",INDEX(J$1:J1451,SUMPRODUCT(MAX(ROW(E$1:E1451)*(E1452=E$1:E1451)))))</f>
        <v> </v>
      </c>
      <c r="L1452" s="26"/>
    </row>
    <row r="1453" spans="1:12">
      <c r="A1453" s="20" t="s">
        <v>482</v>
      </c>
      <c r="E1453" s="21">
        <f>IF(D1453="?OLD","!!!","")</f>
        <v/>
      </c>
      <c r="F1453" s="22" t="str">
        <f>IF(OR(E1453="",E1453="!!!"),"",IF(NOT(ISNA(VLOOKUP(E1453,E$1:E1452,1,FALSE()))),"OLD",IF(AND(E1453&lt;&gt;"",E1453&lt;&gt;"!!!"),"NEW","")))</f>
        <v> </v>
      </c>
      <c r="G1453" s="23" t="str">
        <f>IF(OR(E1453="",E1453="!!!"),"",IF(OR(J1453=0,AND(J1453=1,K1453=1),AND(J1453=1,I1453="SBJ"),AND(J1453=1,I1453=0)),"?IN_FOCUS",IF(J1453&lt;=2,"?ACTIVATED",IF(J1453&lt;&gt;"","?FAMILIAR",IF(F1453="NEW",IF(ISNA(VLOOKUP(E1453,#REF!,1,FALSE())),"?TYPE_IDENTIFIABLE","?REFERENTIAL"),"_")))))</f>
        <v> </v>
      </c>
      <c r="H1453" s="24" t="str">
        <f>IF(J1453&lt;&gt;1,"",IF(I1453="SBJ","CB","?"))</f>
        <v> </v>
      </c>
      <c r="I1453" s="25" t="str">
        <f>IF(OR(E1453="",E1453="!!!",F1453="NEW"),"",INDEX(B1452:B$2,-1+SUMPRODUCT(MAX(ROW(E1452:E$2)*(E1453=E1452:E$2)))))</f>
        <v> </v>
      </c>
      <c r="J1453" s="25" t="str">
        <f>IF(OR(E1453="",E1453="!!!",F1453="NEW"),"",COUNTBLANK(OFFSET(A$1,,,SUMPRODUCT(MAX(ROW(E$2:E1453)*(E1453=E$2:E1453)))))-COUNTBLANK(OFFSET(A$1,,,SUMPRODUCT(MAX(ROW(E$1:E1452)*(E2=E$1:E1452))))))</f>
        <v> </v>
      </c>
      <c r="K1453" s="25" t="str">
        <f>IF(OR(E1453="",E1453="!!!",F1453="NEW"),"",INDEX(J$1:J1452,SUMPRODUCT(MAX(ROW(E$1:E1452)*(E1453=E$1:E1452)))))</f>
        <v> </v>
      </c>
      <c r="L1453" s="26"/>
    </row>
    <row r="1454" spans="1:12">
      <c r="A1454" s="20" t="s">
        <v>1119</v>
      </c>
      <c r="E1454" s="21">
        <f>IF(D1454="?OLD","!!!","")</f>
        <v/>
      </c>
      <c r="F1454" s="22" t="str">
        <f>IF(OR(E1454="",E1454="!!!"),"",IF(NOT(ISNA(VLOOKUP(E1454,E$1:E1453,1,FALSE()))),"OLD",IF(AND(E1454&lt;&gt;"",E1454&lt;&gt;"!!!"),"NEW","")))</f>
        <v> </v>
      </c>
      <c r="G1454" s="23" t="str">
        <f>IF(OR(E1454="",E1454="!!!"),"",IF(OR(J1454=0,AND(J1454=1,K1454=1),AND(J1454=1,I1454="SBJ"),AND(J1454=1,I1454=0)),"?IN_FOCUS",IF(J1454&lt;=2,"?ACTIVATED",IF(J1454&lt;&gt;"","?FAMILIAR",IF(F1454="NEW",IF(ISNA(VLOOKUP(E1454,#REF!,1,FALSE())),"?TYPE_IDENTIFIABLE","?REFERENTIAL"),"_")))))</f>
        <v> </v>
      </c>
      <c r="H1454" s="24" t="str">
        <f>IF(J1454&lt;&gt;1,"",IF(I1454="SBJ","CB","?"))</f>
        <v> </v>
      </c>
      <c r="I1454" s="25" t="str">
        <f>IF(OR(E1454="",E1454="!!!",F1454="NEW"),"",INDEX(B1453:B$2,-1+SUMPRODUCT(MAX(ROW(E1453:E$2)*(E1454=E1453:E$2)))))</f>
        <v> </v>
      </c>
      <c r="J1454" s="25" t="str">
        <f>IF(OR(E1454="",E1454="!!!",F1454="NEW"),"",COUNTBLANK(OFFSET(A$1,,,SUMPRODUCT(MAX(ROW(E$2:E1454)*(E1454=E$2:E1454)))))-COUNTBLANK(OFFSET(A$1,,,SUMPRODUCT(MAX(ROW(E$1:E1453)*(E2=E$1:E1453))))))</f>
        <v> </v>
      </c>
      <c r="K1454" s="25" t="str">
        <f>IF(OR(E1454="",E1454="!!!",F1454="NEW"),"",INDEX(J$1:J1453,SUMPRODUCT(MAX(ROW(E$1:E1453)*(E1454=E$1:E1453)))))</f>
        <v> </v>
      </c>
      <c r="L1454" s="26"/>
    </row>
    <row r="1455" spans="1:12">
      <c r="A1455" s="20" t="s">
        <v>253</v>
      </c>
      <c r="E1455" s="21">
        <f>IF(D1455="?OLD","!!!","")</f>
        <v/>
      </c>
      <c r="F1455" s="22" t="str">
        <f>IF(OR(E1455="",E1455="!!!"),"",IF(NOT(ISNA(VLOOKUP(E1455,E$1:E1454,1,FALSE()))),"OLD",IF(AND(E1455&lt;&gt;"",E1455&lt;&gt;"!!!"),"NEW","")))</f>
        <v> </v>
      </c>
      <c r="G1455" s="23" t="str">
        <f>IF(OR(E1455="",E1455="!!!"),"",IF(OR(J1455=0,AND(J1455=1,K1455=1),AND(J1455=1,I1455="SBJ"),AND(J1455=1,I1455=0)),"?IN_FOCUS",IF(J1455&lt;=2,"?ACTIVATED",IF(J1455&lt;&gt;"","?FAMILIAR",IF(F1455="NEW",IF(ISNA(VLOOKUP(E1455,#REF!,1,FALSE())),"?TYPE_IDENTIFIABLE","?REFERENTIAL"),"_")))))</f>
        <v> </v>
      </c>
      <c r="H1455" s="24" t="str">
        <f>IF(J1455&lt;&gt;1,"",IF(I1455="SBJ","CB","?"))</f>
        <v> </v>
      </c>
      <c r="I1455" s="25" t="str">
        <f>IF(OR(E1455="",E1455="!!!",F1455="NEW"),"",INDEX(B1454:B$2,-1+SUMPRODUCT(MAX(ROW(E1454:E$2)*(E1455=E1454:E$2)))))</f>
        <v> </v>
      </c>
      <c r="J1455" s="25" t="str">
        <f>IF(OR(E1455="",E1455="!!!",F1455="NEW"),"",COUNTBLANK(OFFSET(A$1,,,SUMPRODUCT(MAX(ROW(E$2:E1455)*(E1455=E$2:E1455)))))-COUNTBLANK(OFFSET(A$1,,,SUMPRODUCT(MAX(ROW(E$1:E1454)*(E2=E$1:E1454))))))</f>
        <v> </v>
      </c>
      <c r="K1455" s="25" t="str">
        <f>IF(OR(E1455="",E1455="!!!",F1455="NEW"),"",INDEX(J$1:J1454,SUMPRODUCT(MAX(ROW(E$1:E1454)*(E1455=E$1:E1454)))))</f>
        <v> </v>
      </c>
      <c r="L1455" s="26"/>
    </row>
    <row r="1456" spans="1:12">
      <c r="A1456" s="20"/>
    </row>
    <row r="1457" spans="1:12">
      <c r="A1457" s="20" t="s">
        <v>1143</v>
      </c>
    </row>
    <row r="1458" spans="1:12">
      <c r="A1458" s="20" t="s">
        <v>686</v>
      </c>
      <c r="E1458" s="21">
        <f>IF(D1458="?OLD","!!!","")</f>
        <v/>
      </c>
      <c r="F1458" s="22" t="str">
        <f>IF(OR(E1458="",E1458="!!!"),"",IF(NOT(ISNA(VLOOKUP(E1458,E$1:E1457,1,FALSE()))),"OLD",IF(AND(E1458&lt;&gt;"",E1458&lt;&gt;"!!!"),"NEW","")))</f>
        <v> </v>
      </c>
      <c r="G1458" s="23" t="str">
        <f>IF(OR(E1458="",E1458="!!!"),"",IF(OR(J1458=0,AND(J1458=1,K1458=1),AND(J1458=1,I1458="SBJ"),AND(J1458=1,I1458=0)),"?IN_FOCUS",IF(J1458&lt;=2,"?ACTIVATED",IF(J1458&lt;&gt;"","?FAMILIAR",IF(F1458="NEW",IF(ISNA(VLOOKUP(E1458,#REF!,1,FALSE())),"?TYPE_IDENTIFIABLE","?REFERENTIAL"),"_")))))</f>
        <v> </v>
      </c>
      <c r="H1458" s="24" t="str">
        <f>IF(J1458&lt;&gt;1,"",IF(I1458="SBJ","CB","?"))</f>
        <v> </v>
      </c>
      <c r="I1458" s="25" t="str">
        <f>IF(OR(E1458="",E1458="!!!",F1458="NEW"),"",INDEX(B1457:B$2,-1+SUMPRODUCT(MAX(ROW(E1457:E$2)*(E1458=E1457:E$2)))))</f>
        <v> </v>
      </c>
      <c r="J1458" s="25" t="str">
        <f>IF(OR(E1458="",E1458="!!!",F1458="NEW"),"",COUNTBLANK(OFFSET(A$1,,,SUMPRODUCT(MAX(ROW(E$2:E1458)*(E1458=E$2:E1458)))))-COUNTBLANK(OFFSET(A$1,,,SUMPRODUCT(MAX(ROW(E$1:E1457)*(E2=E$1:E1457))))))</f>
        <v> </v>
      </c>
      <c r="K1458" s="25" t="str">
        <f>IF(OR(E1458="",E1458="!!!",F1458="NEW"),"",INDEX(J$1:J1457,SUMPRODUCT(MAX(ROW(E$1:E1457)*(E1458=E$1:E1457)))))</f>
        <v> </v>
      </c>
      <c r="L1458" s="26"/>
    </row>
    <row r="1459" spans="1:12">
      <c r="A1459" s="20" t="s">
        <v>1141</v>
      </c>
      <c r="E1459" s="21">
        <f>IF(D1459="?OLD","!!!","")</f>
        <v/>
      </c>
      <c r="F1459" s="22" t="str">
        <f>IF(OR(E1459="",E1459="!!!"),"",IF(NOT(ISNA(VLOOKUP(E1459,E$1:E1458,1,FALSE()))),"OLD",IF(AND(E1459&lt;&gt;"",E1459&lt;&gt;"!!!"),"NEW","")))</f>
        <v> </v>
      </c>
      <c r="G1459" s="23" t="str">
        <f>IF(OR(E1459="",E1459="!!!"),"",IF(OR(J1459=0,AND(J1459=1,K1459=1),AND(J1459=1,I1459="SBJ"),AND(J1459=1,I1459=0)),"?IN_FOCUS",IF(J1459&lt;=2,"?ACTIVATED",IF(J1459&lt;&gt;"","?FAMILIAR",IF(F1459="NEW",IF(ISNA(VLOOKUP(E1459,#REF!,1,FALSE())),"?TYPE_IDENTIFIABLE","?REFERENTIAL"),"_")))))</f>
        <v> </v>
      </c>
      <c r="H1459" s="24" t="str">
        <f>IF(J1459&lt;&gt;1,"",IF(I1459="SBJ","CB","?"))</f>
        <v> </v>
      </c>
      <c r="I1459" s="25" t="str">
        <f>IF(OR(E1459="",E1459="!!!",F1459="NEW"),"",INDEX(B1458:B$2,-1+SUMPRODUCT(MAX(ROW(E1458:E$2)*(E1459=E1458:E$2)))))</f>
        <v> </v>
      </c>
      <c r="J1459" s="25" t="str">
        <f>IF(OR(E1459="",E1459="!!!",F1459="NEW"),"",COUNTBLANK(OFFSET(A$1,,,SUMPRODUCT(MAX(ROW(E$2:E1459)*(E1459=E$2:E1459)))))-COUNTBLANK(OFFSET(A$1,,,SUMPRODUCT(MAX(ROW(E$1:E1458)*(E2=E$1:E1458))))))</f>
        <v> </v>
      </c>
      <c r="K1459" s="25" t="str">
        <f>IF(OR(E1459="",E1459="!!!",F1459="NEW"),"",INDEX(J$1:J1458,SUMPRODUCT(MAX(ROW(E$1:E1458)*(E1459=E$1:E1458)))))</f>
        <v> </v>
      </c>
      <c r="L1459" s="26"/>
    </row>
    <row r="1460" spans="1:12">
      <c r="A1460" s="20" t="s">
        <v>688</v>
      </c>
      <c r="E1460" s="21">
        <f>IF(D1460="?OLD","!!!","")</f>
        <v/>
      </c>
      <c r="F1460" s="22" t="str">
        <f>IF(OR(E1460="",E1460="!!!"),"",IF(NOT(ISNA(VLOOKUP(E1460,E$1:E1459,1,FALSE()))),"OLD",IF(AND(E1460&lt;&gt;"",E1460&lt;&gt;"!!!"),"NEW","")))</f>
        <v> </v>
      </c>
      <c r="G1460" s="23" t="str">
        <f>IF(OR(E1460="",E1460="!!!"),"",IF(OR(J1460=0,AND(J1460=1,K1460=1),AND(J1460=1,I1460="SBJ"),AND(J1460=1,I1460=0)),"?IN_FOCUS",IF(J1460&lt;=2,"?ACTIVATED",IF(J1460&lt;&gt;"","?FAMILIAR",IF(F1460="NEW",IF(ISNA(VLOOKUP(E1460,#REF!,1,FALSE())),"?TYPE_IDENTIFIABLE","?REFERENTIAL"),"_")))))</f>
        <v> </v>
      </c>
      <c r="H1460" s="24" t="str">
        <f>IF(J1460&lt;&gt;1,"",IF(I1460="SBJ","CB","?"))</f>
        <v> </v>
      </c>
      <c r="I1460" s="25" t="str">
        <f>IF(OR(E1460="",E1460="!!!",F1460="NEW"),"",INDEX(B1459:B$2,-1+SUMPRODUCT(MAX(ROW(E1459:E$2)*(E1460=E1459:E$2)))))</f>
        <v> </v>
      </c>
      <c r="J1460" s="25" t="str">
        <f>IF(OR(E1460="",E1460="!!!",F1460="NEW"),"",COUNTBLANK(OFFSET(A$1,,,SUMPRODUCT(MAX(ROW(E$2:E1460)*(E1460=E$2:E1460)))))-COUNTBLANK(OFFSET(A$1,,,SUMPRODUCT(MAX(ROW(E$1:E1459)*(E2=E$1:E1459))))))</f>
        <v> </v>
      </c>
      <c r="K1460" s="25" t="str">
        <f>IF(OR(E1460="",E1460="!!!",F1460="NEW"),"",INDEX(J$1:J1459,SUMPRODUCT(MAX(ROW(E$1:E1459)*(E1460=E$1:E1459)))))</f>
        <v> </v>
      </c>
      <c r="L1460" s="26"/>
    </row>
    <row r="1461" spans="1:12">
      <c r="A1461" s="20" t="s">
        <v>1144</v>
      </c>
      <c r="B1461" s="27" t="s">
        <v>476</v>
      </c>
      <c r="E1461" s="21">
        <f>IF(D1461="?OLD","!!!","")</f>
        <v/>
      </c>
      <c r="F1461" s="22" t="str">
        <f>IF(OR(E1461="",E1461="!!!"),"",IF(NOT(ISNA(VLOOKUP(E1461,E$1:E1460,1,FALSE()))),"OLD",IF(AND(E1461&lt;&gt;"",E1461&lt;&gt;"!!!"),"NEW","")))</f>
        <v> </v>
      </c>
      <c r="G1461" s="23" t="str">
        <f>IF(OR(E1461="",E1461="!!!"),"",IF(OR(J1461=0,AND(J1461=1,K1461=1),AND(J1461=1,I1461="SBJ"),AND(J1461=1,I1461=0)),"?IN_FOCUS",IF(J1461&lt;=2,"?ACTIVATED",IF(J1461&lt;&gt;"","?FAMILIAR",IF(F1461="NEW",IF(ISNA(VLOOKUP(E1461,#REF!,1,FALSE())),"?TYPE_IDENTIFIABLE","?REFERENTIAL"),"_")))))</f>
        <v> </v>
      </c>
      <c r="H1461" s="24" t="str">
        <f>IF(J1461&lt;&gt;1,"",IF(I1461="SBJ","CB","?"))</f>
        <v> </v>
      </c>
      <c r="I1461" s="25" t="str">
        <f>IF(OR(E1461="",E1461="!!!",F1461="NEW"),"",INDEX(B1460:B$2,-1+SUMPRODUCT(MAX(ROW(E1460:E$2)*(E1461=E1460:E$2)))))</f>
        <v> </v>
      </c>
      <c r="J1461" s="25" t="str">
        <f>IF(OR(E1461="",E1461="!!!",F1461="NEW"),"",COUNTBLANK(OFFSET(A$1,,,SUMPRODUCT(MAX(ROW(E$2:E1461)*(E1461=E$2:E1461)))))-COUNTBLANK(OFFSET(A$1,,,SUMPRODUCT(MAX(ROW(E$1:E1460)*(E2=E$1:E1460))))))</f>
        <v> </v>
      </c>
      <c r="K1461" s="25" t="str">
        <f>IF(OR(E1461="",E1461="!!!",F1461="NEW"),"",INDEX(J$1:J1460,SUMPRODUCT(MAX(ROW(E$1:E1460)*(E1461=E$1:E1460)))))</f>
        <v> </v>
      </c>
      <c r="L1461" s="26"/>
    </row>
    <row r="1462" spans="1:12">
      <c r="A1462" s="20" t="s">
        <v>724</v>
      </c>
      <c r="E1462" s="21">
        <f>IF(D1462="?OLD","!!!","")</f>
        <v/>
      </c>
      <c r="F1462" s="22" t="str">
        <f>IF(OR(E1462="",E1462="!!!"),"",IF(NOT(ISNA(VLOOKUP(E1462,E$1:E1461,1,FALSE()))),"OLD",IF(AND(E1462&lt;&gt;"",E1462&lt;&gt;"!!!"),"NEW","")))</f>
        <v> </v>
      </c>
      <c r="G1462" s="23" t="str">
        <f>IF(OR(E1462="",E1462="!!!"),"",IF(OR(J1462=0,AND(J1462=1,K1462=1),AND(J1462=1,I1462="SBJ"),AND(J1462=1,I1462=0)),"?IN_FOCUS",IF(J1462&lt;=2,"?ACTIVATED",IF(J1462&lt;&gt;"","?FAMILIAR",IF(F1462="NEW",IF(ISNA(VLOOKUP(E1462,#REF!,1,FALSE())),"?TYPE_IDENTIFIABLE","?REFERENTIAL"),"_")))))</f>
        <v> </v>
      </c>
      <c r="H1462" s="24" t="str">
        <f>IF(J1462&lt;&gt;1,"",IF(I1462="SBJ","CB","?"))</f>
        <v> </v>
      </c>
      <c r="I1462" s="25" t="str">
        <f>IF(OR(E1462="",E1462="!!!",F1462="NEW"),"",INDEX(B1461:B$2,-1+SUMPRODUCT(MAX(ROW(E1461:E$2)*(E1462=E1461:E$2)))))</f>
        <v> </v>
      </c>
      <c r="J1462" s="25" t="str">
        <f>IF(OR(E1462="",E1462="!!!",F1462="NEW"),"",COUNTBLANK(OFFSET(A$1,,,SUMPRODUCT(MAX(ROW(E$2:E1462)*(E1462=E$2:E1462)))))-COUNTBLANK(OFFSET(A$1,,,SUMPRODUCT(MAX(ROW(E$1:E1461)*(E2=E$1:E1461))))))</f>
        <v> </v>
      </c>
      <c r="K1462" s="25" t="str">
        <f>IF(OR(E1462="",E1462="!!!",F1462="NEW"),"",INDEX(J$1:J1461,SUMPRODUCT(MAX(ROW(E$1:E1461)*(E1462=E$1:E1461)))))</f>
        <v> </v>
      </c>
      <c r="L1462" s="26"/>
    </row>
    <row r="1463" spans="1:12">
      <c r="A1463" s="20" t="s">
        <v>1145</v>
      </c>
      <c r="E1463" s="21">
        <f>IF(D1463="?OLD","!!!","")</f>
        <v/>
      </c>
      <c r="F1463" s="22" t="str">
        <f>IF(OR(E1463="",E1463="!!!"),"",IF(NOT(ISNA(VLOOKUP(E1463,E$1:E1462,1,FALSE()))),"OLD",IF(AND(E1463&lt;&gt;"",E1463&lt;&gt;"!!!"),"NEW","")))</f>
        <v> </v>
      </c>
      <c r="G1463" s="23" t="str">
        <f>IF(OR(E1463="",E1463="!!!"),"",IF(OR(J1463=0,AND(J1463=1,K1463=1),AND(J1463=1,I1463="SBJ"),AND(J1463=1,I1463=0)),"?IN_FOCUS",IF(J1463&lt;=2,"?ACTIVATED",IF(J1463&lt;&gt;"","?FAMILIAR",IF(F1463="NEW",IF(ISNA(VLOOKUP(E1463,#REF!,1,FALSE())),"?TYPE_IDENTIFIABLE","?REFERENTIAL"),"_")))))</f>
        <v> </v>
      </c>
      <c r="H1463" s="24" t="str">
        <f>IF(J1463&lt;&gt;1,"",IF(I1463="SBJ","CB","?"))</f>
        <v> </v>
      </c>
      <c r="I1463" s="25" t="str">
        <f>IF(OR(E1463="",E1463="!!!",F1463="NEW"),"",INDEX(B1462:B$2,-1+SUMPRODUCT(MAX(ROW(E1462:E$2)*(E1463=E1462:E$2)))))</f>
        <v> </v>
      </c>
      <c r="J1463" s="25" t="str">
        <f>IF(OR(E1463="",E1463="!!!",F1463="NEW"),"",COUNTBLANK(OFFSET(A$1,,,SUMPRODUCT(MAX(ROW(E$2:E1463)*(E1463=E$2:E1463)))))-COUNTBLANK(OFFSET(A$1,,,SUMPRODUCT(MAX(ROW(E$1:E1462)*(E2=E$1:E1462))))))</f>
        <v> </v>
      </c>
      <c r="K1463" s="25" t="str">
        <f>IF(OR(E1463="",E1463="!!!",F1463="NEW"),"",INDEX(J$1:J1462,SUMPRODUCT(MAX(ROW(E$1:E1462)*(E1463=E$1:E1462)))))</f>
        <v> </v>
      </c>
      <c r="L1463" s="26"/>
    </row>
    <row r="1464" spans="1:12">
      <c r="A1464" s="20" t="s">
        <v>1146</v>
      </c>
      <c r="E1464" s="21">
        <f>IF(D1464="?OLD","!!!","")</f>
        <v/>
      </c>
      <c r="F1464" s="22" t="str">
        <f>IF(OR(E1464="",E1464="!!!"),"",IF(NOT(ISNA(VLOOKUP(E1464,E$1:E1463,1,FALSE()))),"OLD",IF(AND(E1464&lt;&gt;"",E1464&lt;&gt;"!!!"),"NEW","")))</f>
        <v> </v>
      </c>
      <c r="G1464" s="23" t="str">
        <f>IF(OR(E1464="",E1464="!!!"),"",IF(OR(J1464=0,AND(J1464=1,K1464=1),AND(J1464=1,I1464="SBJ"),AND(J1464=1,I1464=0)),"?IN_FOCUS",IF(J1464&lt;=2,"?ACTIVATED",IF(J1464&lt;&gt;"","?FAMILIAR",IF(F1464="NEW",IF(ISNA(VLOOKUP(E1464,#REF!,1,FALSE())),"?TYPE_IDENTIFIABLE","?REFERENTIAL"),"_")))))</f>
        <v> </v>
      </c>
      <c r="H1464" s="24" t="str">
        <f>IF(J1464&lt;&gt;1,"",IF(I1464="SBJ","CB","?"))</f>
        <v> </v>
      </c>
      <c r="I1464" s="25" t="str">
        <f>IF(OR(E1464="",E1464="!!!",F1464="NEW"),"",INDEX(B1463:B$2,-1+SUMPRODUCT(MAX(ROW(E1463:E$2)*(E1464=E1463:E$2)))))</f>
        <v> </v>
      </c>
      <c r="J1464" s="25" t="str">
        <f>IF(OR(E1464="",E1464="!!!",F1464="NEW"),"",COUNTBLANK(OFFSET(A$1,,,SUMPRODUCT(MAX(ROW(E$2:E1464)*(E1464=E$2:E1464)))))-COUNTBLANK(OFFSET(A$1,,,SUMPRODUCT(MAX(ROW(E$1:E1463)*(E2=E$1:E1463))))))</f>
        <v> </v>
      </c>
      <c r="K1464" s="25" t="str">
        <f>IF(OR(E1464="",E1464="!!!",F1464="NEW"),"",INDEX(J$1:J1463,SUMPRODUCT(MAX(ROW(E$1:E1463)*(E1464=E$1:E1463)))))</f>
        <v> </v>
      </c>
      <c r="L1464" s="26"/>
    </row>
    <row r="1465" spans="1:12">
      <c r="A1465" s="20" t="s">
        <v>1147</v>
      </c>
      <c r="E1465" s="21">
        <f>IF(D1465="?OLD","!!!","")</f>
        <v/>
      </c>
      <c r="F1465" s="22" t="str">
        <f>IF(OR(E1465="",E1465="!!!"),"",IF(NOT(ISNA(VLOOKUP(E1465,E$1:E1464,1,FALSE()))),"OLD",IF(AND(E1465&lt;&gt;"",E1465&lt;&gt;"!!!"),"NEW","")))</f>
        <v> </v>
      </c>
      <c r="G1465" s="23" t="str">
        <f>IF(OR(E1465="",E1465="!!!"),"",IF(OR(J1465=0,AND(J1465=1,K1465=1),AND(J1465=1,I1465="SBJ"),AND(J1465=1,I1465=0)),"?IN_FOCUS",IF(J1465&lt;=2,"?ACTIVATED",IF(J1465&lt;&gt;"","?FAMILIAR",IF(F1465="NEW",IF(ISNA(VLOOKUP(E1465,#REF!,1,FALSE())),"?TYPE_IDENTIFIABLE","?REFERENTIAL"),"_")))))</f>
        <v> </v>
      </c>
      <c r="H1465" s="24" t="str">
        <f>IF(J1465&lt;&gt;1,"",IF(I1465="SBJ","CB","?"))</f>
        <v> </v>
      </c>
      <c r="I1465" s="25" t="str">
        <f>IF(OR(E1465="",E1465="!!!",F1465="NEW"),"",INDEX(B1464:B$2,-1+SUMPRODUCT(MAX(ROW(E1464:E$2)*(E1465=E1464:E$2)))))</f>
        <v> </v>
      </c>
      <c r="J1465" s="25" t="str">
        <f>IF(OR(E1465="",E1465="!!!",F1465="NEW"),"",COUNTBLANK(OFFSET(A$1,,,SUMPRODUCT(MAX(ROW(E$2:E1465)*(E1465=E$2:E1465)))))-COUNTBLANK(OFFSET(A$1,,,SUMPRODUCT(MAX(ROW(E$1:E1464)*(E2=E$1:E1464))))))</f>
        <v> </v>
      </c>
      <c r="K1465" s="25" t="str">
        <f>IF(OR(E1465="",E1465="!!!",F1465="NEW"),"",INDEX(J$1:J1464,SUMPRODUCT(MAX(ROW(E$1:E1464)*(E1465=E$1:E1464)))))</f>
        <v> </v>
      </c>
      <c r="L1465" s="26"/>
    </row>
    <row r="1466" spans="1:12">
      <c r="A1466" s="20" t="s">
        <v>482</v>
      </c>
      <c r="E1466" s="21">
        <f>IF(D1466="?OLD","!!!","")</f>
        <v/>
      </c>
      <c r="F1466" s="22" t="str">
        <f>IF(OR(E1466="",E1466="!!!"),"",IF(NOT(ISNA(VLOOKUP(E1466,E$1:E1465,1,FALSE()))),"OLD",IF(AND(E1466&lt;&gt;"",E1466&lt;&gt;"!!!"),"NEW","")))</f>
        <v> </v>
      </c>
      <c r="G1466" s="23" t="str">
        <f>IF(OR(E1466="",E1466="!!!"),"",IF(OR(J1466=0,AND(J1466=1,K1466=1),AND(J1466=1,I1466="SBJ"),AND(J1466=1,I1466=0)),"?IN_FOCUS",IF(J1466&lt;=2,"?ACTIVATED",IF(J1466&lt;&gt;"","?FAMILIAR",IF(F1466="NEW",IF(ISNA(VLOOKUP(E1466,#REF!,1,FALSE())),"?TYPE_IDENTIFIABLE","?REFERENTIAL"),"_")))))</f>
        <v> </v>
      </c>
      <c r="H1466" s="24" t="str">
        <f>IF(J1466&lt;&gt;1,"",IF(I1466="SBJ","CB","?"))</f>
        <v> </v>
      </c>
      <c r="I1466" s="25" t="str">
        <f>IF(OR(E1466="",E1466="!!!",F1466="NEW"),"",INDEX(B1465:B$2,-1+SUMPRODUCT(MAX(ROW(E1465:E$2)*(E1466=E1465:E$2)))))</f>
        <v> </v>
      </c>
      <c r="J1466" s="25" t="str">
        <f>IF(OR(E1466="",E1466="!!!",F1466="NEW"),"",COUNTBLANK(OFFSET(A$1,,,SUMPRODUCT(MAX(ROW(E$2:E1466)*(E1466=E$2:E1466)))))-COUNTBLANK(OFFSET(A$1,,,SUMPRODUCT(MAX(ROW(E$1:E1465)*(E2=E$1:E1465))))))</f>
        <v> </v>
      </c>
      <c r="K1466" s="25" t="str">
        <f>IF(OR(E1466="",E1466="!!!",F1466="NEW"),"",INDEX(J$1:J1465,SUMPRODUCT(MAX(ROW(E$1:E1465)*(E1466=E$1:E1465)))))</f>
        <v> </v>
      </c>
      <c r="L1466" s="26"/>
    </row>
    <row r="1467" spans="1:12">
      <c r="A1467" s="20" t="s">
        <v>218</v>
      </c>
      <c r="E1467" s="21">
        <f>IF(D1467="?OLD","!!!","")</f>
        <v/>
      </c>
      <c r="F1467" s="22" t="str">
        <f>IF(OR(E1467="",E1467="!!!"),"",IF(NOT(ISNA(VLOOKUP(E1467,E$1:E1466,1,FALSE()))),"OLD",IF(AND(E1467&lt;&gt;"",E1467&lt;&gt;"!!!"),"NEW","")))</f>
        <v> </v>
      </c>
      <c r="G1467" s="23" t="str">
        <f>IF(OR(E1467="",E1467="!!!"),"",IF(OR(J1467=0,AND(J1467=1,K1467=1),AND(J1467=1,I1467="SBJ"),AND(J1467=1,I1467=0)),"?IN_FOCUS",IF(J1467&lt;=2,"?ACTIVATED",IF(J1467&lt;&gt;"","?FAMILIAR",IF(F1467="NEW",IF(ISNA(VLOOKUP(E1467,#REF!,1,FALSE())),"?TYPE_IDENTIFIABLE","?REFERENTIAL"),"_")))))</f>
        <v> </v>
      </c>
      <c r="H1467" s="24" t="str">
        <f>IF(J1467&lt;&gt;1,"",IF(I1467="SBJ","CB","?"))</f>
        <v> </v>
      </c>
      <c r="I1467" s="25" t="str">
        <f>IF(OR(E1467="",E1467="!!!",F1467="NEW"),"",INDEX(B1466:B$2,-1+SUMPRODUCT(MAX(ROW(E1466:E$2)*(E1467=E1466:E$2)))))</f>
        <v> </v>
      </c>
      <c r="J1467" s="25" t="str">
        <f>IF(OR(E1467="",E1467="!!!",F1467="NEW"),"",COUNTBLANK(OFFSET(A$1,,,SUMPRODUCT(MAX(ROW(E$2:E1467)*(E1467=E$2:E1467)))))-COUNTBLANK(OFFSET(A$1,,,SUMPRODUCT(MAX(ROW(E$1:E1466)*(E2=E$1:E1466))))))</f>
        <v> </v>
      </c>
      <c r="K1467" s="25" t="str">
        <f>IF(OR(E1467="",E1467="!!!",F1467="NEW"),"",INDEX(J$1:J1466,SUMPRODUCT(MAX(ROW(E$1:E1466)*(E1467=E$1:E1466)))))</f>
        <v> </v>
      </c>
      <c r="L1467" s="26"/>
    </row>
    <row r="1468" spans="1:12">
      <c r="A1468" s="20" t="s">
        <v>1148</v>
      </c>
      <c r="B1468" s="27" t="s">
        <v>577</v>
      </c>
      <c r="C1468" s="27" t="s">
        <v>477</v>
      </c>
      <c r="D1468" s="27" t="s">
        <v>478</v>
      </c>
      <c r="E1468" s="21">
        <f>IF(D1468="?OLD","!!!","")</f>
        <v/>
      </c>
      <c r="F1468" s="22" t="str">
        <f>IF(OR(E1468="",E1468="!!!"),"",IF(NOT(ISNA(VLOOKUP(E1468,E$1:E1467,1,FALSE()))),"OLD",IF(AND(E1468&lt;&gt;"",E1468&lt;&gt;"!!!"),"NEW","")))</f>
        <v> </v>
      </c>
      <c r="G1468" s="23" t="str">
        <f>IF(OR(E1468="",E1468="!!!"),"",IF(OR(J1468=0,AND(J1468=1,K1468=1),AND(J1468=1,I1468="SBJ"),AND(J1468=1,I1468=0)),"?IN_FOCUS",IF(J1468&lt;=2,"?ACTIVATED",IF(J1468&lt;&gt;"","?FAMILIAR",IF(F1468="NEW",IF(ISNA(VLOOKUP(E1468,#REF!,1,FALSE())),"?TYPE_IDENTIFIABLE","?REFERENTIAL"),"_")))))</f>
        <v> </v>
      </c>
      <c r="H1468" s="24" t="str">
        <f>IF(J1468&lt;&gt;1,"",IF(I1468="SBJ","CB","?"))</f>
        <v> </v>
      </c>
      <c r="I1468" s="25" t="str">
        <f>IF(OR(E1468="",E1468="!!!",F1468="NEW"),"",INDEX(B1467:B$2,-1+SUMPRODUCT(MAX(ROW(E1467:E$2)*(E1468=E1467:E$2)))))</f>
        <v> </v>
      </c>
      <c r="J1468" s="25" t="str">
        <f>IF(OR(E1468="",E1468="!!!",F1468="NEW"),"",COUNTBLANK(OFFSET(A$1,,,SUMPRODUCT(MAX(ROW(E$2:E1468)*(E1468=E$2:E1468)))))-COUNTBLANK(OFFSET(A$1,,,SUMPRODUCT(MAX(ROW(E$1:E1467)*(E2=E$1:E1467))))))</f>
        <v> </v>
      </c>
      <c r="K1468" s="25" t="str">
        <f>IF(OR(E1468="",E1468="!!!",F1468="NEW"),"",INDEX(J$1:J1467,SUMPRODUCT(MAX(ROW(E$1:E1467)*(E1468=E$1:E1467)))))</f>
        <v> </v>
      </c>
      <c r="L1468" s="26"/>
    </row>
    <row r="1469" spans="1:12">
      <c r="A1469" s="20" t="s">
        <v>493</v>
      </c>
      <c r="E1469" s="21">
        <f>IF(D1469="?OLD","!!!","")</f>
        <v/>
      </c>
      <c r="F1469" s="22" t="str">
        <f>IF(OR(E1469="",E1469="!!!"),"",IF(NOT(ISNA(VLOOKUP(E1469,E$1:E1468,1,FALSE()))),"OLD",IF(AND(E1469&lt;&gt;"",E1469&lt;&gt;"!!!"),"NEW","")))</f>
        <v> </v>
      </c>
      <c r="G1469" s="23" t="str">
        <f>IF(OR(E1469="",E1469="!!!"),"",IF(OR(J1469=0,AND(J1469=1,K1469=1),AND(J1469=1,I1469="SBJ"),AND(J1469=1,I1469=0)),"?IN_FOCUS",IF(J1469&lt;=2,"?ACTIVATED",IF(J1469&lt;&gt;"","?FAMILIAR",IF(F1469="NEW",IF(ISNA(VLOOKUP(E1469,#REF!,1,FALSE())),"?TYPE_IDENTIFIABLE","?REFERENTIAL"),"_")))))</f>
        <v> </v>
      </c>
      <c r="H1469" s="24" t="str">
        <f>IF(J1469&lt;&gt;1,"",IF(I1469="SBJ","CB","?"))</f>
        <v> </v>
      </c>
      <c r="I1469" s="25" t="str">
        <f>IF(OR(E1469="",E1469="!!!",F1469="NEW"),"",INDEX(B1468:B$2,-1+SUMPRODUCT(MAX(ROW(E1468:E$2)*(E1469=E1468:E$2)))))</f>
        <v> </v>
      </c>
      <c r="J1469" s="25" t="str">
        <f>IF(OR(E1469="",E1469="!!!",F1469="NEW"),"",COUNTBLANK(OFFSET(A$1,,,SUMPRODUCT(MAX(ROW(E$2:E1469)*(E1469=E$2:E1469)))))-COUNTBLANK(OFFSET(A$1,,,SUMPRODUCT(MAX(ROW(E$1:E1468)*(E2=E$1:E1468))))))</f>
        <v> </v>
      </c>
      <c r="K1469" s="25" t="str">
        <f>IF(OR(E1469="",E1469="!!!",F1469="NEW"),"",INDEX(J$1:J1468,SUMPRODUCT(MAX(ROW(E$1:E1468)*(E1469=E$1:E1468)))))</f>
        <v> </v>
      </c>
      <c r="L1469" s="26"/>
    </row>
    <row r="1470" spans="1:12">
      <c r="A1470" s="20" t="s">
        <v>1071</v>
      </c>
      <c r="E1470" s="21">
        <f>IF(D1470="?OLD","!!!","")</f>
        <v/>
      </c>
      <c r="F1470" s="22" t="str">
        <f>IF(OR(E1470="",E1470="!!!"),"",IF(NOT(ISNA(VLOOKUP(E1470,E$1:E1469,1,FALSE()))),"OLD",IF(AND(E1470&lt;&gt;"",E1470&lt;&gt;"!!!"),"NEW","")))</f>
        <v> </v>
      </c>
      <c r="G1470" s="23" t="str">
        <f>IF(OR(E1470="",E1470="!!!"),"",IF(OR(J1470=0,AND(J1470=1,K1470=1),AND(J1470=1,I1470="SBJ"),AND(J1470=1,I1470=0)),"?IN_FOCUS",IF(J1470&lt;=2,"?ACTIVATED",IF(J1470&lt;&gt;"","?FAMILIAR",IF(F1470="NEW",IF(ISNA(VLOOKUP(E1470,#REF!,1,FALSE())),"?TYPE_IDENTIFIABLE","?REFERENTIAL"),"_")))))</f>
        <v> </v>
      </c>
      <c r="H1470" s="24" t="str">
        <f>IF(J1470&lt;&gt;1,"",IF(I1470="SBJ","CB","?"))</f>
        <v> </v>
      </c>
      <c r="I1470" s="25" t="str">
        <f>IF(OR(E1470="",E1470="!!!",F1470="NEW"),"",INDEX(B1469:B$2,-1+SUMPRODUCT(MAX(ROW(E1469:E$2)*(E1470=E1469:E$2)))))</f>
        <v> </v>
      </c>
      <c r="J1470" s="25" t="str">
        <f>IF(OR(E1470="",E1470="!!!",F1470="NEW"),"",COUNTBLANK(OFFSET(A$1,,,SUMPRODUCT(MAX(ROW(E$2:E1470)*(E1470=E$2:E1470)))))-COUNTBLANK(OFFSET(A$1,,,SUMPRODUCT(MAX(ROW(E$1:E1469)*(E2=E$1:E1469))))))</f>
        <v> </v>
      </c>
      <c r="K1470" s="25" t="str">
        <f>IF(OR(E1470="",E1470="!!!",F1470="NEW"),"",INDEX(J$1:J1469,SUMPRODUCT(MAX(ROW(E$1:E1469)*(E1470=E$1:E1469)))))</f>
        <v> </v>
      </c>
      <c r="L1470" s="26"/>
    </row>
    <row r="1471" spans="1:12">
      <c r="A1471" s="20" t="s">
        <v>253</v>
      </c>
      <c r="E1471" s="21">
        <f>IF(D1471="?OLD","!!!","")</f>
        <v/>
      </c>
      <c r="F1471" s="22" t="str">
        <f>IF(OR(E1471="",E1471="!!!"),"",IF(NOT(ISNA(VLOOKUP(E1471,E$1:E1470,1,FALSE()))),"OLD",IF(AND(E1471&lt;&gt;"",E1471&lt;&gt;"!!!"),"NEW","")))</f>
        <v> </v>
      </c>
      <c r="G1471" s="23" t="str">
        <f>IF(OR(E1471="",E1471="!!!"),"",IF(OR(J1471=0,AND(J1471=1,K1471=1),AND(J1471=1,I1471="SBJ"),AND(J1471=1,I1471=0)),"?IN_FOCUS",IF(J1471&lt;=2,"?ACTIVATED",IF(J1471&lt;&gt;"","?FAMILIAR",IF(F1471="NEW",IF(ISNA(VLOOKUP(E1471,#REF!,1,FALSE())),"?TYPE_IDENTIFIABLE","?REFERENTIAL"),"_")))))</f>
        <v> </v>
      </c>
      <c r="H1471" s="24" t="str">
        <f>IF(J1471&lt;&gt;1,"",IF(I1471="SBJ","CB","?"))</f>
        <v> </v>
      </c>
      <c r="I1471" s="25" t="str">
        <f>IF(OR(E1471="",E1471="!!!",F1471="NEW"),"",INDEX(B1470:B$2,-1+SUMPRODUCT(MAX(ROW(E1470:E$2)*(E1471=E1470:E$2)))))</f>
        <v> </v>
      </c>
      <c r="J1471" s="25" t="str">
        <f>IF(OR(E1471="",E1471="!!!",F1471="NEW"),"",COUNTBLANK(OFFSET(A$1,,,SUMPRODUCT(MAX(ROW(E$2:E1471)*(E1471=E$2:E1471)))))-COUNTBLANK(OFFSET(A$1,,,SUMPRODUCT(MAX(ROW(E$1:E1470)*(E2=E$1:E1470))))))</f>
        <v> </v>
      </c>
      <c r="K1471" s="25" t="str">
        <f>IF(OR(E1471="",E1471="!!!",F1471="NEW"),"",INDEX(J$1:J1470,SUMPRODUCT(MAX(ROW(E$1:E1470)*(E1471=E$1:E1470)))))</f>
        <v> </v>
      </c>
      <c r="L1471" s="26"/>
    </row>
    <row r="1472" spans="1:12">
      <c r="A1472" s="20"/>
    </row>
    <row r="1473" spans="1:12">
      <c r="A1473" s="20" t="s">
        <v>1149</v>
      </c>
    </row>
    <row r="1474" spans="1:12">
      <c r="A1474" s="20" t="s">
        <v>1150</v>
      </c>
      <c r="B1474" s="27" t="s">
        <v>476</v>
      </c>
      <c r="E1474" s="21">
        <f>IF(D1474="?OLD","!!!","")</f>
        <v/>
      </c>
      <c r="F1474" s="22" t="str">
        <f>IF(OR(E1474="",E1474="!!!"),"",IF(NOT(ISNA(VLOOKUP(E1474,E$1:E1473,1,FALSE()))),"OLD",IF(AND(E1474&lt;&gt;"",E1474&lt;&gt;"!!!"),"NEW","")))</f>
        <v> </v>
      </c>
      <c r="G1474" s="23" t="str">
        <f>IF(OR(E1474="",E1474="!!!"),"",IF(OR(J1474=0,AND(J1474=1,K1474=1),AND(J1474=1,I1474="SBJ"),AND(J1474=1,I1474=0)),"?IN_FOCUS",IF(J1474&lt;=2,"?ACTIVATED",IF(J1474&lt;&gt;"","?FAMILIAR",IF(F1474="NEW",IF(ISNA(VLOOKUP(E1474,#REF!,1,FALSE())),"?TYPE_IDENTIFIABLE","?REFERENTIAL"),"_")))))</f>
        <v> </v>
      </c>
      <c r="H1474" s="24" t="str">
        <f>IF(J1474&lt;&gt;1,"",IF(I1474="SBJ","CB","?"))</f>
        <v> </v>
      </c>
      <c r="I1474" s="25" t="str">
        <f>IF(OR(E1474="",E1474="!!!",F1474="NEW"),"",INDEX(B1473:B$2,-1+SUMPRODUCT(MAX(ROW(E1473:E$2)*(E1474=E1473:E$2)))))</f>
        <v> </v>
      </c>
      <c r="J1474" s="25" t="str">
        <f>IF(OR(E1474="",E1474="!!!",F1474="NEW"),"",COUNTBLANK(OFFSET(A$1,,,SUMPRODUCT(MAX(ROW(E$2:E1474)*(E1474=E$2:E1474)))))-COUNTBLANK(OFFSET(A$1,,,SUMPRODUCT(MAX(ROW(E$1:E1473)*(E2=E$1:E1473))))))</f>
        <v> </v>
      </c>
      <c r="K1474" s="25" t="str">
        <f>IF(OR(E1474="",E1474="!!!",F1474="NEW"),"",INDEX(J$1:J1473,SUMPRODUCT(MAX(ROW(E$1:E1473)*(E1474=E$1:E1473)))))</f>
        <v> </v>
      </c>
      <c r="L1474" s="26"/>
    </row>
    <row r="1475" spans="1:12">
      <c r="A1475" s="20" t="s">
        <v>513</v>
      </c>
      <c r="E1475" s="21">
        <f>IF(D1475="?OLD","!!!","")</f>
        <v/>
      </c>
      <c r="F1475" s="22" t="str">
        <f>IF(OR(E1475="",E1475="!!!"),"",IF(NOT(ISNA(VLOOKUP(E1475,E$1:E1474,1,FALSE()))),"OLD",IF(AND(E1475&lt;&gt;"",E1475&lt;&gt;"!!!"),"NEW","")))</f>
        <v> </v>
      </c>
      <c r="G1475" s="23" t="str">
        <f>IF(OR(E1475="",E1475="!!!"),"",IF(OR(J1475=0,AND(J1475=1,K1475=1),AND(J1475=1,I1475="SBJ"),AND(J1475=1,I1475=0)),"?IN_FOCUS",IF(J1475&lt;=2,"?ACTIVATED",IF(J1475&lt;&gt;"","?FAMILIAR",IF(F1475="NEW",IF(ISNA(VLOOKUP(E1475,#REF!,1,FALSE())),"?TYPE_IDENTIFIABLE","?REFERENTIAL"),"_")))))</f>
        <v> </v>
      </c>
      <c r="H1475" s="24" t="str">
        <f>IF(J1475&lt;&gt;1,"",IF(I1475="SBJ","CB","?"))</f>
        <v> </v>
      </c>
      <c r="I1475" s="25" t="str">
        <f>IF(OR(E1475="",E1475="!!!",F1475="NEW"),"",INDEX(B1474:B$2,-1+SUMPRODUCT(MAX(ROW(E1474:E$2)*(E1475=E1474:E$2)))))</f>
        <v> </v>
      </c>
      <c r="J1475" s="25" t="str">
        <f>IF(OR(E1475="",E1475="!!!",F1475="NEW"),"",COUNTBLANK(OFFSET(A$1,,,SUMPRODUCT(MAX(ROW(E$2:E1475)*(E1475=E$2:E1475)))))-COUNTBLANK(OFFSET(A$1,,,SUMPRODUCT(MAX(ROW(E$1:E1474)*(E2=E$1:E1474))))))</f>
        <v> </v>
      </c>
      <c r="K1475" s="25" t="str">
        <f>IF(OR(E1475="",E1475="!!!",F1475="NEW"),"",INDEX(J$1:J1474,SUMPRODUCT(MAX(ROW(E$1:E1474)*(E1475=E$1:E1474)))))</f>
        <v> </v>
      </c>
      <c r="L1475" s="26"/>
    </row>
    <row r="1476" spans="1:12">
      <c r="A1476" s="20" t="s">
        <v>1151</v>
      </c>
      <c r="E1476" s="21">
        <f>IF(D1476="?OLD","!!!","")</f>
        <v/>
      </c>
      <c r="F1476" s="22" t="str">
        <f>IF(OR(E1476="",E1476="!!!"),"",IF(NOT(ISNA(VLOOKUP(E1476,E$1:E1475,1,FALSE()))),"OLD",IF(AND(E1476&lt;&gt;"",E1476&lt;&gt;"!!!"),"NEW","")))</f>
        <v> </v>
      </c>
      <c r="G1476" s="23" t="str">
        <f>IF(OR(E1476="",E1476="!!!"),"",IF(OR(J1476=0,AND(J1476=1,K1476=1),AND(J1476=1,I1476="SBJ"),AND(J1476=1,I1476=0)),"?IN_FOCUS",IF(J1476&lt;=2,"?ACTIVATED",IF(J1476&lt;&gt;"","?FAMILIAR",IF(F1476="NEW",IF(ISNA(VLOOKUP(E1476,#REF!,1,FALSE())),"?TYPE_IDENTIFIABLE","?REFERENTIAL"),"_")))))</f>
        <v> </v>
      </c>
      <c r="H1476" s="24" t="str">
        <f>IF(J1476&lt;&gt;1,"",IF(I1476="SBJ","CB","?"))</f>
        <v> </v>
      </c>
      <c r="I1476" s="25" t="str">
        <f>IF(OR(E1476="",E1476="!!!",F1476="NEW"),"",INDEX(B1475:B$2,-1+SUMPRODUCT(MAX(ROW(E1475:E$2)*(E1476=E1475:E$2)))))</f>
        <v> </v>
      </c>
      <c r="J1476" s="25" t="str">
        <f>IF(OR(E1476="",E1476="!!!",F1476="NEW"),"",COUNTBLANK(OFFSET(A$1,,,SUMPRODUCT(MAX(ROW(E$2:E1476)*(E1476=E$2:E1476)))))-COUNTBLANK(OFFSET(A$1,,,SUMPRODUCT(MAX(ROW(E$1:E1475)*(E2=E$1:E1475))))))</f>
        <v> </v>
      </c>
      <c r="K1476" s="25" t="str">
        <f>IF(OR(E1476="",E1476="!!!",F1476="NEW"),"",INDEX(J$1:J1475,SUMPRODUCT(MAX(ROW(E$1:E1475)*(E1476=E$1:E1475)))))</f>
        <v> </v>
      </c>
      <c r="L1476" s="26"/>
    </row>
    <row r="1477" spans="1:12">
      <c r="A1477" s="20" t="s">
        <v>1105</v>
      </c>
      <c r="E1477" s="21">
        <f>IF(D1477="?OLD","!!!","")</f>
        <v/>
      </c>
      <c r="F1477" s="22" t="str">
        <f>IF(OR(E1477="",E1477="!!!"),"",IF(NOT(ISNA(VLOOKUP(E1477,E$1:E1476,1,FALSE()))),"OLD",IF(AND(E1477&lt;&gt;"",E1477&lt;&gt;"!!!"),"NEW","")))</f>
        <v> </v>
      </c>
      <c r="G1477" s="23" t="str">
        <f>IF(OR(E1477="",E1477="!!!"),"",IF(OR(J1477=0,AND(J1477=1,K1477=1),AND(J1477=1,I1477="SBJ"),AND(J1477=1,I1477=0)),"?IN_FOCUS",IF(J1477&lt;=2,"?ACTIVATED",IF(J1477&lt;&gt;"","?FAMILIAR",IF(F1477="NEW",IF(ISNA(VLOOKUP(E1477,#REF!,1,FALSE())),"?TYPE_IDENTIFIABLE","?REFERENTIAL"),"_")))))</f>
        <v> </v>
      </c>
      <c r="H1477" s="24" t="str">
        <f>IF(J1477&lt;&gt;1,"",IF(I1477="SBJ","CB","?"))</f>
        <v> </v>
      </c>
      <c r="I1477" s="25" t="str">
        <f>IF(OR(E1477="",E1477="!!!",F1477="NEW"),"",INDEX(B1476:B$2,-1+SUMPRODUCT(MAX(ROW(E1476:E$2)*(E1477=E1476:E$2)))))</f>
        <v> </v>
      </c>
      <c r="J1477" s="25" t="str">
        <f>IF(OR(E1477="",E1477="!!!",F1477="NEW"),"",COUNTBLANK(OFFSET(A$1,,,SUMPRODUCT(MAX(ROW(E$2:E1477)*(E1477=E$2:E1477)))))-COUNTBLANK(OFFSET(A$1,,,SUMPRODUCT(MAX(ROW(E$1:E1476)*(E2=E$1:E1476))))))</f>
        <v> </v>
      </c>
      <c r="K1477" s="25" t="str">
        <f>IF(OR(E1477="",E1477="!!!",F1477="NEW"),"",INDEX(J$1:J1476,SUMPRODUCT(MAX(ROW(E$1:E1476)*(E1477=E$1:E1476)))))</f>
        <v> </v>
      </c>
      <c r="L1477" s="26"/>
    </row>
    <row r="1478" spans="1:12">
      <c r="A1478" s="20" t="s">
        <v>1152</v>
      </c>
      <c r="E1478" s="21">
        <f>IF(D1478="?OLD","!!!","")</f>
        <v/>
      </c>
      <c r="F1478" s="22" t="str">
        <f>IF(OR(E1478="",E1478="!!!"),"",IF(NOT(ISNA(VLOOKUP(E1478,E$1:E1477,1,FALSE()))),"OLD",IF(AND(E1478&lt;&gt;"",E1478&lt;&gt;"!!!"),"NEW","")))</f>
        <v> </v>
      </c>
      <c r="G1478" s="23" t="str">
        <f>IF(OR(E1478="",E1478="!!!"),"",IF(OR(J1478=0,AND(J1478=1,K1478=1),AND(J1478=1,I1478="SBJ"),AND(J1478=1,I1478=0)),"?IN_FOCUS",IF(J1478&lt;=2,"?ACTIVATED",IF(J1478&lt;&gt;"","?FAMILIAR",IF(F1478="NEW",IF(ISNA(VLOOKUP(E1478,#REF!,1,FALSE())),"?TYPE_IDENTIFIABLE","?REFERENTIAL"),"_")))))</f>
        <v> </v>
      </c>
      <c r="H1478" s="24" t="str">
        <f>IF(J1478&lt;&gt;1,"",IF(I1478="SBJ","CB","?"))</f>
        <v> </v>
      </c>
      <c r="I1478" s="25" t="str">
        <f>IF(OR(E1478="",E1478="!!!",F1478="NEW"),"",INDEX(B1477:B$2,-1+SUMPRODUCT(MAX(ROW(E1477:E$2)*(E1478=E1477:E$2)))))</f>
        <v> </v>
      </c>
      <c r="J1478" s="25" t="str">
        <f>IF(OR(E1478="",E1478="!!!",F1478="NEW"),"",COUNTBLANK(OFFSET(A$1,,,SUMPRODUCT(MAX(ROW(E$2:E1478)*(E1478=E$2:E1478)))))-COUNTBLANK(OFFSET(A$1,,,SUMPRODUCT(MAX(ROW(E$1:E1477)*(E2=E$1:E1477))))))</f>
        <v> </v>
      </c>
      <c r="K1478" s="25" t="str">
        <f>IF(OR(E1478="",E1478="!!!",F1478="NEW"),"",INDEX(J$1:J1477,SUMPRODUCT(MAX(ROW(E$1:E1477)*(E1478=E$1:E1477)))))</f>
        <v> </v>
      </c>
      <c r="L1478" s="26"/>
    </row>
    <row r="1479" spans="1:12">
      <c r="A1479" s="20" t="s">
        <v>1153</v>
      </c>
      <c r="E1479" s="21">
        <f>IF(D1479="?OLD","!!!","")</f>
        <v/>
      </c>
      <c r="F1479" s="22" t="str">
        <f>IF(OR(E1479="",E1479="!!!"),"",IF(NOT(ISNA(VLOOKUP(E1479,E$1:E1478,1,FALSE()))),"OLD",IF(AND(E1479&lt;&gt;"",E1479&lt;&gt;"!!!"),"NEW","")))</f>
        <v> </v>
      </c>
      <c r="G1479" s="23" t="str">
        <f>IF(OR(E1479="",E1479="!!!"),"",IF(OR(J1479=0,AND(J1479=1,K1479=1),AND(J1479=1,I1479="SBJ"),AND(J1479=1,I1479=0)),"?IN_FOCUS",IF(J1479&lt;=2,"?ACTIVATED",IF(J1479&lt;&gt;"","?FAMILIAR",IF(F1479="NEW",IF(ISNA(VLOOKUP(E1479,#REF!,1,FALSE())),"?TYPE_IDENTIFIABLE","?REFERENTIAL"),"_")))))</f>
        <v> </v>
      </c>
      <c r="H1479" s="24" t="str">
        <f>IF(J1479&lt;&gt;1,"",IF(I1479="SBJ","CB","?"))</f>
        <v> </v>
      </c>
      <c r="I1479" s="25" t="str">
        <f>IF(OR(E1479="",E1479="!!!",F1479="NEW"),"",INDEX(B1478:B$2,-1+SUMPRODUCT(MAX(ROW(E1478:E$2)*(E1479=E1478:E$2)))))</f>
        <v> </v>
      </c>
      <c r="J1479" s="25" t="str">
        <f>IF(OR(E1479="",E1479="!!!",F1479="NEW"),"",COUNTBLANK(OFFSET(A$1,,,SUMPRODUCT(MAX(ROW(E$2:E1479)*(E1479=E$2:E1479)))))-COUNTBLANK(OFFSET(A$1,,,SUMPRODUCT(MAX(ROW(E$1:E1478)*(E2=E$1:E1478))))))</f>
        <v> </v>
      </c>
      <c r="K1479" s="25" t="str">
        <f>IF(OR(E1479="",E1479="!!!",F1479="NEW"),"",INDEX(J$1:J1478,SUMPRODUCT(MAX(ROW(E$1:E1478)*(E1479=E$1:E1478)))))</f>
        <v> </v>
      </c>
      <c r="L1479" s="26"/>
    </row>
    <row r="1480" spans="1:12">
      <c r="A1480" s="20" t="s">
        <v>482</v>
      </c>
      <c r="E1480" s="21">
        <f>IF(D1480="?OLD","!!!","")</f>
        <v/>
      </c>
      <c r="F1480" s="22" t="str">
        <f>IF(OR(E1480="",E1480="!!!"),"",IF(NOT(ISNA(VLOOKUP(E1480,E$1:E1479,1,FALSE()))),"OLD",IF(AND(E1480&lt;&gt;"",E1480&lt;&gt;"!!!"),"NEW","")))</f>
        <v> </v>
      </c>
      <c r="G1480" s="23" t="str">
        <f>IF(OR(E1480="",E1480="!!!"),"",IF(OR(J1480=0,AND(J1480=1,K1480=1),AND(J1480=1,I1480="SBJ"),AND(J1480=1,I1480=0)),"?IN_FOCUS",IF(J1480&lt;=2,"?ACTIVATED",IF(J1480&lt;&gt;"","?FAMILIAR",IF(F1480="NEW",IF(ISNA(VLOOKUP(E1480,#REF!,1,FALSE())),"?TYPE_IDENTIFIABLE","?REFERENTIAL"),"_")))))</f>
        <v> </v>
      </c>
      <c r="H1480" s="24" t="str">
        <f>IF(J1480&lt;&gt;1,"",IF(I1480="SBJ","CB","?"))</f>
        <v> </v>
      </c>
      <c r="I1480" s="25" t="str">
        <f>IF(OR(E1480="",E1480="!!!",F1480="NEW"),"",INDEX(B1479:B$2,-1+SUMPRODUCT(MAX(ROW(E1479:E$2)*(E1480=E1479:E$2)))))</f>
        <v> </v>
      </c>
      <c r="J1480" s="25" t="str">
        <f>IF(OR(E1480="",E1480="!!!",F1480="NEW"),"",COUNTBLANK(OFFSET(A$1,,,SUMPRODUCT(MAX(ROW(E$2:E1480)*(E1480=E$2:E1480)))))-COUNTBLANK(OFFSET(A$1,,,SUMPRODUCT(MAX(ROW(E$1:E1479)*(E2=E$1:E1479))))))</f>
        <v> </v>
      </c>
      <c r="K1480" s="25" t="str">
        <f>IF(OR(E1480="",E1480="!!!",F1480="NEW"),"",INDEX(J$1:J1479,SUMPRODUCT(MAX(ROW(E$1:E1479)*(E1480=E$1:E1479)))))</f>
        <v> </v>
      </c>
      <c r="L1480" s="26"/>
    </row>
    <row r="1481" spans="1:12">
      <c r="A1481" s="20" t="s">
        <v>1154</v>
      </c>
      <c r="E1481" s="21">
        <f>IF(D1481="?OLD","!!!","")</f>
        <v/>
      </c>
      <c r="F1481" s="22" t="str">
        <f>IF(OR(E1481="",E1481="!!!"),"",IF(NOT(ISNA(VLOOKUP(E1481,E$1:E1480,1,FALSE()))),"OLD",IF(AND(E1481&lt;&gt;"",E1481&lt;&gt;"!!!"),"NEW","")))</f>
        <v> </v>
      </c>
      <c r="G1481" s="23" t="str">
        <f>IF(OR(E1481="",E1481="!!!"),"",IF(OR(J1481=0,AND(J1481=1,K1481=1),AND(J1481=1,I1481="SBJ"),AND(J1481=1,I1481=0)),"?IN_FOCUS",IF(J1481&lt;=2,"?ACTIVATED",IF(J1481&lt;&gt;"","?FAMILIAR",IF(F1481="NEW",IF(ISNA(VLOOKUP(E1481,#REF!,1,FALSE())),"?TYPE_IDENTIFIABLE","?REFERENTIAL"),"_")))))</f>
        <v> </v>
      </c>
      <c r="H1481" s="24" t="str">
        <f>IF(J1481&lt;&gt;1,"",IF(I1481="SBJ","CB","?"))</f>
        <v> </v>
      </c>
      <c r="I1481" s="25" t="str">
        <f>IF(OR(E1481="",E1481="!!!",F1481="NEW"),"",INDEX(B1480:B$2,-1+SUMPRODUCT(MAX(ROW(E1480:E$2)*(E1481=E1480:E$2)))))</f>
        <v> </v>
      </c>
      <c r="J1481" s="25" t="str">
        <f>IF(OR(E1481="",E1481="!!!",F1481="NEW"),"",COUNTBLANK(OFFSET(A$1,,,SUMPRODUCT(MAX(ROW(E$2:E1481)*(E1481=E$2:E1481)))))-COUNTBLANK(OFFSET(A$1,,,SUMPRODUCT(MAX(ROW(E$1:E1480)*(E2=E$1:E1480))))))</f>
        <v> </v>
      </c>
      <c r="K1481" s="25" t="str">
        <f>IF(OR(E1481="",E1481="!!!",F1481="NEW"),"",INDEX(J$1:J1480,SUMPRODUCT(MAX(ROW(E$1:E1480)*(E1481=E$1:E1480)))))</f>
        <v> </v>
      </c>
      <c r="L1481" s="26"/>
    </row>
    <row r="1482" spans="1:12">
      <c r="A1482" s="20" t="s">
        <v>253</v>
      </c>
      <c r="E1482" s="21">
        <f>IF(D1482="?OLD","!!!","")</f>
        <v/>
      </c>
      <c r="F1482" s="22" t="str">
        <f>IF(OR(E1482="",E1482="!!!"),"",IF(NOT(ISNA(VLOOKUP(E1482,E$1:E1481,1,FALSE()))),"OLD",IF(AND(E1482&lt;&gt;"",E1482&lt;&gt;"!!!"),"NEW","")))</f>
        <v> </v>
      </c>
      <c r="G1482" s="23" t="str">
        <f>IF(OR(E1482="",E1482="!!!"),"",IF(OR(J1482=0,AND(J1482=1,K1482=1),AND(J1482=1,I1482="SBJ"),AND(J1482=1,I1482=0)),"?IN_FOCUS",IF(J1482&lt;=2,"?ACTIVATED",IF(J1482&lt;&gt;"","?FAMILIAR",IF(F1482="NEW",IF(ISNA(VLOOKUP(E1482,#REF!,1,FALSE())),"?TYPE_IDENTIFIABLE","?REFERENTIAL"),"_")))))</f>
        <v> </v>
      </c>
      <c r="H1482" s="24" t="str">
        <f>IF(J1482&lt;&gt;1,"",IF(I1482="SBJ","CB","?"))</f>
        <v> </v>
      </c>
      <c r="I1482" s="25" t="str">
        <f>IF(OR(E1482="",E1482="!!!",F1482="NEW"),"",INDEX(B1481:B$2,-1+SUMPRODUCT(MAX(ROW(E1481:E$2)*(E1482=E1481:E$2)))))</f>
        <v> </v>
      </c>
      <c r="J1482" s="25" t="str">
        <f>IF(OR(E1482="",E1482="!!!",F1482="NEW"),"",COUNTBLANK(OFFSET(A$1,,,SUMPRODUCT(MAX(ROW(E$2:E1482)*(E1482=E$2:E1482)))))-COUNTBLANK(OFFSET(A$1,,,SUMPRODUCT(MAX(ROW(E$1:E1481)*(E2=E$1:E1481))))))</f>
        <v> </v>
      </c>
      <c r="K1482" s="25" t="str">
        <f>IF(OR(E1482="",E1482="!!!",F1482="NEW"),"",INDEX(J$1:J1481,SUMPRODUCT(MAX(ROW(E$1:E1481)*(E1482=E$1:E1481)))))</f>
        <v> </v>
      </c>
      <c r="L1482" s="26"/>
    </row>
    <row r="1483" spans="1:12">
      <c r="A1483" s="20"/>
    </row>
    <row r="1484" spans="1:12">
      <c r="A1484" s="20" t="s">
        <v>1155</v>
      </c>
    </row>
    <row r="1485" spans="1:12">
      <c r="A1485" s="20" t="s">
        <v>1156</v>
      </c>
      <c r="E1485" s="21">
        <f>IF(D1485="?OLD","!!!","")</f>
        <v/>
      </c>
      <c r="F1485" s="22" t="str">
        <f>IF(OR(E1485="",E1485="!!!"),"",IF(NOT(ISNA(VLOOKUP(E1485,E$1:E1484,1,FALSE()))),"OLD",IF(AND(E1485&lt;&gt;"",E1485&lt;&gt;"!!!"),"NEW","")))</f>
        <v> </v>
      </c>
      <c r="G1485" s="23" t="str">
        <f>IF(OR(E1485="",E1485="!!!"),"",IF(OR(J1485=0,AND(J1485=1,K1485=1),AND(J1485=1,I1485="SBJ"),AND(J1485=1,I1485=0)),"?IN_FOCUS",IF(J1485&lt;=2,"?ACTIVATED",IF(J1485&lt;&gt;"","?FAMILIAR",IF(F1485="NEW",IF(ISNA(VLOOKUP(E1485,#REF!,1,FALSE())),"?TYPE_IDENTIFIABLE","?REFERENTIAL"),"_")))))</f>
        <v> </v>
      </c>
      <c r="H1485" s="24" t="str">
        <f>IF(J1485&lt;&gt;1,"",IF(I1485="SBJ","CB","?"))</f>
        <v> </v>
      </c>
      <c r="I1485" s="25" t="str">
        <f>IF(OR(E1485="",E1485="!!!",F1485="NEW"),"",INDEX(B1484:B$2,-1+SUMPRODUCT(MAX(ROW(E1484:E$2)*(E1485=E1484:E$2)))))</f>
        <v> </v>
      </c>
      <c r="J1485" s="25" t="str">
        <f>IF(OR(E1485="",E1485="!!!",F1485="NEW"),"",COUNTBLANK(OFFSET(A$1,,,SUMPRODUCT(MAX(ROW(E$2:E1485)*(E1485=E$2:E1485)))))-COUNTBLANK(OFFSET(A$1,,,SUMPRODUCT(MAX(ROW(E$1:E1484)*(E2=E$1:E1484))))))</f>
        <v> </v>
      </c>
      <c r="K1485" s="25" t="str">
        <f>IF(OR(E1485="",E1485="!!!",F1485="NEW"),"",INDEX(J$1:J1484,SUMPRODUCT(MAX(ROW(E$1:E1484)*(E1485=E$1:E1484)))))</f>
        <v> </v>
      </c>
      <c r="L1485" s="26"/>
    </row>
    <row r="1486" spans="1:12">
      <c r="A1486" s="20" t="s">
        <v>44</v>
      </c>
      <c r="E1486" s="21">
        <f>IF(D1486="?OLD","!!!","")</f>
        <v/>
      </c>
      <c r="F1486" s="22" t="str">
        <f>IF(OR(E1486="",E1486="!!!"),"",IF(NOT(ISNA(VLOOKUP(E1486,E$1:E1485,1,FALSE()))),"OLD",IF(AND(E1486&lt;&gt;"",E1486&lt;&gt;"!!!"),"NEW","")))</f>
        <v> </v>
      </c>
      <c r="G1486" s="23" t="str">
        <f>IF(OR(E1486="",E1486="!!!"),"",IF(OR(J1486=0,AND(J1486=1,K1486=1),AND(J1486=1,I1486="SBJ"),AND(J1486=1,I1486=0)),"?IN_FOCUS",IF(J1486&lt;=2,"?ACTIVATED",IF(J1486&lt;&gt;"","?FAMILIAR",IF(F1486="NEW",IF(ISNA(VLOOKUP(E1486,#REF!,1,FALSE())),"?TYPE_IDENTIFIABLE","?REFERENTIAL"),"_")))))</f>
        <v> </v>
      </c>
      <c r="H1486" s="24" t="str">
        <f>IF(J1486&lt;&gt;1,"",IF(I1486="SBJ","CB","?"))</f>
        <v> </v>
      </c>
      <c r="I1486" s="25" t="str">
        <f>IF(OR(E1486="",E1486="!!!",F1486="NEW"),"",INDEX(B1485:B$2,-1+SUMPRODUCT(MAX(ROW(E1485:E$2)*(E1486=E1485:E$2)))))</f>
        <v> </v>
      </c>
      <c r="J1486" s="25" t="str">
        <f>IF(OR(E1486="",E1486="!!!",F1486="NEW"),"",COUNTBLANK(OFFSET(A$1,,,SUMPRODUCT(MAX(ROW(E$2:E1486)*(E1486=E$2:E1486)))))-COUNTBLANK(OFFSET(A$1,,,SUMPRODUCT(MAX(ROW(E$1:E1485)*(E2=E$1:E1485))))))</f>
        <v> </v>
      </c>
      <c r="K1486" s="25" t="str">
        <f>IF(OR(E1486="",E1486="!!!",F1486="NEW"),"",INDEX(J$1:J1485,SUMPRODUCT(MAX(ROW(E$1:E1485)*(E1486=E$1:E1485)))))</f>
        <v> </v>
      </c>
      <c r="L1486" s="26"/>
    </row>
    <row r="1487" spans="1:12">
      <c r="A1487" s="20" t="s">
        <v>576</v>
      </c>
      <c r="B1487" s="27" t="s">
        <v>577</v>
      </c>
      <c r="C1487" s="27" t="s">
        <v>477</v>
      </c>
      <c r="D1487" s="27" t="s">
        <v>478</v>
      </c>
      <c r="E1487" s="21">
        <f>IF(D1487="?OLD","!!!","")</f>
        <v/>
      </c>
      <c r="F1487" s="22" t="str">
        <f>IF(OR(E1487="",E1487="!!!"),"",IF(NOT(ISNA(VLOOKUP(E1487,E$1:E1486,1,FALSE()))),"OLD",IF(AND(E1487&lt;&gt;"",E1487&lt;&gt;"!!!"),"NEW","")))</f>
        <v> </v>
      </c>
      <c r="G1487" s="23" t="str">
        <f>IF(OR(E1487="",E1487="!!!"),"",IF(OR(J1487=0,AND(J1487=1,K1487=1),AND(J1487=1,I1487="SBJ"),AND(J1487=1,I1487=0)),"?IN_FOCUS",IF(J1487&lt;=2,"?ACTIVATED",IF(J1487&lt;&gt;"","?FAMILIAR",IF(F1487="NEW",IF(ISNA(VLOOKUP(E1487,#REF!,1,FALSE())),"?TYPE_IDENTIFIABLE","?REFERENTIAL"),"_")))))</f>
        <v> </v>
      </c>
      <c r="H1487" s="24" t="str">
        <f>IF(J1487&lt;&gt;1,"",IF(I1487="SBJ","CB","?"))</f>
        <v> </v>
      </c>
      <c r="I1487" s="25" t="str">
        <f>IF(OR(E1487="",E1487="!!!",F1487="NEW"),"",INDEX(B1486:B$2,-1+SUMPRODUCT(MAX(ROW(E1486:E$2)*(E1487=E1486:E$2)))))</f>
        <v> </v>
      </c>
      <c r="J1487" s="25" t="str">
        <f>IF(OR(E1487="",E1487="!!!",F1487="NEW"),"",COUNTBLANK(OFFSET(A$1,,,SUMPRODUCT(MAX(ROW(E$2:E1487)*(E1487=E$2:E1487)))))-COUNTBLANK(OFFSET(A$1,,,SUMPRODUCT(MAX(ROW(E$1:E1486)*(E2=E$1:E1486))))))</f>
        <v> </v>
      </c>
      <c r="K1487" s="25" t="str">
        <f>IF(OR(E1487="",E1487="!!!",F1487="NEW"),"",INDEX(J$1:J1486,SUMPRODUCT(MAX(ROW(E$1:E1486)*(E1487=E$1:E1486)))))</f>
        <v> </v>
      </c>
      <c r="L1487" s="26"/>
    </row>
    <row r="1488" spans="1:12">
      <c r="A1488" s="20" t="s">
        <v>728</v>
      </c>
      <c r="B1488" s="27" t="s">
        <v>577</v>
      </c>
      <c r="C1488" s="27" t="s">
        <v>497</v>
      </c>
      <c r="D1488" s="27" t="s">
        <v>478</v>
      </c>
      <c r="E1488" s="21">
        <f>IF(D1488="?OLD","!!!","")</f>
        <v/>
      </c>
      <c r="F1488" s="22" t="str">
        <f>IF(OR(E1488="",E1488="!!!"),"",IF(NOT(ISNA(VLOOKUP(E1488,E$1:E1487,1,FALSE()))),"OLD",IF(AND(E1488&lt;&gt;"",E1488&lt;&gt;"!!!"),"NEW","")))</f>
        <v> </v>
      </c>
      <c r="G1488" s="23" t="str">
        <f>IF(OR(E1488="",E1488="!!!"),"",IF(OR(J1488=0,AND(J1488=1,K1488=1),AND(J1488=1,I1488="SBJ"),AND(J1488=1,I1488=0)),"?IN_FOCUS",IF(J1488&lt;=2,"?ACTIVATED",IF(J1488&lt;&gt;"","?FAMILIAR",IF(F1488="NEW",IF(ISNA(VLOOKUP(E1488,#REF!,1,FALSE())),"?TYPE_IDENTIFIABLE","?REFERENTIAL"),"_")))))</f>
        <v> </v>
      </c>
      <c r="H1488" s="24" t="str">
        <f>IF(J1488&lt;&gt;1,"",IF(I1488="SBJ","CB","?"))</f>
        <v> </v>
      </c>
      <c r="I1488" s="25" t="str">
        <f>IF(OR(E1488="",E1488="!!!",F1488="NEW"),"",INDEX(B1487:B$2,-1+SUMPRODUCT(MAX(ROW(E1487:E$2)*(E1488=E1487:E$2)))))</f>
        <v> </v>
      </c>
      <c r="J1488" s="25" t="str">
        <f>IF(OR(E1488="",E1488="!!!",F1488="NEW"),"",COUNTBLANK(OFFSET(A$1,,,SUMPRODUCT(MAX(ROW(E$2:E1488)*(E1488=E$2:E1488)))))-COUNTBLANK(OFFSET(A$1,,,SUMPRODUCT(MAX(ROW(E$1:E1487)*(E2=E$1:E1487))))))</f>
        <v> </v>
      </c>
      <c r="K1488" s="25" t="str">
        <f>IF(OR(E1488="",E1488="!!!",F1488="NEW"),"",INDEX(J$1:J1487,SUMPRODUCT(MAX(ROW(E$1:E1487)*(E1488=E$1:E1487)))))</f>
        <v> </v>
      </c>
      <c r="L1488" s="26"/>
    </row>
    <row r="1489" spans="1:12">
      <c r="A1489" s="20" t="s">
        <v>1157</v>
      </c>
      <c r="E1489" s="21">
        <f>IF(D1489="?OLD","!!!","")</f>
        <v/>
      </c>
      <c r="F1489" s="22" t="str">
        <f>IF(OR(E1489="",E1489="!!!"),"",IF(NOT(ISNA(VLOOKUP(E1489,E$1:E1488,1,FALSE()))),"OLD",IF(AND(E1489&lt;&gt;"",E1489&lt;&gt;"!!!"),"NEW","")))</f>
        <v> </v>
      </c>
      <c r="G1489" s="23" t="str">
        <f>IF(OR(E1489="",E1489="!!!"),"",IF(OR(J1489=0,AND(J1489=1,K1489=1),AND(J1489=1,I1489="SBJ"),AND(J1489=1,I1489=0)),"?IN_FOCUS",IF(J1489&lt;=2,"?ACTIVATED",IF(J1489&lt;&gt;"","?FAMILIAR",IF(F1489="NEW",IF(ISNA(VLOOKUP(E1489,#REF!,1,FALSE())),"?TYPE_IDENTIFIABLE","?REFERENTIAL"),"_")))))</f>
        <v> </v>
      </c>
      <c r="H1489" s="24" t="str">
        <f>IF(J1489&lt;&gt;1,"",IF(I1489="SBJ","CB","?"))</f>
        <v> </v>
      </c>
      <c r="I1489" s="25" t="str">
        <f>IF(OR(E1489="",E1489="!!!",F1489="NEW"),"",INDEX(B1488:B$2,-1+SUMPRODUCT(MAX(ROW(E1488:E$2)*(E1489=E1488:E$2)))))</f>
        <v> </v>
      </c>
      <c r="J1489" s="25" t="str">
        <f>IF(OR(E1489="",E1489="!!!",F1489="NEW"),"",COUNTBLANK(OFFSET(A$1,,,SUMPRODUCT(MAX(ROW(E$2:E1489)*(E1489=E$2:E1489)))))-COUNTBLANK(OFFSET(A$1,,,SUMPRODUCT(MAX(ROW(E$1:E1488)*(E2=E$1:E1488))))))</f>
        <v> </v>
      </c>
      <c r="K1489" s="25" t="str">
        <f>IF(OR(E1489="",E1489="!!!",F1489="NEW"),"",INDEX(J$1:J1488,SUMPRODUCT(MAX(ROW(E$1:E1488)*(E1489=E$1:E1488)))))</f>
        <v> </v>
      </c>
      <c r="L1489" s="26"/>
    </row>
    <row r="1490" spans="1:12">
      <c r="A1490" s="20" t="s">
        <v>253</v>
      </c>
      <c r="E1490" s="21">
        <f>IF(D1490="?OLD","!!!","")</f>
        <v/>
      </c>
      <c r="F1490" s="22" t="str">
        <f>IF(OR(E1490="",E1490="!!!"),"",IF(NOT(ISNA(VLOOKUP(E1490,E$1:E1489,1,FALSE()))),"OLD",IF(AND(E1490&lt;&gt;"",E1490&lt;&gt;"!!!"),"NEW","")))</f>
        <v> </v>
      </c>
      <c r="G1490" s="23" t="str">
        <f>IF(OR(E1490="",E1490="!!!"),"",IF(OR(J1490=0,AND(J1490=1,K1490=1),AND(J1490=1,I1490="SBJ"),AND(J1490=1,I1490=0)),"?IN_FOCUS",IF(J1490&lt;=2,"?ACTIVATED",IF(J1490&lt;&gt;"","?FAMILIAR",IF(F1490="NEW",IF(ISNA(VLOOKUP(E1490,#REF!,1,FALSE())),"?TYPE_IDENTIFIABLE","?REFERENTIAL"),"_")))))</f>
        <v> </v>
      </c>
      <c r="H1490" s="24" t="str">
        <f>IF(J1490&lt;&gt;1,"",IF(I1490="SBJ","CB","?"))</f>
        <v> </v>
      </c>
      <c r="I1490" s="25" t="str">
        <f>IF(OR(E1490="",E1490="!!!",F1490="NEW"),"",INDEX(B1489:B$2,-1+SUMPRODUCT(MAX(ROW(E1489:E$2)*(E1490=E1489:E$2)))))</f>
        <v> </v>
      </c>
      <c r="J1490" s="25" t="str">
        <f>IF(OR(E1490="",E1490="!!!",F1490="NEW"),"",COUNTBLANK(OFFSET(A$1,,,SUMPRODUCT(MAX(ROW(E$2:E1490)*(E1490=E$2:E1490)))))-COUNTBLANK(OFFSET(A$1,,,SUMPRODUCT(MAX(ROW(E$1:E1489)*(E2=E$1:E1489))))))</f>
        <v> </v>
      </c>
      <c r="K1490" s="25" t="str">
        <f>IF(OR(E1490="",E1490="!!!",F1490="NEW"),"",INDEX(J$1:J1489,SUMPRODUCT(MAX(ROW(E$1:E1489)*(E1490=E$1:E1489)))))</f>
        <v> </v>
      </c>
      <c r="L1490" s="26"/>
    </row>
    <row r="1491" spans="1:12">
      <c r="A1491" s="20"/>
    </row>
    <row r="1492" spans="1:12">
      <c r="A1492" s="20" t="s">
        <v>1158</v>
      </c>
    </row>
    <row r="1493" spans="1:12">
      <c r="A1493" s="20" t="s">
        <v>586</v>
      </c>
      <c r="B1493" s="27" t="s">
        <v>476</v>
      </c>
      <c r="C1493" s="27" t="s">
        <v>497</v>
      </c>
      <c r="D1493" s="27" t="s">
        <v>478</v>
      </c>
      <c r="E1493" s="21">
        <f>IF(D1493="?OLD","!!!","")</f>
        <v/>
      </c>
      <c r="F1493" s="22" t="str">
        <f>IF(OR(E1493="",E1493="!!!"),"",IF(NOT(ISNA(VLOOKUP(E1493,E$1:E1492,1,FALSE()))),"OLD",IF(AND(E1493&lt;&gt;"",E1493&lt;&gt;"!!!"),"NEW","")))</f>
        <v> </v>
      </c>
      <c r="G1493" s="23" t="str">
        <f>IF(OR(E1493="",E1493="!!!"),"",IF(OR(J1493=0,AND(J1493=1,K1493=1),AND(J1493=1,I1493="SBJ"),AND(J1493=1,I1493=0)),"?IN_FOCUS",IF(J1493&lt;=2,"?ACTIVATED",IF(J1493&lt;&gt;"","?FAMILIAR",IF(F1493="NEW",IF(ISNA(VLOOKUP(E1493,#REF!,1,FALSE())),"?TYPE_IDENTIFIABLE","?REFERENTIAL"),"_")))))</f>
        <v> </v>
      </c>
      <c r="H1493" s="24" t="str">
        <f>IF(J1493&lt;&gt;1,"",IF(I1493="SBJ","CB","?"))</f>
        <v> </v>
      </c>
      <c r="I1493" s="25" t="str">
        <f>IF(OR(E1493="",E1493="!!!",F1493="NEW"),"",INDEX(B1492:B$2,-1+SUMPRODUCT(MAX(ROW(E1492:E$2)*(E1493=E1492:E$2)))))</f>
        <v> </v>
      </c>
      <c r="J1493" s="25" t="str">
        <f>IF(OR(E1493="",E1493="!!!",F1493="NEW"),"",COUNTBLANK(OFFSET(A$1,,,SUMPRODUCT(MAX(ROW(E$2:E1493)*(E1493=E$2:E1493)))))-COUNTBLANK(OFFSET(A$1,,,SUMPRODUCT(MAX(ROW(E$1:E1492)*(E2=E$1:E1492))))))</f>
        <v> </v>
      </c>
      <c r="K1493" s="25" t="str">
        <f>IF(OR(E1493="",E1493="!!!",F1493="NEW"),"",INDEX(J$1:J1492,SUMPRODUCT(MAX(ROW(E$1:E1492)*(E1493=E$1:E1492)))))</f>
        <v> </v>
      </c>
      <c r="L1493" s="26"/>
    </row>
    <row r="1494" spans="1:12">
      <c r="A1494" s="20" t="s">
        <v>164</v>
      </c>
      <c r="E1494" s="21">
        <f>IF(D1494="?OLD","!!!","")</f>
        <v/>
      </c>
      <c r="F1494" s="22" t="str">
        <f>IF(OR(E1494="",E1494="!!!"),"",IF(NOT(ISNA(VLOOKUP(E1494,E$1:E1493,1,FALSE()))),"OLD",IF(AND(E1494&lt;&gt;"",E1494&lt;&gt;"!!!"),"NEW","")))</f>
        <v> </v>
      </c>
      <c r="G1494" s="23" t="str">
        <f>IF(OR(E1494="",E1494="!!!"),"",IF(OR(J1494=0,AND(J1494=1,K1494=1),AND(J1494=1,I1494="SBJ"),AND(J1494=1,I1494=0)),"?IN_FOCUS",IF(J1494&lt;=2,"?ACTIVATED",IF(J1494&lt;&gt;"","?FAMILIAR",IF(F1494="NEW",IF(ISNA(VLOOKUP(E1494,#REF!,1,FALSE())),"?TYPE_IDENTIFIABLE","?REFERENTIAL"),"_")))))</f>
        <v> </v>
      </c>
      <c r="H1494" s="24" t="str">
        <f>IF(J1494&lt;&gt;1,"",IF(I1494="SBJ","CB","?"))</f>
        <v> </v>
      </c>
      <c r="I1494" s="25" t="str">
        <f>IF(OR(E1494="",E1494="!!!",F1494="NEW"),"",INDEX(B1493:B$2,-1+SUMPRODUCT(MAX(ROW(E1493:E$2)*(E1494=E1493:E$2)))))</f>
        <v> </v>
      </c>
      <c r="J1494" s="25" t="str">
        <f>IF(OR(E1494="",E1494="!!!",F1494="NEW"),"",COUNTBLANK(OFFSET(A$1,,,SUMPRODUCT(MAX(ROW(E$2:E1494)*(E1494=E$2:E1494)))))-COUNTBLANK(OFFSET(A$1,,,SUMPRODUCT(MAX(ROW(E$1:E1493)*(E2=E$1:E1493))))))</f>
        <v> </v>
      </c>
      <c r="K1494" s="25" t="str">
        <f>IF(OR(E1494="",E1494="!!!",F1494="NEW"),"",INDEX(J$1:J1493,SUMPRODUCT(MAX(ROW(E$1:E1493)*(E1494=E$1:E1493)))))</f>
        <v> </v>
      </c>
      <c r="L1494" s="26"/>
    </row>
    <row r="1495" spans="1:12">
      <c r="A1495" s="20" t="s">
        <v>619</v>
      </c>
      <c r="B1495" s="27" t="s">
        <v>473</v>
      </c>
      <c r="C1495" s="27" t="s">
        <v>620</v>
      </c>
      <c r="D1495" s="27" t="s">
        <v>478</v>
      </c>
      <c r="E1495" s="21">
        <f>IF(D1495="?OLD","!!!","")</f>
        <v/>
      </c>
      <c r="F1495" s="22" t="str">
        <f>IF(OR(E1495="",E1495="!!!"),"",IF(NOT(ISNA(VLOOKUP(E1495,E$1:E1494,1,FALSE()))),"OLD",IF(AND(E1495&lt;&gt;"",E1495&lt;&gt;"!!!"),"NEW","")))</f>
        <v> </v>
      </c>
      <c r="G1495" s="23" t="str">
        <f>IF(OR(E1495="",E1495="!!!"),"",IF(OR(J1495=0,AND(J1495=1,K1495=1),AND(J1495=1,I1495="SBJ"),AND(J1495=1,I1495=0)),"?IN_FOCUS",IF(J1495&lt;=2,"?ACTIVATED",IF(J1495&lt;&gt;"","?FAMILIAR",IF(F1495="NEW",IF(ISNA(VLOOKUP(E1495,#REF!,1,FALSE())),"?TYPE_IDENTIFIABLE","?REFERENTIAL"),"_")))))</f>
        <v> </v>
      </c>
      <c r="H1495" s="24" t="str">
        <f>IF(J1495&lt;&gt;1,"",IF(I1495="SBJ","CB","?"))</f>
        <v> </v>
      </c>
      <c r="I1495" s="25" t="str">
        <f>IF(OR(E1495="",E1495="!!!",F1495="NEW"),"",INDEX(B1494:B$2,-1+SUMPRODUCT(MAX(ROW(E1494:E$2)*(E1495=E1494:E$2)))))</f>
        <v> </v>
      </c>
      <c r="J1495" s="25" t="str">
        <f>IF(OR(E1495="",E1495="!!!",F1495="NEW"),"",COUNTBLANK(OFFSET(A$1,,,SUMPRODUCT(MAX(ROW(E$2:E1495)*(E1495=E$2:E1495)))))-COUNTBLANK(OFFSET(A$1,,,SUMPRODUCT(MAX(ROW(E$1:E1494)*(E2=E$1:E1494))))))</f>
        <v> </v>
      </c>
      <c r="K1495" s="25" t="str">
        <f>IF(OR(E1495="",E1495="!!!",F1495="NEW"),"",INDEX(J$1:J1494,SUMPRODUCT(MAX(ROW(E$1:E1494)*(E1495=E$1:E1494)))))</f>
        <v> </v>
      </c>
      <c r="L1495" s="26"/>
    </row>
    <row r="1496" spans="1:12">
      <c r="A1496" s="20" t="s">
        <v>319</v>
      </c>
      <c r="E1496" s="21">
        <f>IF(D1496="?OLD","!!!","")</f>
        <v/>
      </c>
      <c r="F1496" s="22" t="str">
        <f>IF(OR(E1496="",E1496="!!!"),"",IF(NOT(ISNA(VLOOKUP(E1496,E$1:E1495,1,FALSE()))),"OLD",IF(AND(E1496&lt;&gt;"",E1496&lt;&gt;"!!!"),"NEW","")))</f>
        <v> </v>
      </c>
      <c r="G1496" s="23" t="str">
        <f>IF(OR(E1496="",E1496="!!!"),"",IF(OR(J1496=0,AND(J1496=1,K1496=1),AND(J1496=1,I1496="SBJ"),AND(J1496=1,I1496=0)),"?IN_FOCUS",IF(J1496&lt;=2,"?ACTIVATED",IF(J1496&lt;&gt;"","?FAMILIAR",IF(F1496="NEW",IF(ISNA(VLOOKUP(E1496,#REF!,1,FALSE())),"?TYPE_IDENTIFIABLE","?REFERENTIAL"),"_")))))</f>
        <v> </v>
      </c>
      <c r="H1496" s="24" t="str">
        <f>IF(J1496&lt;&gt;1,"",IF(I1496="SBJ","CB","?"))</f>
        <v> </v>
      </c>
      <c r="I1496" s="25" t="str">
        <f>IF(OR(E1496="",E1496="!!!",F1496="NEW"),"",INDEX(B1495:B$2,-1+SUMPRODUCT(MAX(ROW(E1495:E$2)*(E1496=E1495:E$2)))))</f>
        <v> </v>
      </c>
      <c r="J1496" s="25" t="str">
        <f>IF(OR(E1496="",E1496="!!!",F1496="NEW"),"",COUNTBLANK(OFFSET(A$1,,,SUMPRODUCT(MAX(ROW(E$2:E1496)*(E1496=E$2:E1496)))))-COUNTBLANK(OFFSET(A$1,,,SUMPRODUCT(MAX(ROW(E$1:E1495)*(E2=E$1:E1495))))))</f>
        <v> </v>
      </c>
      <c r="K1496" s="25" t="str">
        <f>IF(OR(E1496="",E1496="!!!",F1496="NEW"),"",INDEX(J$1:J1495,SUMPRODUCT(MAX(ROW(E$1:E1495)*(E1496=E$1:E1495)))))</f>
        <v> </v>
      </c>
      <c r="L1496" s="26"/>
    </row>
    <row r="1497" spans="1:12">
      <c r="A1497" s="20" t="s">
        <v>253</v>
      </c>
      <c r="E1497" s="21">
        <f>IF(D1497="?OLD","!!!","")</f>
        <v/>
      </c>
      <c r="F1497" s="22" t="str">
        <f>IF(OR(E1497="",E1497="!!!"),"",IF(NOT(ISNA(VLOOKUP(E1497,E$1:E1496,1,FALSE()))),"OLD",IF(AND(E1497&lt;&gt;"",E1497&lt;&gt;"!!!"),"NEW","")))</f>
        <v> </v>
      </c>
      <c r="G1497" s="23" t="str">
        <f>IF(OR(E1497="",E1497="!!!"),"",IF(OR(J1497=0,AND(J1497=1,K1497=1),AND(J1497=1,I1497="SBJ"),AND(J1497=1,I1497=0)),"?IN_FOCUS",IF(J1497&lt;=2,"?ACTIVATED",IF(J1497&lt;&gt;"","?FAMILIAR",IF(F1497="NEW",IF(ISNA(VLOOKUP(E1497,#REF!,1,FALSE())),"?TYPE_IDENTIFIABLE","?REFERENTIAL"),"_")))))</f>
        <v> </v>
      </c>
      <c r="H1497" s="24" t="str">
        <f>IF(J1497&lt;&gt;1,"",IF(I1497="SBJ","CB","?"))</f>
        <v> </v>
      </c>
      <c r="I1497" s="25" t="str">
        <f>IF(OR(E1497="",E1497="!!!",F1497="NEW"),"",INDEX(B1496:B$2,-1+SUMPRODUCT(MAX(ROW(E1496:E$2)*(E1497=E1496:E$2)))))</f>
        <v> </v>
      </c>
      <c r="J1497" s="25" t="str">
        <f>IF(OR(E1497="",E1497="!!!",F1497="NEW"),"",COUNTBLANK(OFFSET(A$1,,,SUMPRODUCT(MAX(ROW(E$2:E1497)*(E1497=E$2:E1497)))))-COUNTBLANK(OFFSET(A$1,,,SUMPRODUCT(MAX(ROW(E$1:E1496)*(E2=E$1:E1496))))))</f>
        <v> </v>
      </c>
      <c r="K1497" s="25" t="str">
        <f>IF(OR(E1497="",E1497="!!!",F1497="NEW"),"",INDEX(J$1:J1496,SUMPRODUCT(MAX(ROW(E$1:E1496)*(E1497=E$1:E1496)))))</f>
        <v> </v>
      </c>
      <c r="L1497" s="26"/>
    </row>
    <row r="1498" spans="1:12">
      <c r="A1498" s="20"/>
    </row>
    <row r="1499" spans="1:12">
      <c r="A1499" s="20" t="s">
        <v>1159</v>
      </c>
    </row>
    <row r="1500" spans="1:12">
      <c r="A1500" s="20" t="s">
        <v>586</v>
      </c>
      <c r="B1500" s="27" t="s">
        <v>476</v>
      </c>
      <c r="C1500" s="27" t="s">
        <v>497</v>
      </c>
      <c r="D1500" s="27" t="s">
        <v>478</v>
      </c>
      <c r="E1500" s="21">
        <f>IF(D1500="?OLD","!!!","")</f>
        <v/>
      </c>
      <c r="F1500" s="22" t="str">
        <f>IF(OR(E1500="",E1500="!!!"),"",IF(NOT(ISNA(VLOOKUP(E1500,E$1:E1499,1,FALSE()))),"OLD",IF(AND(E1500&lt;&gt;"",E1500&lt;&gt;"!!!"),"NEW","")))</f>
        <v> </v>
      </c>
      <c r="G1500" s="23" t="str">
        <f>IF(OR(E1500="",E1500="!!!"),"",IF(OR(J1500=0,AND(J1500=1,K1500=1),AND(J1500=1,I1500="SBJ"),AND(J1500=1,I1500=0)),"?IN_FOCUS",IF(J1500&lt;=2,"?ACTIVATED",IF(J1500&lt;&gt;"","?FAMILIAR",IF(F1500="NEW",IF(ISNA(VLOOKUP(E1500,#REF!,1,FALSE())),"?TYPE_IDENTIFIABLE","?REFERENTIAL"),"_")))))</f>
        <v> </v>
      </c>
      <c r="H1500" s="24" t="str">
        <f>IF(J1500&lt;&gt;1,"",IF(I1500="SBJ","CB","?"))</f>
        <v> </v>
      </c>
      <c r="I1500" s="25" t="str">
        <f>IF(OR(E1500="",E1500="!!!",F1500="NEW"),"",INDEX(B1499:B$2,-1+SUMPRODUCT(MAX(ROW(E1499:E$2)*(E1500=E1499:E$2)))))</f>
        <v> </v>
      </c>
      <c r="J1500" s="25" t="str">
        <f>IF(OR(E1500="",E1500="!!!",F1500="NEW"),"",COUNTBLANK(OFFSET(A$1,,,SUMPRODUCT(MAX(ROW(E$2:E1500)*(E1500=E$2:E1500)))))-COUNTBLANK(OFFSET(A$1,,,SUMPRODUCT(MAX(ROW(E$1:E1499)*(E2=E$1:E1499))))))</f>
        <v> </v>
      </c>
      <c r="K1500" s="25" t="str">
        <f>IF(OR(E1500="",E1500="!!!",F1500="NEW"),"",INDEX(J$1:J1499,SUMPRODUCT(MAX(ROW(E$1:E1499)*(E1500=E$1:E1499)))))</f>
        <v> </v>
      </c>
      <c r="L1500" s="26"/>
    </row>
    <row r="1501" spans="1:12">
      <c r="A1501" s="20" t="s">
        <v>493</v>
      </c>
      <c r="E1501" s="21">
        <f>IF(D1501="?OLD","!!!","")</f>
        <v/>
      </c>
      <c r="F1501" s="22" t="str">
        <f>IF(OR(E1501="",E1501="!!!"),"",IF(NOT(ISNA(VLOOKUP(E1501,E$1:E1500,1,FALSE()))),"OLD",IF(AND(E1501&lt;&gt;"",E1501&lt;&gt;"!!!"),"NEW","")))</f>
        <v> </v>
      </c>
      <c r="G1501" s="23" t="str">
        <f>IF(OR(E1501="",E1501="!!!"),"",IF(OR(J1501=0,AND(J1501=1,K1501=1),AND(J1501=1,I1501="SBJ"),AND(J1501=1,I1501=0)),"?IN_FOCUS",IF(J1501&lt;=2,"?ACTIVATED",IF(J1501&lt;&gt;"","?FAMILIAR",IF(F1501="NEW",IF(ISNA(VLOOKUP(E1501,#REF!,1,FALSE())),"?TYPE_IDENTIFIABLE","?REFERENTIAL"),"_")))))</f>
        <v> </v>
      </c>
      <c r="H1501" s="24" t="str">
        <f>IF(J1501&lt;&gt;1,"",IF(I1501="SBJ","CB","?"))</f>
        <v> </v>
      </c>
      <c r="I1501" s="25" t="str">
        <f>IF(OR(E1501="",E1501="!!!",F1501="NEW"),"",INDEX(B1500:B$2,-1+SUMPRODUCT(MAX(ROW(E1500:E$2)*(E1501=E1500:E$2)))))</f>
        <v> </v>
      </c>
      <c r="J1501" s="25" t="str">
        <f>IF(OR(E1501="",E1501="!!!",F1501="NEW"),"",COUNTBLANK(OFFSET(A$1,,,SUMPRODUCT(MAX(ROW(E$2:E1501)*(E1501=E$2:E1501)))))-COUNTBLANK(OFFSET(A$1,,,SUMPRODUCT(MAX(ROW(E$1:E1500)*(E2=E$1:E1500))))))</f>
        <v> </v>
      </c>
      <c r="K1501" s="25" t="str">
        <f>IF(OR(E1501="",E1501="!!!",F1501="NEW"),"",INDEX(J$1:J1500,SUMPRODUCT(MAX(ROW(E$1:E1500)*(E1501=E$1:E1500)))))</f>
        <v> </v>
      </c>
      <c r="L1501" s="26"/>
    </row>
    <row r="1502" spans="1:12">
      <c r="A1502" s="20" t="s">
        <v>1160</v>
      </c>
      <c r="E1502" s="21">
        <f>IF(D1502="?OLD","!!!","")</f>
        <v/>
      </c>
      <c r="F1502" s="22" t="str">
        <f>IF(OR(E1502="",E1502="!!!"),"",IF(NOT(ISNA(VLOOKUP(E1502,E$1:E1501,1,FALSE()))),"OLD",IF(AND(E1502&lt;&gt;"",E1502&lt;&gt;"!!!"),"NEW","")))</f>
        <v> </v>
      </c>
      <c r="G1502" s="23" t="str">
        <f>IF(OR(E1502="",E1502="!!!"),"",IF(OR(J1502=0,AND(J1502=1,K1502=1),AND(J1502=1,I1502="SBJ"),AND(J1502=1,I1502=0)),"?IN_FOCUS",IF(J1502&lt;=2,"?ACTIVATED",IF(J1502&lt;&gt;"","?FAMILIAR",IF(F1502="NEW",IF(ISNA(VLOOKUP(E1502,#REF!,1,FALSE())),"?TYPE_IDENTIFIABLE","?REFERENTIAL"),"_")))))</f>
        <v> </v>
      </c>
      <c r="H1502" s="24" t="str">
        <f>IF(J1502&lt;&gt;1,"",IF(I1502="SBJ","CB","?"))</f>
        <v> </v>
      </c>
      <c r="I1502" s="25" t="str">
        <f>IF(OR(E1502="",E1502="!!!",F1502="NEW"),"",INDEX(B1501:B$2,-1+SUMPRODUCT(MAX(ROW(E1501:E$2)*(E1502=E1501:E$2)))))</f>
        <v> </v>
      </c>
      <c r="J1502" s="25" t="str">
        <f>IF(OR(E1502="",E1502="!!!",F1502="NEW"),"",COUNTBLANK(OFFSET(A$1,,,SUMPRODUCT(MAX(ROW(E$2:E1502)*(E1502=E$2:E1502)))))-COUNTBLANK(OFFSET(A$1,,,SUMPRODUCT(MAX(ROW(E$1:E1501)*(E2=E$1:E1501))))))</f>
        <v> </v>
      </c>
      <c r="K1502" s="25" t="str">
        <f>IF(OR(E1502="",E1502="!!!",F1502="NEW"),"",INDEX(J$1:J1501,SUMPRODUCT(MAX(ROW(E$1:E1501)*(E1502=E$1:E1501)))))</f>
        <v> </v>
      </c>
      <c r="L1502" s="26"/>
    </row>
    <row r="1503" spans="1:12">
      <c r="A1503" s="20" t="s">
        <v>422</v>
      </c>
      <c r="E1503" s="21">
        <f>IF(D1503="?OLD","!!!","")</f>
        <v/>
      </c>
      <c r="F1503" s="22" t="str">
        <f>IF(OR(E1503="",E1503="!!!"),"",IF(NOT(ISNA(VLOOKUP(E1503,E$1:E1502,1,FALSE()))),"OLD",IF(AND(E1503&lt;&gt;"",E1503&lt;&gt;"!!!"),"NEW","")))</f>
        <v> </v>
      </c>
      <c r="G1503" s="23" t="str">
        <f>IF(OR(E1503="",E1503="!!!"),"",IF(OR(J1503=0,AND(J1503=1,K1503=1),AND(J1503=1,I1503="SBJ"),AND(J1503=1,I1503=0)),"?IN_FOCUS",IF(J1503&lt;=2,"?ACTIVATED",IF(J1503&lt;&gt;"","?FAMILIAR",IF(F1503="NEW",IF(ISNA(VLOOKUP(E1503,#REF!,1,FALSE())),"?TYPE_IDENTIFIABLE","?REFERENTIAL"),"_")))))</f>
        <v> </v>
      </c>
      <c r="H1503" s="24" t="str">
        <f>IF(J1503&lt;&gt;1,"",IF(I1503="SBJ","CB","?"))</f>
        <v> </v>
      </c>
      <c r="I1503" s="25" t="str">
        <f>IF(OR(E1503="",E1503="!!!",F1503="NEW"),"",INDEX(B1502:B$2,-1+SUMPRODUCT(MAX(ROW(E1502:E$2)*(E1503=E1502:E$2)))))</f>
        <v> </v>
      </c>
      <c r="J1503" s="25" t="str">
        <f>IF(OR(E1503="",E1503="!!!",F1503="NEW"),"",COUNTBLANK(OFFSET(A$1,,,SUMPRODUCT(MAX(ROW(E$2:E1503)*(E1503=E$2:E1503)))))-COUNTBLANK(OFFSET(A$1,,,SUMPRODUCT(MAX(ROW(E$1:E1502)*(E2=E$1:E1502))))))</f>
        <v> </v>
      </c>
      <c r="K1503" s="25" t="str">
        <f>IF(OR(E1503="",E1503="!!!",F1503="NEW"),"",INDEX(J$1:J1502,SUMPRODUCT(MAX(ROW(E$1:E1502)*(E1503=E$1:E1502)))))</f>
        <v> </v>
      </c>
      <c r="L1503" s="26"/>
    </row>
    <row r="1504" spans="1:12">
      <c r="A1504" s="20" t="s">
        <v>253</v>
      </c>
      <c r="E1504" s="21">
        <f>IF(D1504="?OLD","!!!","")</f>
        <v/>
      </c>
      <c r="F1504" s="22" t="str">
        <f>IF(OR(E1504="",E1504="!!!"),"",IF(NOT(ISNA(VLOOKUP(E1504,E$1:E1503,1,FALSE()))),"OLD",IF(AND(E1504&lt;&gt;"",E1504&lt;&gt;"!!!"),"NEW","")))</f>
        <v> </v>
      </c>
      <c r="G1504" s="23" t="str">
        <f>IF(OR(E1504="",E1504="!!!"),"",IF(OR(J1504=0,AND(J1504=1,K1504=1),AND(J1504=1,I1504="SBJ"),AND(J1504=1,I1504=0)),"?IN_FOCUS",IF(J1504&lt;=2,"?ACTIVATED",IF(J1504&lt;&gt;"","?FAMILIAR",IF(F1504="NEW",IF(ISNA(VLOOKUP(E1504,#REF!,1,FALSE())),"?TYPE_IDENTIFIABLE","?REFERENTIAL"),"_")))))</f>
        <v> </v>
      </c>
      <c r="H1504" s="24" t="str">
        <f>IF(J1504&lt;&gt;1,"",IF(I1504="SBJ","CB","?"))</f>
        <v> </v>
      </c>
      <c r="I1504" s="25" t="str">
        <f>IF(OR(E1504="",E1504="!!!",F1504="NEW"),"",INDEX(B1503:B$2,-1+SUMPRODUCT(MAX(ROW(E1503:E$2)*(E1504=E1503:E$2)))))</f>
        <v> </v>
      </c>
      <c r="J1504" s="25" t="str">
        <f>IF(OR(E1504="",E1504="!!!",F1504="NEW"),"",COUNTBLANK(OFFSET(A$1,,,SUMPRODUCT(MAX(ROW(E$2:E1504)*(E1504=E$2:E1504)))))-COUNTBLANK(OFFSET(A$1,,,SUMPRODUCT(MAX(ROW(E$1:E1503)*(E2=E$1:E1503))))))</f>
        <v> </v>
      </c>
      <c r="K1504" s="25" t="str">
        <f>IF(OR(E1504="",E1504="!!!",F1504="NEW"),"",INDEX(J$1:J1503,SUMPRODUCT(MAX(ROW(E$1:E1503)*(E1504=E$1:E1503)))))</f>
        <v> </v>
      </c>
      <c r="L1504" s="26"/>
    </row>
    <row r="1505" spans="1:12">
      <c r="A1505" s="20"/>
    </row>
    <row r="1506" spans="1:12">
      <c r="A1506" s="20" t="s">
        <v>1161</v>
      </c>
    </row>
    <row r="1507" spans="1:12">
      <c r="A1507" s="20" t="s">
        <v>586</v>
      </c>
      <c r="B1507" s="27" t="s">
        <v>476</v>
      </c>
      <c r="C1507" s="27" t="s">
        <v>497</v>
      </c>
      <c r="D1507" s="27" t="s">
        <v>478</v>
      </c>
      <c r="E1507" s="21">
        <f>IF(D1507="?OLD","!!!","")</f>
        <v/>
      </c>
      <c r="F1507" s="22" t="str">
        <f>IF(OR(E1507="",E1507="!!!"),"",IF(NOT(ISNA(VLOOKUP(E1507,E$1:E1506,1,FALSE()))),"OLD",IF(AND(E1507&lt;&gt;"",E1507&lt;&gt;"!!!"),"NEW","")))</f>
        <v> </v>
      </c>
      <c r="G1507" s="23" t="str">
        <f>IF(OR(E1507="",E1507="!!!"),"",IF(OR(J1507=0,AND(J1507=1,K1507=1),AND(J1507=1,I1507="SBJ"),AND(J1507=1,I1507=0)),"?IN_FOCUS",IF(J1507&lt;=2,"?ACTIVATED",IF(J1507&lt;&gt;"","?FAMILIAR",IF(F1507="NEW",IF(ISNA(VLOOKUP(E1507,#REF!,1,FALSE())),"?TYPE_IDENTIFIABLE","?REFERENTIAL"),"_")))))</f>
        <v> </v>
      </c>
      <c r="H1507" s="24" t="str">
        <f>IF(J1507&lt;&gt;1,"",IF(I1507="SBJ","CB","?"))</f>
        <v> </v>
      </c>
      <c r="I1507" s="25" t="str">
        <f>IF(OR(E1507="",E1507="!!!",F1507="NEW"),"",INDEX(B1506:B$2,-1+SUMPRODUCT(MAX(ROW(E1506:E$2)*(E1507=E1506:E$2)))))</f>
        <v> </v>
      </c>
      <c r="J1507" s="25" t="str">
        <f>IF(OR(E1507="",E1507="!!!",F1507="NEW"),"",COUNTBLANK(OFFSET(A$1,,,SUMPRODUCT(MAX(ROW(E$2:E1507)*(E1507=E$2:E1507)))))-COUNTBLANK(OFFSET(A$1,,,SUMPRODUCT(MAX(ROW(E$1:E1506)*(E2=E$1:E1506))))))</f>
        <v> </v>
      </c>
      <c r="K1507" s="25" t="str">
        <f>IF(OR(E1507="",E1507="!!!",F1507="NEW"),"",INDEX(J$1:J1506,SUMPRODUCT(MAX(ROW(E$1:E1506)*(E1507=E$1:E1506)))))</f>
        <v> </v>
      </c>
      <c r="L1507" s="26"/>
    </row>
    <row r="1508" spans="1:12">
      <c r="A1508" s="20" t="s">
        <v>619</v>
      </c>
      <c r="B1508" s="27" t="s">
        <v>473</v>
      </c>
      <c r="C1508" s="27" t="s">
        <v>620</v>
      </c>
      <c r="D1508" s="27" t="s">
        <v>478</v>
      </c>
      <c r="E1508" s="21">
        <f>IF(D1508="?OLD","!!!","")</f>
        <v/>
      </c>
      <c r="F1508" s="22" t="str">
        <f>IF(OR(E1508="",E1508="!!!"),"",IF(NOT(ISNA(VLOOKUP(E1508,E$1:E1507,1,FALSE()))),"OLD",IF(AND(E1508&lt;&gt;"",E1508&lt;&gt;"!!!"),"NEW","")))</f>
        <v> </v>
      </c>
      <c r="G1508" s="23" t="str">
        <f>IF(OR(E1508="",E1508="!!!"),"",IF(OR(J1508=0,AND(J1508=1,K1508=1),AND(J1508=1,I1508="SBJ"),AND(J1508=1,I1508=0)),"?IN_FOCUS",IF(J1508&lt;=2,"?ACTIVATED",IF(J1508&lt;&gt;"","?FAMILIAR",IF(F1508="NEW",IF(ISNA(VLOOKUP(E1508,#REF!,1,FALSE())),"?TYPE_IDENTIFIABLE","?REFERENTIAL"),"_")))))</f>
        <v> </v>
      </c>
      <c r="H1508" s="24" t="str">
        <f>IF(J1508&lt;&gt;1,"",IF(I1508="SBJ","CB","?"))</f>
        <v> </v>
      </c>
      <c r="I1508" s="25" t="str">
        <f>IF(OR(E1508="",E1508="!!!",F1508="NEW"),"",INDEX(B1507:B$2,-1+SUMPRODUCT(MAX(ROW(E1507:E$2)*(E1508=E1507:E$2)))))</f>
        <v> </v>
      </c>
      <c r="J1508" s="25" t="str">
        <f>IF(OR(E1508="",E1508="!!!",F1508="NEW"),"",COUNTBLANK(OFFSET(A$1,,,SUMPRODUCT(MAX(ROW(E$2:E1508)*(E1508=E$2:E1508)))))-COUNTBLANK(OFFSET(A$1,,,SUMPRODUCT(MAX(ROW(E$1:E1507)*(E2=E$1:E1507))))))</f>
        <v> </v>
      </c>
      <c r="K1508" s="25" t="str">
        <f>IF(OR(E1508="",E1508="!!!",F1508="NEW"),"",INDEX(J$1:J1507,SUMPRODUCT(MAX(ROW(E$1:E1507)*(E1508=E$1:E1507)))))</f>
        <v> </v>
      </c>
      <c r="L1508" s="26"/>
    </row>
    <row r="1509" spans="1:12">
      <c r="A1509" s="20" t="s">
        <v>426</v>
      </c>
      <c r="E1509" s="21">
        <f>IF(D1509="?OLD","!!!","")</f>
        <v/>
      </c>
      <c r="F1509" s="22" t="str">
        <f>IF(OR(E1509="",E1509="!!!"),"",IF(NOT(ISNA(VLOOKUP(E1509,E$1:E1508,1,FALSE()))),"OLD",IF(AND(E1509&lt;&gt;"",E1509&lt;&gt;"!!!"),"NEW","")))</f>
        <v> </v>
      </c>
      <c r="G1509" s="23" t="str">
        <f>IF(OR(E1509="",E1509="!!!"),"",IF(OR(J1509=0,AND(J1509=1,K1509=1),AND(J1509=1,I1509="SBJ"),AND(J1509=1,I1509=0)),"?IN_FOCUS",IF(J1509&lt;=2,"?ACTIVATED",IF(J1509&lt;&gt;"","?FAMILIAR",IF(F1509="NEW",IF(ISNA(VLOOKUP(E1509,#REF!,1,FALSE())),"?TYPE_IDENTIFIABLE","?REFERENTIAL"),"_")))))</f>
        <v> </v>
      </c>
      <c r="H1509" s="24" t="str">
        <f>IF(J1509&lt;&gt;1,"",IF(I1509="SBJ","CB","?"))</f>
        <v> </v>
      </c>
      <c r="I1509" s="25" t="str">
        <f>IF(OR(E1509="",E1509="!!!",F1509="NEW"),"",INDEX(B1508:B$2,-1+SUMPRODUCT(MAX(ROW(E1508:E$2)*(E1509=E1508:E$2)))))</f>
        <v> </v>
      </c>
      <c r="J1509" s="25" t="str">
        <f>IF(OR(E1509="",E1509="!!!",F1509="NEW"),"",COUNTBLANK(OFFSET(A$1,,,SUMPRODUCT(MAX(ROW(E$2:E1509)*(E1509=E$2:E1509)))))-COUNTBLANK(OFFSET(A$1,,,SUMPRODUCT(MAX(ROW(E$1:E1508)*(E2=E$1:E1508))))))</f>
        <v> </v>
      </c>
      <c r="K1509" s="25" t="str">
        <f>IF(OR(E1509="",E1509="!!!",F1509="NEW"),"",INDEX(J$1:J1508,SUMPRODUCT(MAX(ROW(E$1:E1508)*(E1509=E$1:E1508)))))</f>
        <v> </v>
      </c>
      <c r="L1509" s="26"/>
    </row>
    <row r="1510" spans="1:12">
      <c r="A1510" s="20" t="s">
        <v>482</v>
      </c>
      <c r="E1510" s="21">
        <f>IF(D1510="?OLD","!!!","")</f>
        <v/>
      </c>
      <c r="F1510" s="22" t="str">
        <f>IF(OR(E1510="",E1510="!!!"),"",IF(NOT(ISNA(VLOOKUP(E1510,E$1:E1509,1,FALSE()))),"OLD",IF(AND(E1510&lt;&gt;"",E1510&lt;&gt;"!!!"),"NEW","")))</f>
        <v> </v>
      </c>
      <c r="G1510" s="23" t="str">
        <f>IF(OR(E1510="",E1510="!!!"),"",IF(OR(J1510=0,AND(J1510=1,K1510=1),AND(J1510=1,I1510="SBJ"),AND(J1510=1,I1510=0)),"?IN_FOCUS",IF(J1510&lt;=2,"?ACTIVATED",IF(J1510&lt;&gt;"","?FAMILIAR",IF(F1510="NEW",IF(ISNA(VLOOKUP(E1510,#REF!,1,FALSE())),"?TYPE_IDENTIFIABLE","?REFERENTIAL"),"_")))))</f>
        <v> </v>
      </c>
      <c r="H1510" s="24" t="str">
        <f>IF(J1510&lt;&gt;1,"",IF(I1510="SBJ","CB","?"))</f>
        <v> </v>
      </c>
      <c r="I1510" s="25" t="str">
        <f>IF(OR(E1510="",E1510="!!!",F1510="NEW"),"",INDEX(B1509:B$2,-1+SUMPRODUCT(MAX(ROW(E1509:E$2)*(E1510=E1509:E$2)))))</f>
        <v> </v>
      </c>
      <c r="J1510" s="25" t="str">
        <f>IF(OR(E1510="",E1510="!!!",F1510="NEW"),"",COUNTBLANK(OFFSET(A$1,,,SUMPRODUCT(MAX(ROW(E$2:E1510)*(E1510=E$2:E1510)))))-COUNTBLANK(OFFSET(A$1,,,SUMPRODUCT(MAX(ROW(E$1:E1509)*(E2=E$1:E1509))))))</f>
        <v> </v>
      </c>
      <c r="K1510" s="25" t="str">
        <f>IF(OR(E1510="",E1510="!!!",F1510="NEW"),"",INDEX(J$1:J1509,SUMPRODUCT(MAX(ROW(E$1:E1509)*(E1510=E$1:E1509)))))</f>
        <v> </v>
      </c>
      <c r="L1510" s="26"/>
    </row>
    <row r="1511" spans="1:12">
      <c r="A1511" s="20" t="s">
        <v>475</v>
      </c>
      <c r="B1511" s="27" t="s">
        <v>483</v>
      </c>
      <c r="C1511" s="27" t="s">
        <v>477</v>
      </c>
      <c r="D1511" s="27" t="s">
        <v>478</v>
      </c>
      <c r="E1511" s="21">
        <f>IF(D1511="?OLD","!!!","")</f>
        <v/>
      </c>
      <c r="F1511" s="22" t="str">
        <f>IF(OR(E1511="",E1511="!!!"),"",IF(NOT(ISNA(VLOOKUP(E1511,E$1:E1510,1,FALSE()))),"OLD",IF(AND(E1511&lt;&gt;"",E1511&lt;&gt;"!!!"),"NEW","")))</f>
        <v> </v>
      </c>
      <c r="G1511" s="23" t="str">
        <f>IF(OR(E1511="",E1511="!!!"),"",IF(OR(J1511=0,AND(J1511=1,K1511=1),AND(J1511=1,I1511="SBJ"),AND(J1511=1,I1511=0)),"?IN_FOCUS",IF(J1511&lt;=2,"?ACTIVATED",IF(J1511&lt;&gt;"","?FAMILIAR",IF(F1511="NEW",IF(ISNA(VLOOKUP(E1511,#REF!,1,FALSE())),"?TYPE_IDENTIFIABLE","?REFERENTIAL"),"_")))))</f>
        <v> </v>
      </c>
      <c r="H1511" s="24" t="str">
        <f>IF(J1511&lt;&gt;1,"",IF(I1511="SBJ","CB","?"))</f>
        <v> </v>
      </c>
      <c r="I1511" s="25" t="str">
        <f>IF(OR(E1511="",E1511="!!!",F1511="NEW"),"",INDEX(B1510:B$2,-1+SUMPRODUCT(MAX(ROW(E1510:E$2)*(E1511=E1510:E$2)))))</f>
        <v> </v>
      </c>
      <c r="J1511" s="25" t="str">
        <f>IF(OR(E1511="",E1511="!!!",F1511="NEW"),"",COUNTBLANK(OFFSET(A$1,,,SUMPRODUCT(MAX(ROW(E$2:E1511)*(E1511=E$2:E1511)))))-COUNTBLANK(OFFSET(A$1,,,SUMPRODUCT(MAX(ROW(E$1:E1510)*(E2=E$1:E1510))))))</f>
        <v> </v>
      </c>
      <c r="K1511" s="25" t="str">
        <f>IF(OR(E1511="",E1511="!!!",F1511="NEW"),"",INDEX(J$1:J1510,SUMPRODUCT(MAX(ROW(E$1:E1510)*(E1511=E$1:E1510)))))</f>
        <v> </v>
      </c>
      <c r="L1511" s="26"/>
    </row>
    <row r="1512" spans="1:12">
      <c r="A1512" s="20" t="s">
        <v>669</v>
      </c>
      <c r="E1512" s="21">
        <f>IF(D1512="?OLD","!!!","")</f>
        <v/>
      </c>
      <c r="F1512" s="22" t="str">
        <f>IF(OR(E1512="",E1512="!!!"),"",IF(NOT(ISNA(VLOOKUP(E1512,E$1:E1511,1,FALSE()))),"OLD",IF(AND(E1512&lt;&gt;"",E1512&lt;&gt;"!!!"),"NEW","")))</f>
        <v> </v>
      </c>
      <c r="G1512" s="23" t="str">
        <f>IF(OR(E1512="",E1512="!!!"),"",IF(OR(J1512=0,AND(J1512=1,K1512=1),AND(J1512=1,I1512="SBJ"),AND(J1512=1,I1512=0)),"?IN_FOCUS",IF(J1512&lt;=2,"?ACTIVATED",IF(J1512&lt;&gt;"","?FAMILIAR",IF(F1512="NEW",IF(ISNA(VLOOKUP(E1512,#REF!,1,FALSE())),"?TYPE_IDENTIFIABLE","?REFERENTIAL"),"_")))))</f>
        <v> </v>
      </c>
      <c r="H1512" s="24" t="str">
        <f>IF(J1512&lt;&gt;1,"",IF(I1512="SBJ","CB","?"))</f>
        <v> </v>
      </c>
      <c r="I1512" s="25" t="str">
        <f>IF(OR(E1512="",E1512="!!!",F1512="NEW"),"",INDEX(B1511:B$2,-1+SUMPRODUCT(MAX(ROW(E1511:E$2)*(E1512=E1511:E$2)))))</f>
        <v> </v>
      </c>
      <c r="J1512" s="25" t="str">
        <f>IF(OR(E1512="",E1512="!!!",F1512="NEW"),"",COUNTBLANK(OFFSET(A$1,,,SUMPRODUCT(MAX(ROW(E$2:E1512)*(E1512=E$2:E1512)))))-COUNTBLANK(OFFSET(A$1,,,SUMPRODUCT(MAX(ROW(E$1:E1511)*(E2=E$1:E1511))))))</f>
        <v> </v>
      </c>
      <c r="K1512" s="25" t="str">
        <f>IF(OR(E1512="",E1512="!!!",F1512="NEW"),"",INDEX(J$1:J1511,SUMPRODUCT(MAX(ROW(E$1:E1511)*(E1512=E$1:E1511)))))</f>
        <v> </v>
      </c>
      <c r="L1512" s="26"/>
    </row>
    <row r="1513" spans="1:12">
      <c r="A1513" s="20" t="s">
        <v>1162</v>
      </c>
      <c r="E1513" s="21">
        <f>IF(D1513="?OLD","!!!","")</f>
        <v/>
      </c>
      <c r="F1513" s="22" t="str">
        <f>IF(OR(E1513="",E1513="!!!"),"",IF(NOT(ISNA(VLOOKUP(E1513,E$1:E1512,1,FALSE()))),"OLD",IF(AND(E1513&lt;&gt;"",E1513&lt;&gt;"!!!"),"NEW","")))</f>
        <v> </v>
      </c>
      <c r="G1513" s="23" t="str">
        <f>IF(OR(E1513="",E1513="!!!"),"",IF(OR(J1513=0,AND(J1513=1,K1513=1),AND(J1513=1,I1513="SBJ"),AND(J1513=1,I1513=0)),"?IN_FOCUS",IF(J1513&lt;=2,"?ACTIVATED",IF(J1513&lt;&gt;"","?FAMILIAR",IF(F1513="NEW",IF(ISNA(VLOOKUP(E1513,#REF!,1,FALSE())),"?TYPE_IDENTIFIABLE","?REFERENTIAL"),"_")))))</f>
        <v> </v>
      </c>
      <c r="H1513" s="24" t="str">
        <f>IF(J1513&lt;&gt;1,"",IF(I1513="SBJ","CB","?"))</f>
        <v> </v>
      </c>
      <c r="I1513" s="25" t="str">
        <f>IF(OR(E1513="",E1513="!!!",F1513="NEW"),"",INDEX(B1512:B$2,-1+SUMPRODUCT(MAX(ROW(E1512:E$2)*(E1513=E1512:E$2)))))</f>
        <v> </v>
      </c>
      <c r="J1513" s="25" t="str">
        <f>IF(OR(E1513="",E1513="!!!",F1513="NEW"),"",COUNTBLANK(OFFSET(A$1,,,SUMPRODUCT(MAX(ROW(E$2:E1513)*(E1513=E$2:E1513)))))-COUNTBLANK(OFFSET(A$1,,,SUMPRODUCT(MAX(ROW(E$1:E1512)*(E2=E$1:E1512))))))</f>
        <v> </v>
      </c>
      <c r="K1513" s="25" t="str">
        <f>IF(OR(E1513="",E1513="!!!",F1513="NEW"),"",INDEX(J$1:J1512,SUMPRODUCT(MAX(ROW(E$1:E1512)*(E1513=E$1:E1512)))))</f>
        <v> </v>
      </c>
      <c r="L1513" s="26"/>
    </row>
    <row r="1514" spans="1:12">
      <c r="A1514" s="20" t="s">
        <v>1163</v>
      </c>
      <c r="B1514" s="27" t="s">
        <v>573</v>
      </c>
      <c r="E1514" s="21">
        <f>IF(D1514="?OLD","!!!","")</f>
        <v/>
      </c>
      <c r="F1514" s="22" t="str">
        <f>IF(OR(E1514="",E1514="!!!"),"",IF(NOT(ISNA(VLOOKUP(E1514,E$1:E1513,1,FALSE()))),"OLD",IF(AND(E1514&lt;&gt;"",E1514&lt;&gt;"!!!"),"NEW","")))</f>
        <v> </v>
      </c>
      <c r="G1514" s="23" t="str">
        <f>IF(OR(E1514="",E1514="!!!"),"",IF(OR(J1514=0,AND(J1514=1,K1514=1),AND(J1514=1,I1514="SBJ"),AND(J1514=1,I1514=0)),"?IN_FOCUS",IF(J1514&lt;=2,"?ACTIVATED",IF(J1514&lt;&gt;"","?FAMILIAR",IF(F1514="NEW",IF(ISNA(VLOOKUP(E1514,#REF!,1,FALSE())),"?TYPE_IDENTIFIABLE","?REFERENTIAL"),"_")))))</f>
        <v> </v>
      </c>
      <c r="H1514" s="24" t="str">
        <f>IF(J1514&lt;&gt;1,"",IF(I1514="SBJ","CB","?"))</f>
        <v> </v>
      </c>
      <c r="I1514" s="25" t="str">
        <f>IF(OR(E1514="",E1514="!!!",F1514="NEW"),"",INDEX(B1513:B$2,-1+SUMPRODUCT(MAX(ROW(E1513:E$2)*(E1514=E1513:E$2)))))</f>
        <v> </v>
      </c>
      <c r="J1514" s="25" t="str">
        <f>IF(OR(E1514="",E1514="!!!",F1514="NEW"),"",COUNTBLANK(OFFSET(A$1,,,SUMPRODUCT(MAX(ROW(E$2:E1514)*(E1514=E$2:E1514)))))-COUNTBLANK(OFFSET(A$1,,,SUMPRODUCT(MAX(ROW(E$1:E1513)*(E2=E$1:E1513))))))</f>
        <v> </v>
      </c>
      <c r="K1514" s="25" t="str">
        <f>IF(OR(E1514="",E1514="!!!",F1514="NEW"),"",INDEX(J$1:J1513,SUMPRODUCT(MAX(ROW(E$1:E1513)*(E1514=E$1:E1513)))))</f>
        <v> </v>
      </c>
      <c r="L1514" s="26"/>
    </row>
    <row r="1515" spans="1:12">
      <c r="A1515" s="20" t="s">
        <v>253</v>
      </c>
      <c r="E1515" s="21">
        <f>IF(D1515="?OLD","!!!","")</f>
        <v/>
      </c>
      <c r="F1515" s="22" t="str">
        <f>IF(OR(E1515="",E1515="!!!"),"",IF(NOT(ISNA(VLOOKUP(E1515,E$1:E1514,1,FALSE()))),"OLD",IF(AND(E1515&lt;&gt;"",E1515&lt;&gt;"!!!"),"NEW","")))</f>
        <v> </v>
      </c>
      <c r="G1515" s="23" t="str">
        <f>IF(OR(E1515="",E1515="!!!"),"",IF(OR(J1515=0,AND(J1515=1,K1515=1),AND(J1515=1,I1515="SBJ"),AND(J1515=1,I1515=0)),"?IN_FOCUS",IF(J1515&lt;=2,"?ACTIVATED",IF(J1515&lt;&gt;"","?FAMILIAR",IF(F1515="NEW",IF(ISNA(VLOOKUP(E1515,#REF!,1,FALSE())),"?TYPE_IDENTIFIABLE","?REFERENTIAL"),"_")))))</f>
        <v> </v>
      </c>
      <c r="H1515" s="24" t="str">
        <f>IF(J1515&lt;&gt;1,"",IF(I1515="SBJ","CB","?"))</f>
        <v> </v>
      </c>
      <c r="I1515" s="25" t="str">
        <f>IF(OR(E1515="",E1515="!!!",F1515="NEW"),"",INDEX(B1514:B$2,-1+SUMPRODUCT(MAX(ROW(E1514:E$2)*(E1515=E1514:E$2)))))</f>
        <v> </v>
      </c>
      <c r="J1515" s="25" t="str">
        <f>IF(OR(E1515="",E1515="!!!",F1515="NEW"),"",COUNTBLANK(OFFSET(A$1,,,SUMPRODUCT(MAX(ROW(E$2:E1515)*(E1515=E$2:E1515)))))-COUNTBLANK(OFFSET(A$1,,,SUMPRODUCT(MAX(ROW(E$1:E1514)*(E2=E$1:E1514))))))</f>
        <v> </v>
      </c>
      <c r="K1515" s="25" t="str">
        <f>IF(OR(E1515="",E1515="!!!",F1515="NEW"),"",INDEX(J$1:J1514,SUMPRODUCT(MAX(ROW(E$1:E1514)*(E1515=E$1:E1514)))))</f>
        <v> </v>
      </c>
      <c r="L1515" s="26"/>
    </row>
    <row r="1516" spans="1:12">
      <c r="A1516" s="20"/>
    </row>
    <row r="1517" spans="1:12">
      <c r="A1517" s="20" t="s">
        <v>928</v>
      </c>
    </row>
    <row r="1518" spans="1:12">
      <c r="A1518" s="20" t="s">
        <v>929</v>
      </c>
      <c r="E1518" s="21">
        <f>IF(D1518="?OLD","!!!","")</f>
        <v/>
      </c>
      <c r="F1518" s="22" t="str">
        <f>IF(OR(E1518="",E1518="!!!"),"",IF(NOT(ISNA(VLOOKUP(E1518,E$1:E1517,1,FALSE()))),"OLD",IF(AND(E1518&lt;&gt;"",E1518&lt;&gt;"!!!"),"NEW","")))</f>
        <v> </v>
      </c>
      <c r="G1518" s="23" t="str">
        <f>IF(OR(E1518="",E1518="!!!"),"",IF(OR(J1518=0,AND(J1518=1,K1518=1),AND(J1518=1,I1518="SBJ"),AND(J1518=1,I1518=0)),"?IN_FOCUS",IF(J1518&lt;=2,"?ACTIVATED",IF(J1518&lt;&gt;"","?FAMILIAR",IF(F1518="NEW",IF(ISNA(VLOOKUP(E1518,#REF!,1,FALSE())),"?TYPE_IDENTIFIABLE","?REFERENTIAL"),"_")))))</f>
        <v> </v>
      </c>
      <c r="H1518" s="24" t="str">
        <f>IF(J1518&lt;&gt;1,"",IF(I1518="SBJ","CB","?"))</f>
        <v> </v>
      </c>
      <c r="I1518" s="25" t="str">
        <f>IF(OR(E1518="",E1518="!!!",F1518="NEW"),"",INDEX(B1517:B$2,-1+SUMPRODUCT(MAX(ROW(E1517:E$2)*(E1518=E1517:E$2)))))</f>
        <v> </v>
      </c>
      <c r="J1518" s="25" t="str">
        <f>IF(OR(E1518="",E1518="!!!",F1518="NEW"),"",COUNTBLANK(OFFSET(A$1,,,SUMPRODUCT(MAX(ROW(E$2:E1518)*(E1518=E$2:E1518)))))-COUNTBLANK(OFFSET(A$1,,,SUMPRODUCT(MAX(ROW(E$1:E1517)*(E2=E$1:E1517))))))</f>
        <v> </v>
      </c>
      <c r="K1518" s="25" t="str">
        <f>IF(OR(E1518="",E1518="!!!",F1518="NEW"),"",INDEX(J$1:J1517,SUMPRODUCT(MAX(ROW(E$1:E1517)*(E1518=E$1:E1517)))))</f>
        <v> </v>
      </c>
      <c r="L1518" s="26"/>
    </row>
    <row r="1519" spans="1:12">
      <c r="A1519" s="20" t="s">
        <v>253</v>
      </c>
      <c r="E1519" s="21">
        <f>IF(D1519="?OLD","!!!","")</f>
        <v/>
      </c>
      <c r="F1519" s="22" t="str">
        <f>IF(OR(E1519="",E1519="!!!"),"",IF(NOT(ISNA(VLOOKUP(E1519,E$1:E1518,1,FALSE()))),"OLD",IF(AND(E1519&lt;&gt;"",E1519&lt;&gt;"!!!"),"NEW","")))</f>
        <v> </v>
      </c>
      <c r="G1519" s="23" t="str">
        <f>IF(OR(E1519="",E1519="!!!"),"",IF(OR(J1519=0,AND(J1519=1,K1519=1),AND(J1519=1,I1519="SBJ"),AND(J1519=1,I1519=0)),"?IN_FOCUS",IF(J1519&lt;=2,"?ACTIVATED",IF(J1519&lt;&gt;"","?FAMILIAR",IF(F1519="NEW",IF(ISNA(VLOOKUP(E1519,#REF!,1,FALSE())),"?TYPE_IDENTIFIABLE","?REFERENTIAL"),"_")))))</f>
        <v> </v>
      </c>
      <c r="H1519" s="24" t="str">
        <f>IF(J1519&lt;&gt;1,"",IF(I1519="SBJ","CB","?"))</f>
        <v> </v>
      </c>
      <c r="I1519" s="25" t="str">
        <f>IF(OR(E1519="",E1519="!!!",F1519="NEW"),"",INDEX(B1518:B$2,-1+SUMPRODUCT(MAX(ROW(E1518:E$2)*(E1519=E1518:E$2)))))</f>
        <v> </v>
      </c>
      <c r="J1519" s="25" t="str">
        <f>IF(OR(E1519="",E1519="!!!",F1519="NEW"),"",COUNTBLANK(OFFSET(A$1,,,SUMPRODUCT(MAX(ROW(E$2:E1519)*(E1519=E$2:E1519)))))-COUNTBLANK(OFFSET(A$1,,,SUMPRODUCT(MAX(ROW(E$1:E1518)*(E2=E$1:E1518))))))</f>
        <v> </v>
      </c>
      <c r="K1519" s="25" t="str">
        <f>IF(OR(E1519="",E1519="!!!",F1519="NEW"),"",INDEX(J$1:J1518,SUMPRODUCT(MAX(ROW(E$1:E1518)*(E1519=E$1:E1518)))))</f>
        <v> </v>
      </c>
      <c r="L1519" s="26"/>
    </row>
    <row r="1520" spans="1:12">
      <c r="A1520" s="20"/>
    </row>
    <row r="1521" spans="1:12">
      <c r="A1521" s="20" t="s">
        <v>1164</v>
      </c>
    </row>
    <row r="1522" spans="1:12">
      <c r="A1522" s="20" t="s">
        <v>901</v>
      </c>
      <c r="E1522" s="21">
        <f>IF(D1522="?OLD","!!!","")</f>
        <v/>
      </c>
      <c r="F1522" s="22" t="str">
        <f>IF(OR(E1522="",E1522="!!!"),"",IF(NOT(ISNA(VLOOKUP(E1522,E$1:E1521,1,FALSE()))),"OLD",IF(AND(E1522&lt;&gt;"",E1522&lt;&gt;"!!!"),"NEW","")))</f>
        <v> </v>
      </c>
      <c r="G1522" s="23" t="str">
        <f>IF(OR(E1522="",E1522="!!!"),"",IF(OR(J1522=0,AND(J1522=1,K1522=1),AND(J1522=1,I1522="SBJ"),AND(J1522=1,I1522=0)),"?IN_FOCUS",IF(J1522&lt;=2,"?ACTIVATED",IF(J1522&lt;&gt;"","?FAMILIAR",IF(F1522="NEW",IF(ISNA(VLOOKUP(E1522,#REF!,1,FALSE())),"?TYPE_IDENTIFIABLE","?REFERENTIAL"),"_")))))</f>
        <v> </v>
      </c>
      <c r="H1522" s="24" t="str">
        <f>IF(J1522&lt;&gt;1,"",IF(I1522="SBJ","CB","?"))</f>
        <v> </v>
      </c>
      <c r="I1522" s="25" t="str">
        <f>IF(OR(E1522="",E1522="!!!",F1522="NEW"),"",INDEX(B1521:B$2,-1+SUMPRODUCT(MAX(ROW(E1521:E$2)*(E1522=E1521:E$2)))))</f>
        <v> </v>
      </c>
      <c r="J1522" s="25" t="str">
        <f>IF(OR(E1522="",E1522="!!!",F1522="NEW"),"",COUNTBLANK(OFFSET(A$1,,,SUMPRODUCT(MAX(ROW(E$2:E1522)*(E1522=E$2:E1522)))))-COUNTBLANK(OFFSET(A$1,,,SUMPRODUCT(MAX(ROW(E$1:E1521)*(E2=E$1:E1521))))))</f>
        <v> </v>
      </c>
      <c r="K1522" s="25" t="str">
        <f>IF(OR(E1522="",E1522="!!!",F1522="NEW"),"",INDEX(J$1:J1521,SUMPRODUCT(MAX(ROW(E$1:E1521)*(E1522=E$1:E1521)))))</f>
        <v> </v>
      </c>
      <c r="L1522" s="26"/>
    </row>
    <row r="1523" spans="1:12">
      <c r="A1523" s="20" t="s">
        <v>710</v>
      </c>
      <c r="B1523" s="27" t="s">
        <v>577</v>
      </c>
      <c r="C1523" s="27" t="s">
        <v>477</v>
      </c>
      <c r="D1523" s="27" t="s">
        <v>478</v>
      </c>
      <c r="E1523" s="21">
        <f>IF(D1523="?OLD","!!!","")</f>
        <v/>
      </c>
      <c r="F1523" s="22" t="str">
        <f>IF(OR(E1523="",E1523="!!!"),"",IF(NOT(ISNA(VLOOKUP(E1523,E$1:E1522,1,FALSE()))),"OLD",IF(AND(E1523&lt;&gt;"",E1523&lt;&gt;"!!!"),"NEW","")))</f>
        <v> </v>
      </c>
      <c r="G1523" s="23" t="str">
        <f>IF(OR(E1523="",E1523="!!!"),"",IF(OR(J1523=0,AND(J1523=1,K1523=1),AND(J1523=1,I1523="SBJ"),AND(J1523=1,I1523=0)),"?IN_FOCUS",IF(J1523&lt;=2,"?ACTIVATED",IF(J1523&lt;&gt;"","?FAMILIAR",IF(F1523="NEW",IF(ISNA(VLOOKUP(E1523,#REF!,1,FALSE())),"?TYPE_IDENTIFIABLE","?REFERENTIAL"),"_")))))</f>
        <v> </v>
      </c>
      <c r="H1523" s="24" t="str">
        <f>IF(J1523&lt;&gt;1,"",IF(I1523="SBJ","CB","?"))</f>
        <v> </v>
      </c>
      <c r="I1523" s="25" t="str">
        <f>IF(OR(E1523="",E1523="!!!",F1523="NEW"),"",INDEX(B1522:B$2,-1+SUMPRODUCT(MAX(ROW(E1522:E$2)*(E1523=E1522:E$2)))))</f>
        <v> </v>
      </c>
      <c r="J1523" s="25" t="str">
        <f>IF(OR(E1523="",E1523="!!!",F1523="NEW"),"",COUNTBLANK(OFFSET(A$1,,,SUMPRODUCT(MAX(ROW(E$2:E1523)*(E1523=E$2:E1523)))))-COUNTBLANK(OFFSET(A$1,,,SUMPRODUCT(MAX(ROW(E$1:E1522)*(E2=E$1:E1522))))))</f>
        <v> </v>
      </c>
      <c r="K1523" s="25" t="str">
        <f>IF(OR(E1523="",E1523="!!!",F1523="NEW"),"",INDEX(J$1:J1522,SUMPRODUCT(MAX(ROW(E$1:E1522)*(E1523=E$1:E1522)))))</f>
        <v> </v>
      </c>
      <c r="L1523" s="26"/>
    </row>
    <row r="1524" spans="1:12">
      <c r="A1524" s="20" t="s">
        <v>1165</v>
      </c>
      <c r="E1524" s="21">
        <f>IF(D1524="?OLD","!!!","")</f>
        <v/>
      </c>
      <c r="F1524" s="22" t="str">
        <f>IF(OR(E1524="",E1524="!!!"),"",IF(NOT(ISNA(VLOOKUP(E1524,E$1:E1523,1,FALSE()))),"OLD",IF(AND(E1524&lt;&gt;"",E1524&lt;&gt;"!!!"),"NEW","")))</f>
        <v> </v>
      </c>
      <c r="G1524" s="23" t="str">
        <f>IF(OR(E1524="",E1524="!!!"),"",IF(OR(J1524=0,AND(J1524=1,K1524=1),AND(J1524=1,I1524="SBJ"),AND(J1524=1,I1524=0)),"?IN_FOCUS",IF(J1524&lt;=2,"?ACTIVATED",IF(J1524&lt;&gt;"","?FAMILIAR",IF(F1524="NEW",IF(ISNA(VLOOKUP(E1524,#REF!,1,FALSE())),"?TYPE_IDENTIFIABLE","?REFERENTIAL"),"_")))))</f>
        <v> </v>
      </c>
      <c r="H1524" s="24" t="str">
        <f>IF(J1524&lt;&gt;1,"",IF(I1524="SBJ","CB","?"))</f>
        <v> </v>
      </c>
      <c r="I1524" s="25" t="str">
        <f>IF(OR(E1524="",E1524="!!!",F1524="NEW"),"",INDEX(B1523:B$2,-1+SUMPRODUCT(MAX(ROW(E1523:E$2)*(E1524=E1523:E$2)))))</f>
        <v> </v>
      </c>
      <c r="J1524" s="25" t="str">
        <f>IF(OR(E1524="",E1524="!!!",F1524="NEW"),"",COUNTBLANK(OFFSET(A$1,,,SUMPRODUCT(MAX(ROW(E$2:E1524)*(E1524=E$2:E1524)))))-COUNTBLANK(OFFSET(A$1,,,SUMPRODUCT(MAX(ROW(E$1:E1523)*(E2=E$1:E1523))))))</f>
        <v> </v>
      </c>
      <c r="K1524" s="25" t="str">
        <f>IF(OR(E1524="",E1524="!!!",F1524="NEW"),"",INDEX(J$1:J1523,SUMPRODUCT(MAX(ROW(E$1:E1523)*(E1524=E$1:E1523)))))</f>
        <v> </v>
      </c>
      <c r="L1524" s="26"/>
    </row>
    <row r="1525" spans="1:12">
      <c r="A1525" s="20" t="s">
        <v>1166</v>
      </c>
      <c r="E1525" s="21">
        <f>IF(D1525="?OLD","!!!","")</f>
        <v/>
      </c>
      <c r="F1525" s="22" t="str">
        <f>IF(OR(E1525="",E1525="!!!"),"",IF(NOT(ISNA(VLOOKUP(E1525,E$1:E1524,1,FALSE()))),"OLD",IF(AND(E1525&lt;&gt;"",E1525&lt;&gt;"!!!"),"NEW","")))</f>
        <v> </v>
      </c>
      <c r="G1525" s="23" t="str">
        <f>IF(OR(E1525="",E1525="!!!"),"",IF(OR(J1525=0,AND(J1525=1,K1525=1),AND(J1525=1,I1525="SBJ"),AND(J1525=1,I1525=0)),"?IN_FOCUS",IF(J1525&lt;=2,"?ACTIVATED",IF(J1525&lt;&gt;"","?FAMILIAR",IF(F1525="NEW",IF(ISNA(VLOOKUP(E1525,#REF!,1,FALSE())),"?TYPE_IDENTIFIABLE","?REFERENTIAL"),"_")))))</f>
        <v> </v>
      </c>
      <c r="H1525" s="24" t="str">
        <f>IF(J1525&lt;&gt;1,"",IF(I1525="SBJ","CB","?"))</f>
        <v> </v>
      </c>
      <c r="I1525" s="25" t="str">
        <f>IF(OR(E1525="",E1525="!!!",F1525="NEW"),"",INDEX(B1524:B$2,-1+SUMPRODUCT(MAX(ROW(E1524:E$2)*(E1525=E1524:E$2)))))</f>
        <v> </v>
      </c>
      <c r="J1525" s="25" t="str">
        <f>IF(OR(E1525="",E1525="!!!",F1525="NEW"),"",COUNTBLANK(OFFSET(A$1,,,SUMPRODUCT(MAX(ROW(E$2:E1525)*(E1525=E$2:E1525)))))-COUNTBLANK(OFFSET(A$1,,,SUMPRODUCT(MAX(ROW(E$1:E1524)*(E2=E$1:E1524))))))</f>
        <v> </v>
      </c>
      <c r="K1525" s="25" t="str">
        <f>IF(OR(E1525="",E1525="!!!",F1525="NEW"),"",INDEX(J$1:J1524,SUMPRODUCT(MAX(ROW(E$1:E1524)*(E1525=E$1:E1524)))))</f>
        <v> </v>
      </c>
      <c r="L1525" s="26"/>
    </row>
    <row r="1526" spans="1:12">
      <c r="A1526" s="20" t="s">
        <v>482</v>
      </c>
      <c r="E1526" s="21">
        <f>IF(D1526="?OLD","!!!","")</f>
        <v/>
      </c>
      <c r="F1526" s="22" t="str">
        <f>IF(OR(E1526="",E1526="!!!"),"",IF(NOT(ISNA(VLOOKUP(E1526,E$1:E1525,1,FALSE()))),"OLD",IF(AND(E1526&lt;&gt;"",E1526&lt;&gt;"!!!"),"NEW","")))</f>
        <v> </v>
      </c>
      <c r="G1526" s="23" t="str">
        <f>IF(OR(E1526="",E1526="!!!"),"",IF(OR(J1526=0,AND(J1526=1,K1526=1),AND(J1526=1,I1526="SBJ"),AND(J1526=1,I1526=0)),"?IN_FOCUS",IF(J1526&lt;=2,"?ACTIVATED",IF(J1526&lt;&gt;"","?FAMILIAR",IF(F1526="NEW",IF(ISNA(VLOOKUP(E1526,#REF!,1,FALSE())),"?TYPE_IDENTIFIABLE","?REFERENTIAL"),"_")))))</f>
        <v> </v>
      </c>
      <c r="H1526" s="24" t="str">
        <f>IF(J1526&lt;&gt;1,"",IF(I1526="SBJ","CB","?"))</f>
        <v> </v>
      </c>
      <c r="I1526" s="25" t="str">
        <f>IF(OR(E1526="",E1526="!!!",F1526="NEW"),"",INDEX(B1525:B$2,-1+SUMPRODUCT(MAX(ROW(E1525:E$2)*(E1526=E1525:E$2)))))</f>
        <v> </v>
      </c>
      <c r="J1526" s="25" t="str">
        <f>IF(OR(E1526="",E1526="!!!",F1526="NEW"),"",COUNTBLANK(OFFSET(A$1,,,SUMPRODUCT(MAX(ROW(E$2:E1526)*(E1526=E$2:E1526)))))-COUNTBLANK(OFFSET(A$1,,,SUMPRODUCT(MAX(ROW(E$1:E1525)*(E2=E$1:E1525))))))</f>
        <v> </v>
      </c>
      <c r="K1526" s="25" t="str">
        <f>IF(OR(E1526="",E1526="!!!",F1526="NEW"),"",INDEX(J$1:J1525,SUMPRODUCT(MAX(ROW(E$1:E1525)*(E1526=E$1:E1525)))))</f>
        <v> </v>
      </c>
      <c r="L1526" s="26"/>
    </row>
    <row r="1527" spans="1:12">
      <c r="A1527" s="20" t="s">
        <v>679</v>
      </c>
      <c r="E1527" s="21">
        <f>IF(D1527="?OLD","!!!","")</f>
        <v/>
      </c>
      <c r="F1527" s="22" t="str">
        <f>IF(OR(E1527="",E1527="!!!"),"",IF(NOT(ISNA(VLOOKUP(E1527,E$1:E1526,1,FALSE()))),"OLD",IF(AND(E1527&lt;&gt;"",E1527&lt;&gt;"!!!"),"NEW","")))</f>
        <v> </v>
      </c>
      <c r="G1527" s="23" t="str">
        <f>IF(OR(E1527="",E1527="!!!"),"",IF(OR(J1527=0,AND(J1527=1,K1527=1),AND(J1527=1,I1527="SBJ"),AND(J1527=1,I1527=0)),"?IN_FOCUS",IF(J1527&lt;=2,"?ACTIVATED",IF(J1527&lt;&gt;"","?FAMILIAR",IF(F1527="NEW",IF(ISNA(VLOOKUP(E1527,#REF!,1,FALSE())),"?TYPE_IDENTIFIABLE","?REFERENTIAL"),"_")))))</f>
        <v> </v>
      </c>
      <c r="H1527" s="24" t="str">
        <f>IF(J1527&lt;&gt;1,"",IF(I1527="SBJ","CB","?"))</f>
        <v> </v>
      </c>
      <c r="I1527" s="25" t="str">
        <f>IF(OR(E1527="",E1527="!!!",F1527="NEW"),"",INDEX(B1526:B$2,-1+SUMPRODUCT(MAX(ROW(E1526:E$2)*(E1527=E1526:E$2)))))</f>
        <v> </v>
      </c>
      <c r="J1527" s="25" t="str">
        <f>IF(OR(E1527="",E1527="!!!",F1527="NEW"),"",COUNTBLANK(OFFSET(A$1,,,SUMPRODUCT(MAX(ROW(E$2:E1527)*(E1527=E$2:E1527)))))-COUNTBLANK(OFFSET(A$1,,,SUMPRODUCT(MAX(ROW(E$1:E1526)*(E2=E$1:E1526))))))</f>
        <v> </v>
      </c>
      <c r="K1527" s="25" t="str">
        <f>IF(OR(E1527="",E1527="!!!",F1527="NEW"),"",INDEX(J$1:J1526,SUMPRODUCT(MAX(ROW(E$1:E1526)*(E1527=E$1:E1526)))))</f>
        <v> </v>
      </c>
      <c r="L1527" s="26"/>
    </row>
    <row r="1528" spans="1:12">
      <c r="A1528" s="20" t="s">
        <v>1072</v>
      </c>
      <c r="E1528" s="21">
        <f>IF(D1528="?OLD","!!!","")</f>
        <v/>
      </c>
      <c r="F1528" s="22" t="str">
        <f>IF(OR(E1528="",E1528="!!!"),"",IF(NOT(ISNA(VLOOKUP(E1528,E$1:E1527,1,FALSE()))),"OLD",IF(AND(E1528&lt;&gt;"",E1528&lt;&gt;"!!!"),"NEW","")))</f>
        <v> </v>
      </c>
      <c r="G1528" s="23" t="str">
        <f>IF(OR(E1528="",E1528="!!!"),"",IF(OR(J1528=0,AND(J1528=1,K1528=1),AND(J1528=1,I1528="SBJ"),AND(J1528=1,I1528=0)),"?IN_FOCUS",IF(J1528&lt;=2,"?ACTIVATED",IF(J1528&lt;&gt;"","?FAMILIAR",IF(F1528="NEW",IF(ISNA(VLOOKUP(E1528,#REF!,1,FALSE())),"?TYPE_IDENTIFIABLE","?REFERENTIAL"),"_")))))</f>
        <v> </v>
      </c>
      <c r="H1528" s="24" t="str">
        <f>IF(J1528&lt;&gt;1,"",IF(I1528="SBJ","CB","?"))</f>
        <v> </v>
      </c>
      <c r="I1528" s="25" t="str">
        <f>IF(OR(E1528="",E1528="!!!",F1528="NEW"),"",INDEX(B1527:B$2,-1+SUMPRODUCT(MAX(ROW(E1527:E$2)*(E1528=E1527:E$2)))))</f>
        <v> </v>
      </c>
      <c r="J1528" s="25" t="str">
        <f>IF(OR(E1528="",E1528="!!!",F1528="NEW"),"",COUNTBLANK(OFFSET(A$1,,,SUMPRODUCT(MAX(ROW(E$2:E1528)*(E1528=E$2:E1528)))))-COUNTBLANK(OFFSET(A$1,,,SUMPRODUCT(MAX(ROW(E$1:E1527)*(E2=E$1:E1527))))))</f>
        <v> </v>
      </c>
      <c r="K1528" s="25" t="str">
        <f>IF(OR(E1528="",E1528="!!!",F1528="NEW"),"",INDEX(J$1:J1527,SUMPRODUCT(MAX(ROW(E$1:E1527)*(E1528=E$1:E1527)))))</f>
        <v> </v>
      </c>
      <c r="L1528" s="26"/>
    </row>
    <row r="1529" spans="1:12">
      <c r="A1529" s="20" t="s">
        <v>482</v>
      </c>
      <c r="E1529" s="21">
        <f>IF(D1529="?OLD","!!!","")</f>
        <v/>
      </c>
      <c r="F1529" s="22" t="str">
        <f>IF(OR(E1529="",E1529="!!!"),"",IF(NOT(ISNA(VLOOKUP(E1529,E$1:E1528,1,FALSE()))),"OLD",IF(AND(E1529&lt;&gt;"",E1529&lt;&gt;"!!!"),"NEW","")))</f>
        <v> </v>
      </c>
      <c r="G1529" s="23" t="str">
        <f>IF(OR(E1529="",E1529="!!!"),"",IF(OR(J1529=0,AND(J1529=1,K1529=1),AND(J1529=1,I1529="SBJ"),AND(J1529=1,I1529=0)),"?IN_FOCUS",IF(J1529&lt;=2,"?ACTIVATED",IF(J1529&lt;&gt;"","?FAMILIAR",IF(F1529="NEW",IF(ISNA(VLOOKUP(E1529,#REF!,1,FALSE())),"?TYPE_IDENTIFIABLE","?REFERENTIAL"),"_")))))</f>
        <v> </v>
      </c>
      <c r="H1529" s="24" t="str">
        <f>IF(J1529&lt;&gt;1,"",IF(I1529="SBJ","CB","?"))</f>
        <v> </v>
      </c>
      <c r="I1529" s="25" t="str">
        <f>IF(OR(E1529="",E1529="!!!",F1529="NEW"),"",INDEX(B1528:B$2,-1+SUMPRODUCT(MAX(ROW(E1528:E$2)*(E1529=E1528:E$2)))))</f>
        <v> </v>
      </c>
      <c r="J1529" s="25" t="str">
        <f>IF(OR(E1529="",E1529="!!!",F1529="NEW"),"",COUNTBLANK(OFFSET(A$1,,,SUMPRODUCT(MAX(ROW(E$2:E1529)*(E1529=E$2:E1529)))))-COUNTBLANK(OFFSET(A$1,,,SUMPRODUCT(MAX(ROW(E$1:E1528)*(E2=E$1:E1528))))))</f>
        <v> </v>
      </c>
      <c r="K1529" s="25" t="str">
        <f>IF(OR(E1529="",E1529="!!!",F1529="NEW"),"",INDEX(J$1:J1528,SUMPRODUCT(MAX(ROW(E$1:E1528)*(E1529=E$1:E1528)))))</f>
        <v> </v>
      </c>
      <c r="L1529" s="26"/>
    </row>
    <row r="1530" spans="1:12">
      <c r="A1530" s="20" t="s">
        <v>493</v>
      </c>
      <c r="E1530" s="21">
        <f>IF(D1530="?OLD","!!!","")</f>
        <v/>
      </c>
      <c r="F1530" s="22" t="str">
        <f>IF(OR(E1530="",E1530="!!!"),"",IF(NOT(ISNA(VLOOKUP(E1530,E$1:E1529,1,FALSE()))),"OLD",IF(AND(E1530&lt;&gt;"",E1530&lt;&gt;"!!!"),"NEW","")))</f>
        <v> </v>
      </c>
      <c r="G1530" s="23" t="str">
        <f>IF(OR(E1530="",E1530="!!!"),"",IF(OR(J1530=0,AND(J1530=1,K1530=1),AND(J1530=1,I1530="SBJ"),AND(J1530=1,I1530=0)),"?IN_FOCUS",IF(J1530&lt;=2,"?ACTIVATED",IF(J1530&lt;&gt;"","?FAMILIAR",IF(F1530="NEW",IF(ISNA(VLOOKUP(E1530,#REF!,1,FALSE())),"?TYPE_IDENTIFIABLE","?REFERENTIAL"),"_")))))</f>
        <v> </v>
      </c>
      <c r="H1530" s="24" t="str">
        <f>IF(J1530&lt;&gt;1,"",IF(I1530="SBJ","CB","?"))</f>
        <v> </v>
      </c>
      <c r="I1530" s="25" t="str">
        <f>IF(OR(E1530="",E1530="!!!",F1530="NEW"),"",INDEX(B1529:B$2,-1+SUMPRODUCT(MAX(ROW(E1529:E$2)*(E1530=E1529:E$2)))))</f>
        <v> </v>
      </c>
      <c r="J1530" s="25" t="str">
        <f>IF(OR(E1530="",E1530="!!!",F1530="NEW"),"",COUNTBLANK(OFFSET(A$1,,,SUMPRODUCT(MAX(ROW(E$2:E1530)*(E1530=E$2:E1530)))))-COUNTBLANK(OFFSET(A$1,,,SUMPRODUCT(MAX(ROW(E$1:E1529)*(E2=E$1:E1529))))))</f>
        <v> </v>
      </c>
      <c r="K1530" s="25" t="str">
        <f>IF(OR(E1530="",E1530="!!!",F1530="NEW"),"",INDEX(J$1:J1529,SUMPRODUCT(MAX(ROW(E$1:E1529)*(E1530=E$1:E1529)))))</f>
        <v> </v>
      </c>
      <c r="L1530" s="26"/>
    </row>
    <row r="1531" spans="1:12">
      <c r="A1531" s="20" t="s">
        <v>1167</v>
      </c>
      <c r="E1531" s="21">
        <f>IF(D1531="?OLD","!!!","")</f>
        <v/>
      </c>
      <c r="F1531" s="22" t="str">
        <f>IF(OR(E1531="",E1531="!!!"),"",IF(NOT(ISNA(VLOOKUP(E1531,E$1:E1530,1,FALSE()))),"OLD",IF(AND(E1531&lt;&gt;"",E1531&lt;&gt;"!!!"),"NEW","")))</f>
        <v> </v>
      </c>
      <c r="G1531" s="23" t="str">
        <f>IF(OR(E1531="",E1531="!!!"),"",IF(OR(J1531=0,AND(J1531=1,K1531=1),AND(J1531=1,I1531="SBJ"),AND(J1531=1,I1531=0)),"?IN_FOCUS",IF(J1531&lt;=2,"?ACTIVATED",IF(J1531&lt;&gt;"","?FAMILIAR",IF(F1531="NEW",IF(ISNA(VLOOKUP(E1531,#REF!,1,FALSE())),"?TYPE_IDENTIFIABLE","?REFERENTIAL"),"_")))))</f>
        <v> </v>
      </c>
      <c r="H1531" s="24" t="str">
        <f>IF(J1531&lt;&gt;1,"",IF(I1531="SBJ","CB","?"))</f>
        <v> </v>
      </c>
      <c r="I1531" s="25" t="str">
        <f>IF(OR(E1531="",E1531="!!!",F1531="NEW"),"",INDEX(B1530:B$2,-1+SUMPRODUCT(MAX(ROW(E1530:E$2)*(E1531=E1530:E$2)))))</f>
        <v> </v>
      </c>
      <c r="J1531" s="25" t="str">
        <f>IF(OR(E1531="",E1531="!!!",F1531="NEW"),"",COUNTBLANK(OFFSET(A$1,,,SUMPRODUCT(MAX(ROW(E$2:E1531)*(E1531=E$2:E1531)))))-COUNTBLANK(OFFSET(A$1,,,SUMPRODUCT(MAX(ROW(E$1:E1530)*(E2=E$1:E1530))))))</f>
        <v> </v>
      </c>
      <c r="K1531" s="25" t="str">
        <f>IF(OR(E1531="",E1531="!!!",F1531="NEW"),"",INDEX(J$1:J1530,SUMPRODUCT(MAX(ROW(E$1:E1530)*(E1531=E$1:E1530)))))</f>
        <v> </v>
      </c>
      <c r="L1531" s="26"/>
    </row>
    <row r="1532" spans="1:12">
      <c r="A1532" s="20" t="s">
        <v>724</v>
      </c>
      <c r="E1532" s="21">
        <f>IF(D1532="?OLD","!!!","")</f>
        <v/>
      </c>
      <c r="F1532" s="22" t="str">
        <f>IF(OR(E1532="",E1532="!!!"),"",IF(NOT(ISNA(VLOOKUP(E1532,E$1:E1531,1,FALSE()))),"OLD",IF(AND(E1532&lt;&gt;"",E1532&lt;&gt;"!!!"),"NEW","")))</f>
        <v> </v>
      </c>
      <c r="G1532" s="23" t="str">
        <f>IF(OR(E1532="",E1532="!!!"),"",IF(OR(J1532=0,AND(J1532=1,K1532=1),AND(J1532=1,I1532="SBJ"),AND(J1532=1,I1532=0)),"?IN_FOCUS",IF(J1532&lt;=2,"?ACTIVATED",IF(J1532&lt;&gt;"","?FAMILIAR",IF(F1532="NEW",IF(ISNA(VLOOKUP(E1532,#REF!,1,FALSE())),"?TYPE_IDENTIFIABLE","?REFERENTIAL"),"_")))))</f>
        <v> </v>
      </c>
      <c r="H1532" s="24" t="str">
        <f>IF(J1532&lt;&gt;1,"",IF(I1532="SBJ","CB","?"))</f>
        <v> </v>
      </c>
      <c r="I1532" s="25" t="str">
        <f>IF(OR(E1532="",E1532="!!!",F1532="NEW"),"",INDEX(B1531:B$2,-1+SUMPRODUCT(MAX(ROW(E1531:E$2)*(E1532=E1531:E$2)))))</f>
        <v> </v>
      </c>
      <c r="J1532" s="25" t="str">
        <f>IF(OR(E1532="",E1532="!!!",F1532="NEW"),"",COUNTBLANK(OFFSET(A$1,,,SUMPRODUCT(MAX(ROW(E$2:E1532)*(E1532=E$2:E1532)))))-COUNTBLANK(OFFSET(A$1,,,SUMPRODUCT(MAX(ROW(E$1:E1531)*(E2=E$1:E1531))))))</f>
        <v> </v>
      </c>
      <c r="K1532" s="25" t="str">
        <f>IF(OR(E1532="",E1532="!!!",F1532="NEW"),"",INDEX(J$1:J1531,SUMPRODUCT(MAX(ROW(E$1:E1531)*(E1532=E$1:E1531)))))</f>
        <v> </v>
      </c>
      <c r="L1532" s="26"/>
    </row>
    <row r="1533" spans="1:12">
      <c r="A1533" s="20" t="s">
        <v>728</v>
      </c>
      <c r="B1533" s="27" t="s">
        <v>711</v>
      </c>
      <c r="C1533" s="27" t="s">
        <v>497</v>
      </c>
      <c r="D1533" s="27" t="s">
        <v>478</v>
      </c>
      <c r="E1533" s="21">
        <f>IF(D1533="?OLD","!!!","")</f>
        <v/>
      </c>
      <c r="F1533" s="22" t="str">
        <f>IF(OR(E1533="",E1533="!!!"),"",IF(NOT(ISNA(VLOOKUP(E1533,E$1:E1532,1,FALSE()))),"OLD",IF(AND(E1533&lt;&gt;"",E1533&lt;&gt;"!!!"),"NEW","")))</f>
        <v> </v>
      </c>
      <c r="G1533" s="23" t="str">
        <f>IF(OR(E1533="",E1533="!!!"),"",IF(OR(J1533=0,AND(J1533=1,K1533=1),AND(J1533=1,I1533="SBJ"),AND(J1533=1,I1533=0)),"?IN_FOCUS",IF(J1533&lt;=2,"?ACTIVATED",IF(J1533&lt;&gt;"","?FAMILIAR",IF(F1533="NEW",IF(ISNA(VLOOKUP(E1533,#REF!,1,FALSE())),"?TYPE_IDENTIFIABLE","?REFERENTIAL"),"_")))))</f>
        <v> </v>
      </c>
      <c r="H1533" s="24" t="str">
        <f>IF(J1533&lt;&gt;1,"",IF(I1533="SBJ","CB","?"))</f>
        <v> </v>
      </c>
      <c r="I1533" s="25" t="str">
        <f>IF(OR(E1533="",E1533="!!!",F1533="NEW"),"",INDEX(B1532:B$2,-1+SUMPRODUCT(MAX(ROW(E1532:E$2)*(E1533=E1532:E$2)))))</f>
        <v> </v>
      </c>
      <c r="J1533" s="25" t="str">
        <f>IF(OR(E1533="",E1533="!!!",F1533="NEW"),"",COUNTBLANK(OFFSET(A$1,,,SUMPRODUCT(MAX(ROW(E$2:E1533)*(E1533=E$2:E1533)))))-COUNTBLANK(OFFSET(A$1,,,SUMPRODUCT(MAX(ROW(E$1:E1532)*(E2=E$1:E1532))))))</f>
        <v> </v>
      </c>
      <c r="K1533" s="25" t="str">
        <f>IF(OR(E1533="",E1533="!!!",F1533="NEW"),"",INDEX(J$1:J1532,SUMPRODUCT(MAX(ROW(E$1:E1532)*(E1533=E$1:E1532)))))</f>
        <v> </v>
      </c>
      <c r="L1533" s="26"/>
    </row>
    <row r="1534" spans="1:12">
      <c r="A1534" s="20" t="s">
        <v>253</v>
      </c>
      <c r="E1534" s="21">
        <f>IF(D1534="?OLD","!!!","")</f>
        <v/>
      </c>
      <c r="F1534" s="22" t="str">
        <f>IF(OR(E1534="",E1534="!!!"),"",IF(NOT(ISNA(VLOOKUP(E1534,E$1:E1533,1,FALSE()))),"OLD",IF(AND(E1534&lt;&gt;"",E1534&lt;&gt;"!!!"),"NEW","")))</f>
        <v> </v>
      </c>
      <c r="G1534" s="23" t="str">
        <f>IF(OR(E1534="",E1534="!!!"),"",IF(OR(J1534=0,AND(J1534=1,K1534=1),AND(J1534=1,I1534="SBJ"),AND(J1534=1,I1534=0)),"?IN_FOCUS",IF(J1534&lt;=2,"?ACTIVATED",IF(J1534&lt;&gt;"","?FAMILIAR",IF(F1534="NEW",IF(ISNA(VLOOKUP(E1534,#REF!,1,FALSE())),"?TYPE_IDENTIFIABLE","?REFERENTIAL"),"_")))))</f>
        <v> </v>
      </c>
      <c r="H1534" s="24" t="str">
        <f>IF(J1534&lt;&gt;1,"",IF(I1534="SBJ","CB","?"))</f>
        <v> </v>
      </c>
      <c r="I1534" s="25" t="str">
        <f>IF(OR(E1534="",E1534="!!!",F1534="NEW"),"",INDEX(B1533:B$2,-1+SUMPRODUCT(MAX(ROW(E1533:E$2)*(E1534=E1533:E$2)))))</f>
        <v> </v>
      </c>
      <c r="J1534" s="25" t="str">
        <f>IF(OR(E1534="",E1534="!!!",F1534="NEW"),"",COUNTBLANK(OFFSET(A$1,,,SUMPRODUCT(MAX(ROW(E$2:E1534)*(E1534=E$2:E1534)))))-COUNTBLANK(OFFSET(A$1,,,SUMPRODUCT(MAX(ROW(E$1:E1533)*(E2=E$1:E1533))))))</f>
        <v> </v>
      </c>
      <c r="K1534" s="25" t="str">
        <f>IF(OR(E1534="",E1534="!!!",F1534="NEW"),"",INDEX(J$1:J1533,SUMPRODUCT(MAX(ROW(E$1:E1533)*(E1534=E$1:E1533)))))</f>
        <v> </v>
      </c>
      <c r="L1534" s="26"/>
    </row>
    <row r="1535" spans="1:12">
      <c r="A1535" s="20"/>
    </row>
    <row r="1536" spans="1:12">
      <c r="A1536" s="20" t="s">
        <v>500</v>
      </c>
      <c r="E1536" s="21">
        <f>IF(D1536="?OLD","!!!","")</f>
        <v/>
      </c>
      <c r="F1536" s="22" t="str">
        <f>IF(OR(E1536="",E1536="!!!"),"",IF(NOT(ISNA(VLOOKUP(E1536,E$1:E1535,1,FALSE()))),"OLD",IF(AND(E1536&lt;&gt;"",E1536&lt;&gt;"!!!"),"NEW","")))</f>
        <v> </v>
      </c>
      <c r="G1536" s="23" t="str">
        <f>IF(OR(E1536="",E1536="!!!"),"",IF(OR(J1536=0,AND(J1536=1,K1536=1),AND(J1536=1,I1536="SBJ"),AND(J1536=1,I1536=0)),"?IN_FOCUS",IF(J1536&lt;=2,"?ACTIVATED",IF(J1536&lt;&gt;"","?FAMILIAR",IF(F1536="NEW",IF(ISNA(VLOOKUP(E1536,#REF!,1,FALSE())),"?TYPE_IDENTIFIABLE","?REFERENTIAL"),"_")))))</f>
        <v> </v>
      </c>
      <c r="H1536" s="24" t="str">
        <f>IF(J1536&lt;&gt;1,"",IF(I1536="SBJ","CB","?"))</f>
        <v> </v>
      </c>
      <c r="I1536" s="25" t="str">
        <f>IF(OR(E1536="",E1536="!!!",F1536="NEW"),"",INDEX(B1535:B$2,-1+SUMPRODUCT(MAX(ROW(E1535:E$2)*(E1536=E1535:E$2)))))</f>
        <v> </v>
      </c>
      <c r="J1536" s="25" t="str">
        <f>IF(OR(E1536="",E1536="!!!",F1536="NEW"),"",COUNTBLANK(OFFSET(A$1,,,SUMPRODUCT(MAX(ROW(E$2:E1536)*(E1536=E$2:E1536)))))-COUNTBLANK(OFFSET(A$1,,,SUMPRODUCT(MAX(ROW(E$1:E1535)*(E2=E$1:E1535))))))</f>
        <v> </v>
      </c>
      <c r="K1536" s="25" t="str">
        <f>IF(OR(E1536="",E1536="!!!",F1536="NEW"),"",INDEX(J$1:J1535,SUMPRODUCT(MAX(ROW(E$1:E1535)*(E1536=E$1:E1535)))))</f>
        <v> </v>
      </c>
      <c r="L1536" s="26"/>
    </row>
    <row r="1537" spans="1:12">
      <c r="A1537" s="20" t="s">
        <v>1168</v>
      </c>
    </row>
    <row r="1538" spans="1:12">
      <c r="A1538" s="20" t="s">
        <v>1150</v>
      </c>
      <c r="B1538" s="27" t="s">
        <v>476</v>
      </c>
      <c r="E1538" s="21">
        <f>IF(D1538="?OLD","!!!","")</f>
        <v/>
      </c>
      <c r="F1538" s="22" t="str">
        <f>IF(OR(E1538="",E1538="!!!"),"",IF(NOT(ISNA(VLOOKUP(E1538,E$1:E1537,1,FALSE()))),"OLD",IF(AND(E1538&lt;&gt;"",E1538&lt;&gt;"!!!"),"NEW","")))</f>
        <v> </v>
      </c>
      <c r="G1538" s="23" t="str">
        <f>IF(OR(E1538="",E1538="!!!"),"",IF(OR(J1538=0,AND(J1538=1,K1538=1),AND(J1538=1,I1538="SBJ"),AND(J1538=1,I1538=0)),"?IN_FOCUS",IF(J1538&lt;=2,"?ACTIVATED",IF(J1538&lt;&gt;"","?FAMILIAR",IF(F1538="NEW",IF(ISNA(VLOOKUP(E1538,#REF!,1,FALSE())),"?TYPE_IDENTIFIABLE","?REFERENTIAL"),"_")))))</f>
        <v> </v>
      </c>
      <c r="H1538" s="24" t="str">
        <f>IF(J1538&lt;&gt;1,"",IF(I1538="SBJ","CB","?"))</f>
        <v> </v>
      </c>
      <c r="I1538" s="25" t="str">
        <f>IF(OR(E1538="",E1538="!!!",F1538="NEW"),"",INDEX(B1537:B$2,-1+SUMPRODUCT(MAX(ROW(E1537:E$2)*(E1538=E1537:E$2)))))</f>
        <v> </v>
      </c>
      <c r="J1538" s="25" t="str">
        <f>IF(OR(E1538="",E1538="!!!",F1538="NEW"),"",COUNTBLANK(OFFSET(A$1,,,SUMPRODUCT(MAX(ROW(E$2:E1538)*(E1538=E$2:E1538)))))-COUNTBLANK(OFFSET(A$1,,,SUMPRODUCT(MAX(ROW(E$1:E1537)*(E2=E$1:E1537))))))</f>
        <v> </v>
      </c>
      <c r="K1538" s="25" t="str">
        <f>IF(OR(E1538="",E1538="!!!",F1538="NEW"),"",INDEX(J$1:J1537,SUMPRODUCT(MAX(ROW(E$1:E1537)*(E1538=E$1:E1537)))))</f>
        <v> </v>
      </c>
      <c r="L1538" s="26"/>
    </row>
    <row r="1539" spans="1:12">
      <c r="A1539" s="20" t="s">
        <v>534</v>
      </c>
      <c r="E1539" s="21">
        <f>IF(D1539="?OLD","!!!","")</f>
        <v/>
      </c>
      <c r="F1539" s="22" t="str">
        <f>IF(OR(E1539="",E1539="!!!"),"",IF(NOT(ISNA(VLOOKUP(E1539,E$1:E1538,1,FALSE()))),"OLD",IF(AND(E1539&lt;&gt;"",E1539&lt;&gt;"!!!"),"NEW","")))</f>
        <v> </v>
      </c>
      <c r="G1539" s="23" t="str">
        <f>IF(OR(E1539="",E1539="!!!"),"",IF(OR(J1539=0,AND(J1539=1,K1539=1),AND(J1539=1,I1539="SBJ"),AND(J1539=1,I1539=0)),"?IN_FOCUS",IF(J1539&lt;=2,"?ACTIVATED",IF(J1539&lt;&gt;"","?FAMILIAR",IF(F1539="NEW",IF(ISNA(VLOOKUP(E1539,#REF!,1,FALSE())),"?TYPE_IDENTIFIABLE","?REFERENTIAL"),"_")))))</f>
        <v> </v>
      </c>
      <c r="H1539" s="24" t="str">
        <f>IF(J1539&lt;&gt;1,"",IF(I1539="SBJ","CB","?"))</f>
        <v> </v>
      </c>
      <c r="I1539" s="25" t="str">
        <f>IF(OR(E1539="",E1539="!!!",F1539="NEW"),"",INDEX(B1538:B$2,-1+SUMPRODUCT(MAX(ROW(E1538:E$2)*(E1539=E1538:E$2)))))</f>
        <v> </v>
      </c>
      <c r="J1539" s="25" t="str">
        <f>IF(OR(E1539="",E1539="!!!",F1539="NEW"),"",COUNTBLANK(OFFSET(A$1,,,SUMPRODUCT(MAX(ROW(E$2:E1539)*(E1539=E$2:E1539)))))-COUNTBLANK(OFFSET(A$1,,,SUMPRODUCT(MAX(ROW(E$1:E1538)*(E2=E$1:E1538))))))</f>
        <v> </v>
      </c>
      <c r="K1539" s="25" t="str">
        <f>IF(OR(E1539="",E1539="!!!",F1539="NEW"),"",INDEX(J$1:J1538,SUMPRODUCT(MAX(ROW(E$1:E1538)*(E1539=E$1:E1538)))))</f>
        <v> </v>
      </c>
      <c r="L1539" s="26"/>
    </row>
    <row r="1540" spans="1:12">
      <c r="A1540" s="20" t="s">
        <v>1145</v>
      </c>
      <c r="E1540" s="21">
        <f>IF(D1540="?OLD","!!!","")</f>
        <v/>
      </c>
      <c r="F1540" s="22" t="str">
        <f>IF(OR(E1540="",E1540="!!!"),"",IF(NOT(ISNA(VLOOKUP(E1540,E$1:E1539,1,FALSE()))),"OLD",IF(AND(E1540&lt;&gt;"",E1540&lt;&gt;"!!!"),"NEW","")))</f>
        <v> </v>
      </c>
      <c r="G1540" s="23" t="str">
        <f>IF(OR(E1540="",E1540="!!!"),"",IF(OR(J1540=0,AND(J1540=1,K1540=1),AND(J1540=1,I1540="SBJ"),AND(J1540=1,I1540=0)),"?IN_FOCUS",IF(J1540&lt;=2,"?ACTIVATED",IF(J1540&lt;&gt;"","?FAMILIAR",IF(F1540="NEW",IF(ISNA(VLOOKUP(E1540,#REF!,1,FALSE())),"?TYPE_IDENTIFIABLE","?REFERENTIAL"),"_")))))</f>
        <v> </v>
      </c>
      <c r="H1540" s="24" t="str">
        <f>IF(J1540&lt;&gt;1,"",IF(I1540="SBJ","CB","?"))</f>
        <v> </v>
      </c>
      <c r="I1540" s="25" t="str">
        <f>IF(OR(E1540="",E1540="!!!",F1540="NEW"),"",INDEX(B1539:B$2,-1+SUMPRODUCT(MAX(ROW(E1539:E$2)*(E1540=E1539:E$2)))))</f>
        <v> </v>
      </c>
      <c r="J1540" s="25" t="str">
        <f>IF(OR(E1540="",E1540="!!!",F1540="NEW"),"",COUNTBLANK(OFFSET(A$1,,,SUMPRODUCT(MAX(ROW(E$2:E1540)*(E1540=E$2:E1540)))))-COUNTBLANK(OFFSET(A$1,,,SUMPRODUCT(MAX(ROW(E$1:E1539)*(E2=E$1:E1539))))))</f>
        <v> </v>
      </c>
      <c r="K1540" s="25" t="str">
        <f>IF(OR(E1540="",E1540="!!!",F1540="NEW"),"",INDEX(J$1:J1539,SUMPRODUCT(MAX(ROW(E$1:E1539)*(E1540=E$1:E1539)))))</f>
        <v> </v>
      </c>
      <c r="L1540" s="26"/>
    </row>
    <row r="1541" spans="1:12">
      <c r="A1541" s="20" t="s">
        <v>1169</v>
      </c>
      <c r="E1541" s="21">
        <f>IF(D1541="?OLD","!!!","")</f>
        <v/>
      </c>
      <c r="F1541" s="22" t="str">
        <f>IF(OR(E1541="",E1541="!!!"),"",IF(NOT(ISNA(VLOOKUP(E1541,E$1:E1540,1,FALSE()))),"OLD",IF(AND(E1541&lt;&gt;"",E1541&lt;&gt;"!!!"),"NEW","")))</f>
        <v> </v>
      </c>
      <c r="G1541" s="23" t="str">
        <f>IF(OR(E1541="",E1541="!!!"),"",IF(OR(J1541=0,AND(J1541=1,K1541=1),AND(J1541=1,I1541="SBJ"),AND(J1541=1,I1541=0)),"?IN_FOCUS",IF(J1541&lt;=2,"?ACTIVATED",IF(J1541&lt;&gt;"","?FAMILIAR",IF(F1541="NEW",IF(ISNA(VLOOKUP(E1541,#REF!,1,FALSE())),"?TYPE_IDENTIFIABLE","?REFERENTIAL"),"_")))))</f>
        <v> </v>
      </c>
      <c r="H1541" s="24" t="str">
        <f>IF(J1541&lt;&gt;1,"",IF(I1541="SBJ","CB","?"))</f>
        <v> </v>
      </c>
      <c r="I1541" s="25" t="str">
        <f>IF(OR(E1541="",E1541="!!!",F1541="NEW"),"",INDEX(B1540:B$2,-1+SUMPRODUCT(MAX(ROW(E1540:E$2)*(E1541=E1540:E$2)))))</f>
        <v> </v>
      </c>
      <c r="J1541" s="25" t="str">
        <f>IF(OR(E1541="",E1541="!!!",F1541="NEW"),"",COUNTBLANK(OFFSET(A$1,,,SUMPRODUCT(MAX(ROW(E$2:E1541)*(E1541=E$2:E1541)))))-COUNTBLANK(OFFSET(A$1,,,SUMPRODUCT(MAX(ROW(E$1:E1540)*(E2=E$1:E1540))))))</f>
        <v> </v>
      </c>
      <c r="K1541" s="25" t="str">
        <f>IF(OR(E1541="",E1541="!!!",F1541="NEW"),"",INDEX(J$1:J1540,SUMPRODUCT(MAX(ROW(E$1:E1540)*(E1541=E$1:E1540)))))</f>
        <v> </v>
      </c>
      <c r="L1541" s="26"/>
    </row>
    <row r="1542" spans="1:12">
      <c r="A1542" s="20" t="s">
        <v>541</v>
      </c>
      <c r="E1542" s="21">
        <f>IF(D1542="?OLD","!!!","")</f>
        <v/>
      </c>
      <c r="F1542" s="22" t="str">
        <f>IF(OR(E1542="",E1542="!!!"),"",IF(NOT(ISNA(VLOOKUP(E1542,E$1:E1541,1,FALSE()))),"OLD",IF(AND(E1542&lt;&gt;"",E1542&lt;&gt;"!!!"),"NEW","")))</f>
        <v> </v>
      </c>
      <c r="G1542" s="23" t="str">
        <f>IF(OR(E1542="",E1542="!!!"),"",IF(OR(J1542=0,AND(J1542=1,K1542=1),AND(J1542=1,I1542="SBJ"),AND(J1542=1,I1542=0)),"?IN_FOCUS",IF(J1542&lt;=2,"?ACTIVATED",IF(J1542&lt;&gt;"","?FAMILIAR",IF(F1542="NEW",IF(ISNA(VLOOKUP(E1542,#REF!,1,FALSE())),"?TYPE_IDENTIFIABLE","?REFERENTIAL"),"_")))))</f>
        <v> </v>
      </c>
      <c r="H1542" s="24" t="str">
        <f>IF(J1542&lt;&gt;1,"",IF(I1542="SBJ","CB","?"))</f>
        <v> </v>
      </c>
      <c r="I1542" s="25" t="str">
        <f>IF(OR(E1542="",E1542="!!!",F1542="NEW"),"",INDEX(B1541:B$2,-1+SUMPRODUCT(MAX(ROW(E1541:E$2)*(E1542=E1541:E$2)))))</f>
        <v> </v>
      </c>
      <c r="J1542" s="25" t="str">
        <f>IF(OR(E1542="",E1542="!!!",F1542="NEW"),"",COUNTBLANK(OFFSET(A$1,,,SUMPRODUCT(MAX(ROW(E$2:E1542)*(E1542=E$2:E1542)))))-COUNTBLANK(OFFSET(A$1,,,SUMPRODUCT(MAX(ROW(E$1:E1541)*(E2=E$1:E1541))))))</f>
        <v> </v>
      </c>
      <c r="K1542" s="25" t="str">
        <f>IF(OR(E1542="",E1542="!!!",F1542="NEW"),"",INDEX(J$1:J1541,SUMPRODUCT(MAX(ROW(E$1:E1541)*(E1542=E$1:E1541)))))</f>
        <v> </v>
      </c>
      <c r="L1542" s="26"/>
    </row>
    <row r="1543" spans="1:12">
      <c r="A1543" s="20" t="s">
        <v>1121</v>
      </c>
      <c r="E1543" s="21">
        <f>IF(D1543="?OLD","!!!","")</f>
        <v/>
      </c>
      <c r="F1543" s="22" t="str">
        <f>IF(OR(E1543="",E1543="!!!"),"",IF(NOT(ISNA(VLOOKUP(E1543,E$1:E1542,1,FALSE()))),"OLD",IF(AND(E1543&lt;&gt;"",E1543&lt;&gt;"!!!"),"NEW","")))</f>
        <v> </v>
      </c>
      <c r="G1543" s="23" t="str">
        <f>IF(OR(E1543="",E1543="!!!"),"",IF(OR(J1543=0,AND(J1543=1,K1543=1),AND(J1543=1,I1543="SBJ"),AND(J1543=1,I1543=0)),"?IN_FOCUS",IF(J1543&lt;=2,"?ACTIVATED",IF(J1543&lt;&gt;"","?FAMILIAR",IF(F1543="NEW",IF(ISNA(VLOOKUP(E1543,#REF!,1,FALSE())),"?TYPE_IDENTIFIABLE","?REFERENTIAL"),"_")))))</f>
        <v> </v>
      </c>
      <c r="H1543" s="24" t="str">
        <f>IF(J1543&lt;&gt;1,"",IF(I1543="SBJ","CB","?"))</f>
        <v> </v>
      </c>
      <c r="I1543" s="25" t="str">
        <f>IF(OR(E1543="",E1543="!!!",F1543="NEW"),"",INDEX(B1542:B$2,-1+SUMPRODUCT(MAX(ROW(E1542:E$2)*(E1543=E1542:E$2)))))</f>
        <v> </v>
      </c>
      <c r="J1543" s="25" t="str">
        <f>IF(OR(E1543="",E1543="!!!",F1543="NEW"),"",COUNTBLANK(OFFSET(A$1,,,SUMPRODUCT(MAX(ROW(E$2:E1543)*(E1543=E$2:E1543)))))-COUNTBLANK(OFFSET(A$1,,,SUMPRODUCT(MAX(ROW(E$1:E1542)*(E2=E$1:E1542))))))</f>
        <v> </v>
      </c>
      <c r="K1543" s="25" t="str">
        <f>IF(OR(E1543="",E1543="!!!",F1543="NEW"),"",INDEX(J$1:J1542,SUMPRODUCT(MAX(ROW(E$1:E1542)*(E1543=E$1:E1542)))))</f>
        <v> </v>
      </c>
      <c r="L1543" s="26"/>
    </row>
    <row r="1544" spans="1:12">
      <c r="A1544" s="20" t="s">
        <v>482</v>
      </c>
      <c r="E1544" s="21">
        <f>IF(D1544="?OLD","!!!","")</f>
        <v/>
      </c>
      <c r="F1544" s="22" t="str">
        <f>IF(OR(E1544="",E1544="!!!"),"",IF(NOT(ISNA(VLOOKUP(E1544,E$1:E1543,1,FALSE()))),"OLD",IF(AND(E1544&lt;&gt;"",E1544&lt;&gt;"!!!"),"NEW","")))</f>
        <v> </v>
      </c>
      <c r="G1544" s="23" t="str">
        <f>IF(OR(E1544="",E1544="!!!"),"",IF(OR(J1544=0,AND(J1544=1,K1544=1),AND(J1544=1,I1544="SBJ"),AND(J1544=1,I1544=0)),"?IN_FOCUS",IF(J1544&lt;=2,"?ACTIVATED",IF(J1544&lt;&gt;"","?FAMILIAR",IF(F1544="NEW",IF(ISNA(VLOOKUP(E1544,#REF!,1,FALSE())),"?TYPE_IDENTIFIABLE","?REFERENTIAL"),"_")))))</f>
        <v> </v>
      </c>
      <c r="H1544" s="24" t="str">
        <f>IF(J1544&lt;&gt;1,"",IF(I1544="SBJ","CB","?"))</f>
        <v> </v>
      </c>
      <c r="I1544" s="25" t="str">
        <f>IF(OR(E1544="",E1544="!!!",F1544="NEW"),"",INDEX(B1543:B$2,-1+SUMPRODUCT(MAX(ROW(E1543:E$2)*(E1544=E1543:E$2)))))</f>
        <v> </v>
      </c>
      <c r="J1544" s="25" t="str">
        <f>IF(OR(E1544="",E1544="!!!",F1544="NEW"),"",COUNTBLANK(OFFSET(A$1,,,SUMPRODUCT(MAX(ROW(E$2:E1544)*(E1544=E$2:E1544)))))-COUNTBLANK(OFFSET(A$1,,,SUMPRODUCT(MAX(ROW(E$1:E1543)*(E2=E$1:E1543))))))</f>
        <v> </v>
      </c>
      <c r="K1544" s="25" t="str">
        <f>IF(OR(E1544="",E1544="!!!",F1544="NEW"),"",INDEX(J$1:J1543,SUMPRODUCT(MAX(ROW(E$1:E1543)*(E1544=E$1:E1543)))))</f>
        <v> </v>
      </c>
      <c r="L1544" s="26"/>
    </row>
    <row r="1545" spans="1:12">
      <c r="A1545" s="20" t="s">
        <v>1170</v>
      </c>
      <c r="B1545" s="27" t="s">
        <v>632</v>
      </c>
      <c r="C1545" s="27" t="s">
        <v>484</v>
      </c>
      <c r="E1545" s="21">
        <f>IF(D1545="?OLD","!!!","")</f>
        <v/>
      </c>
      <c r="F1545" s="22" t="str">
        <f>IF(OR(E1545="",E1545="!!!"),"",IF(NOT(ISNA(VLOOKUP(E1545,E$1:E1544,1,FALSE()))),"OLD",IF(AND(E1545&lt;&gt;"",E1545&lt;&gt;"!!!"),"NEW","")))</f>
        <v> </v>
      </c>
      <c r="G1545" s="23" t="str">
        <f>IF(OR(E1545="",E1545="!!!"),"",IF(OR(J1545=0,AND(J1545=1,K1545=1),AND(J1545=1,I1545="SBJ"),AND(J1545=1,I1545=0)),"?IN_FOCUS",IF(J1545&lt;=2,"?ACTIVATED",IF(J1545&lt;&gt;"","?FAMILIAR",IF(F1545="NEW",IF(ISNA(VLOOKUP(E1545,#REF!,1,FALSE())),"?TYPE_IDENTIFIABLE","?REFERENTIAL"),"_")))))</f>
        <v> </v>
      </c>
      <c r="H1545" s="24" t="str">
        <f>IF(J1545&lt;&gt;1,"",IF(I1545="SBJ","CB","?"))</f>
        <v> </v>
      </c>
      <c r="I1545" s="25" t="str">
        <f>IF(OR(E1545="",E1545="!!!",F1545="NEW"),"",INDEX(B1544:B$2,-1+SUMPRODUCT(MAX(ROW(E1544:E$2)*(E1545=E1544:E$2)))))</f>
        <v> </v>
      </c>
      <c r="J1545" s="25" t="str">
        <f>IF(OR(E1545="",E1545="!!!",F1545="NEW"),"",COUNTBLANK(OFFSET(A$1,,,SUMPRODUCT(MAX(ROW(E$2:E1545)*(E1545=E$2:E1545)))))-COUNTBLANK(OFFSET(A$1,,,SUMPRODUCT(MAX(ROW(E$1:E1544)*(E2=E$1:E1544))))))</f>
        <v> </v>
      </c>
      <c r="K1545" s="25" t="str">
        <f>IF(OR(E1545="",E1545="!!!",F1545="NEW"),"",INDEX(J$1:J1544,SUMPRODUCT(MAX(ROW(E$1:E1544)*(E1545=E$1:E1544)))))</f>
        <v> </v>
      </c>
      <c r="L1545" s="26"/>
    </row>
    <row r="1546" spans="1:12">
      <c r="A1546" s="20" t="s">
        <v>1171</v>
      </c>
      <c r="E1546" s="21">
        <f>IF(D1546="?OLD","!!!","")</f>
        <v/>
      </c>
      <c r="F1546" s="22" t="str">
        <f>IF(OR(E1546="",E1546="!!!"),"",IF(NOT(ISNA(VLOOKUP(E1546,E$1:E1545,1,FALSE()))),"OLD",IF(AND(E1546&lt;&gt;"",E1546&lt;&gt;"!!!"),"NEW","")))</f>
        <v> </v>
      </c>
      <c r="G1546" s="23" t="str">
        <f>IF(OR(E1546="",E1546="!!!"),"",IF(OR(J1546=0,AND(J1546=1,K1546=1),AND(J1546=1,I1546="SBJ"),AND(J1546=1,I1546=0)),"?IN_FOCUS",IF(J1546&lt;=2,"?ACTIVATED",IF(J1546&lt;&gt;"","?FAMILIAR",IF(F1546="NEW",IF(ISNA(VLOOKUP(E1546,#REF!,1,FALSE())),"?TYPE_IDENTIFIABLE","?REFERENTIAL"),"_")))))</f>
        <v> </v>
      </c>
      <c r="H1546" s="24" t="str">
        <f>IF(J1546&lt;&gt;1,"",IF(I1546="SBJ","CB","?"))</f>
        <v> </v>
      </c>
      <c r="I1546" s="25" t="str">
        <f>IF(OR(E1546="",E1546="!!!",F1546="NEW"),"",INDEX(B1545:B$2,-1+SUMPRODUCT(MAX(ROW(E1545:E$2)*(E1546=E1545:E$2)))))</f>
        <v> </v>
      </c>
      <c r="J1546" s="25" t="str">
        <f>IF(OR(E1546="",E1546="!!!",F1546="NEW"),"",COUNTBLANK(OFFSET(A$1,,,SUMPRODUCT(MAX(ROW(E$2:E1546)*(E1546=E$2:E1546)))))-COUNTBLANK(OFFSET(A$1,,,SUMPRODUCT(MAX(ROW(E$1:E1545)*(E2=E$1:E1545))))))</f>
        <v> </v>
      </c>
      <c r="K1546" s="25" t="str">
        <f>IF(OR(E1546="",E1546="!!!",F1546="NEW"),"",INDEX(J$1:J1545,SUMPRODUCT(MAX(ROW(E$1:E1545)*(E1546=E$1:E1545)))))</f>
        <v> </v>
      </c>
      <c r="L1546" s="26"/>
    </row>
    <row r="1547" spans="1:12">
      <c r="A1547" s="20" t="s">
        <v>728</v>
      </c>
      <c r="E1547" s="21">
        <f>IF(D1547="?OLD","!!!","")</f>
        <v/>
      </c>
      <c r="F1547" s="22" t="str">
        <f>IF(OR(E1547="",E1547="!!!"),"",IF(NOT(ISNA(VLOOKUP(E1547,E$1:E1546,1,FALSE()))),"OLD",IF(AND(E1547&lt;&gt;"",E1547&lt;&gt;"!!!"),"NEW","")))</f>
        <v> </v>
      </c>
      <c r="G1547" s="23" t="str">
        <f>IF(OR(E1547="",E1547="!!!"),"",IF(OR(J1547=0,AND(J1547=1,K1547=1),AND(J1547=1,I1547="SBJ"),AND(J1547=1,I1547=0)),"?IN_FOCUS",IF(J1547&lt;=2,"?ACTIVATED",IF(J1547&lt;&gt;"","?FAMILIAR",IF(F1547="NEW",IF(ISNA(VLOOKUP(E1547,#REF!,1,FALSE())),"?TYPE_IDENTIFIABLE","?REFERENTIAL"),"_")))))</f>
        <v> </v>
      </c>
      <c r="H1547" s="24" t="str">
        <f>IF(J1547&lt;&gt;1,"",IF(I1547="SBJ","CB","?"))</f>
        <v> </v>
      </c>
      <c r="I1547" s="25" t="str">
        <f>IF(OR(E1547="",E1547="!!!",F1547="NEW"),"",INDEX(B1546:B$2,-1+SUMPRODUCT(MAX(ROW(E1546:E$2)*(E1547=E1546:E$2)))))</f>
        <v> </v>
      </c>
      <c r="J1547" s="25" t="str">
        <f>IF(OR(E1547="",E1547="!!!",F1547="NEW"),"",COUNTBLANK(OFFSET(A$1,,,SUMPRODUCT(MAX(ROW(E$2:E1547)*(E1547=E$2:E1547)))))-COUNTBLANK(OFFSET(A$1,,,SUMPRODUCT(MAX(ROW(E$1:E1546)*(E2=E$1:E1546))))))</f>
        <v> </v>
      </c>
      <c r="K1547" s="25" t="str">
        <f>IF(OR(E1547="",E1547="!!!",F1547="NEW"),"",INDEX(J$1:J1546,SUMPRODUCT(MAX(ROW(E$1:E1546)*(E1547=E$1:E1546)))))</f>
        <v> </v>
      </c>
      <c r="L1547" s="26"/>
    </row>
    <row r="1548" spans="1:12">
      <c r="A1548" s="20" t="s">
        <v>1172</v>
      </c>
      <c r="B1548" s="27" t="s">
        <v>692</v>
      </c>
      <c r="C1548" s="27" t="s">
        <v>690</v>
      </c>
      <c r="D1548" s="27" t="s">
        <v>478</v>
      </c>
      <c r="E1548" s="21">
        <f>IF(D1548="?OLD","!!!","")</f>
        <v/>
      </c>
      <c r="F1548" s="22" t="str">
        <f>IF(OR(E1548="",E1548="!!!"),"",IF(NOT(ISNA(VLOOKUP(E1548,E$1:E1547,1,FALSE()))),"OLD",IF(AND(E1548&lt;&gt;"",E1548&lt;&gt;"!!!"),"NEW","")))</f>
        <v> </v>
      </c>
      <c r="G1548" s="23" t="str">
        <f>IF(OR(E1548="",E1548="!!!"),"",IF(OR(J1548=0,AND(J1548=1,K1548=1),AND(J1548=1,I1548="SBJ"),AND(J1548=1,I1548=0)),"?IN_FOCUS",IF(J1548&lt;=2,"?ACTIVATED",IF(J1548&lt;&gt;"","?FAMILIAR",IF(F1548="NEW",IF(ISNA(VLOOKUP(E1548,#REF!,1,FALSE())),"?TYPE_IDENTIFIABLE","?REFERENTIAL"),"_")))))</f>
        <v> </v>
      </c>
      <c r="H1548" s="24" t="str">
        <f>IF(J1548&lt;&gt;1,"",IF(I1548="SBJ","CB","?"))</f>
        <v> </v>
      </c>
      <c r="I1548" s="25" t="str">
        <f>IF(OR(E1548="",E1548="!!!",F1548="NEW"),"",INDEX(B1547:B$2,-1+SUMPRODUCT(MAX(ROW(E1547:E$2)*(E1548=E1547:E$2)))))</f>
        <v> </v>
      </c>
      <c r="J1548" s="25" t="str">
        <f>IF(OR(E1548="",E1548="!!!",F1548="NEW"),"",COUNTBLANK(OFFSET(A$1,,,SUMPRODUCT(MAX(ROW(E$2:E1548)*(E1548=E$2:E1548)))))-COUNTBLANK(OFFSET(A$1,,,SUMPRODUCT(MAX(ROW(E$1:E1547)*(E2=E$1:E1547))))))</f>
        <v> </v>
      </c>
      <c r="K1548" s="25" t="str">
        <f>IF(OR(E1548="",E1548="!!!",F1548="NEW"),"",INDEX(J$1:J1547,SUMPRODUCT(MAX(ROW(E$1:E1547)*(E1548=E$1:E1547)))))</f>
        <v> </v>
      </c>
      <c r="L1548" s="26"/>
    </row>
    <row r="1549" spans="1:12">
      <c r="A1549" s="20" t="s">
        <v>482</v>
      </c>
      <c r="E1549" s="21">
        <f>IF(D1549="?OLD","!!!","")</f>
        <v/>
      </c>
      <c r="F1549" s="22" t="str">
        <f>IF(OR(E1549="",E1549="!!!"),"",IF(NOT(ISNA(VLOOKUP(E1549,E$1:E1548,1,FALSE()))),"OLD",IF(AND(E1549&lt;&gt;"",E1549&lt;&gt;"!!!"),"NEW","")))</f>
        <v> </v>
      </c>
      <c r="G1549" s="23" t="str">
        <f>IF(OR(E1549="",E1549="!!!"),"",IF(OR(J1549=0,AND(J1549=1,K1549=1),AND(J1549=1,I1549="SBJ"),AND(J1549=1,I1549=0)),"?IN_FOCUS",IF(J1549&lt;=2,"?ACTIVATED",IF(J1549&lt;&gt;"","?FAMILIAR",IF(F1549="NEW",IF(ISNA(VLOOKUP(E1549,#REF!,1,FALSE())),"?TYPE_IDENTIFIABLE","?REFERENTIAL"),"_")))))</f>
        <v> </v>
      </c>
      <c r="H1549" s="24" t="str">
        <f>IF(J1549&lt;&gt;1,"",IF(I1549="SBJ","CB","?"))</f>
        <v> </v>
      </c>
      <c r="I1549" s="25" t="str">
        <f>IF(OR(E1549="",E1549="!!!",F1549="NEW"),"",INDEX(B1548:B$2,-1+SUMPRODUCT(MAX(ROW(E1548:E$2)*(E1549=E1548:E$2)))))</f>
        <v> </v>
      </c>
      <c r="J1549" s="25" t="str">
        <f>IF(OR(E1549="",E1549="!!!",F1549="NEW"),"",COUNTBLANK(OFFSET(A$1,,,SUMPRODUCT(MAX(ROW(E$2:E1549)*(E1549=E$2:E1549)))))-COUNTBLANK(OFFSET(A$1,,,SUMPRODUCT(MAX(ROW(E$1:E1548)*(E2=E$1:E1548))))))</f>
        <v> </v>
      </c>
      <c r="K1549" s="25" t="str">
        <f>IF(OR(E1549="",E1549="!!!",F1549="NEW"),"",INDEX(J$1:J1548,SUMPRODUCT(MAX(ROW(E$1:E1548)*(E1549=E$1:E1548)))))</f>
        <v> </v>
      </c>
      <c r="L1549" s="26"/>
    </row>
    <row r="1550" spans="1:12">
      <c r="A1550" s="20" t="s">
        <v>1147</v>
      </c>
      <c r="E1550" s="21">
        <f>IF(D1550="?OLD","!!!","")</f>
        <v/>
      </c>
      <c r="F1550" s="22" t="str">
        <f>IF(OR(E1550="",E1550="!!!"),"",IF(NOT(ISNA(VLOOKUP(E1550,E$1:E1549,1,FALSE()))),"OLD",IF(AND(E1550&lt;&gt;"",E1550&lt;&gt;"!!!"),"NEW","")))</f>
        <v> </v>
      </c>
      <c r="G1550" s="23" t="str">
        <f>IF(OR(E1550="",E1550="!!!"),"",IF(OR(J1550=0,AND(J1550=1,K1550=1),AND(J1550=1,I1550="SBJ"),AND(J1550=1,I1550=0)),"?IN_FOCUS",IF(J1550&lt;=2,"?ACTIVATED",IF(J1550&lt;&gt;"","?FAMILIAR",IF(F1550="NEW",IF(ISNA(VLOOKUP(E1550,#REF!,1,FALSE())),"?TYPE_IDENTIFIABLE","?REFERENTIAL"),"_")))))</f>
        <v> </v>
      </c>
      <c r="H1550" s="24" t="str">
        <f>IF(J1550&lt;&gt;1,"",IF(I1550="SBJ","CB","?"))</f>
        <v> </v>
      </c>
      <c r="I1550" s="25" t="str">
        <f>IF(OR(E1550="",E1550="!!!",F1550="NEW"),"",INDEX(B1549:B$2,-1+SUMPRODUCT(MAX(ROW(E1549:E$2)*(E1550=E1549:E$2)))))</f>
        <v> </v>
      </c>
      <c r="J1550" s="25" t="str">
        <f>IF(OR(E1550="",E1550="!!!",F1550="NEW"),"",COUNTBLANK(OFFSET(A$1,,,SUMPRODUCT(MAX(ROW(E$2:E1550)*(E1550=E$2:E1550)))))-COUNTBLANK(OFFSET(A$1,,,SUMPRODUCT(MAX(ROW(E$1:E1549)*(E2=E$1:E1549))))))</f>
        <v> </v>
      </c>
      <c r="K1550" s="25" t="str">
        <f>IF(OR(E1550="",E1550="!!!",F1550="NEW"),"",INDEX(J$1:J1549,SUMPRODUCT(MAX(ROW(E$1:E1549)*(E1550=E$1:E1549)))))</f>
        <v> </v>
      </c>
      <c r="L1550" s="26"/>
    </row>
    <row r="1551" spans="1:12">
      <c r="A1551" s="20" t="s">
        <v>504</v>
      </c>
      <c r="E1551" s="21">
        <f>IF(D1551="?OLD","!!!","")</f>
        <v/>
      </c>
      <c r="F1551" s="22" t="str">
        <f>IF(OR(E1551="",E1551="!!!"),"",IF(NOT(ISNA(VLOOKUP(E1551,E$1:E1550,1,FALSE()))),"OLD",IF(AND(E1551&lt;&gt;"",E1551&lt;&gt;"!!!"),"NEW","")))</f>
        <v> </v>
      </c>
      <c r="G1551" s="23" t="str">
        <f>IF(OR(E1551="",E1551="!!!"),"",IF(OR(J1551=0,AND(J1551=1,K1551=1),AND(J1551=1,I1551="SBJ"),AND(J1551=1,I1551=0)),"?IN_FOCUS",IF(J1551&lt;=2,"?ACTIVATED",IF(J1551&lt;&gt;"","?FAMILIAR",IF(F1551="NEW",IF(ISNA(VLOOKUP(E1551,#REF!,1,FALSE())),"?TYPE_IDENTIFIABLE","?REFERENTIAL"),"_")))))</f>
        <v> </v>
      </c>
      <c r="H1551" s="24" t="str">
        <f>IF(J1551&lt;&gt;1,"",IF(I1551="SBJ","CB","?"))</f>
        <v> </v>
      </c>
      <c r="I1551" s="25" t="str">
        <f>IF(OR(E1551="",E1551="!!!",F1551="NEW"),"",INDEX(B1550:B$2,-1+SUMPRODUCT(MAX(ROW(E1550:E$2)*(E1551=E1550:E$2)))))</f>
        <v> </v>
      </c>
      <c r="J1551" s="25" t="str">
        <f>IF(OR(E1551="",E1551="!!!",F1551="NEW"),"",COUNTBLANK(OFFSET(A$1,,,SUMPRODUCT(MAX(ROW(E$2:E1551)*(E1551=E$2:E1551)))))-COUNTBLANK(OFFSET(A$1,,,SUMPRODUCT(MAX(ROW(E$1:E1550)*(E2=E$1:E1550))))))</f>
        <v> </v>
      </c>
      <c r="K1551" s="25" t="str">
        <f>IF(OR(E1551="",E1551="!!!",F1551="NEW"),"",INDEX(J$1:J1550,SUMPRODUCT(MAX(ROW(E$1:E1550)*(E1551=E$1:E1550)))))</f>
        <v> </v>
      </c>
      <c r="L1551" s="26"/>
    </row>
    <row r="1552" spans="1:12">
      <c r="A1552" s="20" t="s">
        <v>505</v>
      </c>
      <c r="E1552" s="21">
        <f>IF(D1552="?OLD","!!!","")</f>
        <v/>
      </c>
      <c r="F1552" s="22" t="str">
        <f>IF(OR(E1552="",E1552="!!!"),"",IF(NOT(ISNA(VLOOKUP(E1552,E$1:E1551,1,FALSE()))),"OLD",IF(AND(E1552&lt;&gt;"",E1552&lt;&gt;"!!!"),"NEW","")))</f>
        <v> </v>
      </c>
      <c r="G1552" s="23" t="str">
        <f>IF(OR(E1552="",E1552="!!!"),"",IF(OR(J1552=0,AND(J1552=1,K1552=1),AND(J1552=1,I1552="SBJ"),AND(J1552=1,I1552=0)),"?IN_FOCUS",IF(J1552&lt;=2,"?ACTIVATED",IF(J1552&lt;&gt;"","?FAMILIAR",IF(F1552="NEW",IF(ISNA(VLOOKUP(E1552,#REF!,1,FALSE())),"?TYPE_IDENTIFIABLE","?REFERENTIAL"),"_")))))</f>
        <v> </v>
      </c>
      <c r="H1552" s="24" t="str">
        <f>IF(J1552&lt;&gt;1,"",IF(I1552="SBJ","CB","?"))</f>
        <v> </v>
      </c>
      <c r="I1552" s="25" t="str">
        <f>IF(OR(E1552="",E1552="!!!",F1552="NEW"),"",INDEX(B1551:B$2,-1+SUMPRODUCT(MAX(ROW(E1551:E$2)*(E1552=E1551:E$2)))))</f>
        <v> </v>
      </c>
      <c r="J1552" s="25" t="str">
        <f>IF(OR(E1552="",E1552="!!!",F1552="NEW"),"",COUNTBLANK(OFFSET(A$1,,,SUMPRODUCT(MAX(ROW(E$2:E1552)*(E1552=E$2:E1552)))))-COUNTBLANK(OFFSET(A$1,,,SUMPRODUCT(MAX(ROW(E$1:E1551)*(E2=E$1:E1551))))))</f>
        <v> </v>
      </c>
      <c r="K1552" s="25" t="str">
        <f>IF(OR(E1552="",E1552="!!!",F1552="NEW"),"",INDEX(J$1:J1551,SUMPRODUCT(MAX(ROW(E$1:E1551)*(E1552=E$1:E1551)))))</f>
        <v> </v>
      </c>
      <c r="L1552" s="26"/>
    </row>
    <row r="1553" spans="1:12">
      <c r="A1553" s="20" t="s">
        <v>1125</v>
      </c>
      <c r="E1553" s="21">
        <f>IF(D1553="?OLD","!!!","")</f>
        <v/>
      </c>
      <c r="F1553" s="22" t="str">
        <f>IF(OR(E1553="",E1553="!!!"),"",IF(NOT(ISNA(VLOOKUP(E1553,E$1:E1552,1,FALSE()))),"OLD",IF(AND(E1553&lt;&gt;"",E1553&lt;&gt;"!!!"),"NEW","")))</f>
        <v> </v>
      </c>
      <c r="G1553" s="23" t="str">
        <f>IF(OR(E1553="",E1553="!!!"),"",IF(OR(J1553=0,AND(J1553=1,K1553=1),AND(J1553=1,I1553="SBJ"),AND(J1553=1,I1553=0)),"?IN_FOCUS",IF(J1553&lt;=2,"?ACTIVATED",IF(J1553&lt;&gt;"","?FAMILIAR",IF(F1553="NEW",IF(ISNA(VLOOKUP(E1553,#REF!,1,FALSE())),"?TYPE_IDENTIFIABLE","?REFERENTIAL"),"_")))))</f>
        <v> </v>
      </c>
      <c r="H1553" s="24" t="str">
        <f>IF(J1553&lt;&gt;1,"",IF(I1553="SBJ","CB","?"))</f>
        <v> </v>
      </c>
      <c r="I1553" s="25" t="str">
        <f>IF(OR(E1553="",E1553="!!!",F1553="NEW"),"",INDEX(B1552:B$2,-1+SUMPRODUCT(MAX(ROW(E1552:E$2)*(E1553=E1552:E$2)))))</f>
        <v> </v>
      </c>
      <c r="J1553" s="25" t="str">
        <f>IF(OR(E1553="",E1553="!!!",F1553="NEW"),"",COUNTBLANK(OFFSET(A$1,,,SUMPRODUCT(MAX(ROW(E$2:E1553)*(E1553=E$2:E1553)))))-COUNTBLANK(OFFSET(A$1,,,SUMPRODUCT(MAX(ROW(E$1:E1552)*(E2=E$1:E1552))))))</f>
        <v> </v>
      </c>
      <c r="K1553" s="25" t="str">
        <f>IF(OR(E1553="",E1553="!!!",F1553="NEW"),"",INDEX(J$1:J1552,SUMPRODUCT(MAX(ROW(E$1:E1552)*(E1553=E$1:E1552)))))</f>
        <v> </v>
      </c>
      <c r="L1553" s="26"/>
    </row>
    <row r="1554" spans="1:12">
      <c r="A1554" s="20" t="s">
        <v>404</v>
      </c>
      <c r="E1554" s="21">
        <f>IF(D1554="?OLD","!!!","")</f>
        <v/>
      </c>
      <c r="F1554" s="22" t="str">
        <f>IF(OR(E1554="",E1554="!!!"),"",IF(NOT(ISNA(VLOOKUP(E1554,E$1:E1553,1,FALSE()))),"OLD",IF(AND(E1554&lt;&gt;"",E1554&lt;&gt;"!!!"),"NEW","")))</f>
        <v> </v>
      </c>
      <c r="G1554" s="23" t="str">
        <f>IF(OR(E1554="",E1554="!!!"),"",IF(OR(J1554=0,AND(J1554=1,K1554=1),AND(J1554=1,I1554="SBJ"),AND(J1554=1,I1554=0)),"?IN_FOCUS",IF(J1554&lt;=2,"?ACTIVATED",IF(J1554&lt;&gt;"","?FAMILIAR",IF(F1554="NEW",IF(ISNA(VLOOKUP(E1554,#REF!,1,FALSE())),"?TYPE_IDENTIFIABLE","?REFERENTIAL"),"_")))))</f>
        <v> </v>
      </c>
      <c r="H1554" s="24" t="str">
        <f>IF(J1554&lt;&gt;1,"",IF(I1554="SBJ","CB","?"))</f>
        <v> </v>
      </c>
      <c r="I1554" s="25" t="str">
        <f>IF(OR(E1554="",E1554="!!!",F1554="NEW"),"",INDEX(B1553:B$2,-1+SUMPRODUCT(MAX(ROW(E1553:E$2)*(E1554=E1553:E$2)))))</f>
        <v> </v>
      </c>
      <c r="J1554" s="25" t="str">
        <f>IF(OR(E1554="",E1554="!!!",F1554="NEW"),"",COUNTBLANK(OFFSET(A$1,,,SUMPRODUCT(MAX(ROW(E$2:E1554)*(E1554=E$2:E1554)))))-COUNTBLANK(OFFSET(A$1,,,SUMPRODUCT(MAX(ROW(E$1:E1553)*(E2=E$1:E1553))))))</f>
        <v> </v>
      </c>
      <c r="K1554" s="25" t="str">
        <f>IF(OR(E1554="",E1554="!!!",F1554="NEW"),"",INDEX(J$1:J1553,SUMPRODUCT(MAX(ROW(E$1:E1553)*(E1554=E$1:E1553)))))</f>
        <v> </v>
      </c>
      <c r="L1554" s="26"/>
    </row>
    <row r="1555" spans="1:12">
      <c r="A1555" s="20" t="s">
        <v>482</v>
      </c>
      <c r="E1555" s="21">
        <f>IF(D1555="?OLD","!!!","")</f>
        <v/>
      </c>
      <c r="F1555" s="22" t="str">
        <f>IF(OR(E1555="",E1555="!!!"),"",IF(NOT(ISNA(VLOOKUP(E1555,E$1:E1554,1,FALSE()))),"OLD",IF(AND(E1555&lt;&gt;"",E1555&lt;&gt;"!!!"),"NEW","")))</f>
        <v> </v>
      </c>
      <c r="G1555" s="23" t="str">
        <f>IF(OR(E1555="",E1555="!!!"),"",IF(OR(J1555=0,AND(J1555=1,K1555=1),AND(J1555=1,I1555="SBJ"),AND(J1555=1,I1555=0)),"?IN_FOCUS",IF(J1555&lt;=2,"?ACTIVATED",IF(J1555&lt;&gt;"","?FAMILIAR",IF(F1555="NEW",IF(ISNA(VLOOKUP(E1555,#REF!,1,FALSE())),"?TYPE_IDENTIFIABLE","?REFERENTIAL"),"_")))))</f>
        <v> </v>
      </c>
      <c r="H1555" s="24" t="str">
        <f>IF(J1555&lt;&gt;1,"",IF(I1555="SBJ","CB","?"))</f>
        <v> </v>
      </c>
      <c r="I1555" s="25" t="str">
        <f>IF(OR(E1555="",E1555="!!!",F1555="NEW"),"",INDEX(B1554:B$2,-1+SUMPRODUCT(MAX(ROW(E1554:E$2)*(E1555=E1554:E$2)))))</f>
        <v> </v>
      </c>
      <c r="J1555" s="25" t="str">
        <f>IF(OR(E1555="",E1555="!!!",F1555="NEW"),"",COUNTBLANK(OFFSET(A$1,,,SUMPRODUCT(MAX(ROW(E$2:E1555)*(E1555=E$2:E1555)))))-COUNTBLANK(OFFSET(A$1,,,SUMPRODUCT(MAX(ROW(E$1:E1554)*(E2=E$1:E1554))))))</f>
        <v> </v>
      </c>
      <c r="K1555" s="25" t="str">
        <f>IF(OR(E1555="",E1555="!!!",F1555="NEW"),"",INDEX(J$1:J1554,SUMPRODUCT(MAX(ROW(E$1:E1554)*(E1555=E$1:E1554)))))</f>
        <v> </v>
      </c>
      <c r="L1555" s="26"/>
    </row>
    <row r="1556" spans="1:12">
      <c r="A1556" s="20" t="s">
        <v>1173</v>
      </c>
      <c r="E1556" s="21">
        <f>IF(D1556="?OLD","!!!","")</f>
        <v/>
      </c>
      <c r="F1556" s="22" t="str">
        <f>IF(OR(E1556="",E1556="!!!"),"",IF(NOT(ISNA(VLOOKUP(E1556,E$1:E1555,1,FALSE()))),"OLD",IF(AND(E1556&lt;&gt;"",E1556&lt;&gt;"!!!"),"NEW","")))</f>
        <v> </v>
      </c>
      <c r="G1556" s="23" t="str">
        <f>IF(OR(E1556="",E1556="!!!"),"",IF(OR(J1556=0,AND(J1556=1,K1556=1),AND(J1556=1,I1556="SBJ"),AND(J1556=1,I1556=0)),"?IN_FOCUS",IF(J1556&lt;=2,"?ACTIVATED",IF(J1556&lt;&gt;"","?FAMILIAR",IF(F1556="NEW",IF(ISNA(VLOOKUP(E1556,#REF!,1,FALSE())),"?TYPE_IDENTIFIABLE","?REFERENTIAL"),"_")))))</f>
        <v> </v>
      </c>
      <c r="H1556" s="24" t="str">
        <f>IF(J1556&lt;&gt;1,"",IF(I1556="SBJ","CB","?"))</f>
        <v> </v>
      </c>
      <c r="I1556" s="25" t="str">
        <f>IF(OR(E1556="",E1556="!!!",F1556="NEW"),"",INDEX(B1555:B$2,-1+SUMPRODUCT(MAX(ROW(E1555:E$2)*(E1556=E1555:E$2)))))</f>
        <v> </v>
      </c>
      <c r="J1556" s="25" t="str">
        <f>IF(OR(E1556="",E1556="!!!",F1556="NEW"),"",COUNTBLANK(OFFSET(A$1,,,SUMPRODUCT(MAX(ROW(E$2:E1556)*(E1556=E$2:E1556)))))-COUNTBLANK(OFFSET(A$1,,,SUMPRODUCT(MAX(ROW(E$1:E1555)*(E2=E$1:E1555))))))</f>
        <v> </v>
      </c>
      <c r="K1556" s="25" t="str">
        <f>IF(OR(E1556="",E1556="!!!",F1556="NEW"),"",INDEX(J$1:J1555,SUMPRODUCT(MAX(ROW(E$1:E1555)*(E1556=E$1:E1555)))))</f>
        <v> </v>
      </c>
      <c r="L1556" s="26"/>
    </row>
    <row r="1557" spans="1:12">
      <c r="A1557" s="20" t="s">
        <v>482</v>
      </c>
      <c r="E1557" s="21">
        <f>IF(D1557="?OLD","!!!","")</f>
        <v/>
      </c>
      <c r="F1557" s="22" t="str">
        <f>IF(OR(E1557="",E1557="!!!"),"",IF(NOT(ISNA(VLOOKUP(E1557,E$1:E1556,1,FALSE()))),"OLD",IF(AND(E1557&lt;&gt;"",E1557&lt;&gt;"!!!"),"NEW","")))</f>
        <v> </v>
      </c>
      <c r="G1557" s="23" t="str">
        <f>IF(OR(E1557="",E1557="!!!"),"",IF(OR(J1557=0,AND(J1557=1,K1557=1),AND(J1557=1,I1557="SBJ"),AND(J1557=1,I1557=0)),"?IN_FOCUS",IF(J1557&lt;=2,"?ACTIVATED",IF(J1557&lt;&gt;"","?FAMILIAR",IF(F1557="NEW",IF(ISNA(VLOOKUP(E1557,#REF!,1,FALSE())),"?TYPE_IDENTIFIABLE","?REFERENTIAL"),"_")))))</f>
        <v> </v>
      </c>
      <c r="H1557" s="24" t="str">
        <f>IF(J1557&lt;&gt;1,"",IF(I1557="SBJ","CB","?"))</f>
        <v> </v>
      </c>
      <c r="I1557" s="25" t="str">
        <f>IF(OR(E1557="",E1557="!!!",F1557="NEW"),"",INDEX(B1556:B$2,-1+SUMPRODUCT(MAX(ROW(E1556:E$2)*(E1557=E1556:E$2)))))</f>
        <v> </v>
      </c>
      <c r="J1557" s="25" t="str">
        <f>IF(OR(E1557="",E1557="!!!",F1557="NEW"),"",COUNTBLANK(OFFSET(A$1,,,SUMPRODUCT(MAX(ROW(E$2:E1557)*(E1557=E$2:E1557)))))-COUNTBLANK(OFFSET(A$1,,,SUMPRODUCT(MAX(ROW(E$1:E1556)*(E2=E$1:E1556))))))</f>
        <v> </v>
      </c>
      <c r="K1557" s="25" t="str">
        <f>IF(OR(E1557="",E1557="!!!",F1557="NEW"),"",INDEX(J$1:J1556,SUMPRODUCT(MAX(ROW(E$1:E1556)*(E1557=E$1:E1556)))))</f>
        <v> </v>
      </c>
      <c r="L1557" s="26"/>
    </row>
    <row r="1558" spans="1:12">
      <c r="A1558" s="20" t="s">
        <v>1174</v>
      </c>
      <c r="E1558" s="21">
        <f>IF(D1558="?OLD","!!!","")</f>
        <v/>
      </c>
      <c r="F1558" s="22" t="str">
        <f>IF(OR(E1558="",E1558="!!!"),"",IF(NOT(ISNA(VLOOKUP(E1558,E$1:E1557,1,FALSE()))),"OLD",IF(AND(E1558&lt;&gt;"",E1558&lt;&gt;"!!!"),"NEW","")))</f>
        <v> </v>
      </c>
      <c r="G1558" s="23" t="str">
        <f>IF(OR(E1558="",E1558="!!!"),"",IF(OR(J1558=0,AND(J1558=1,K1558=1),AND(J1558=1,I1558="SBJ"),AND(J1558=1,I1558=0)),"?IN_FOCUS",IF(J1558&lt;=2,"?ACTIVATED",IF(J1558&lt;&gt;"","?FAMILIAR",IF(F1558="NEW",IF(ISNA(VLOOKUP(E1558,#REF!,1,FALSE())),"?TYPE_IDENTIFIABLE","?REFERENTIAL"),"_")))))</f>
        <v> </v>
      </c>
      <c r="H1558" s="24" t="str">
        <f>IF(J1558&lt;&gt;1,"",IF(I1558="SBJ","CB","?"))</f>
        <v> </v>
      </c>
      <c r="I1558" s="25" t="str">
        <f>IF(OR(E1558="",E1558="!!!",F1558="NEW"),"",INDEX(B1557:B$2,-1+SUMPRODUCT(MAX(ROW(E1557:E$2)*(E1558=E1557:E$2)))))</f>
        <v> </v>
      </c>
      <c r="J1558" s="25" t="str">
        <f>IF(OR(E1558="",E1558="!!!",F1558="NEW"),"",COUNTBLANK(OFFSET(A$1,,,SUMPRODUCT(MAX(ROW(E$2:E1558)*(E1558=E$2:E1558)))))-COUNTBLANK(OFFSET(A$1,,,SUMPRODUCT(MAX(ROW(E$1:E1557)*(E2=E$1:E1557))))))</f>
        <v> </v>
      </c>
      <c r="K1558" s="25" t="str">
        <f>IF(OR(E1558="",E1558="!!!",F1558="NEW"),"",INDEX(J$1:J1557,SUMPRODUCT(MAX(ROW(E$1:E1557)*(E1558=E$1:E1557)))))</f>
        <v> </v>
      </c>
      <c r="L1558" s="26"/>
    </row>
    <row r="1559" spans="1:12">
      <c r="A1559" s="20" t="s">
        <v>1175</v>
      </c>
      <c r="E1559" s="21">
        <f>IF(D1559="?OLD","!!!","")</f>
        <v/>
      </c>
      <c r="F1559" s="22" t="str">
        <f>IF(OR(E1559="",E1559="!!!"),"",IF(NOT(ISNA(VLOOKUP(E1559,E$1:E1558,1,FALSE()))),"OLD",IF(AND(E1559&lt;&gt;"",E1559&lt;&gt;"!!!"),"NEW","")))</f>
        <v> </v>
      </c>
      <c r="G1559" s="23" t="str">
        <f>IF(OR(E1559="",E1559="!!!"),"",IF(OR(J1559=0,AND(J1559=1,K1559=1),AND(J1559=1,I1559="SBJ"),AND(J1559=1,I1559=0)),"?IN_FOCUS",IF(J1559&lt;=2,"?ACTIVATED",IF(J1559&lt;&gt;"","?FAMILIAR",IF(F1559="NEW",IF(ISNA(VLOOKUP(E1559,#REF!,1,FALSE())),"?TYPE_IDENTIFIABLE","?REFERENTIAL"),"_")))))</f>
        <v> </v>
      </c>
      <c r="H1559" s="24" t="str">
        <f>IF(J1559&lt;&gt;1,"",IF(I1559="SBJ","CB","?"))</f>
        <v> </v>
      </c>
      <c r="I1559" s="25" t="str">
        <f>IF(OR(E1559="",E1559="!!!",F1559="NEW"),"",INDEX(B1558:B$2,-1+SUMPRODUCT(MAX(ROW(E1558:E$2)*(E1559=E1558:E$2)))))</f>
        <v> </v>
      </c>
      <c r="J1559" s="25" t="str">
        <f>IF(OR(E1559="",E1559="!!!",F1559="NEW"),"",COUNTBLANK(OFFSET(A$1,,,SUMPRODUCT(MAX(ROW(E$2:E1559)*(E1559=E$2:E1559)))))-COUNTBLANK(OFFSET(A$1,,,SUMPRODUCT(MAX(ROW(E$1:E1558)*(E2=E$1:E1558))))))</f>
        <v> </v>
      </c>
      <c r="K1559" s="25" t="str">
        <f>IF(OR(E1559="",E1559="!!!",F1559="NEW"),"",INDEX(J$1:J1558,SUMPRODUCT(MAX(ROW(E$1:E1558)*(E1559=E$1:E1558)))))</f>
        <v> </v>
      </c>
      <c r="L1559" s="26"/>
    </row>
    <row r="1560" spans="1:12">
      <c r="A1560" s="20" t="s">
        <v>1176</v>
      </c>
      <c r="E1560" s="21">
        <f>IF(D1560="?OLD","!!!","")</f>
        <v/>
      </c>
      <c r="F1560" s="22" t="str">
        <f>IF(OR(E1560="",E1560="!!!"),"",IF(NOT(ISNA(VLOOKUP(E1560,E$1:E1559,1,FALSE()))),"OLD",IF(AND(E1560&lt;&gt;"",E1560&lt;&gt;"!!!"),"NEW","")))</f>
        <v> </v>
      </c>
      <c r="G1560" s="23" t="str">
        <f>IF(OR(E1560="",E1560="!!!"),"",IF(OR(J1560=0,AND(J1560=1,K1560=1),AND(J1560=1,I1560="SBJ"),AND(J1560=1,I1560=0)),"?IN_FOCUS",IF(J1560&lt;=2,"?ACTIVATED",IF(J1560&lt;&gt;"","?FAMILIAR",IF(F1560="NEW",IF(ISNA(VLOOKUP(E1560,#REF!,1,FALSE())),"?TYPE_IDENTIFIABLE","?REFERENTIAL"),"_")))))</f>
        <v> </v>
      </c>
      <c r="H1560" s="24" t="str">
        <f>IF(J1560&lt;&gt;1,"",IF(I1560="SBJ","CB","?"))</f>
        <v> </v>
      </c>
      <c r="I1560" s="25" t="str">
        <f>IF(OR(E1560="",E1560="!!!",F1560="NEW"),"",INDEX(B1559:B$2,-1+SUMPRODUCT(MAX(ROW(E1559:E$2)*(E1560=E1559:E$2)))))</f>
        <v> </v>
      </c>
      <c r="J1560" s="25" t="str">
        <f>IF(OR(E1560="",E1560="!!!",F1560="NEW"),"",COUNTBLANK(OFFSET(A$1,,,SUMPRODUCT(MAX(ROW(E$2:E1560)*(E1560=E$2:E1560)))))-COUNTBLANK(OFFSET(A$1,,,SUMPRODUCT(MAX(ROW(E$1:E1559)*(E2=E$1:E1559))))))</f>
        <v> </v>
      </c>
      <c r="K1560" s="25" t="str">
        <f>IF(OR(E1560="",E1560="!!!",F1560="NEW"),"",INDEX(J$1:J1559,SUMPRODUCT(MAX(ROW(E$1:E1559)*(E1560=E$1:E1559)))))</f>
        <v> </v>
      </c>
      <c r="L1560" s="26"/>
    </row>
    <row r="1561" spans="1:12">
      <c r="A1561" s="20" t="s">
        <v>1177</v>
      </c>
      <c r="E1561" s="21">
        <f>IF(D1561="?OLD","!!!","")</f>
        <v/>
      </c>
      <c r="F1561" s="22" t="str">
        <f>IF(OR(E1561="",E1561="!!!"),"",IF(NOT(ISNA(VLOOKUP(E1561,E$1:E1560,1,FALSE()))),"OLD",IF(AND(E1561&lt;&gt;"",E1561&lt;&gt;"!!!"),"NEW","")))</f>
        <v> </v>
      </c>
      <c r="G1561" s="23" t="str">
        <f>IF(OR(E1561="",E1561="!!!"),"",IF(OR(J1561=0,AND(J1561=1,K1561=1),AND(J1561=1,I1561="SBJ"),AND(J1561=1,I1561=0)),"?IN_FOCUS",IF(J1561&lt;=2,"?ACTIVATED",IF(J1561&lt;&gt;"","?FAMILIAR",IF(F1561="NEW",IF(ISNA(VLOOKUP(E1561,#REF!,1,FALSE())),"?TYPE_IDENTIFIABLE","?REFERENTIAL"),"_")))))</f>
        <v> </v>
      </c>
      <c r="H1561" s="24" t="str">
        <f>IF(J1561&lt;&gt;1,"",IF(I1561="SBJ","CB","?"))</f>
        <v> </v>
      </c>
      <c r="I1561" s="25" t="str">
        <f>IF(OR(E1561="",E1561="!!!",F1561="NEW"),"",INDEX(B1560:B$2,-1+SUMPRODUCT(MAX(ROW(E1560:E$2)*(E1561=E1560:E$2)))))</f>
        <v> </v>
      </c>
      <c r="J1561" s="25" t="str">
        <f>IF(OR(E1561="",E1561="!!!",F1561="NEW"),"",COUNTBLANK(OFFSET(A$1,,,SUMPRODUCT(MAX(ROW(E$2:E1561)*(E1561=E$2:E1561)))))-COUNTBLANK(OFFSET(A$1,,,SUMPRODUCT(MAX(ROW(E$1:E1560)*(E2=E$1:E1560))))))</f>
        <v> </v>
      </c>
      <c r="K1561" s="25" t="str">
        <f>IF(OR(E1561="",E1561="!!!",F1561="NEW"),"",INDEX(J$1:J1560,SUMPRODUCT(MAX(ROW(E$1:E1560)*(E1561=E$1:E1560)))))</f>
        <v> </v>
      </c>
      <c r="L1561" s="26"/>
    </row>
    <row r="1562" spans="1:12">
      <c r="A1562" s="20" t="s">
        <v>1178</v>
      </c>
      <c r="E1562" s="21">
        <f>IF(D1562="?OLD","!!!","")</f>
        <v/>
      </c>
      <c r="F1562" s="22" t="str">
        <f>IF(OR(E1562="",E1562="!!!"),"",IF(NOT(ISNA(VLOOKUP(E1562,E$1:E1561,1,FALSE()))),"OLD",IF(AND(E1562&lt;&gt;"",E1562&lt;&gt;"!!!"),"NEW","")))</f>
        <v> </v>
      </c>
      <c r="G1562" s="23" t="str">
        <f>IF(OR(E1562="",E1562="!!!"),"",IF(OR(J1562=0,AND(J1562=1,K1562=1),AND(J1562=1,I1562="SBJ"),AND(J1562=1,I1562=0)),"?IN_FOCUS",IF(J1562&lt;=2,"?ACTIVATED",IF(J1562&lt;&gt;"","?FAMILIAR",IF(F1562="NEW",IF(ISNA(VLOOKUP(E1562,#REF!,1,FALSE())),"?TYPE_IDENTIFIABLE","?REFERENTIAL"),"_")))))</f>
        <v> </v>
      </c>
      <c r="H1562" s="24" t="str">
        <f>IF(J1562&lt;&gt;1,"",IF(I1562="SBJ","CB","?"))</f>
        <v> </v>
      </c>
      <c r="I1562" s="25" t="str">
        <f>IF(OR(E1562="",E1562="!!!",F1562="NEW"),"",INDEX(B1561:B$2,-1+SUMPRODUCT(MAX(ROW(E1561:E$2)*(E1562=E1561:E$2)))))</f>
        <v> </v>
      </c>
      <c r="J1562" s="25" t="str">
        <f>IF(OR(E1562="",E1562="!!!",F1562="NEW"),"",COUNTBLANK(OFFSET(A$1,,,SUMPRODUCT(MAX(ROW(E$2:E1562)*(E1562=E$2:E1562)))))-COUNTBLANK(OFFSET(A$1,,,SUMPRODUCT(MAX(ROW(E$1:E1561)*(E2=E$1:E1561))))))</f>
        <v> </v>
      </c>
      <c r="K1562" s="25" t="str">
        <f>IF(OR(E1562="",E1562="!!!",F1562="NEW"),"",INDEX(J$1:J1561,SUMPRODUCT(MAX(ROW(E$1:E1561)*(E1562=E$1:E1561)))))</f>
        <v> </v>
      </c>
      <c r="L1562" s="26"/>
    </row>
    <row r="1563" spans="1:12">
      <c r="A1563" s="20" t="s">
        <v>482</v>
      </c>
      <c r="E1563" s="21">
        <f>IF(D1563="?OLD","!!!","")</f>
        <v/>
      </c>
      <c r="F1563" s="22" t="str">
        <f>IF(OR(E1563="",E1563="!!!"),"",IF(NOT(ISNA(VLOOKUP(E1563,E$1:E1562,1,FALSE()))),"OLD",IF(AND(E1563&lt;&gt;"",E1563&lt;&gt;"!!!"),"NEW","")))</f>
        <v> </v>
      </c>
      <c r="G1563" s="23" t="str">
        <f>IF(OR(E1563="",E1563="!!!"),"",IF(OR(J1563=0,AND(J1563=1,K1563=1),AND(J1563=1,I1563="SBJ"),AND(J1563=1,I1563=0)),"?IN_FOCUS",IF(J1563&lt;=2,"?ACTIVATED",IF(J1563&lt;&gt;"","?FAMILIAR",IF(F1563="NEW",IF(ISNA(VLOOKUP(E1563,#REF!,1,FALSE())),"?TYPE_IDENTIFIABLE","?REFERENTIAL"),"_")))))</f>
        <v> </v>
      </c>
      <c r="H1563" s="24" t="str">
        <f>IF(J1563&lt;&gt;1,"",IF(I1563="SBJ","CB","?"))</f>
        <v> </v>
      </c>
      <c r="I1563" s="25" t="str">
        <f>IF(OR(E1563="",E1563="!!!",F1563="NEW"),"",INDEX(B1562:B$2,-1+SUMPRODUCT(MAX(ROW(E1562:E$2)*(E1563=E1562:E$2)))))</f>
        <v> </v>
      </c>
      <c r="J1563" s="25" t="str">
        <f>IF(OR(E1563="",E1563="!!!",F1563="NEW"),"",COUNTBLANK(OFFSET(A$1,,,SUMPRODUCT(MAX(ROW(E$2:E1563)*(E1563=E$2:E1563)))))-COUNTBLANK(OFFSET(A$1,,,SUMPRODUCT(MAX(ROW(E$1:E1562)*(E2=E$1:E1562))))))</f>
        <v> </v>
      </c>
      <c r="K1563" s="25" t="str">
        <f>IF(OR(E1563="",E1563="!!!",F1563="NEW"),"",INDEX(J$1:J1562,SUMPRODUCT(MAX(ROW(E$1:E1562)*(E1563=E$1:E1562)))))</f>
        <v> </v>
      </c>
      <c r="L1563" s="26"/>
    </row>
    <row r="1564" spans="1:12">
      <c r="A1564" s="20" t="s">
        <v>1117</v>
      </c>
      <c r="E1564" s="21">
        <f>IF(D1564="?OLD","!!!","")</f>
        <v/>
      </c>
      <c r="F1564" s="22" t="str">
        <f>IF(OR(E1564="",E1564="!!!"),"",IF(NOT(ISNA(VLOOKUP(E1564,E$1:E1563,1,FALSE()))),"OLD",IF(AND(E1564&lt;&gt;"",E1564&lt;&gt;"!!!"),"NEW","")))</f>
        <v> </v>
      </c>
      <c r="G1564" s="23" t="str">
        <f>IF(OR(E1564="",E1564="!!!"),"",IF(OR(J1564=0,AND(J1564=1,K1564=1),AND(J1564=1,I1564="SBJ"),AND(J1564=1,I1564=0)),"?IN_FOCUS",IF(J1564&lt;=2,"?ACTIVATED",IF(J1564&lt;&gt;"","?FAMILIAR",IF(F1564="NEW",IF(ISNA(VLOOKUP(E1564,#REF!,1,FALSE())),"?TYPE_IDENTIFIABLE","?REFERENTIAL"),"_")))))</f>
        <v> </v>
      </c>
      <c r="H1564" s="24" t="str">
        <f>IF(J1564&lt;&gt;1,"",IF(I1564="SBJ","CB","?"))</f>
        <v> </v>
      </c>
      <c r="I1564" s="25" t="str">
        <f>IF(OR(E1564="",E1564="!!!",F1564="NEW"),"",INDEX(B1563:B$2,-1+SUMPRODUCT(MAX(ROW(E1563:E$2)*(E1564=E1563:E$2)))))</f>
        <v> </v>
      </c>
      <c r="J1564" s="25" t="str">
        <f>IF(OR(E1564="",E1564="!!!",F1564="NEW"),"",COUNTBLANK(OFFSET(A$1,,,SUMPRODUCT(MAX(ROW(E$2:E1564)*(E1564=E$2:E1564)))))-COUNTBLANK(OFFSET(A$1,,,SUMPRODUCT(MAX(ROW(E$1:E1563)*(E2=E$1:E1563))))))</f>
        <v> </v>
      </c>
      <c r="K1564" s="25" t="str">
        <f>IF(OR(E1564="",E1564="!!!",F1564="NEW"),"",INDEX(J$1:J1563,SUMPRODUCT(MAX(ROW(E$1:E1563)*(E1564=E$1:E1563)))))</f>
        <v> </v>
      </c>
      <c r="L1564" s="26"/>
    </row>
    <row r="1565" spans="1:12">
      <c r="A1565" s="20" t="s">
        <v>550</v>
      </c>
      <c r="E1565" s="21">
        <f>IF(D1565="?OLD","!!!","")</f>
        <v/>
      </c>
      <c r="F1565" s="22" t="str">
        <f>IF(OR(E1565="",E1565="!!!"),"",IF(NOT(ISNA(VLOOKUP(E1565,E$1:E1564,1,FALSE()))),"OLD",IF(AND(E1565&lt;&gt;"",E1565&lt;&gt;"!!!"),"NEW","")))</f>
        <v> </v>
      </c>
      <c r="G1565" s="23" t="str">
        <f>IF(OR(E1565="",E1565="!!!"),"",IF(OR(J1565=0,AND(J1565=1,K1565=1),AND(J1565=1,I1565="SBJ"),AND(J1565=1,I1565=0)),"?IN_FOCUS",IF(J1565&lt;=2,"?ACTIVATED",IF(J1565&lt;&gt;"","?FAMILIAR",IF(F1565="NEW",IF(ISNA(VLOOKUP(E1565,#REF!,1,FALSE())),"?TYPE_IDENTIFIABLE","?REFERENTIAL"),"_")))))</f>
        <v> </v>
      </c>
      <c r="H1565" s="24" t="str">
        <f>IF(J1565&lt;&gt;1,"",IF(I1565="SBJ","CB","?"))</f>
        <v> </v>
      </c>
      <c r="I1565" s="25" t="str">
        <f>IF(OR(E1565="",E1565="!!!",F1565="NEW"),"",INDEX(B1564:B$2,-1+SUMPRODUCT(MAX(ROW(E1564:E$2)*(E1565=E1564:E$2)))))</f>
        <v> </v>
      </c>
      <c r="J1565" s="25" t="str">
        <f>IF(OR(E1565="",E1565="!!!",F1565="NEW"),"",COUNTBLANK(OFFSET(A$1,,,SUMPRODUCT(MAX(ROW(E$2:E1565)*(E1565=E$2:E1565)))))-COUNTBLANK(OFFSET(A$1,,,SUMPRODUCT(MAX(ROW(E$1:E1564)*(E2=E$1:E1564))))))</f>
        <v> </v>
      </c>
      <c r="K1565" s="25" t="str">
        <f>IF(OR(E1565="",E1565="!!!",F1565="NEW"),"",INDEX(J$1:J1564,SUMPRODUCT(MAX(ROW(E$1:E1564)*(E1565=E$1:E1564)))))</f>
        <v> </v>
      </c>
      <c r="L1565" s="26"/>
    </row>
    <row r="1566" spans="1:12">
      <c r="A1566" s="20" t="s">
        <v>769</v>
      </c>
      <c r="E1566" s="21">
        <f>IF(D1566="?OLD","!!!","")</f>
        <v/>
      </c>
      <c r="F1566" s="22" t="str">
        <f>IF(OR(E1566="",E1566="!!!"),"",IF(NOT(ISNA(VLOOKUP(E1566,E$1:E1565,1,FALSE()))),"OLD",IF(AND(E1566&lt;&gt;"",E1566&lt;&gt;"!!!"),"NEW","")))</f>
        <v> </v>
      </c>
      <c r="G1566" s="23" t="str">
        <f>IF(OR(E1566="",E1566="!!!"),"",IF(OR(J1566=0,AND(J1566=1,K1566=1),AND(J1566=1,I1566="SBJ"),AND(J1566=1,I1566=0)),"?IN_FOCUS",IF(J1566&lt;=2,"?ACTIVATED",IF(J1566&lt;&gt;"","?FAMILIAR",IF(F1566="NEW",IF(ISNA(VLOOKUP(E1566,#REF!,1,FALSE())),"?TYPE_IDENTIFIABLE","?REFERENTIAL"),"_")))))</f>
        <v> </v>
      </c>
      <c r="H1566" s="24" t="str">
        <f>IF(J1566&lt;&gt;1,"",IF(I1566="SBJ","CB","?"))</f>
        <v> </v>
      </c>
      <c r="I1566" s="25" t="str">
        <f>IF(OR(E1566="",E1566="!!!",F1566="NEW"),"",INDEX(B1565:B$2,-1+SUMPRODUCT(MAX(ROW(E1565:E$2)*(E1566=E1565:E$2)))))</f>
        <v> </v>
      </c>
      <c r="J1566" s="25" t="str">
        <f>IF(OR(E1566="",E1566="!!!",F1566="NEW"),"",COUNTBLANK(OFFSET(A$1,,,SUMPRODUCT(MAX(ROW(E$2:E1566)*(E1566=E$2:E1566)))))-COUNTBLANK(OFFSET(A$1,,,SUMPRODUCT(MAX(ROW(E$1:E1565)*(E2=E$1:E1565))))))</f>
        <v> </v>
      </c>
      <c r="K1566" s="25" t="str">
        <f>IF(OR(E1566="",E1566="!!!",F1566="NEW"),"",INDEX(J$1:J1565,SUMPRODUCT(MAX(ROW(E$1:E1565)*(E1566=E$1:E1565)))))</f>
        <v> </v>
      </c>
      <c r="L1566" s="26"/>
    </row>
    <row r="1567" spans="1:12">
      <c r="A1567" s="20" t="s">
        <v>728</v>
      </c>
      <c r="B1567" s="27" t="s">
        <v>632</v>
      </c>
      <c r="C1567" s="27" t="s">
        <v>497</v>
      </c>
      <c r="D1567" s="27" t="s">
        <v>478</v>
      </c>
      <c r="E1567" s="21">
        <f>IF(D1567="?OLD","!!!","")</f>
        <v/>
      </c>
      <c r="F1567" s="22" t="str">
        <f>IF(OR(E1567="",E1567="!!!"),"",IF(NOT(ISNA(VLOOKUP(E1567,E$1:E1566,1,FALSE()))),"OLD",IF(AND(E1567&lt;&gt;"",E1567&lt;&gt;"!!!"),"NEW","")))</f>
        <v> </v>
      </c>
      <c r="G1567" s="23" t="str">
        <f>IF(OR(E1567="",E1567="!!!"),"",IF(OR(J1567=0,AND(J1567=1,K1567=1),AND(J1567=1,I1567="SBJ"),AND(J1567=1,I1567=0)),"?IN_FOCUS",IF(J1567&lt;=2,"?ACTIVATED",IF(J1567&lt;&gt;"","?FAMILIAR",IF(F1567="NEW",IF(ISNA(VLOOKUP(E1567,#REF!,1,FALSE())),"?TYPE_IDENTIFIABLE","?REFERENTIAL"),"_")))))</f>
        <v> </v>
      </c>
      <c r="H1567" s="24" t="str">
        <f>IF(J1567&lt;&gt;1,"",IF(I1567="SBJ","CB","?"))</f>
        <v> </v>
      </c>
      <c r="I1567" s="25" t="str">
        <f>IF(OR(E1567="",E1567="!!!",F1567="NEW"),"",INDEX(B1566:B$2,-1+SUMPRODUCT(MAX(ROW(E1566:E$2)*(E1567=E1566:E$2)))))</f>
        <v> </v>
      </c>
      <c r="J1567" s="25" t="str">
        <f>IF(OR(E1567="",E1567="!!!",F1567="NEW"),"",COUNTBLANK(OFFSET(A$1,,,SUMPRODUCT(MAX(ROW(E$2:E1567)*(E1567=E$2:E1567)))))-COUNTBLANK(OFFSET(A$1,,,SUMPRODUCT(MAX(ROW(E$1:E1566)*(E2=E$1:E1566))))))</f>
        <v> </v>
      </c>
      <c r="K1567" s="25" t="str">
        <f>IF(OR(E1567="",E1567="!!!",F1567="NEW"),"",INDEX(J$1:J1566,SUMPRODUCT(MAX(ROW(E$1:E1566)*(E1567=E$1:E1566)))))</f>
        <v> </v>
      </c>
      <c r="L1567" s="26"/>
    </row>
    <row r="1568" spans="1:12">
      <c r="A1568" s="20" t="s">
        <v>756</v>
      </c>
      <c r="E1568" s="21">
        <f>IF(D1568="?OLD","!!!","")</f>
        <v/>
      </c>
      <c r="F1568" s="22" t="str">
        <f>IF(OR(E1568="",E1568="!!!"),"",IF(NOT(ISNA(VLOOKUP(E1568,E$1:E1567,1,FALSE()))),"OLD",IF(AND(E1568&lt;&gt;"",E1568&lt;&gt;"!!!"),"NEW","")))</f>
        <v> </v>
      </c>
      <c r="G1568" s="23" t="str">
        <f>IF(OR(E1568="",E1568="!!!"),"",IF(OR(J1568=0,AND(J1568=1,K1568=1),AND(J1568=1,I1568="SBJ"),AND(J1568=1,I1568=0)),"?IN_FOCUS",IF(J1568&lt;=2,"?ACTIVATED",IF(J1568&lt;&gt;"","?FAMILIAR",IF(F1568="NEW",IF(ISNA(VLOOKUP(E1568,#REF!,1,FALSE())),"?TYPE_IDENTIFIABLE","?REFERENTIAL"),"_")))))</f>
        <v> </v>
      </c>
      <c r="H1568" s="24" t="str">
        <f>IF(J1568&lt;&gt;1,"",IF(I1568="SBJ","CB","?"))</f>
        <v> </v>
      </c>
      <c r="I1568" s="25" t="str">
        <f>IF(OR(E1568="",E1568="!!!",F1568="NEW"),"",INDEX(B1567:B$2,-1+SUMPRODUCT(MAX(ROW(E1567:E$2)*(E1568=E1567:E$2)))))</f>
        <v> </v>
      </c>
      <c r="J1568" s="25" t="str">
        <f>IF(OR(E1568="",E1568="!!!",F1568="NEW"),"",COUNTBLANK(OFFSET(A$1,,,SUMPRODUCT(MAX(ROW(E$2:E1568)*(E1568=E$2:E1568)))))-COUNTBLANK(OFFSET(A$1,,,SUMPRODUCT(MAX(ROW(E$1:E1567)*(E2=E$1:E1567))))))</f>
        <v> </v>
      </c>
      <c r="K1568" s="25" t="str">
        <f>IF(OR(E1568="",E1568="!!!",F1568="NEW"),"",INDEX(J$1:J1567,SUMPRODUCT(MAX(ROW(E$1:E1567)*(E1568=E$1:E1567)))))</f>
        <v> </v>
      </c>
      <c r="L1568" s="26"/>
    </row>
    <row r="1569" spans="1:12">
      <c r="A1569" s="20" t="s">
        <v>724</v>
      </c>
      <c r="E1569" s="21">
        <f>IF(D1569="?OLD","!!!","")</f>
        <v/>
      </c>
      <c r="F1569" s="22" t="str">
        <f>IF(OR(E1569="",E1569="!!!"),"",IF(NOT(ISNA(VLOOKUP(E1569,E$1:E1568,1,FALSE()))),"OLD",IF(AND(E1569&lt;&gt;"",E1569&lt;&gt;"!!!"),"NEW","")))</f>
        <v> </v>
      </c>
      <c r="G1569" s="23" t="str">
        <f>IF(OR(E1569="",E1569="!!!"),"",IF(OR(J1569=0,AND(J1569=1,K1569=1),AND(J1569=1,I1569="SBJ"),AND(J1569=1,I1569=0)),"?IN_FOCUS",IF(J1569&lt;=2,"?ACTIVATED",IF(J1569&lt;&gt;"","?FAMILIAR",IF(F1569="NEW",IF(ISNA(VLOOKUP(E1569,#REF!,1,FALSE())),"?TYPE_IDENTIFIABLE","?REFERENTIAL"),"_")))))</f>
        <v> </v>
      </c>
      <c r="H1569" s="24" t="str">
        <f>IF(J1569&lt;&gt;1,"",IF(I1569="SBJ","CB","?"))</f>
        <v> </v>
      </c>
      <c r="I1569" s="25" t="str">
        <f>IF(OR(E1569="",E1569="!!!",F1569="NEW"),"",INDEX(B1568:B$2,-1+SUMPRODUCT(MAX(ROW(E1568:E$2)*(E1569=E1568:E$2)))))</f>
        <v> </v>
      </c>
      <c r="J1569" s="25" t="str">
        <f>IF(OR(E1569="",E1569="!!!",F1569="NEW"),"",COUNTBLANK(OFFSET(A$1,,,SUMPRODUCT(MAX(ROW(E$2:E1569)*(E1569=E$2:E1569)))))-COUNTBLANK(OFFSET(A$1,,,SUMPRODUCT(MAX(ROW(E$1:E1568)*(E2=E$1:E1568))))))</f>
        <v> </v>
      </c>
      <c r="K1569" s="25" t="str">
        <f>IF(OR(E1569="",E1569="!!!",F1569="NEW"),"",INDEX(J$1:J1568,SUMPRODUCT(MAX(ROW(E$1:E1568)*(E1569=E$1:E1568)))))</f>
        <v> </v>
      </c>
      <c r="L1569" s="26"/>
    </row>
    <row r="1570" spans="1:12">
      <c r="A1570" s="20" t="s">
        <v>665</v>
      </c>
      <c r="E1570" s="21">
        <f>IF(D1570="?OLD","!!!","")</f>
        <v/>
      </c>
      <c r="F1570" s="22" t="str">
        <f>IF(OR(E1570="",E1570="!!!"),"",IF(NOT(ISNA(VLOOKUP(E1570,E$1:E1569,1,FALSE()))),"OLD",IF(AND(E1570&lt;&gt;"",E1570&lt;&gt;"!!!"),"NEW","")))</f>
        <v> </v>
      </c>
      <c r="G1570" s="23" t="str">
        <f>IF(OR(E1570="",E1570="!!!"),"",IF(OR(J1570=0,AND(J1570=1,K1570=1),AND(J1570=1,I1570="SBJ"),AND(J1570=1,I1570=0)),"?IN_FOCUS",IF(J1570&lt;=2,"?ACTIVATED",IF(J1570&lt;&gt;"","?FAMILIAR",IF(F1570="NEW",IF(ISNA(VLOOKUP(E1570,#REF!,1,FALSE())),"?TYPE_IDENTIFIABLE","?REFERENTIAL"),"_")))))</f>
        <v> </v>
      </c>
      <c r="H1570" s="24" t="str">
        <f>IF(J1570&lt;&gt;1,"",IF(I1570="SBJ","CB","?"))</f>
        <v> </v>
      </c>
      <c r="I1570" s="25" t="str">
        <f>IF(OR(E1570="",E1570="!!!",F1570="NEW"),"",INDEX(B1569:B$2,-1+SUMPRODUCT(MAX(ROW(E1569:E$2)*(E1570=E1569:E$2)))))</f>
        <v> </v>
      </c>
      <c r="J1570" s="25" t="str">
        <f>IF(OR(E1570="",E1570="!!!",F1570="NEW"),"",COUNTBLANK(OFFSET(A$1,,,SUMPRODUCT(MAX(ROW(E$2:E1570)*(E1570=E$2:E1570)))))-COUNTBLANK(OFFSET(A$1,,,SUMPRODUCT(MAX(ROW(E$1:E1569)*(E2=E$1:E1569))))))</f>
        <v> </v>
      </c>
      <c r="K1570" s="25" t="str">
        <f>IF(OR(E1570="",E1570="!!!",F1570="NEW"),"",INDEX(J$1:J1569,SUMPRODUCT(MAX(ROW(E$1:E1569)*(E1570=E$1:E1569)))))</f>
        <v> </v>
      </c>
      <c r="L1570" s="26"/>
    </row>
    <row r="1571" spans="1:12">
      <c r="A1571" s="20" t="s">
        <v>666</v>
      </c>
      <c r="E1571" s="21">
        <f>IF(D1571="?OLD","!!!","")</f>
        <v/>
      </c>
      <c r="F1571" s="22" t="str">
        <f>IF(OR(E1571="",E1571="!!!"),"",IF(NOT(ISNA(VLOOKUP(E1571,E$1:E1570,1,FALSE()))),"OLD",IF(AND(E1571&lt;&gt;"",E1571&lt;&gt;"!!!"),"NEW","")))</f>
        <v> </v>
      </c>
      <c r="G1571" s="23" t="str">
        <f>IF(OR(E1571="",E1571="!!!"),"",IF(OR(J1571=0,AND(J1571=1,K1571=1),AND(J1571=1,I1571="SBJ"),AND(J1571=1,I1571=0)),"?IN_FOCUS",IF(J1571&lt;=2,"?ACTIVATED",IF(J1571&lt;&gt;"","?FAMILIAR",IF(F1571="NEW",IF(ISNA(VLOOKUP(E1571,#REF!,1,FALSE())),"?TYPE_IDENTIFIABLE","?REFERENTIAL"),"_")))))</f>
        <v> </v>
      </c>
      <c r="H1571" s="24" t="str">
        <f>IF(J1571&lt;&gt;1,"",IF(I1571="SBJ","CB","?"))</f>
        <v> </v>
      </c>
      <c r="I1571" s="25" t="str">
        <f>IF(OR(E1571="",E1571="!!!",F1571="NEW"),"",INDEX(B1570:B$2,-1+SUMPRODUCT(MAX(ROW(E1570:E$2)*(E1571=E1570:E$2)))))</f>
        <v> </v>
      </c>
      <c r="J1571" s="25" t="str">
        <f>IF(OR(E1571="",E1571="!!!",F1571="NEW"),"",COUNTBLANK(OFFSET(A$1,,,SUMPRODUCT(MAX(ROW(E$2:E1571)*(E1571=E$2:E1571)))))-COUNTBLANK(OFFSET(A$1,,,SUMPRODUCT(MAX(ROW(E$1:E1570)*(E2=E$1:E1570))))))</f>
        <v> </v>
      </c>
      <c r="K1571" s="25" t="str">
        <f>IF(OR(E1571="",E1571="!!!",F1571="NEW"),"",INDEX(J$1:J1570,SUMPRODUCT(MAX(ROW(E$1:E1570)*(E1571=E$1:E1570)))))</f>
        <v> </v>
      </c>
      <c r="L1571" s="26"/>
    </row>
    <row r="1572" spans="1:12">
      <c r="A1572" s="20" t="s">
        <v>482</v>
      </c>
      <c r="E1572" s="21">
        <f>IF(D1572="?OLD","!!!","")</f>
        <v/>
      </c>
      <c r="F1572" s="22" t="str">
        <f>IF(OR(E1572="",E1572="!!!"),"",IF(NOT(ISNA(VLOOKUP(E1572,E$1:E1571,1,FALSE()))),"OLD",IF(AND(E1572&lt;&gt;"",E1572&lt;&gt;"!!!"),"NEW","")))</f>
        <v> </v>
      </c>
      <c r="G1572" s="23" t="str">
        <f>IF(OR(E1572="",E1572="!!!"),"",IF(OR(J1572=0,AND(J1572=1,K1572=1),AND(J1572=1,I1572="SBJ"),AND(J1572=1,I1572=0)),"?IN_FOCUS",IF(J1572&lt;=2,"?ACTIVATED",IF(J1572&lt;&gt;"","?FAMILIAR",IF(F1572="NEW",IF(ISNA(VLOOKUP(E1572,#REF!,1,FALSE())),"?TYPE_IDENTIFIABLE","?REFERENTIAL"),"_")))))</f>
        <v> </v>
      </c>
      <c r="H1572" s="24" t="str">
        <f>IF(J1572&lt;&gt;1,"",IF(I1572="SBJ","CB","?"))</f>
        <v> </v>
      </c>
      <c r="I1572" s="25" t="str">
        <f>IF(OR(E1572="",E1572="!!!",F1572="NEW"),"",INDEX(B1571:B$2,-1+SUMPRODUCT(MAX(ROW(E1571:E$2)*(E1572=E1571:E$2)))))</f>
        <v> </v>
      </c>
      <c r="J1572" s="25" t="str">
        <f>IF(OR(E1572="",E1572="!!!",F1572="NEW"),"",COUNTBLANK(OFFSET(A$1,,,SUMPRODUCT(MAX(ROW(E$2:E1572)*(E1572=E$2:E1572)))))-COUNTBLANK(OFFSET(A$1,,,SUMPRODUCT(MAX(ROW(E$1:E1571)*(E2=E$1:E1571))))))</f>
        <v> </v>
      </c>
      <c r="K1572" s="25" t="str">
        <f>IF(OR(E1572="",E1572="!!!",F1572="NEW"),"",INDEX(J$1:J1571,SUMPRODUCT(MAX(ROW(E$1:E1571)*(E1572=E$1:E1571)))))</f>
        <v> </v>
      </c>
      <c r="L1572" s="26"/>
    </row>
    <row r="1573" spans="1:12">
      <c r="A1573" s="20" t="s">
        <v>550</v>
      </c>
      <c r="E1573" s="21">
        <f>IF(D1573="?OLD","!!!","")</f>
        <v/>
      </c>
      <c r="F1573" s="22" t="str">
        <f>IF(OR(E1573="",E1573="!!!"),"",IF(NOT(ISNA(VLOOKUP(E1573,E$1:E1572,1,FALSE()))),"OLD",IF(AND(E1573&lt;&gt;"",E1573&lt;&gt;"!!!"),"NEW","")))</f>
        <v> </v>
      </c>
      <c r="G1573" s="23" t="str">
        <f>IF(OR(E1573="",E1573="!!!"),"",IF(OR(J1573=0,AND(J1573=1,K1573=1),AND(J1573=1,I1573="SBJ"),AND(J1573=1,I1573=0)),"?IN_FOCUS",IF(J1573&lt;=2,"?ACTIVATED",IF(J1573&lt;&gt;"","?FAMILIAR",IF(F1573="NEW",IF(ISNA(VLOOKUP(E1573,#REF!,1,FALSE())),"?TYPE_IDENTIFIABLE","?REFERENTIAL"),"_")))))</f>
        <v> </v>
      </c>
      <c r="H1573" s="24" t="str">
        <f>IF(J1573&lt;&gt;1,"",IF(I1573="SBJ","CB","?"))</f>
        <v> </v>
      </c>
      <c r="I1573" s="25" t="str">
        <f>IF(OR(E1573="",E1573="!!!",F1573="NEW"),"",INDEX(B1572:B$2,-1+SUMPRODUCT(MAX(ROW(E1572:E$2)*(E1573=E1572:E$2)))))</f>
        <v> </v>
      </c>
      <c r="J1573" s="25" t="str">
        <f>IF(OR(E1573="",E1573="!!!",F1573="NEW"),"",COUNTBLANK(OFFSET(A$1,,,SUMPRODUCT(MAX(ROW(E$2:E1573)*(E1573=E$2:E1573)))))-COUNTBLANK(OFFSET(A$1,,,SUMPRODUCT(MAX(ROW(E$1:E1572)*(E2=E$1:E1572))))))</f>
        <v> </v>
      </c>
      <c r="K1573" s="25" t="str">
        <f>IF(OR(E1573="",E1573="!!!",F1573="NEW"),"",INDEX(J$1:J1572,SUMPRODUCT(MAX(ROW(E$1:E1572)*(E1573=E$1:E1572)))))</f>
        <v> </v>
      </c>
      <c r="L1573" s="26"/>
    </row>
    <row r="1574" spans="1:12">
      <c r="A1574" s="20" t="s">
        <v>769</v>
      </c>
      <c r="E1574" s="21">
        <f>IF(D1574="?OLD","!!!","")</f>
        <v/>
      </c>
      <c r="F1574" s="22" t="str">
        <f>IF(OR(E1574="",E1574="!!!"),"",IF(NOT(ISNA(VLOOKUP(E1574,E$1:E1573,1,FALSE()))),"OLD",IF(AND(E1574&lt;&gt;"",E1574&lt;&gt;"!!!"),"NEW","")))</f>
        <v> </v>
      </c>
      <c r="G1574" s="23" t="str">
        <f>IF(OR(E1574="",E1574="!!!"),"",IF(OR(J1574=0,AND(J1574=1,K1574=1),AND(J1574=1,I1574="SBJ"),AND(J1574=1,I1574=0)),"?IN_FOCUS",IF(J1574&lt;=2,"?ACTIVATED",IF(J1574&lt;&gt;"","?FAMILIAR",IF(F1574="NEW",IF(ISNA(VLOOKUP(E1574,#REF!,1,FALSE())),"?TYPE_IDENTIFIABLE","?REFERENTIAL"),"_")))))</f>
        <v> </v>
      </c>
      <c r="H1574" s="24" t="str">
        <f>IF(J1574&lt;&gt;1,"",IF(I1574="SBJ","CB","?"))</f>
        <v> </v>
      </c>
      <c r="I1574" s="25" t="str">
        <f>IF(OR(E1574="",E1574="!!!",F1574="NEW"),"",INDEX(B1573:B$2,-1+SUMPRODUCT(MAX(ROW(E1573:E$2)*(E1574=E1573:E$2)))))</f>
        <v> </v>
      </c>
      <c r="J1574" s="25" t="str">
        <f>IF(OR(E1574="",E1574="!!!",F1574="NEW"),"",COUNTBLANK(OFFSET(A$1,,,SUMPRODUCT(MAX(ROW(E$2:E1574)*(E1574=E$2:E1574)))))-COUNTBLANK(OFFSET(A$1,,,SUMPRODUCT(MAX(ROW(E$1:E1573)*(E2=E$1:E1573))))))</f>
        <v> </v>
      </c>
      <c r="K1574" s="25" t="str">
        <f>IF(OR(E1574="",E1574="!!!",F1574="NEW"),"",INDEX(J$1:J1573,SUMPRODUCT(MAX(ROW(E$1:E1573)*(E1574=E$1:E1573)))))</f>
        <v> </v>
      </c>
      <c r="L1574" s="26"/>
    </row>
    <row r="1575" spans="1:12">
      <c r="A1575" s="20" t="s">
        <v>1179</v>
      </c>
      <c r="B1575" s="27" t="s">
        <v>704</v>
      </c>
      <c r="E1575" s="21">
        <f>IF(D1575="?OLD","!!!","")</f>
        <v/>
      </c>
      <c r="F1575" s="22" t="str">
        <f>IF(OR(E1575="",E1575="!!!"),"",IF(NOT(ISNA(VLOOKUP(E1575,E$1:E1574,1,FALSE()))),"OLD",IF(AND(E1575&lt;&gt;"",E1575&lt;&gt;"!!!"),"NEW","")))</f>
        <v> </v>
      </c>
      <c r="G1575" s="23" t="str">
        <f>IF(OR(E1575="",E1575="!!!"),"",IF(OR(J1575=0,AND(J1575=1,K1575=1),AND(J1575=1,I1575="SBJ"),AND(J1575=1,I1575=0)),"?IN_FOCUS",IF(J1575&lt;=2,"?ACTIVATED",IF(J1575&lt;&gt;"","?FAMILIAR",IF(F1575="NEW",IF(ISNA(VLOOKUP(E1575,#REF!,1,FALSE())),"?TYPE_IDENTIFIABLE","?REFERENTIAL"),"_")))))</f>
        <v> </v>
      </c>
      <c r="H1575" s="24" t="str">
        <f>IF(J1575&lt;&gt;1,"",IF(I1575="SBJ","CB","?"))</f>
        <v> </v>
      </c>
      <c r="I1575" s="25" t="str">
        <f>IF(OR(E1575="",E1575="!!!",F1575="NEW"),"",INDEX(B1574:B$2,-1+SUMPRODUCT(MAX(ROW(E1574:E$2)*(E1575=E1574:E$2)))))</f>
        <v> </v>
      </c>
      <c r="J1575" s="25" t="str">
        <f>IF(OR(E1575="",E1575="!!!",F1575="NEW"),"",COUNTBLANK(OFFSET(A$1,,,SUMPRODUCT(MAX(ROW(E$2:E1575)*(E1575=E$2:E1575)))))-COUNTBLANK(OFFSET(A$1,,,SUMPRODUCT(MAX(ROW(E$1:E1574)*(E2=E$1:E1574))))))</f>
        <v> </v>
      </c>
      <c r="K1575" s="25" t="str">
        <f>IF(OR(E1575="",E1575="!!!",F1575="NEW"),"",INDEX(J$1:J1574,SUMPRODUCT(MAX(ROW(E$1:E1574)*(E1575=E$1:E1574)))))</f>
        <v> </v>
      </c>
      <c r="L1575" s="26"/>
    </row>
    <row r="1576" spans="1:12">
      <c r="A1576" s="20" t="s">
        <v>1180</v>
      </c>
      <c r="E1576" s="21">
        <f>IF(D1576="?OLD","!!!","")</f>
        <v/>
      </c>
      <c r="F1576" s="22" t="str">
        <f>IF(OR(E1576="",E1576="!!!"),"",IF(NOT(ISNA(VLOOKUP(E1576,E$1:E1575,1,FALSE()))),"OLD",IF(AND(E1576&lt;&gt;"",E1576&lt;&gt;"!!!"),"NEW","")))</f>
        <v> </v>
      </c>
      <c r="G1576" s="23" t="str">
        <f>IF(OR(E1576="",E1576="!!!"),"",IF(OR(J1576=0,AND(J1576=1,K1576=1),AND(J1576=1,I1576="SBJ"),AND(J1576=1,I1576=0)),"?IN_FOCUS",IF(J1576&lt;=2,"?ACTIVATED",IF(J1576&lt;&gt;"","?FAMILIAR",IF(F1576="NEW",IF(ISNA(VLOOKUP(E1576,#REF!,1,FALSE())),"?TYPE_IDENTIFIABLE","?REFERENTIAL"),"_")))))</f>
        <v> </v>
      </c>
      <c r="H1576" s="24" t="str">
        <f>IF(J1576&lt;&gt;1,"",IF(I1576="SBJ","CB","?"))</f>
        <v> </v>
      </c>
      <c r="I1576" s="25" t="str">
        <f>IF(OR(E1576="",E1576="!!!",F1576="NEW"),"",INDEX(B1575:B$2,-1+SUMPRODUCT(MAX(ROW(E1575:E$2)*(E1576=E1575:E$2)))))</f>
        <v> </v>
      </c>
      <c r="J1576" s="25" t="str">
        <f>IF(OR(E1576="",E1576="!!!",F1576="NEW"),"",COUNTBLANK(OFFSET(A$1,,,SUMPRODUCT(MAX(ROW(E$2:E1576)*(E1576=E$2:E1576)))))-COUNTBLANK(OFFSET(A$1,,,SUMPRODUCT(MAX(ROW(E$1:E1575)*(E2=E$1:E1575))))))</f>
        <v> </v>
      </c>
      <c r="K1576" s="25" t="str">
        <f>IF(OR(E1576="",E1576="!!!",F1576="NEW"),"",INDEX(J$1:J1575,SUMPRODUCT(MAX(ROW(E$1:E1575)*(E1576=E$1:E1575)))))</f>
        <v> </v>
      </c>
      <c r="L1576" s="26"/>
    </row>
    <row r="1577" spans="1:12">
      <c r="A1577" s="20" t="s">
        <v>1181</v>
      </c>
      <c r="E1577" s="21">
        <f>IF(D1577="?OLD","!!!","")</f>
        <v/>
      </c>
      <c r="F1577" s="22" t="str">
        <f>IF(OR(E1577="",E1577="!!!"),"",IF(NOT(ISNA(VLOOKUP(E1577,E$1:E1576,1,FALSE()))),"OLD",IF(AND(E1577&lt;&gt;"",E1577&lt;&gt;"!!!"),"NEW","")))</f>
        <v> </v>
      </c>
      <c r="G1577" s="23" t="str">
        <f>IF(OR(E1577="",E1577="!!!"),"",IF(OR(J1577=0,AND(J1577=1,K1577=1),AND(J1577=1,I1577="SBJ"),AND(J1577=1,I1577=0)),"?IN_FOCUS",IF(J1577&lt;=2,"?ACTIVATED",IF(J1577&lt;&gt;"","?FAMILIAR",IF(F1577="NEW",IF(ISNA(VLOOKUP(E1577,#REF!,1,FALSE())),"?TYPE_IDENTIFIABLE","?REFERENTIAL"),"_")))))</f>
        <v> </v>
      </c>
      <c r="H1577" s="24" t="str">
        <f>IF(J1577&lt;&gt;1,"",IF(I1577="SBJ","CB","?"))</f>
        <v> </v>
      </c>
      <c r="I1577" s="25" t="str">
        <f>IF(OR(E1577="",E1577="!!!",F1577="NEW"),"",INDEX(B1576:B$2,-1+SUMPRODUCT(MAX(ROW(E1576:E$2)*(E1577=E1576:E$2)))))</f>
        <v> </v>
      </c>
      <c r="J1577" s="25" t="str">
        <f>IF(OR(E1577="",E1577="!!!",F1577="NEW"),"",COUNTBLANK(OFFSET(A$1,,,SUMPRODUCT(MAX(ROW(E$2:E1577)*(E1577=E$2:E1577)))))-COUNTBLANK(OFFSET(A$1,,,SUMPRODUCT(MAX(ROW(E$1:E1576)*(E2=E$1:E1576))))))</f>
        <v> </v>
      </c>
      <c r="K1577" s="25" t="str">
        <f>IF(OR(E1577="",E1577="!!!",F1577="NEW"),"",INDEX(J$1:J1576,SUMPRODUCT(MAX(ROW(E$1:E1576)*(E1577=E$1:E1576)))))</f>
        <v> </v>
      </c>
      <c r="L1577" s="26"/>
    </row>
    <row r="1578" spans="1:12">
      <c r="A1578" s="20" t="s">
        <v>482</v>
      </c>
      <c r="E1578" s="21">
        <f>IF(D1578="?OLD","!!!","")</f>
        <v/>
      </c>
      <c r="F1578" s="22" t="str">
        <f>IF(OR(E1578="",E1578="!!!"),"",IF(NOT(ISNA(VLOOKUP(E1578,E$1:E1577,1,FALSE()))),"OLD",IF(AND(E1578&lt;&gt;"",E1578&lt;&gt;"!!!"),"NEW","")))</f>
        <v> </v>
      </c>
      <c r="G1578" s="23" t="str">
        <f>IF(OR(E1578="",E1578="!!!"),"",IF(OR(J1578=0,AND(J1578=1,K1578=1),AND(J1578=1,I1578="SBJ"),AND(J1578=1,I1578=0)),"?IN_FOCUS",IF(J1578&lt;=2,"?ACTIVATED",IF(J1578&lt;&gt;"","?FAMILIAR",IF(F1578="NEW",IF(ISNA(VLOOKUP(E1578,#REF!,1,FALSE())),"?TYPE_IDENTIFIABLE","?REFERENTIAL"),"_")))))</f>
        <v> </v>
      </c>
      <c r="H1578" s="24" t="str">
        <f>IF(J1578&lt;&gt;1,"",IF(I1578="SBJ","CB","?"))</f>
        <v> </v>
      </c>
      <c r="I1578" s="25" t="str">
        <f>IF(OR(E1578="",E1578="!!!",F1578="NEW"),"",INDEX(B1577:B$2,-1+SUMPRODUCT(MAX(ROW(E1577:E$2)*(E1578=E1577:E$2)))))</f>
        <v> </v>
      </c>
      <c r="J1578" s="25" t="str">
        <f>IF(OR(E1578="",E1578="!!!",F1578="NEW"),"",COUNTBLANK(OFFSET(A$1,,,SUMPRODUCT(MAX(ROW(E$2:E1578)*(E1578=E$2:E1578)))))-COUNTBLANK(OFFSET(A$1,,,SUMPRODUCT(MAX(ROW(E$1:E1577)*(E2=E$1:E1577))))))</f>
        <v> </v>
      </c>
      <c r="K1578" s="25" t="str">
        <f>IF(OR(E1578="",E1578="!!!",F1578="NEW"),"",INDEX(J$1:J1577,SUMPRODUCT(MAX(ROW(E$1:E1577)*(E1578=E$1:E1577)))))</f>
        <v> </v>
      </c>
      <c r="L1578" s="26"/>
    </row>
    <row r="1579" spans="1:12">
      <c r="A1579" s="20" t="s">
        <v>709</v>
      </c>
      <c r="E1579" s="21">
        <f>IF(D1579="?OLD","!!!","")</f>
        <v/>
      </c>
      <c r="F1579" s="22" t="str">
        <f>IF(OR(E1579="",E1579="!!!"),"",IF(NOT(ISNA(VLOOKUP(E1579,E$1:E1578,1,FALSE()))),"OLD",IF(AND(E1579&lt;&gt;"",E1579&lt;&gt;"!!!"),"NEW","")))</f>
        <v> </v>
      </c>
      <c r="G1579" s="23" t="str">
        <f>IF(OR(E1579="",E1579="!!!"),"",IF(OR(J1579=0,AND(J1579=1,K1579=1),AND(J1579=1,I1579="SBJ"),AND(J1579=1,I1579=0)),"?IN_FOCUS",IF(J1579&lt;=2,"?ACTIVATED",IF(J1579&lt;&gt;"","?FAMILIAR",IF(F1579="NEW",IF(ISNA(VLOOKUP(E1579,#REF!,1,FALSE())),"?TYPE_IDENTIFIABLE","?REFERENTIAL"),"_")))))</f>
        <v> </v>
      </c>
      <c r="H1579" s="24" t="str">
        <f>IF(J1579&lt;&gt;1,"",IF(I1579="SBJ","CB","?"))</f>
        <v> </v>
      </c>
      <c r="I1579" s="25" t="str">
        <f>IF(OR(E1579="",E1579="!!!",F1579="NEW"),"",INDEX(B1578:B$2,-1+SUMPRODUCT(MAX(ROW(E1578:E$2)*(E1579=E1578:E$2)))))</f>
        <v> </v>
      </c>
      <c r="J1579" s="25" t="str">
        <f>IF(OR(E1579="",E1579="!!!",F1579="NEW"),"",COUNTBLANK(OFFSET(A$1,,,SUMPRODUCT(MAX(ROW(E$2:E1579)*(E1579=E$2:E1579)))))-COUNTBLANK(OFFSET(A$1,,,SUMPRODUCT(MAX(ROW(E$1:E1578)*(E2=E$1:E1578))))))</f>
        <v> </v>
      </c>
      <c r="K1579" s="25" t="str">
        <f>IF(OR(E1579="",E1579="!!!",F1579="NEW"),"",INDEX(J$1:J1578,SUMPRODUCT(MAX(ROW(E$1:E1578)*(E1579=E$1:E1578)))))</f>
        <v> </v>
      </c>
      <c r="L1579" s="26"/>
    </row>
    <row r="1580" spans="1:12">
      <c r="A1580" s="20" t="s">
        <v>1182</v>
      </c>
      <c r="B1580" s="27" t="s">
        <v>511</v>
      </c>
      <c r="C1580" s="27" t="s">
        <v>477</v>
      </c>
      <c r="D1580" s="27" t="s">
        <v>478</v>
      </c>
      <c r="E1580" s="21">
        <f>IF(D1580="?OLD","!!!","")</f>
        <v/>
      </c>
      <c r="F1580" s="22" t="str">
        <f>IF(OR(E1580="",E1580="!!!"),"",IF(NOT(ISNA(VLOOKUP(E1580,E$1:E1579,1,FALSE()))),"OLD",IF(AND(E1580&lt;&gt;"",E1580&lt;&gt;"!!!"),"NEW","")))</f>
        <v> </v>
      </c>
      <c r="G1580" s="23" t="str">
        <f>IF(OR(E1580="",E1580="!!!"),"",IF(OR(J1580=0,AND(J1580=1,K1580=1),AND(J1580=1,I1580="SBJ"),AND(J1580=1,I1580=0)),"?IN_FOCUS",IF(J1580&lt;=2,"?ACTIVATED",IF(J1580&lt;&gt;"","?FAMILIAR",IF(F1580="NEW",IF(ISNA(VLOOKUP(E1580,#REF!,1,FALSE())),"?TYPE_IDENTIFIABLE","?REFERENTIAL"),"_")))))</f>
        <v> </v>
      </c>
      <c r="H1580" s="24" t="str">
        <f>IF(J1580&lt;&gt;1,"",IF(I1580="SBJ","CB","?"))</f>
        <v> </v>
      </c>
      <c r="I1580" s="25" t="str">
        <f>IF(OR(E1580="",E1580="!!!",F1580="NEW"),"",INDEX(B1579:B$2,-1+SUMPRODUCT(MAX(ROW(E1579:E$2)*(E1580=E1579:E$2)))))</f>
        <v> </v>
      </c>
      <c r="J1580" s="25" t="str">
        <f>IF(OR(E1580="",E1580="!!!",F1580="NEW"),"",COUNTBLANK(OFFSET(A$1,,,SUMPRODUCT(MAX(ROW(E$2:E1580)*(E1580=E$2:E1580)))))-COUNTBLANK(OFFSET(A$1,,,SUMPRODUCT(MAX(ROW(E$1:E1579)*(E2=E$1:E1579))))))</f>
        <v> </v>
      </c>
      <c r="K1580" s="25" t="str">
        <f>IF(OR(E1580="",E1580="!!!",F1580="NEW"),"",INDEX(J$1:J1579,SUMPRODUCT(MAX(ROW(E$1:E1579)*(E1580=E$1:E1579)))))</f>
        <v> </v>
      </c>
      <c r="L1580" s="26"/>
    </row>
    <row r="1581" spans="1:12">
      <c r="A1581" s="20" t="s">
        <v>1183</v>
      </c>
      <c r="E1581" s="21">
        <f>IF(D1581="?OLD","!!!","")</f>
        <v/>
      </c>
      <c r="F1581" s="22" t="str">
        <f>IF(OR(E1581="",E1581="!!!"),"",IF(NOT(ISNA(VLOOKUP(E1581,E$1:E1580,1,FALSE()))),"OLD",IF(AND(E1581&lt;&gt;"",E1581&lt;&gt;"!!!"),"NEW","")))</f>
        <v> </v>
      </c>
      <c r="G1581" s="23" t="str">
        <f>IF(OR(E1581="",E1581="!!!"),"",IF(OR(J1581=0,AND(J1581=1,K1581=1),AND(J1581=1,I1581="SBJ"),AND(J1581=1,I1581=0)),"?IN_FOCUS",IF(J1581&lt;=2,"?ACTIVATED",IF(J1581&lt;&gt;"","?FAMILIAR",IF(F1581="NEW",IF(ISNA(VLOOKUP(E1581,#REF!,1,FALSE())),"?TYPE_IDENTIFIABLE","?REFERENTIAL"),"_")))))</f>
        <v> </v>
      </c>
      <c r="H1581" s="24" t="str">
        <f>IF(J1581&lt;&gt;1,"",IF(I1581="SBJ","CB","?"))</f>
        <v> </v>
      </c>
      <c r="I1581" s="25" t="str">
        <f>IF(OR(E1581="",E1581="!!!",F1581="NEW"),"",INDEX(B1580:B$2,-1+SUMPRODUCT(MAX(ROW(E1580:E$2)*(E1581=E1580:E$2)))))</f>
        <v> </v>
      </c>
      <c r="J1581" s="25" t="str">
        <f>IF(OR(E1581="",E1581="!!!",F1581="NEW"),"",COUNTBLANK(OFFSET(A$1,,,SUMPRODUCT(MAX(ROW(E$2:E1581)*(E1581=E$2:E1581)))))-COUNTBLANK(OFFSET(A$1,,,SUMPRODUCT(MAX(ROW(E$1:E1580)*(E2=E$1:E1580))))))</f>
        <v> </v>
      </c>
      <c r="K1581" s="25" t="str">
        <f>IF(OR(E1581="",E1581="!!!",F1581="NEW"),"",INDEX(J$1:J1580,SUMPRODUCT(MAX(ROW(E$1:E1580)*(E1581=E$1:E1580)))))</f>
        <v> </v>
      </c>
      <c r="L1581" s="26"/>
    </row>
    <row r="1582" spans="1:12">
      <c r="A1582" s="20" t="s">
        <v>769</v>
      </c>
      <c r="E1582" s="21">
        <f>IF(D1582="?OLD","!!!","")</f>
        <v/>
      </c>
      <c r="F1582" s="22" t="str">
        <f>IF(OR(E1582="",E1582="!!!"),"",IF(NOT(ISNA(VLOOKUP(E1582,E$1:E1581,1,FALSE()))),"OLD",IF(AND(E1582&lt;&gt;"",E1582&lt;&gt;"!!!"),"NEW","")))</f>
        <v> </v>
      </c>
      <c r="G1582" s="23" t="str">
        <f>IF(OR(E1582="",E1582="!!!"),"",IF(OR(J1582=0,AND(J1582=1,K1582=1),AND(J1582=1,I1582="SBJ"),AND(J1582=1,I1582=0)),"?IN_FOCUS",IF(J1582&lt;=2,"?ACTIVATED",IF(J1582&lt;&gt;"","?FAMILIAR",IF(F1582="NEW",IF(ISNA(VLOOKUP(E1582,#REF!,1,FALSE())),"?TYPE_IDENTIFIABLE","?REFERENTIAL"),"_")))))</f>
        <v> </v>
      </c>
      <c r="H1582" s="24" t="str">
        <f>IF(J1582&lt;&gt;1,"",IF(I1582="SBJ","CB","?"))</f>
        <v> </v>
      </c>
      <c r="I1582" s="25" t="str">
        <f>IF(OR(E1582="",E1582="!!!",F1582="NEW"),"",INDEX(B1581:B$2,-1+SUMPRODUCT(MAX(ROW(E1581:E$2)*(E1582=E1581:E$2)))))</f>
        <v> </v>
      </c>
      <c r="J1582" s="25" t="str">
        <f>IF(OR(E1582="",E1582="!!!",F1582="NEW"),"",COUNTBLANK(OFFSET(A$1,,,SUMPRODUCT(MAX(ROW(E$2:E1582)*(E1582=E$2:E1582)))))-COUNTBLANK(OFFSET(A$1,,,SUMPRODUCT(MAX(ROW(E$1:E1581)*(E2=E$1:E1581))))))</f>
        <v> </v>
      </c>
      <c r="K1582" s="25" t="str">
        <f>IF(OR(E1582="",E1582="!!!",F1582="NEW"),"",INDEX(J$1:J1581,SUMPRODUCT(MAX(ROW(E$1:E1581)*(E1582=E$1:E1581)))))</f>
        <v> </v>
      </c>
      <c r="L1582" s="26"/>
    </row>
    <row r="1583" spans="1:12">
      <c r="A1583" s="20" t="s">
        <v>1184</v>
      </c>
      <c r="B1583" s="27" t="s">
        <v>538</v>
      </c>
      <c r="E1583" s="21">
        <f>IF(D1583="?OLD","!!!","")</f>
        <v/>
      </c>
      <c r="F1583" s="22" t="str">
        <f>IF(OR(E1583="",E1583="!!!"),"",IF(NOT(ISNA(VLOOKUP(E1583,E$1:E1582,1,FALSE()))),"OLD",IF(AND(E1583&lt;&gt;"",E1583&lt;&gt;"!!!"),"NEW","")))</f>
        <v> </v>
      </c>
      <c r="G1583" s="23" t="str">
        <f>IF(OR(E1583="",E1583="!!!"),"",IF(OR(J1583=0,AND(J1583=1,K1583=1),AND(J1583=1,I1583="SBJ"),AND(J1583=1,I1583=0)),"?IN_FOCUS",IF(J1583&lt;=2,"?ACTIVATED",IF(J1583&lt;&gt;"","?FAMILIAR",IF(F1583="NEW",IF(ISNA(VLOOKUP(E1583,#REF!,1,FALSE())),"?TYPE_IDENTIFIABLE","?REFERENTIAL"),"_")))))</f>
        <v> </v>
      </c>
      <c r="H1583" s="24" t="str">
        <f>IF(J1583&lt;&gt;1,"",IF(I1583="SBJ","CB","?"))</f>
        <v> </v>
      </c>
      <c r="I1583" s="25" t="str">
        <f>IF(OR(E1583="",E1583="!!!",F1583="NEW"),"",INDEX(B1582:B$2,-1+SUMPRODUCT(MAX(ROW(E1582:E$2)*(E1583=E1582:E$2)))))</f>
        <v> </v>
      </c>
      <c r="J1583" s="25" t="str">
        <f>IF(OR(E1583="",E1583="!!!",F1583="NEW"),"",COUNTBLANK(OFFSET(A$1,,,SUMPRODUCT(MAX(ROW(E$2:E1583)*(E1583=E$2:E1583)))))-COUNTBLANK(OFFSET(A$1,,,SUMPRODUCT(MAX(ROW(E$1:E1582)*(E2=E$1:E1582))))))</f>
        <v> </v>
      </c>
      <c r="K1583" s="25" t="str">
        <f>IF(OR(E1583="",E1583="!!!",F1583="NEW"),"",INDEX(J$1:J1582,SUMPRODUCT(MAX(ROW(E$1:E1582)*(E1583=E$1:E1582)))))</f>
        <v> </v>
      </c>
      <c r="L1583" s="26"/>
    </row>
    <row r="1584" spans="1:12">
      <c r="A1584" s="20" t="s">
        <v>505</v>
      </c>
      <c r="E1584" s="21">
        <f>IF(D1584="?OLD","!!!","")</f>
        <v/>
      </c>
      <c r="F1584" s="22" t="str">
        <f>IF(OR(E1584="",E1584="!!!"),"",IF(NOT(ISNA(VLOOKUP(E1584,E$1:E1583,1,FALSE()))),"OLD",IF(AND(E1584&lt;&gt;"",E1584&lt;&gt;"!!!"),"NEW","")))</f>
        <v> </v>
      </c>
      <c r="G1584" s="23" t="str">
        <f>IF(OR(E1584="",E1584="!!!"),"",IF(OR(J1584=0,AND(J1584=1,K1584=1),AND(J1584=1,I1584="SBJ"),AND(J1584=1,I1584=0)),"?IN_FOCUS",IF(J1584&lt;=2,"?ACTIVATED",IF(J1584&lt;&gt;"","?FAMILIAR",IF(F1584="NEW",IF(ISNA(VLOOKUP(E1584,#REF!,1,FALSE())),"?TYPE_IDENTIFIABLE","?REFERENTIAL"),"_")))))</f>
        <v> </v>
      </c>
      <c r="H1584" s="24" t="str">
        <f>IF(J1584&lt;&gt;1,"",IF(I1584="SBJ","CB","?"))</f>
        <v> </v>
      </c>
      <c r="I1584" s="25" t="str">
        <f>IF(OR(E1584="",E1584="!!!",F1584="NEW"),"",INDEX(B1583:B$2,-1+SUMPRODUCT(MAX(ROW(E1583:E$2)*(E1584=E1583:E$2)))))</f>
        <v> </v>
      </c>
      <c r="J1584" s="25" t="str">
        <f>IF(OR(E1584="",E1584="!!!",F1584="NEW"),"",COUNTBLANK(OFFSET(A$1,,,SUMPRODUCT(MAX(ROW(E$2:E1584)*(E1584=E$2:E1584)))))-COUNTBLANK(OFFSET(A$1,,,SUMPRODUCT(MAX(ROW(E$1:E1583)*(E2=E$1:E1583))))))</f>
        <v> </v>
      </c>
      <c r="K1584" s="25" t="str">
        <f>IF(OR(E1584="",E1584="!!!",F1584="NEW"),"",INDEX(J$1:J1583,SUMPRODUCT(MAX(ROW(E$1:E1583)*(E1584=E$1:E1583)))))</f>
        <v> </v>
      </c>
      <c r="L1584" s="26"/>
    </row>
    <row r="1585" spans="1:12">
      <c r="A1585" s="20" t="s">
        <v>253</v>
      </c>
      <c r="E1585" s="21">
        <f>IF(D1585="?OLD","!!!","")</f>
        <v/>
      </c>
      <c r="F1585" s="22" t="str">
        <f>IF(OR(E1585="",E1585="!!!"),"",IF(NOT(ISNA(VLOOKUP(E1585,E$1:E1584,1,FALSE()))),"OLD",IF(AND(E1585&lt;&gt;"",E1585&lt;&gt;"!!!"),"NEW","")))</f>
        <v> </v>
      </c>
      <c r="G1585" s="23" t="str">
        <f>IF(OR(E1585="",E1585="!!!"),"",IF(OR(J1585=0,AND(J1585=1,K1585=1),AND(J1585=1,I1585="SBJ"),AND(J1585=1,I1585=0)),"?IN_FOCUS",IF(J1585&lt;=2,"?ACTIVATED",IF(J1585&lt;&gt;"","?FAMILIAR",IF(F1585="NEW",IF(ISNA(VLOOKUP(E1585,#REF!,1,FALSE())),"?TYPE_IDENTIFIABLE","?REFERENTIAL"),"_")))))</f>
        <v> </v>
      </c>
      <c r="H1585" s="24" t="str">
        <f>IF(J1585&lt;&gt;1,"",IF(I1585="SBJ","CB","?"))</f>
        <v> </v>
      </c>
      <c r="I1585" s="25" t="str">
        <f>IF(OR(E1585="",E1585="!!!",F1585="NEW"),"",INDEX(B1584:B$2,-1+SUMPRODUCT(MAX(ROW(E1584:E$2)*(E1585=E1584:E$2)))))</f>
        <v> </v>
      </c>
      <c r="J1585" s="25" t="str">
        <f>IF(OR(E1585="",E1585="!!!",F1585="NEW"),"",COUNTBLANK(OFFSET(A$1,,,SUMPRODUCT(MAX(ROW(E$2:E1585)*(E1585=E$2:E1585)))))-COUNTBLANK(OFFSET(A$1,,,SUMPRODUCT(MAX(ROW(E$1:E1584)*(E2=E$1:E1584))))))</f>
        <v> </v>
      </c>
      <c r="K1585" s="25" t="str">
        <f>IF(OR(E1585="",E1585="!!!",F1585="NEW"),"",INDEX(J$1:J1584,SUMPRODUCT(MAX(ROW(E$1:E1584)*(E1585=E$1:E1584)))))</f>
        <v> </v>
      </c>
      <c r="L1585" s="26"/>
    </row>
    <row r="1586" spans="1:12">
      <c r="A1586" s="20"/>
    </row>
    <row r="1587" spans="1:12">
      <c r="A1587" s="20" t="s">
        <v>1185</v>
      </c>
    </row>
    <row r="1588" spans="1:12">
      <c r="A1588" s="20" t="s">
        <v>1156</v>
      </c>
      <c r="E1588" s="21">
        <f>IF(D1588="?OLD","!!!","")</f>
        <v/>
      </c>
      <c r="F1588" s="22" t="str">
        <f>IF(OR(E1588="",E1588="!!!"),"",IF(NOT(ISNA(VLOOKUP(E1588,E$1:E1587,1,FALSE()))),"OLD",IF(AND(E1588&lt;&gt;"",E1588&lt;&gt;"!!!"),"NEW","")))</f>
        <v> </v>
      </c>
      <c r="G1588" s="23" t="str">
        <f>IF(OR(E1588="",E1588="!!!"),"",IF(OR(J1588=0,AND(J1588=1,K1588=1),AND(J1588=1,I1588="SBJ"),AND(J1588=1,I1588=0)),"?IN_FOCUS",IF(J1588&lt;=2,"?ACTIVATED",IF(J1588&lt;&gt;"","?FAMILIAR",IF(F1588="NEW",IF(ISNA(VLOOKUP(E1588,#REF!,1,FALSE())),"?TYPE_IDENTIFIABLE","?REFERENTIAL"),"_")))))</f>
        <v> </v>
      </c>
      <c r="H1588" s="24" t="str">
        <f>IF(J1588&lt;&gt;1,"",IF(I1588="SBJ","CB","?"))</f>
        <v> </v>
      </c>
      <c r="I1588" s="25" t="str">
        <f>IF(OR(E1588="",E1588="!!!",F1588="NEW"),"",INDEX(B1587:B$2,-1+SUMPRODUCT(MAX(ROW(E1587:E$2)*(E1588=E1587:E$2)))))</f>
        <v> </v>
      </c>
      <c r="J1588" s="25" t="str">
        <f>IF(OR(E1588="",E1588="!!!",F1588="NEW"),"",COUNTBLANK(OFFSET(A$1,,,SUMPRODUCT(MAX(ROW(E$2:E1588)*(E1588=E$2:E1588)))))-COUNTBLANK(OFFSET(A$1,,,SUMPRODUCT(MAX(ROW(E$1:E1587)*(E2=E$1:E1587))))))</f>
        <v> </v>
      </c>
      <c r="K1588" s="25" t="str">
        <f>IF(OR(E1588="",E1588="!!!",F1588="NEW"),"",INDEX(J$1:J1587,SUMPRODUCT(MAX(ROW(E$1:E1587)*(E1588=E$1:E1587)))))</f>
        <v> </v>
      </c>
      <c r="L1588" s="26"/>
    </row>
    <row r="1589" spans="1:12">
      <c r="A1589" s="20" t="s">
        <v>1110</v>
      </c>
      <c r="B1589" s="27" t="s">
        <v>521</v>
      </c>
      <c r="C1589" s="27" t="s">
        <v>477</v>
      </c>
      <c r="D1589" s="27" t="s">
        <v>478</v>
      </c>
      <c r="E1589" s="21">
        <f>IF(D1589="?OLD","!!!","")</f>
        <v/>
      </c>
      <c r="F1589" s="22" t="str">
        <f>IF(OR(E1589="",E1589="!!!"),"",IF(NOT(ISNA(VLOOKUP(E1589,E$1:E1588,1,FALSE()))),"OLD",IF(AND(E1589&lt;&gt;"",E1589&lt;&gt;"!!!"),"NEW","")))</f>
        <v> </v>
      </c>
      <c r="G1589" s="23" t="str">
        <f>IF(OR(E1589="",E1589="!!!"),"",IF(OR(J1589=0,AND(J1589=1,K1589=1),AND(J1589=1,I1589="SBJ"),AND(J1589=1,I1589=0)),"?IN_FOCUS",IF(J1589&lt;=2,"?ACTIVATED",IF(J1589&lt;&gt;"","?FAMILIAR",IF(F1589="NEW",IF(ISNA(VLOOKUP(E1589,#REF!,1,FALSE())),"?TYPE_IDENTIFIABLE","?REFERENTIAL"),"_")))))</f>
        <v> </v>
      </c>
      <c r="H1589" s="24" t="str">
        <f>IF(J1589&lt;&gt;1,"",IF(I1589="SBJ","CB","?"))</f>
        <v> </v>
      </c>
      <c r="I1589" s="25" t="str">
        <f>IF(OR(E1589="",E1589="!!!",F1589="NEW"),"",INDEX(B1588:B$2,-1+SUMPRODUCT(MAX(ROW(E1588:E$2)*(E1589=E1588:E$2)))))</f>
        <v> </v>
      </c>
      <c r="J1589" s="25" t="str">
        <f>IF(OR(E1589="",E1589="!!!",F1589="NEW"),"",COUNTBLANK(OFFSET(A$1,,,SUMPRODUCT(MAX(ROW(E$2:E1589)*(E1589=E$2:E1589)))))-COUNTBLANK(OFFSET(A$1,,,SUMPRODUCT(MAX(ROW(E$1:E1588)*(E2=E$1:E1588))))))</f>
        <v> </v>
      </c>
      <c r="K1589" s="25" t="str">
        <f>IF(OR(E1589="",E1589="!!!",F1589="NEW"),"",INDEX(J$1:J1588,SUMPRODUCT(MAX(ROW(E$1:E1588)*(E1589=E$1:E1588)))))</f>
        <v> </v>
      </c>
      <c r="L1589" s="26"/>
    </row>
    <row r="1590" spans="1:12">
      <c r="A1590" s="20" t="s">
        <v>1186</v>
      </c>
      <c r="E1590" s="21">
        <f>IF(D1590="?OLD","!!!","")</f>
        <v/>
      </c>
      <c r="F1590" s="22" t="str">
        <f>IF(OR(E1590="",E1590="!!!"),"",IF(NOT(ISNA(VLOOKUP(E1590,E$1:E1589,1,FALSE()))),"OLD",IF(AND(E1590&lt;&gt;"",E1590&lt;&gt;"!!!"),"NEW","")))</f>
        <v> </v>
      </c>
      <c r="G1590" s="23" t="str">
        <f>IF(OR(E1590="",E1590="!!!"),"",IF(OR(J1590=0,AND(J1590=1,K1590=1),AND(J1590=1,I1590="SBJ"),AND(J1590=1,I1590=0)),"?IN_FOCUS",IF(J1590&lt;=2,"?ACTIVATED",IF(J1590&lt;&gt;"","?FAMILIAR",IF(F1590="NEW",IF(ISNA(VLOOKUP(E1590,#REF!,1,FALSE())),"?TYPE_IDENTIFIABLE","?REFERENTIAL"),"_")))))</f>
        <v> </v>
      </c>
      <c r="H1590" s="24" t="str">
        <f>IF(J1590&lt;&gt;1,"",IF(I1590="SBJ","CB","?"))</f>
        <v> </v>
      </c>
      <c r="I1590" s="25" t="str">
        <f>IF(OR(E1590="",E1590="!!!",F1590="NEW"),"",INDEX(B1589:B$2,-1+SUMPRODUCT(MAX(ROW(E1589:E$2)*(E1590=E1589:E$2)))))</f>
        <v> </v>
      </c>
      <c r="J1590" s="25" t="str">
        <f>IF(OR(E1590="",E1590="!!!",F1590="NEW"),"",COUNTBLANK(OFFSET(A$1,,,SUMPRODUCT(MAX(ROW(E$2:E1590)*(E1590=E$2:E1590)))))-COUNTBLANK(OFFSET(A$1,,,SUMPRODUCT(MAX(ROW(E$1:E1589)*(E2=E$1:E1589))))))</f>
        <v> </v>
      </c>
      <c r="K1590" s="25" t="str">
        <f>IF(OR(E1590="",E1590="!!!",F1590="NEW"),"",INDEX(J$1:J1589,SUMPRODUCT(MAX(ROW(E$1:E1589)*(E1590=E$1:E1589)))))</f>
        <v> </v>
      </c>
      <c r="L1590" s="26"/>
    </row>
    <row r="1591" spans="1:12">
      <c r="A1591" s="20" t="s">
        <v>489</v>
      </c>
      <c r="E1591" s="21">
        <f>IF(D1591="?OLD","!!!","")</f>
        <v/>
      </c>
      <c r="F1591" s="22" t="str">
        <f>IF(OR(E1591="",E1591="!!!"),"",IF(NOT(ISNA(VLOOKUP(E1591,E$1:E1590,1,FALSE()))),"OLD",IF(AND(E1591&lt;&gt;"",E1591&lt;&gt;"!!!"),"NEW","")))</f>
        <v> </v>
      </c>
      <c r="G1591" s="23" t="str">
        <f>IF(OR(E1591="",E1591="!!!"),"",IF(OR(J1591=0,AND(J1591=1,K1591=1),AND(J1591=1,I1591="SBJ"),AND(J1591=1,I1591=0)),"?IN_FOCUS",IF(J1591&lt;=2,"?ACTIVATED",IF(J1591&lt;&gt;"","?FAMILIAR",IF(F1591="NEW",IF(ISNA(VLOOKUP(E1591,#REF!,1,FALSE())),"?TYPE_IDENTIFIABLE","?REFERENTIAL"),"_")))))</f>
        <v> </v>
      </c>
      <c r="H1591" s="24" t="str">
        <f>IF(J1591&lt;&gt;1,"",IF(I1591="SBJ","CB","?"))</f>
        <v> </v>
      </c>
      <c r="I1591" s="25" t="str">
        <f>IF(OR(E1591="",E1591="!!!",F1591="NEW"),"",INDEX(B1590:B$2,-1+SUMPRODUCT(MAX(ROW(E1590:E$2)*(E1591=E1590:E$2)))))</f>
        <v> </v>
      </c>
      <c r="J1591" s="25" t="str">
        <f>IF(OR(E1591="",E1591="!!!",F1591="NEW"),"",COUNTBLANK(OFFSET(A$1,,,SUMPRODUCT(MAX(ROW(E$2:E1591)*(E1591=E$2:E1591)))))-COUNTBLANK(OFFSET(A$1,,,SUMPRODUCT(MAX(ROW(E$1:E1590)*(E2=E$1:E1590))))))</f>
        <v> </v>
      </c>
      <c r="K1591" s="25" t="str">
        <f>IF(OR(E1591="",E1591="!!!",F1591="NEW"),"",INDEX(J$1:J1590,SUMPRODUCT(MAX(ROW(E$1:E1590)*(E1591=E$1:E1590)))))</f>
        <v> </v>
      </c>
      <c r="L1591" s="26"/>
    </row>
    <row r="1592" spans="1:12">
      <c r="A1592" s="20" t="s">
        <v>710</v>
      </c>
      <c r="B1592" s="27" t="s">
        <v>711</v>
      </c>
      <c r="C1592" s="27" t="s">
        <v>477</v>
      </c>
      <c r="D1592" s="27" t="s">
        <v>478</v>
      </c>
      <c r="E1592" s="21">
        <f>IF(D1592="?OLD","!!!","")</f>
        <v/>
      </c>
      <c r="F1592" s="22" t="str">
        <f>IF(OR(E1592="",E1592="!!!"),"",IF(NOT(ISNA(VLOOKUP(E1592,E$1:E1591,1,FALSE()))),"OLD",IF(AND(E1592&lt;&gt;"",E1592&lt;&gt;"!!!"),"NEW","")))</f>
        <v> </v>
      </c>
      <c r="G1592" s="23" t="str">
        <f>IF(OR(E1592="",E1592="!!!"),"",IF(OR(J1592=0,AND(J1592=1,K1592=1),AND(J1592=1,I1592="SBJ"),AND(J1592=1,I1592=0)),"?IN_FOCUS",IF(J1592&lt;=2,"?ACTIVATED",IF(J1592&lt;&gt;"","?FAMILIAR",IF(F1592="NEW",IF(ISNA(VLOOKUP(E1592,#REF!,1,FALSE())),"?TYPE_IDENTIFIABLE","?REFERENTIAL"),"_")))))</f>
        <v> </v>
      </c>
      <c r="H1592" s="24" t="str">
        <f>IF(J1592&lt;&gt;1,"",IF(I1592="SBJ","CB","?"))</f>
        <v> </v>
      </c>
      <c r="I1592" s="25" t="str">
        <f>IF(OR(E1592="",E1592="!!!",F1592="NEW"),"",INDEX(B1591:B$2,-1+SUMPRODUCT(MAX(ROW(E1591:E$2)*(E1592=E1591:E$2)))))</f>
        <v> </v>
      </c>
      <c r="J1592" s="25" t="str">
        <f>IF(OR(E1592="",E1592="!!!",F1592="NEW"),"",COUNTBLANK(OFFSET(A$1,,,SUMPRODUCT(MAX(ROW(E$2:E1592)*(E1592=E$2:E1592)))))-COUNTBLANK(OFFSET(A$1,,,SUMPRODUCT(MAX(ROW(E$1:E1591)*(E2=E$1:E1591))))))</f>
        <v> </v>
      </c>
      <c r="K1592" s="25" t="str">
        <f>IF(OR(E1592="",E1592="!!!",F1592="NEW"),"",INDEX(J$1:J1591,SUMPRODUCT(MAX(ROW(E$1:E1591)*(E1592=E$1:E1591)))))</f>
        <v> </v>
      </c>
      <c r="L1592" s="26"/>
    </row>
    <row r="1593" spans="1:12">
      <c r="A1593" s="20" t="s">
        <v>1013</v>
      </c>
      <c r="E1593" s="21">
        <f>IF(D1593="?OLD","!!!","")</f>
        <v/>
      </c>
      <c r="F1593" s="22" t="str">
        <f>IF(OR(E1593="",E1593="!!!"),"",IF(NOT(ISNA(VLOOKUP(E1593,E$1:E1592,1,FALSE()))),"OLD",IF(AND(E1593&lt;&gt;"",E1593&lt;&gt;"!!!"),"NEW","")))</f>
        <v> </v>
      </c>
      <c r="G1593" s="23" t="str">
        <f>IF(OR(E1593="",E1593="!!!"),"",IF(OR(J1593=0,AND(J1593=1,K1593=1),AND(J1593=1,I1593="SBJ"),AND(J1593=1,I1593=0)),"?IN_FOCUS",IF(J1593&lt;=2,"?ACTIVATED",IF(J1593&lt;&gt;"","?FAMILIAR",IF(F1593="NEW",IF(ISNA(VLOOKUP(E1593,#REF!,1,FALSE())),"?TYPE_IDENTIFIABLE","?REFERENTIAL"),"_")))))</f>
        <v> </v>
      </c>
      <c r="H1593" s="24" t="str">
        <f>IF(J1593&lt;&gt;1,"",IF(I1593="SBJ","CB","?"))</f>
        <v> </v>
      </c>
      <c r="I1593" s="25" t="str">
        <f>IF(OR(E1593="",E1593="!!!",F1593="NEW"),"",INDEX(B1592:B$2,-1+SUMPRODUCT(MAX(ROW(E1592:E$2)*(E1593=E1592:E$2)))))</f>
        <v> </v>
      </c>
      <c r="J1593" s="25" t="str">
        <f>IF(OR(E1593="",E1593="!!!",F1593="NEW"),"",COUNTBLANK(OFFSET(A$1,,,SUMPRODUCT(MAX(ROW(E$2:E1593)*(E1593=E$2:E1593)))))-COUNTBLANK(OFFSET(A$1,,,SUMPRODUCT(MAX(ROW(E$1:E1592)*(E2=E$1:E1592))))))</f>
        <v> </v>
      </c>
      <c r="K1593" s="25" t="str">
        <f>IF(OR(E1593="",E1593="!!!",F1593="NEW"),"",INDEX(J$1:J1592,SUMPRODUCT(MAX(ROW(E$1:E1592)*(E1593=E$1:E1592)))))</f>
        <v> </v>
      </c>
      <c r="L1593" s="26"/>
    </row>
    <row r="1594" spans="1:12">
      <c r="A1594" s="20" t="s">
        <v>1038</v>
      </c>
      <c r="E1594" s="21">
        <f>IF(D1594="?OLD","!!!","")</f>
        <v/>
      </c>
      <c r="F1594" s="22" t="str">
        <f>IF(OR(E1594="",E1594="!!!"),"",IF(NOT(ISNA(VLOOKUP(E1594,E$1:E1593,1,FALSE()))),"OLD",IF(AND(E1594&lt;&gt;"",E1594&lt;&gt;"!!!"),"NEW","")))</f>
        <v> </v>
      </c>
      <c r="G1594" s="23" t="str">
        <f>IF(OR(E1594="",E1594="!!!"),"",IF(OR(J1594=0,AND(J1594=1,K1594=1),AND(J1594=1,I1594="SBJ"),AND(J1594=1,I1594=0)),"?IN_FOCUS",IF(J1594&lt;=2,"?ACTIVATED",IF(J1594&lt;&gt;"","?FAMILIAR",IF(F1594="NEW",IF(ISNA(VLOOKUP(E1594,#REF!,1,FALSE())),"?TYPE_IDENTIFIABLE","?REFERENTIAL"),"_")))))</f>
        <v> </v>
      </c>
      <c r="H1594" s="24" t="str">
        <f>IF(J1594&lt;&gt;1,"",IF(I1594="SBJ","CB","?"))</f>
        <v> </v>
      </c>
      <c r="I1594" s="25" t="str">
        <f>IF(OR(E1594="",E1594="!!!",F1594="NEW"),"",INDEX(B1593:B$2,-1+SUMPRODUCT(MAX(ROW(E1593:E$2)*(E1594=E1593:E$2)))))</f>
        <v> </v>
      </c>
      <c r="J1594" s="25" t="str">
        <f>IF(OR(E1594="",E1594="!!!",F1594="NEW"),"",COUNTBLANK(OFFSET(A$1,,,SUMPRODUCT(MAX(ROW(E$2:E1594)*(E1594=E$2:E1594)))))-COUNTBLANK(OFFSET(A$1,,,SUMPRODUCT(MAX(ROW(E$1:E1593)*(E2=E$1:E1593))))))</f>
        <v> </v>
      </c>
      <c r="K1594" s="25" t="str">
        <f>IF(OR(E1594="",E1594="!!!",F1594="NEW"),"",INDEX(J$1:J1593,SUMPRODUCT(MAX(ROW(E$1:E1593)*(E1594=E$1:E1593)))))</f>
        <v> </v>
      </c>
      <c r="L1594" s="26"/>
    </row>
    <row r="1595" spans="1:12">
      <c r="A1595" s="20" t="s">
        <v>253</v>
      </c>
      <c r="E1595" s="21">
        <f>IF(D1595="?OLD","!!!","")</f>
        <v/>
      </c>
      <c r="F1595" s="22" t="str">
        <f>IF(OR(E1595="",E1595="!!!"),"",IF(NOT(ISNA(VLOOKUP(E1595,E$1:E1594,1,FALSE()))),"OLD",IF(AND(E1595&lt;&gt;"",E1595&lt;&gt;"!!!"),"NEW","")))</f>
        <v> </v>
      </c>
      <c r="G1595" s="23" t="str">
        <f>IF(OR(E1595="",E1595="!!!"),"",IF(OR(J1595=0,AND(J1595=1,K1595=1),AND(J1595=1,I1595="SBJ"),AND(J1595=1,I1595=0)),"?IN_FOCUS",IF(J1595&lt;=2,"?ACTIVATED",IF(J1595&lt;&gt;"","?FAMILIAR",IF(F1595="NEW",IF(ISNA(VLOOKUP(E1595,#REF!,1,FALSE())),"?TYPE_IDENTIFIABLE","?REFERENTIAL"),"_")))))</f>
        <v> </v>
      </c>
      <c r="H1595" s="24" t="str">
        <f>IF(J1595&lt;&gt;1,"",IF(I1595="SBJ","CB","?"))</f>
        <v> </v>
      </c>
      <c r="I1595" s="25" t="str">
        <f>IF(OR(E1595="",E1595="!!!",F1595="NEW"),"",INDEX(B1594:B$2,-1+SUMPRODUCT(MAX(ROW(E1594:E$2)*(E1595=E1594:E$2)))))</f>
        <v> </v>
      </c>
      <c r="J1595" s="25" t="str">
        <f>IF(OR(E1595="",E1595="!!!",F1595="NEW"),"",COUNTBLANK(OFFSET(A$1,,,SUMPRODUCT(MAX(ROW(E$2:E1595)*(E1595=E$2:E1595)))))-COUNTBLANK(OFFSET(A$1,,,SUMPRODUCT(MAX(ROW(E$1:E1594)*(E2=E$1:E1594))))))</f>
        <v> </v>
      </c>
      <c r="K1595" s="25" t="str">
        <f>IF(OR(E1595="",E1595="!!!",F1595="NEW"),"",INDEX(J$1:J1594,SUMPRODUCT(MAX(ROW(E$1:E1594)*(E1595=E$1:E1594)))))</f>
        <v> </v>
      </c>
      <c r="L1595" s="26"/>
    </row>
    <row r="1596" spans="1:12">
      <c r="A1596" s="20"/>
    </row>
    <row r="1597" spans="1:12">
      <c r="A1597" s="20" t="s">
        <v>1187</v>
      </c>
    </row>
    <row r="1598" spans="1:12">
      <c r="A1598" s="20" t="s">
        <v>714</v>
      </c>
      <c r="E1598" s="21">
        <f>IF(D1598="?OLD","!!!","")</f>
        <v/>
      </c>
      <c r="F1598" s="22" t="str">
        <f>IF(OR(E1598="",E1598="!!!"),"",IF(NOT(ISNA(VLOOKUP(E1598,E$1:E1597,1,FALSE()))),"OLD",IF(AND(E1598&lt;&gt;"",E1598&lt;&gt;"!!!"),"NEW","")))</f>
        <v> </v>
      </c>
      <c r="G1598" s="23" t="str">
        <f>IF(OR(E1598="",E1598="!!!"),"",IF(OR(J1598=0,AND(J1598=1,K1598=1),AND(J1598=1,I1598="SBJ"),AND(J1598=1,I1598=0)),"?IN_FOCUS",IF(J1598&lt;=2,"?ACTIVATED",IF(J1598&lt;&gt;"","?FAMILIAR",IF(F1598="NEW",IF(ISNA(VLOOKUP(E1598,#REF!,1,FALSE())),"?TYPE_IDENTIFIABLE","?REFERENTIAL"),"_")))))</f>
        <v> </v>
      </c>
      <c r="H1598" s="24" t="str">
        <f>IF(J1598&lt;&gt;1,"",IF(I1598="SBJ","CB","?"))</f>
        <v> </v>
      </c>
      <c r="I1598" s="25" t="str">
        <f>IF(OR(E1598="",E1598="!!!",F1598="NEW"),"",INDEX(B1597:B$2,-1+SUMPRODUCT(MAX(ROW(E1597:E$2)*(E1598=E1597:E$2)))))</f>
        <v> </v>
      </c>
      <c r="J1598" s="25" t="str">
        <f>IF(OR(E1598="",E1598="!!!",F1598="NEW"),"",COUNTBLANK(OFFSET(A$1,,,SUMPRODUCT(MAX(ROW(E$2:E1598)*(E1598=E$2:E1598)))))-COUNTBLANK(OFFSET(A$1,,,SUMPRODUCT(MAX(ROW(E$1:E1597)*(E2=E$1:E1597))))))</f>
        <v> </v>
      </c>
      <c r="K1598" s="25" t="str">
        <f>IF(OR(E1598="",E1598="!!!",F1598="NEW"),"",INDEX(J$1:J1597,SUMPRODUCT(MAX(ROW(E$1:E1597)*(E1598=E$1:E1597)))))</f>
        <v> </v>
      </c>
      <c r="L1598" s="26"/>
    </row>
    <row r="1599" spans="1:12">
      <c r="A1599" s="20" t="s">
        <v>984</v>
      </c>
      <c r="B1599" s="27" t="s">
        <v>476</v>
      </c>
      <c r="C1599" s="27" t="s">
        <v>477</v>
      </c>
      <c r="D1599" s="27" t="s">
        <v>478</v>
      </c>
      <c r="E1599" s="21">
        <f>IF(D1599="?OLD","!!!","")</f>
        <v/>
      </c>
      <c r="F1599" s="22" t="str">
        <f>IF(OR(E1599="",E1599="!!!"),"",IF(NOT(ISNA(VLOOKUP(E1599,E$1:E1598,1,FALSE()))),"OLD",IF(AND(E1599&lt;&gt;"",E1599&lt;&gt;"!!!"),"NEW","")))</f>
        <v> </v>
      </c>
      <c r="G1599" s="23" t="str">
        <f>IF(OR(E1599="",E1599="!!!"),"",IF(OR(J1599=0,AND(J1599=1,K1599=1),AND(J1599=1,I1599="SBJ"),AND(J1599=1,I1599=0)),"?IN_FOCUS",IF(J1599&lt;=2,"?ACTIVATED",IF(J1599&lt;&gt;"","?FAMILIAR",IF(F1599="NEW",IF(ISNA(VLOOKUP(E1599,#REF!,1,FALSE())),"?TYPE_IDENTIFIABLE","?REFERENTIAL"),"_")))))</f>
        <v> </v>
      </c>
      <c r="H1599" s="24" t="str">
        <f>IF(J1599&lt;&gt;1,"",IF(I1599="SBJ","CB","?"))</f>
        <v> </v>
      </c>
      <c r="I1599" s="25" t="str">
        <f>IF(OR(E1599="",E1599="!!!",F1599="NEW"),"",INDEX(B1598:B$2,-1+SUMPRODUCT(MAX(ROW(E1598:E$2)*(E1599=E1598:E$2)))))</f>
        <v> </v>
      </c>
      <c r="J1599" s="25" t="str">
        <f>IF(OR(E1599="",E1599="!!!",F1599="NEW"),"",COUNTBLANK(OFFSET(A$1,,,SUMPRODUCT(MAX(ROW(E$2:E1599)*(E1599=E$2:E1599)))))-COUNTBLANK(OFFSET(A$1,,,SUMPRODUCT(MAX(ROW(E$1:E1598)*(E2=E$1:E1598))))))</f>
        <v> </v>
      </c>
      <c r="K1599" s="25" t="str">
        <f>IF(OR(E1599="",E1599="!!!",F1599="NEW"),"",INDEX(J$1:J1598,SUMPRODUCT(MAX(ROW(E$1:E1598)*(E1599=E$1:E1598)))))</f>
        <v> </v>
      </c>
      <c r="L1599" s="26"/>
    </row>
    <row r="1600" spans="1:12">
      <c r="A1600" s="20" t="s">
        <v>253</v>
      </c>
      <c r="E1600" s="21">
        <f>IF(D1600="?OLD","!!!","")</f>
        <v/>
      </c>
      <c r="F1600" s="22" t="str">
        <f>IF(OR(E1600="",E1600="!!!"),"",IF(NOT(ISNA(VLOOKUP(E1600,E$1:E1599,1,FALSE()))),"OLD",IF(AND(E1600&lt;&gt;"",E1600&lt;&gt;"!!!"),"NEW","")))</f>
        <v> </v>
      </c>
      <c r="G1600" s="23" t="str">
        <f>IF(OR(E1600="",E1600="!!!"),"",IF(OR(J1600=0,AND(J1600=1,K1600=1),AND(J1600=1,I1600="SBJ"),AND(J1600=1,I1600=0)),"?IN_FOCUS",IF(J1600&lt;=2,"?ACTIVATED",IF(J1600&lt;&gt;"","?FAMILIAR",IF(F1600="NEW",IF(ISNA(VLOOKUP(E1600,#REF!,1,FALSE())),"?TYPE_IDENTIFIABLE","?REFERENTIAL"),"_")))))</f>
        <v> </v>
      </c>
      <c r="H1600" s="24" t="str">
        <f>IF(J1600&lt;&gt;1,"",IF(I1600="SBJ","CB","?"))</f>
        <v> </v>
      </c>
      <c r="I1600" s="25" t="str">
        <f>IF(OR(E1600="",E1600="!!!",F1600="NEW"),"",INDEX(B1599:B$2,-1+SUMPRODUCT(MAX(ROW(E1599:E$2)*(E1600=E1599:E$2)))))</f>
        <v> </v>
      </c>
      <c r="J1600" s="25" t="str">
        <f>IF(OR(E1600="",E1600="!!!",F1600="NEW"),"",COUNTBLANK(OFFSET(A$1,,,SUMPRODUCT(MAX(ROW(E$2:E1600)*(E1600=E$2:E1600)))))-COUNTBLANK(OFFSET(A$1,,,SUMPRODUCT(MAX(ROW(E$1:E1599)*(E2=E$1:E1599))))))</f>
        <v> </v>
      </c>
      <c r="K1600" s="25" t="str">
        <f>IF(OR(E1600="",E1600="!!!",F1600="NEW"),"",INDEX(J$1:J1599,SUMPRODUCT(MAX(ROW(E$1:E1599)*(E1600=E$1:E1599)))))</f>
        <v> </v>
      </c>
      <c r="L1600" s="26"/>
    </row>
    <row r="1601" spans="1:12">
      <c r="A1601" s="20"/>
    </row>
    <row r="1602" spans="1:12">
      <c r="A1602" s="20" t="s">
        <v>1188</v>
      </c>
    </row>
    <row r="1603" spans="1:12">
      <c r="A1603" s="20" t="s">
        <v>1189</v>
      </c>
      <c r="E1603" s="21">
        <f>IF(D1603="?OLD","!!!","")</f>
        <v/>
      </c>
      <c r="F1603" s="22" t="str">
        <f>IF(OR(E1603="",E1603="!!!"),"",IF(NOT(ISNA(VLOOKUP(E1603,E$1:E1602,1,FALSE()))),"OLD",IF(AND(E1603&lt;&gt;"",E1603&lt;&gt;"!!!"),"NEW","")))</f>
        <v> </v>
      </c>
      <c r="G1603" s="23" t="str">
        <f>IF(OR(E1603="",E1603="!!!"),"",IF(OR(J1603=0,AND(J1603=1,K1603=1),AND(J1603=1,I1603="SBJ"),AND(J1603=1,I1603=0)),"?IN_FOCUS",IF(J1603&lt;=2,"?ACTIVATED",IF(J1603&lt;&gt;"","?FAMILIAR",IF(F1603="NEW",IF(ISNA(VLOOKUP(E1603,#REF!,1,FALSE())),"?TYPE_IDENTIFIABLE","?REFERENTIAL"),"_")))))</f>
        <v> </v>
      </c>
      <c r="H1603" s="24" t="str">
        <f>IF(J1603&lt;&gt;1,"",IF(I1603="SBJ","CB","?"))</f>
        <v> </v>
      </c>
      <c r="I1603" s="25" t="str">
        <f>IF(OR(E1603="",E1603="!!!",F1603="NEW"),"",INDEX(B1602:B$2,-1+SUMPRODUCT(MAX(ROW(E1602:E$2)*(E1603=E1602:E$2)))))</f>
        <v> </v>
      </c>
      <c r="J1603" s="25" t="str">
        <f>IF(OR(E1603="",E1603="!!!",F1603="NEW"),"",COUNTBLANK(OFFSET(A$1,,,SUMPRODUCT(MAX(ROW(E$2:E1603)*(E1603=E$2:E1603)))))-COUNTBLANK(OFFSET(A$1,,,SUMPRODUCT(MAX(ROW(E$1:E1602)*(E2=E$1:E1602))))))</f>
        <v> </v>
      </c>
      <c r="K1603" s="25" t="str">
        <f>IF(OR(E1603="",E1603="!!!",F1603="NEW"),"",INDEX(J$1:J1602,SUMPRODUCT(MAX(ROW(E$1:E1602)*(E1603=E$1:E1602)))))</f>
        <v> </v>
      </c>
      <c r="L1603" s="26"/>
    </row>
    <row r="1604" spans="1:12">
      <c r="A1604" s="20" t="s">
        <v>482</v>
      </c>
      <c r="E1604" s="21">
        <f>IF(D1604="?OLD","!!!","")</f>
        <v/>
      </c>
      <c r="F1604" s="22" t="str">
        <f>IF(OR(E1604="",E1604="!!!"),"",IF(NOT(ISNA(VLOOKUP(E1604,E$1:E1603,1,FALSE()))),"OLD",IF(AND(E1604&lt;&gt;"",E1604&lt;&gt;"!!!"),"NEW","")))</f>
        <v> </v>
      </c>
      <c r="G1604" s="23" t="str">
        <f>IF(OR(E1604="",E1604="!!!"),"",IF(OR(J1604=0,AND(J1604=1,K1604=1),AND(J1604=1,I1604="SBJ"),AND(J1604=1,I1604=0)),"?IN_FOCUS",IF(J1604&lt;=2,"?ACTIVATED",IF(J1604&lt;&gt;"","?FAMILIAR",IF(F1604="NEW",IF(ISNA(VLOOKUP(E1604,#REF!,1,FALSE())),"?TYPE_IDENTIFIABLE","?REFERENTIAL"),"_")))))</f>
        <v> </v>
      </c>
      <c r="H1604" s="24" t="str">
        <f>IF(J1604&lt;&gt;1,"",IF(I1604="SBJ","CB","?"))</f>
        <v> </v>
      </c>
      <c r="I1604" s="25" t="str">
        <f>IF(OR(E1604="",E1604="!!!",F1604="NEW"),"",INDEX(B1603:B$2,-1+SUMPRODUCT(MAX(ROW(E1603:E$2)*(E1604=E1603:E$2)))))</f>
        <v> </v>
      </c>
      <c r="J1604" s="25" t="str">
        <f>IF(OR(E1604="",E1604="!!!",F1604="NEW"),"",COUNTBLANK(OFFSET(A$1,,,SUMPRODUCT(MAX(ROW(E$2:E1604)*(E1604=E$2:E1604)))))-COUNTBLANK(OFFSET(A$1,,,SUMPRODUCT(MAX(ROW(E$1:E1603)*(E2=E$1:E1603))))))</f>
        <v> </v>
      </c>
      <c r="K1604" s="25" t="str">
        <f>IF(OR(E1604="",E1604="!!!",F1604="NEW"),"",INDEX(J$1:J1603,SUMPRODUCT(MAX(ROW(E$1:E1603)*(E1604=E$1:E1603)))))</f>
        <v> </v>
      </c>
      <c r="L1604" s="26"/>
    </row>
    <row r="1605" spans="1:12">
      <c r="A1605" s="20" t="s">
        <v>475</v>
      </c>
      <c r="B1605" s="27" t="s">
        <v>476</v>
      </c>
      <c r="C1605" s="27" t="s">
        <v>477</v>
      </c>
      <c r="D1605" s="27" t="s">
        <v>478</v>
      </c>
      <c r="E1605" s="21">
        <f>IF(D1605="?OLD","!!!","")</f>
        <v/>
      </c>
      <c r="F1605" s="22" t="str">
        <f>IF(OR(E1605="",E1605="!!!"),"",IF(NOT(ISNA(VLOOKUP(E1605,E$1:E1604,1,FALSE()))),"OLD",IF(AND(E1605&lt;&gt;"",E1605&lt;&gt;"!!!"),"NEW","")))</f>
        <v> </v>
      </c>
      <c r="G1605" s="23" t="str">
        <f>IF(OR(E1605="",E1605="!!!"),"",IF(OR(J1605=0,AND(J1605=1,K1605=1),AND(J1605=1,I1605="SBJ"),AND(J1605=1,I1605=0)),"?IN_FOCUS",IF(J1605&lt;=2,"?ACTIVATED",IF(J1605&lt;&gt;"","?FAMILIAR",IF(F1605="NEW",IF(ISNA(VLOOKUP(E1605,#REF!,1,FALSE())),"?TYPE_IDENTIFIABLE","?REFERENTIAL"),"_")))))</f>
        <v> </v>
      </c>
      <c r="H1605" s="24" t="str">
        <f>IF(J1605&lt;&gt;1,"",IF(I1605="SBJ","CB","?"))</f>
        <v> </v>
      </c>
      <c r="I1605" s="25" t="str">
        <f>IF(OR(E1605="",E1605="!!!",F1605="NEW"),"",INDEX(B1604:B$2,-1+SUMPRODUCT(MAX(ROW(E1604:E$2)*(E1605=E1604:E$2)))))</f>
        <v> </v>
      </c>
      <c r="J1605" s="25" t="str">
        <f>IF(OR(E1605="",E1605="!!!",F1605="NEW"),"",COUNTBLANK(OFFSET(A$1,,,SUMPRODUCT(MAX(ROW(E$2:E1605)*(E1605=E$2:E1605)))))-COUNTBLANK(OFFSET(A$1,,,SUMPRODUCT(MAX(ROW(E$1:E1604)*(E2=E$1:E1604))))))</f>
        <v> </v>
      </c>
      <c r="K1605" s="25" t="str">
        <f>IF(OR(E1605="",E1605="!!!",F1605="NEW"),"",INDEX(J$1:J1604,SUMPRODUCT(MAX(ROW(E$1:E1604)*(E1605=E$1:E1604)))))</f>
        <v> </v>
      </c>
      <c r="L1605" s="26"/>
    </row>
    <row r="1606" spans="1:12">
      <c r="A1606" s="20" t="s">
        <v>1190</v>
      </c>
      <c r="E1606" s="21">
        <f>IF(D1606="?OLD","!!!","")</f>
        <v/>
      </c>
      <c r="F1606" s="22" t="str">
        <f>IF(OR(E1606="",E1606="!!!"),"",IF(NOT(ISNA(VLOOKUP(E1606,E$1:E1605,1,FALSE()))),"OLD",IF(AND(E1606&lt;&gt;"",E1606&lt;&gt;"!!!"),"NEW","")))</f>
        <v> </v>
      </c>
      <c r="G1606" s="23" t="str">
        <f>IF(OR(E1606="",E1606="!!!"),"",IF(OR(J1606=0,AND(J1606=1,K1606=1),AND(J1606=1,I1606="SBJ"),AND(J1606=1,I1606=0)),"?IN_FOCUS",IF(J1606&lt;=2,"?ACTIVATED",IF(J1606&lt;&gt;"","?FAMILIAR",IF(F1606="NEW",IF(ISNA(VLOOKUP(E1606,#REF!,1,FALSE())),"?TYPE_IDENTIFIABLE","?REFERENTIAL"),"_")))))</f>
        <v> </v>
      </c>
      <c r="H1606" s="24" t="str">
        <f>IF(J1606&lt;&gt;1,"",IF(I1606="SBJ","CB","?"))</f>
        <v> </v>
      </c>
      <c r="I1606" s="25" t="str">
        <f>IF(OR(E1606="",E1606="!!!",F1606="NEW"),"",INDEX(B1605:B$2,-1+SUMPRODUCT(MAX(ROW(E1605:E$2)*(E1606=E1605:E$2)))))</f>
        <v> </v>
      </c>
      <c r="J1606" s="25" t="str">
        <f>IF(OR(E1606="",E1606="!!!",F1606="NEW"),"",COUNTBLANK(OFFSET(A$1,,,SUMPRODUCT(MAX(ROW(E$2:E1606)*(E1606=E$2:E1606)))))-COUNTBLANK(OFFSET(A$1,,,SUMPRODUCT(MAX(ROW(E$1:E1605)*(E2=E$1:E1605))))))</f>
        <v> </v>
      </c>
      <c r="K1606" s="25" t="str">
        <f>IF(OR(E1606="",E1606="!!!",F1606="NEW"),"",INDEX(J$1:J1605,SUMPRODUCT(MAX(ROW(E$1:E1605)*(E1606=E$1:E1605)))))</f>
        <v> </v>
      </c>
      <c r="L1606" s="26"/>
    </row>
    <row r="1607" spans="1:12">
      <c r="A1607" s="20" t="s">
        <v>1191</v>
      </c>
      <c r="E1607" s="21">
        <f>IF(D1607="?OLD","!!!","")</f>
        <v/>
      </c>
      <c r="F1607" s="22" t="str">
        <f>IF(OR(E1607="",E1607="!!!"),"",IF(NOT(ISNA(VLOOKUP(E1607,E$1:E1606,1,FALSE()))),"OLD",IF(AND(E1607&lt;&gt;"",E1607&lt;&gt;"!!!"),"NEW","")))</f>
        <v> </v>
      </c>
      <c r="G1607" s="23" t="str">
        <f>IF(OR(E1607="",E1607="!!!"),"",IF(OR(J1607=0,AND(J1607=1,K1607=1),AND(J1607=1,I1607="SBJ"),AND(J1607=1,I1607=0)),"?IN_FOCUS",IF(J1607&lt;=2,"?ACTIVATED",IF(J1607&lt;&gt;"","?FAMILIAR",IF(F1607="NEW",IF(ISNA(VLOOKUP(E1607,#REF!,1,FALSE())),"?TYPE_IDENTIFIABLE","?REFERENTIAL"),"_")))))</f>
        <v> </v>
      </c>
      <c r="H1607" s="24" t="str">
        <f>IF(J1607&lt;&gt;1,"",IF(I1607="SBJ","CB","?"))</f>
        <v> </v>
      </c>
      <c r="I1607" s="25" t="str">
        <f>IF(OR(E1607="",E1607="!!!",F1607="NEW"),"",INDEX(B1606:B$2,-1+SUMPRODUCT(MAX(ROW(E1606:E$2)*(E1607=E1606:E$2)))))</f>
        <v> </v>
      </c>
      <c r="J1607" s="25" t="str">
        <f>IF(OR(E1607="",E1607="!!!",F1607="NEW"),"",COUNTBLANK(OFFSET(A$1,,,SUMPRODUCT(MAX(ROW(E$2:E1607)*(E1607=E$2:E1607)))))-COUNTBLANK(OFFSET(A$1,,,SUMPRODUCT(MAX(ROW(E$1:E1606)*(E2=E$1:E1606))))))</f>
        <v> </v>
      </c>
      <c r="K1607" s="25" t="str">
        <f>IF(OR(E1607="",E1607="!!!",F1607="NEW"),"",INDEX(J$1:J1606,SUMPRODUCT(MAX(ROW(E$1:E1606)*(E1607=E$1:E1606)))))</f>
        <v> </v>
      </c>
      <c r="L1607" s="26"/>
    </row>
    <row r="1608" spans="1:12">
      <c r="A1608" s="20" t="s">
        <v>769</v>
      </c>
      <c r="E1608" s="21">
        <f>IF(D1608="?OLD","!!!","")</f>
        <v/>
      </c>
      <c r="F1608" s="22" t="str">
        <f>IF(OR(E1608="",E1608="!!!"),"",IF(NOT(ISNA(VLOOKUP(E1608,E$1:E1607,1,FALSE()))),"OLD",IF(AND(E1608&lt;&gt;"",E1608&lt;&gt;"!!!"),"NEW","")))</f>
        <v> </v>
      </c>
      <c r="G1608" s="23" t="str">
        <f>IF(OR(E1608="",E1608="!!!"),"",IF(OR(J1608=0,AND(J1608=1,K1608=1),AND(J1608=1,I1608="SBJ"),AND(J1608=1,I1608=0)),"?IN_FOCUS",IF(J1608&lt;=2,"?ACTIVATED",IF(J1608&lt;&gt;"","?FAMILIAR",IF(F1608="NEW",IF(ISNA(VLOOKUP(E1608,#REF!,1,FALSE())),"?TYPE_IDENTIFIABLE","?REFERENTIAL"),"_")))))</f>
        <v> </v>
      </c>
      <c r="H1608" s="24" t="str">
        <f>IF(J1608&lt;&gt;1,"",IF(I1608="SBJ","CB","?"))</f>
        <v> </v>
      </c>
      <c r="I1608" s="25" t="str">
        <f>IF(OR(E1608="",E1608="!!!",F1608="NEW"),"",INDEX(B1607:B$2,-1+SUMPRODUCT(MAX(ROW(E1607:E$2)*(E1608=E1607:E$2)))))</f>
        <v> </v>
      </c>
      <c r="J1608" s="25" t="str">
        <f>IF(OR(E1608="",E1608="!!!",F1608="NEW"),"",COUNTBLANK(OFFSET(A$1,,,SUMPRODUCT(MAX(ROW(E$2:E1608)*(E1608=E$2:E1608)))))-COUNTBLANK(OFFSET(A$1,,,SUMPRODUCT(MAX(ROW(E$1:E1607)*(E2=E$1:E1607))))))</f>
        <v> </v>
      </c>
      <c r="K1608" s="25" t="str">
        <f>IF(OR(E1608="",E1608="!!!",F1608="NEW"),"",INDEX(J$1:J1607,SUMPRODUCT(MAX(ROW(E$1:E1607)*(E1608=E$1:E1607)))))</f>
        <v> </v>
      </c>
      <c r="L1608" s="26"/>
    </row>
    <row r="1609" spans="1:12">
      <c r="A1609" s="20" t="s">
        <v>1105</v>
      </c>
      <c r="E1609" s="21">
        <f>IF(D1609="?OLD","!!!","")</f>
        <v/>
      </c>
      <c r="F1609" s="22" t="str">
        <f>IF(OR(E1609="",E1609="!!!"),"",IF(NOT(ISNA(VLOOKUP(E1609,E$1:E1608,1,FALSE()))),"OLD",IF(AND(E1609&lt;&gt;"",E1609&lt;&gt;"!!!"),"NEW","")))</f>
        <v> </v>
      </c>
      <c r="G1609" s="23" t="str">
        <f>IF(OR(E1609="",E1609="!!!"),"",IF(OR(J1609=0,AND(J1609=1,K1609=1),AND(J1609=1,I1609="SBJ"),AND(J1609=1,I1609=0)),"?IN_FOCUS",IF(J1609&lt;=2,"?ACTIVATED",IF(J1609&lt;&gt;"","?FAMILIAR",IF(F1609="NEW",IF(ISNA(VLOOKUP(E1609,#REF!,1,FALSE())),"?TYPE_IDENTIFIABLE","?REFERENTIAL"),"_")))))</f>
        <v> </v>
      </c>
      <c r="H1609" s="24" t="str">
        <f>IF(J1609&lt;&gt;1,"",IF(I1609="SBJ","CB","?"))</f>
        <v> </v>
      </c>
      <c r="I1609" s="25" t="str">
        <f>IF(OR(E1609="",E1609="!!!",F1609="NEW"),"",INDEX(B1608:B$2,-1+SUMPRODUCT(MAX(ROW(E1608:E$2)*(E1609=E1608:E$2)))))</f>
        <v> </v>
      </c>
      <c r="J1609" s="25" t="str">
        <f>IF(OR(E1609="",E1609="!!!",F1609="NEW"),"",COUNTBLANK(OFFSET(A$1,,,SUMPRODUCT(MAX(ROW(E$2:E1609)*(E1609=E$2:E1609)))))-COUNTBLANK(OFFSET(A$1,,,SUMPRODUCT(MAX(ROW(E$1:E1608)*(E2=E$1:E1608))))))</f>
        <v> </v>
      </c>
      <c r="K1609" s="25" t="str">
        <f>IF(OR(E1609="",E1609="!!!",F1609="NEW"),"",INDEX(J$1:J1608,SUMPRODUCT(MAX(ROW(E$1:E1608)*(E1609=E$1:E1608)))))</f>
        <v> </v>
      </c>
      <c r="L1609" s="26"/>
    </row>
    <row r="1610" spans="1:12">
      <c r="A1610" s="20" t="s">
        <v>1192</v>
      </c>
      <c r="E1610" s="21">
        <f>IF(D1610="?OLD","!!!","")</f>
        <v/>
      </c>
      <c r="F1610" s="22" t="str">
        <f>IF(OR(E1610="",E1610="!!!"),"",IF(NOT(ISNA(VLOOKUP(E1610,E$1:E1609,1,FALSE()))),"OLD",IF(AND(E1610&lt;&gt;"",E1610&lt;&gt;"!!!"),"NEW","")))</f>
        <v> </v>
      </c>
      <c r="G1610" s="23" t="str">
        <f>IF(OR(E1610="",E1610="!!!"),"",IF(OR(J1610=0,AND(J1610=1,K1610=1),AND(J1610=1,I1610="SBJ"),AND(J1610=1,I1610=0)),"?IN_FOCUS",IF(J1610&lt;=2,"?ACTIVATED",IF(J1610&lt;&gt;"","?FAMILIAR",IF(F1610="NEW",IF(ISNA(VLOOKUP(E1610,#REF!,1,FALSE())),"?TYPE_IDENTIFIABLE","?REFERENTIAL"),"_")))))</f>
        <v> </v>
      </c>
      <c r="H1610" s="24" t="str">
        <f>IF(J1610&lt;&gt;1,"",IF(I1610="SBJ","CB","?"))</f>
        <v> </v>
      </c>
      <c r="I1610" s="25" t="str">
        <f>IF(OR(E1610="",E1610="!!!",F1610="NEW"),"",INDEX(B1609:B$2,-1+SUMPRODUCT(MAX(ROW(E1609:E$2)*(E1610=E1609:E$2)))))</f>
        <v> </v>
      </c>
      <c r="J1610" s="25" t="str">
        <f>IF(OR(E1610="",E1610="!!!",F1610="NEW"),"",COUNTBLANK(OFFSET(A$1,,,SUMPRODUCT(MAX(ROW(E$2:E1610)*(E1610=E$2:E1610)))))-COUNTBLANK(OFFSET(A$1,,,SUMPRODUCT(MAX(ROW(E$1:E1609)*(E2=E$1:E1609))))))</f>
        <v> </v>
      </c>
      <c r="K1610" s="25" t="str">
        <f>IF(OR(E1610="",E1610="!!!",F1610="NEW"),"",INDEX(J$1:J1609,SUMPRODUCT(MAX(ROW(E$1:E1609)*(E1610=E$1:E1609)))))</f>
        <v> </v>
      </c>
      <c r="L1610" s="26"/>
    </row>
    <row r="1611" spans="1:12">
      <c r="A1611" s="20" t="s">
        <v>1163</v>
      </c>
      <c r="B1611" s="27" t="s">
        <v>577</v>
      </c>
      <c r="E1611" s="21">
        <f>IF(D1611="?OLD","!!!","")</f>
        <v/>
      </c>
      <c r="F1611" s="22" t="str">
        <f>IF(OR(E1611="",E1611="!!!"),"",IF(NOT(ISNA(VLOOKUP(E1611,E$1:E1610,1,FALSE()))),"OLD",IF(AND(E1611&lt;&gt;"",E1611&lt;&gt;"!!!"),"NEW","")))</f>
        <v> </v>
      </c>
      <c r="G1611" s="23" t="str">
        <f>IF(OR(E1611="",E1611="!!!"),"",IF(OR(J1611=0,AND(J1611=1,K1611=1),AND(J1611=1,I1611="SBJ"),AND(J1611=1,I1611=0)),"?IN_FOCUS",IF(J1611&lt;=2,"?ACTIVATED",IF(J1611&lt;&gt;"","?FAMILIAR",IF(F1611="NEW",IF(ISNA(VLOOKUP(E1611,#REF!,1,FALSE())),"?TYPE_IDENTIFIABLE","?REFERENTIAL"),"_")))))</f>
        <v> </v>
      </c>
      <c r="H1611" s="24" t="str">
        <f>IF(J1611&lt;&gt;1,"",IF(I1611="SBJ","CB","?"))</f>
        <v> </v>
      </c>
      <c r="I1611" s="25" t="str">
        <f>IF(OR(E1611="",E1611="!!!",F1611="NEW"),"",INDEX(B1610:B$2,-1+SUMPRODUCT(MAX(ROW(E1610:E$2)*(E1611=E1610:E$2)))))</f>
        <v> </v>
      </c>
      <c r="J1611" s="25" t="str">
        <f>IF(OR(E1611="",E1611="!!!",F1611="NEW"),"",COUNTBLANK(OFFSET(A$1,,,SUMPRODUCT(MAX(ROW(E$2:E1611)*(E1611=E$2:E1611)))))-COUNTBLANK(OFFSET(A$1,,,SUMPRODUCT(MAX(ROW(E$1:E1610)*(E2=E$1:E1610))))))</f>
        <v> </v>
      </c>
      <c r="K1611" s="25" t="str">
        <f>IF(OR(E1611="",E1611="!!!",F1611="NEW"),"",INDEX(J$1:J1610,SUMPRODUCT(MAX(ROW(E$1:E1610)*(E1611=E$1:E1610)))))</f>
        <v> </v>
      </c>
      <c r="L1611" s="26"/>
    </row>
    <row r="1612" spans="1:12">
      <c r="A1612" s="20" t="s">
        <v>253</v>
      </c>
      <c r="E1612" s="21">
        <f>IF(D1612="?OLD","!!!","")</f>
        <v/>
      </c>
      <c r="F1612" s="22" t="str">
        <f>IF(OR(E1612="",E1612="!!!"),"",IF(NOT(ISNA(VLOOKUP(E1612,E$1:E1611,1,FALSE()))),"OLD",IF(AND(E1612&lt;&gt;"",E1612&lt;&gt;"!!!"),"NEW","")))</f>
        <v> </v>
      </c>
      <c r="G1612" s="23" t="str">
        <f>IF(OR(E1612="",E1612="!!!"),"",IF(OR(J1612=0,AND(J1612=1,K1612=1),AND(J1612=1,I1612="SBJ"),AND(J1612=1,I1612=0)),"?IN_FOCUS",IF(J1612&lt;=2,"?ACTIVATED",IF(J1612&lt;&gt;"","?FAMILIAR",IF(F1612="NEW",IF(ISNA(VLOOKUP(E1612,#REF!,1,FALSE())),"?TYPE_IDENTIFIABLE","?REFERENTIAL"),"_")))))</f>
        <v> </v>
      </c>
      <c r="H1612" s="24" t="str">
        <f>IF(J1612&lt;&gt;1,"",IF(I1612="SBJ","CB","?"))</f>
        <v> </v>
      </c>
      <c r="I1612" s="25" t="str">
        <f>IF(OR(E1612="",E1612="!!!",F1612="NEW"),"",INDEX(B1611:B$2,-1+SUMPRODUCT(MAX(ROW(E1611:E$2)*(E1612=E1611:E$2)))))</f>
        <v> </v>
      </c>
      <c r="J1612" s="25" t="str">
        <f>IF(OR(E1612="",E1612="!!!",F1612="NEW"),"",COUNTBLANK(OFFSET(A$1,,,SUMPRODUCT(MAX(ROW(E$2:E1612)*(E1612=E$2:E1612)))))-COUNTBLANK(OFFSET(A$1,,,SUMPRODUCT(MAX(ROW(E$1:E1611)*(E2=E$1:E1611))))))</f>
        <v> </v>
      </c>
      <c r="K1612" s="25" t="str">
        <f>IF(OR(E1612="",E1612="!!!",F1612="NEW"),"",INDEX(J$1:J1611,SUMPRODUCT(MAX(ROW(E$1:E1611)*(E1612=E$1:E1611)))))</f>
        <v> </v>
      </c>
      <c r="L1612" s="26"/>
    </row>
    <row r="1613" spans="1:12">
      <c r="A1613" s="20"/>
    </row>
    <row r="1614" spans="1:12">
      <c r="A1614" s="20" t="s">
        <v>1193</v>
      </c>
    </row>
    <row r="1615" spans="1:12">
      <c r="A1615" s="20" t="s">
        <v>606</v>
      </c>
      <c r="B1615" s="27" t="s">
        <v>476</v>
      </c>
      <c r="C1615" s="27" t="s">
        <v>477</v>
      </c>
      <c r="D1615" s="27" t="s">
        <v>478</v>
      </c>
      <c r="E1615" s="21">
        <f>IF(D1615="?OLD","!!!","")</f>
        <v/>
      </c>
      <c r="F1615" s="22" t="str">
        <f>IF(OR(E1615="",E1615="!!!"),"",IF(NOT(ISNA(VLOOKUP(E1615,E$1:E1614,1,FALSE()))),"OLD",IF(AND(E1615&lt;&gt;"",E1615&lt;&gt;"!!!"),"NEW","")))</f>
        <v> </v>
      </c>
      <c r="G1615" s="23" t="str">
        <f>IF(OR(E1615="",E1615="!!!"),"",IF(OR(J1615=0,AND(J1615=1,K1615=1),AND(J1615=1,I1615="SBJ"),AND(J1615=1,I1615=0)),"?IN_FOCUS",IF(J1615&lt;=2,"?ACTIVATED",IF(J1615&lt;&gt;"","?FAMILIAR",IF(F1615="NEW",IF(ISNA(VLOOKUP(E1615,#REF!,1,FALSE())),"?TYPE_IDENTIFIABLE","?REFERENTIAL"),"_")))))</f>
        <v> </v>
      </c>
      <c r="H1615" s="24" t="str">
        <f>IF(J1615&lt;&gt;1,"",IF(I1615="SBJ","CB","?"))</f>
        <v> </v>
      </c>
      <c r="I1615" s="25" t="str">
        <f>IF(OR(E1615="",E1615="!!!",F1615="NEW"),"",INDEX(B1614:B$2,-1+SUMPRODUCT(MAX(ROW(E1614:E$2)*(E1615=E1614:E$2)))))</f>
        <v> </v>
      </c>
      <c r="J1615" s="25" t="str">
        <f>IF(OR(E1615="",E1615="!!!",F1615="NEW"),"",COUNTBLANK(OFFSET(A$1,,,SUMPRODUCT(MAX(ROW(E$2:E1615)*(E1615=E$2:E1615)))))-COUNTBLANK(OFFSET(A$1,,,SUMPRODUCT(MAX(ROW(E$1:E1614)*(E2=E$1:E1614))))))</f>
        <v> </v>
      </c>
      <c r="K1615" s="25" t="str">
        <f>IF(OR(E1615="",E1615="!!!",F1615="NEW"),"",INDEX(J$1:J1614,SUMPRODUCT(MAX(ROW(E$1:E1614)*(E1615=E$1:E1614)))))</f>
        <v> </v>
      </c>
      <c r="L1615" s="26"/>
    </row>
    <row r="1616" spans="1:12">
      <c r="A1616" s="20" t="s">
        <v>769</v>
      </c>
      <c r="E1616" s="21">
        <f>IF(D1616="?OLD","!!!","")</f>
        <v/>
      </c>
      <c r="F1616" s="22" t="str">
        <f>IF(OR(E1616="",E1616="!!!"),"",IF(NOT(ISNA(VLOOKUP(E1616,E$1:E1615,1,FALSE()))),"OLD",IF(AND(E1616&lt;&gt;"",E1616&lt;&gt;"!!!"),"NEW","")))</f>
        <v> </v>
      </c>
      <c r="G1616" s="23" t="str">
        <f>IF(OR(E1616="",E1616="!!!"),"",IF(OR(J1616=0,AND(J1616=1,K1616=1),AND(J1616=1,I1616="SBJ"),AND(J1616=1,I1616=0)),"?IN_FOCUS",IF(J1616&lt;=2,"?ACTIVATED",IF(J1616&lt;&gt;"","?FAMILIAR",IF(F1616="NEW",IF(ISNA(VLOOKUP(E1616,#REF!,1,FALSE())),"?TYPE_IDENTIFIABLE","?REFERENTIAL"),"_")))))</f>
        <v> </v>
      </c>
      <c r="H1616" s="24" t="str">
        <f>IF(J1616&lt;&gt;1,"",IF(I1616="SBJ","CB","?"))</f>
        <v> </v>
      </c>
      <c r="I1616" s="25" t="str">
        <f>IF(OR(E1616="",E1616="!!!",F1616="NEW"),"",INDEX(B1615:B$2,-1+SUMPRODUCT(MAX(ROW(E1615:E$2)*(E1616=E1615:E$2)))))</f>
        <v> </v>
      </c>
      <c r="J1616" s="25" t="str">
        <f>IF(OR(E1616="",E1616="!!!",F1616="NEW"),"",COUNTBLANK(OFFSET(A$1,,,SUMPRODUCT(MAX(ROW(E$2:E1616)*(E1616=E$2:E1616)))))-COUNTBLANK(OFFSET(A$1,,,SUMPRODUCT(MAX(ROW(E$1:E1615)*(E2=E$1:E1615))))))</f>
        <v> </v>
      </c>
      <c r="K1616" s="25" t="str">
        <f>IF(OR(E1616="",E1616="!!!",F1616="NEW"),"",INDEX(J$1:J1615,SUMPRODUCT(MAX(ROW(E$1:E1615)*(E1616=E$1:E1615)))))</f>
        <v> </v>
      </c>
      <c r="L1616" s="26"/>
    </row>
    <row r="1617" spans="1:12">
      <c r="A1617" s="20" t="s">
        <v>1194</v>
      </c>
      <c r="E1617" s="21">
        <f>IF(D1617="?OLD","!!!","")</f>
        <v/>
      </c>
      <c r="F1617" s="22" t="str">
        <f>IF(OR(E1617="",E1617="!!!"),"",IF(NOT(ISNA(VLOOKUP(E1617,E$1:E1616,1,FALSE()))),"OLD",IF(AND(E1617&lt;&gt;"",E1617&lt;&gt;"!!!"),"NEW","")))</f>
        <v> </v>
      </c>
      <c r="G1617" s="23" t="str">
        <f>IF(OR(E1617="",E1617="!!!"),"",IF(OR(J1617=0,AND(J1617=1,K1617=1),AND(J1617=1,I1617="SBJ"),AND(J1617=1,I1617=0)),"?IN_FOCUS",IF(J1617&lt;=2,"?ACTIVATED",IF(J1617&lt;&gt;"","?FAMILIAR",IF(F1617="NEW",IF(ISNA(VLOOKUP(E1617,#REF!,1,FALSE())),"?TYPE_IDENTIFIABLE","?REFERENTIAL"),"_")))))</f>
        <v> </v>
      </c>
      <c r="H1617" s="24" t="str">
        <f>IF(J1617&lt;&gt;1,"",IF(I1617="SBJ","CB","?"))</f>
        <v> </v>
      </c>
      <c r="I1617" s="25" t="str">
        <f>IF(OR(E1617="",E1617="!!!",F1617="NEW"),"",INDEX(B1616:B$2,-1+SUMPRODUCT(MAX(ROW(E1616:E$2)*(E1617=E1616:E$2)))))</f>
        <v> </v>
      </c>
      <c r="J1617" s="25" t="str">
        <f>IF(OR(E1617="",E1617="!!!",F1617="NEW"),"",COUNTBLANK(OFFSET(A$1,,,SUMPRODUCT(MAX(ROW(E$2:E1617)*(E1617=E$2:E1617)))))-COUNTBLANK(OFFSET(A$1,,,SUMPRODUCT(MAX(ROW(E$1:E1616)*(E2=E$1:E1616))))))</f>
        <v> </v>
      </c>
      <c r="K1617" s="25" t="str">
        <f>IF(OR(E1617="",E1617="!!!",F1617="NEW"),"",INDEX(J$1:J1616,SUMPRODUCT(MAX(ROW(E$1:E1616)*(E1617=E$1:E1616)))))</f>
        <v> </v>
      </c>
      <c r="L1617" s="26"/>
    </row>
    <row r="1618" spans="1:12">
      <c r="A1618" s="20" t="s">
        <v>655</v>
      </c>
      <c r="B1618" s="27" t="s">
        <v>521</v>
      </c>
      <c r="E1618" s="21">
        <f>IF(D1618="?OLD","!!!","")</f>
        <v/>
      </c>
      <c r="F1618" s="22" t="str">
        <f>IF(OR(E1618="",E1618="!!!"),"",IF(NOT(ISNA(VLOOKUP(E1618,E$1:E1617,1,FALSE()))),"OLD",IF(AND(E1618&lt;&gt;"",E1618&lt;&gt;"!!!"),"NEW","")))</f>
        <v> </v>
      </c>
      <c r="G1618" s="23" t="str">
        <f>IF(OR(E1618="",E1618="!!!"),"",IF(OR(J1618=0,AND(J1618=1,K1618=1),AND(J1618=1,I1618="SBJ"),AND(J1618=1,I1618=0)),"?IN_FOCUS",IF(J1618&lt;=2,"?ACTIVATED",IF(J1618&lt;&gt;"","?FAMILIAR",IF(F1618="NEW",IF(ISNA(VLOOKUP(E1618,#REF!,1,FALSE())),"?TYPE_IDENTIFIABLE","?REFERENTIAL"),"_")))))</f>
        <v> </v>
      </c>
      <c r="H1618" s="24" t="str">
        <f>IF(J1618&lt;&gt;1,"",IF(I1618="SBJ","CB","?"))</f>
        <v> </v>
      </c>
      <c r="I1618" s="25" t="str">
        <f>IF(OR(E1618="",E1618="!!!",F1618="NEW"),"",INDEX(B1617:B$2,-1+SUMPRODUCT(MAX(ROW(E1617:E$2)*(E1618=E1617:E$2)))))</f>
        <v> </v>
      </c>
      <c r="J1618" s="25" t="str">
        <f>IF(OR(E1618="",E1618="!!!",F1618="NEW"),"",COUNTBLANK(OFFSET(A$1,,,SUMPRODUCT(MAX(ROW(E$2:E1618)*(E1618=E$2:E1618)))))-COUNTBLANK(OFFSET(A$1,,,SUMPRODUCT(MAX(ROW(E$1:E1617)*(E2=E$1:E1617))))))</f>
        <v> </v>
      </c>
      <c r="K1618" s="25" t="str">
        <f>IF(OR(E1618="",E1618="!!!",F1618="NEW"),"",INDEX(J$1:J1617,SUMPRODUCT(MAX(ROW(E$1:E1617)*(E1618=E$1:E1617)))))</f>
        <v> </v>
      </c>
      <c r="L1618" s="26"/>
    </row>
    <row r="1619" spans="1:12">
      <c r="A1619" s="20" t="s">
        <v>656</v>
      </c>
      <c r="E1619" s="21">
        <f>IF(D1619="?OLD","!!!","")</f>
        <v/>
      </c>
      <c r="F1619" s="22" t="str">
        <f>IF(OR(E1619="",E1619="!!!"),"",IF(NOT(ISNA(VLOOKUP(E1619,E$1:E1618,1,FALSE()))),"OLD",IF(AND(E1619&lt;&gt;"",E1619&lt;&gt;"!!!"),"NEW","")))</f>
        <v> </v>
      </c>
      <c r="G1619" s="23" t="str">
        <f>IF(OR(E1619="",E1619="!!!"),"",IF(OR(J1619=0,AND(J1619=1,K1619=1),AND(J1619=1,I1619="SBJ"),AND(J1619=1,I1619=0)),"?IN_FOCUS",IF(J1619&lt;=2,"?ACTIVATED",IF(J1619&lt;&gt;"","?FAMILIAR",IF(F1619="NEW",IF(ISNA(VLOOKUP(E1619,#REF!,1,FALSE())),"?TYPE_IDENTIFIABLE","?REFERENTIAL"),"_")))))</f>
        <v> </v>
      </c>
      <c r="H1619" s="24" t="str">
        <f>IF(J1619&lt;&gt;1,"",IF(I1619="SBJ","CB","?"))</f>
        <v> </v>
      </c>
      <c r="I1619" s="25" t="str">
        <f>IF(OR(E1619="",E1619="!!!",F1619="NEW"),"",INDEX(B1618:B$2,-1+SUMPRODUCT(MAX(ROW(E1618:E$2)*(E1619=E1618:E$2)))))</f>
        <v> </v>
      </c>
      <c r="J1619" s="25" t="str">
        <f>IF(OR(E1619="",E1619="!!!",F1619="NEW"),"",COUNTBLANK(OFFSET(A$1,,,SUMPRODUCT(MAX(ROW(E$2:E1619)*(E1619=E$2:E1619)))))-COUNTBLANK(OFFSET(A$1,,,SUMPRODUCT(MAX(ROW(E$1:E1618)*(E2=E$1:E1618))))))</f>
        <v> </v>
      </c>
      <c r="K1619" s="25" t="str">
        <f>IF(OR(E1619="",E1619="!!!",F1619="NEW"),"",INDEX(J$1:J1618,SUMPRODUCT(MAX(ROW(E$1:E1618)*(E1619=E$1:E1618)))))</f>
        <v> </v>
      </c>
      <c r="L1619" s="26"/>
    </row>
    <row r="1620" spans="1:12">
      <c r="A1620" s="20" t="s">
        <v>1195</v>
      </c>
      <c r="E1620" s="21">
        <f>IF(D1620="?OLD","!!!","")</f>
        <v/>
      </c>
      <c r="F1620" s="22" t="str">
        <f>IF(OR(E1620="",E1620="!!!"),"",IF(NOT(ISNA(VLOOKUP(E1620,E$1:E1619,1,FALSE()))),"OLD",IF(AND(E1620&lt;&gt;"",E1620&lt;&gt;"!!!"),"NEW","")))</f>
        <v> </v>
      </c>
      <c r="G1620" s="23" t="str">
        <f>IF(OR(E1620="",E1620="!!!"),"",IF(OR(J1620=0,AND(J1620=1,K1620=1),AND(J1620=1,I1620="SBJ"),AND(J1620=1,I1620=0)),"?IN_FOCUS",IF(J1620&lt;=2,"?ACTIVATED",IF(J1620&lt;&gt;"","?FAMILIAR",IF(F1620="NEW",IF(ISNA(VLOOKUP(E1620,#REF!,1,FALSE())),"?TYPE_IDENTIFIABLE","?REFERENTIAL"),"_")))))</f>
        <v> </v>
      </c>
      <c r="H1620" s="24" t="str">
        <f>IF(J1620&lt;&gt;1,"",IF(I1620="SBJ","CB","?"))</f>
        <v> </v>
      </c>
      <c r="I1620" s="25" t="str">
        <f>IF(OR(E1620="",E1620="!!!",F1620="NEW"),"",INDEX(B1619:B$2,-1+SUMPRODUCT(MAX(ROW(E1619:E$2)*(E1620=E1619:E$2)))))</f>
        <v> </v>
      </c>
      <c r="J1620" s="25" t="str">
        <f>IF(OR(E1620="",E1620="!!!",F1620="NEW"),"",COUNTBLANK(OFFSET(A$1,,,SUMPRODUCT(MAX(ROW(E$2:E1620)*(E1620=E$2:E1620)))))-COUNTBLANK(OFFSET(A$1,,,SUMPRODUCT(MAX(ROW(E$1:E1619)*(E2=E$1:E1619))))))</f>
        <v> </v>
      </c>
      <c r="K1620" s="25" t="str">
        <f>IF(OR(E1620="",E1620="!!!",F1620="NEW"),"",INDEX(J$1:J1619,SUMPRODUCT(MAX(ROW(E$1:E1619)*(E1620=E$1:E1619)))))</f>
        <v> </v>
      </c>
      <c r="L1620" s="26"/>
    </row>
    <row r="1621" spans="1:12">
      <c r="A1621" s="20" t="s">
        <v>576</v>
      </c>
      <c r="B1621" s="27" t="s">
        <v>577</v>
      </c>
      <c r="C1621" s="27" t="s">
        <v>477</v>
      </c>
      <c r="D1621" s="27" t="s">
        <v>478</v>
      </c>
      <c r="E1621" s="21">
        <f>IF(D1621="?OLD","!!!","")</f>
        <v/>
      </c>
      <c r="F1621" s="22" t="str">
        <f>IF(OR(E1621="",E1621="!!!"),"",IF(NOT(ISNA(VLOOKUP(E1621,E$1:E1620,1,FALSE()))),"OLD",IF(AND(E1621&lt;&gt;"",E1621&lt;&gt;"!!!"),"NEW","")))</f>
        <v> </v>
      </c>
      <c r="G1621" s="23" t="str">
        <f>IF(OR(E1621="",E1621="!!!"),"",IF(OR(J1621=0,AND(J1621=1,K1621=1),AND(J1621=1,I1621="SBJ"),AND(J1621=1,I1621=0)),"?IN_FOCUS",IF(J1621&lt;=2,"?ACTIVATED",IF(J1621&lt;&gt;"","?FAMILIAR",IF(F1621="NEW",IF(ISNA(VLOOKUP(E1621,#REF!,1,FALSE())),"?TYPE_IDENTIFIABLE","?REFERENTIAL"),"_")))))</f>
        <v> </v>
      </c>
      <c r="H1621" s="24" t="str">
        <f>IF(J1621&lt;&gt;1,"",IF(I1621="SBJ","CB","?"))</f>
        <v> </v>
      </c>
      <c r="I1621" s="25" t="str">
        <f>IF(OR(E1621="",E1621="!!!",F1621="NEW"),"",INDEX(B1620:B$2,-1+SUMPRODUCT(MAX(ROW(E1620:E$2)*(E1621=E1620:E$2)))))</f>
        <v> </v>
      </c>
      <c r="J1621" s="25" t="str">
        <f>IF(OR(E1621="",E1621="!!!",F1621="NEW"),"",COUNTBLANK(OFFSET(A$1,,,SUMPRODUCT(MAX(ROW(E$2:E1621)*(E1621=E$2:E1621)))))-COUNTBLANK(OFFSET(A$1,,,SUMPRODUCT(MAX(ROW(E$1:E1620)*(E2=E$1:E1620))))))</f>
        <v> </v>
      </c>
      <c r="K1621" s="25" t="str">
        <f>IF(OR(E1621="",E1621="!!!",F1621="NEW"),"",INDEX(J$1:J1620,SUMPRODUCT(MAX(ROW(E$1:E1620)*(E1621=E$1:E1620)))))</f>
        <v> </v>
      </c>
      <c r="L1621" s="26"/>
    </row>
    <row r="1622" spans="1:12">
      <c r="A1622" s="20" t="s">
        <v>482</v>
      </c>
      <c r="E1622" s="21">
        <f>IF(D1622="?OLD","!!!","")</f>
        <v/>
      </c>
      <c r="F1622" s="22" t="str">
        <f>IF(OR(E1622="",E1622="!!!"),"",IF(NOT(ISNA(VLOOKUP(E1622,E$1:E1621,1,FALSE()))),"OLD",IF(AND(E1622&lt;&gt;"",E1622&lt;&gt;"!!!"),"NEW","")))</f>
        <v> </v>
      </c>
      <c r="G1622" s="23" t="str">
        <f>IF(OR(E1622="",E1622="!!!"),"",IF(OR(J1622=0,AND(J1622=1,K1622=1),AND(J1622=1,I1622="SBJ"),AND(J1622=1,I1622=0)),"?IN_FOCUS",IF(J1622&lt;=2,"?ACTIVATED",IF(J1622&lt;&gt;"","?FAMILIAR",IF(F1622="NEW",IF(ISNA(VLOOKUP(E1622,#REF!,1,FALSE())),"?TYPE_IDENTIFIABLE","?REFERENTIAL"),"_")))))</f>
        <v> </v>
      </c>
      <c r="H1622" s="24" t="str">
        <f>IF(J1622&lt;&gt;1,"",IF(I1622="SBJ","CB","?"))</f>
        <v> </v>
      </c>
      <c r="I1622" s="25" t="str">
        <f>IF(OR(E1622="",E1622="!!!",F1622="NEW"),"",INDEX(B1621:B$2,-1+SUMPRODUCT(MAX(ROW(E1621:E$2)*(E1622=E1621:E$2)))))</f>
        <v> </v>
      </c>
      <c r="J1622" s="25" t="str">
        <f>IF(OR(E1622="",E1622="!!!",F1622="NEW"),"",COUNTBLANK(OFFSET(A$1,,,SUMPRODUCT(MAX(ROW(E$2:E1622)*(E1622=E$2:E1622)))))-COUNTBLANK(OFFSET(A$1,,,SUMPRODUCT(MAX(ROW(E$1:E1621)*(E2=E$1:E1621))))))</f>
        <v> </v>
      </c>
      <c r="K1622" s="25" t="str">
        <f>IF(OR(E1622="",E1622="!!!",F1622="NEW"),"",INDEX(J$1:J1621,SUMPRODUCT(MAX(ROW(E$1:E1621)*(E1622=E$1:E1621)))))</f>
        <v> </v>
      </c>
      <c r="L1622" s="26"/>
    </row>
    <row r="1623" spans="1:12">
      <c r="A1623" s="20" t="s">
        <v>218</v>
      </c>
      <c r="E1623" s="21">
        <f>IF(D1623="?OLD","!!!","")</f>
        <v/>
      </c>
      <c r="F1623" s="22" t="str">
        <f>IF(OR(E1623="",E1623="!!!"),"",IF(NOT(ISNA(VLOOKUP(E1623,E$1:E1622,1,FALSE()))),"OLD",IF(AND(E1623&lt;&gt;"",E1623&lt;&gt;"!!!"),"NEW","")))</f>
        <v> </v>
      </c>
      <c r="G1623" s="23" t="str">
        <f>IF(OR(E1623="",E1623="!!!"),"",IF(OR(J1623=0,AND(J1623=1,K1623=1),AND(J1623=1,I1623="SBJ"),AND(J1623=1,I1623=0)),"?IN_FOCUS",IF(J1623&lt;=2,"?ACTIVATED",IF(J1623&lt;&gt;"","?FAMILIAR",IF(F1623="NEW",IF(ISNA(VLOOKUP(E1623,#REF!,1,FALSE())),"?TYPE_IDENTIFIABLE","?REFERENTIAL"),"_")))))</f>
        <v> </v>
      </c>
      <c r="H1623" s="24" t="str">
        <f>IF(J1623&lt;&gt;1,"",IF(I1623="SBJ","CB","?"))</f>
        <v> </v>
      </c>
      <c r="I1623" s="25" t="str">
        <f>IF(OR(E1623="",E1623="!!!",F1623="NEW"),"",INDEX(B1622:B$2,-1+SUMPRODUCT(MAX(ROW(E1622:E$2)*(E1623=E1622:E$2)))))</f>
        <v> </v>
      </c>
      <c r="J1623" s="25" t="str">
        <f>IF(OR(E1623="",E1623="!!!",F1623="NEW"),"",COUNTBLANK(OFFSET(A$1,,,SUMPRODUCT(MAX(ROW(E$2:E1623)*(E1623=E$2:E1623)))))-COUNTBLANK(OFFSET(A$1,,,SUMPRODUCT(MAX(ROW(E$1:E1622)*(E2=E$1:E1622))))))</f>
        <v> </v>
      </c>
      <c r="K1623" s="25" t="str">
        <f>IF(OR(E1623="",E1623="!!!",F1623="NEW"),"",INDEX(J$1:J1622,SUMPRODUCT(MAX(ROW(E$1:E1622)*(E1623=E$1:E1622)))))</f>
        <v> </v>
      </c>
      <c r="L1623" s="26"/>
    </row>
    <row r="1624" spans="1:12">
      <c r="A1624" s="20" t="s">
        <v>724</v>
      </c>
      <c r="E1624" s="21">
        <f>IF(D1624="?OLD","!!!","")</f>
        <v/>
      </c>
      <c r="F1624" s="22" t="str">
        <f>IF(OR(E1624="",E1624="!!!"),"",IF(NOT(ISNA(VLOOKUP(E1624,E$1:E1623,1,FALSE()))),"OLD",IF(AND(E1624&lt;&gt;"",E1624&lt;&gt;"!!!"),"NEW","")))</f>
        <v> </v>
      </c>
      <c r="G1624" s="23" t="str">
        <f>IF(OR(E1624="",E1624="!!!"),"",IF(OR(J1624=0,AND(J1624=1,K1624=1),AND(J1624=1,I1624="SBJ"),AND(J1624=1,I1624=0)),"?IN_FOCUS",IF(J1624&lt;=2,"?ACTIVATED",IF(J1624&lt;&gt;"","?FAMILIAR",IF(F1624="NEW",IF(ISNA(VLOOKUP(E1624,#REF!,1,FALSE())),"?TYPE_IDENTIFIABLE","?REFERENTIAL"),"_")))))</f>
        <v> </v>
      </c>
      <c r="H1624" s="24" t="str">
        <f>IF(J1624&lt;&gt;1,"",IF(I1624="SBJ","CB","?"))</f>
        <v> </v>
      </c>
      <c r="I1624" s="25" t="str">
        <f>IF(OR(E1624="",E1624="!!!",F1624="NEW"),"",INDEX(B1623:B$2,-1+SUMPRODUCT(MAX(ROW(E1623:E$2)*(E1624=E1623:E$2)))))</f>
        <v> </v>
      </c>
      <c r="J1624" s="25" t="str">
        <f>IF(OR(E1624="",E1624="!!!",F1624="NEW"),"",COUNTBLANK(OFFSET(A$1,,,SUMPRODUCT(MAX(ROW(E$2:E1624)*(E1624=E$2:E1624)))))-COUNTBLANK(OFFSET(A$1,,,SUMPRODUCT(MAX(ROW(E$1:E1623)*(E2=E$1:E1623))))))</f>
        <v> </v>
      </c>
      <c r="K1624" s="25" t="str">
        <f>IF(OR(E1624="",E1624="!!!",F1624="NEW"),"",INDEX(J$1:J1623,SUMPRODUCT(MAX(ROW(E$1:E1623)*(E1624=E$1:E1623)))))</f>
        <v> </v>
      </c>
      <c r="L1624" s="26"/>
    </row>
    <row r="1625" spans="1:12">
      <c r="A1625" s="20" t="s">
        <v>873</v>
      </c>
      <c r="B1625" s="27" t="s">
        <v>511</v>
      </c>
      <c r="C1625" s="27" t="s">
        <v>477</v>
      </c>
      <c r="D1625" s="27" t="s">
        <v>478</v>
      </c>
      <c r="E1625" s="21">
        <f>IF(D1625="?OLD","!!!","")</f>
        <v/>
      </c>
      <c r="F1625" s="22" t="str">
        <f>IF(OR(E1625="",E1625="!!!"),"",IF(NOT(ISNA(VLOOKUP(E1625,E$1:E1624,1,FALSE()))),"OLD",IF(AND(E1625&lt;&gt;"",E1625&lt;&gt;"!!!"),"NEW","")))</f>
        <v> </v>
      </c>
      <c r="G1625" s="23" t="str">
        <f>IF(OR(E1625="",E1625="!!!"),"",IF(OR(J1625=0,AND(J1625=1,K1625=1),AND(J1625=1,I1625="SBJ"),AND(J1625=1,I1625=0)),"?IN_FOCUS",IF(J1625&lt;=2,"?ACTIVATED",IF(J1625&lt;&gt;"","?FAMILIAR",IF(F1625="NEW",IF(ISNA(VLOOKUP(E1625,#REF!,1,FALSE())),"?TYPE_IDENTIFIABLE","?REFERENTIAL"),"_")))))</f>
        <v> </v>
      </c>
      <c r="H1625" s="24" t="str">
        <f>IF(J1625&lt;&gt;1,"",IF(I1625="SBJ","CB","?"))</f>
        <v> </v>
      </c>
      <c r="I1625" s="25" t="str">
        <f>IF(OR(E1625="",E1625="!!!",F1625="NEW"),"",INDEX(B1624:B$2,-1+SUMPRODUCT(MAX(ROW(E1624:E$2)*(E1625=E1624:E$2)))))</f>
        <v> </v>
      </c>
      <c r="J1625" s="25" t="str">
        <f>IF(OR(E1625="",E1625="!!!",F1625="NEW"),"",COUNTBLANK(OFFSET(A$1,,,SUMPRODUCT(MAX(ROW(E$2:E1625)*(E1625=E$2:E1625)))))-COUNTBLANK(OFFSET(A$1,,,SUMPRODUCT(MAX(ROW(E$1:E1624)*(E2=E$1:E1624))))))</f>
        <v> </v>
      </c>
      <c r="K1625" s="25" t="str">
        <f>IF(OR(E1625="",E1625="!!!",F1625="NEW"),"",INDEX(J$1:J1624,SUMPRODUCT(MAX(ROW(E$1:E1624)*(E1625=E$1:E1624)))))</f>
        <v> </v>
      </c>
      <c r="L1625" s="26"/>
    </row>
    <row r="1626" spans="1:12">
      <c r="A1626" s="20" t="s">
        <v>634</v>
      </c>
      <c r="E1626" s="21">
        <f>IF(D1626="?OLD","!!!","")</f>
        <v/>
      </c>
      <c r="F1626" s="22" t="str">
        <f>IF(OR(E1626="",E1626="!!!"),"",IF(NOT(ISNA(VLOOKUP(E1626,E$1:E1625,1,FALSE()))),"OLD",IF(AND(E1626&lt;&gt;"",E1626&lt;&gt;"!!!"),"NEW","")))</f>
        <v> </v>
      </c>
      <c r="G1626" s="23" t="str">
        <f>IF(OR(E1626="",E1626="!!!"),"",IF(OR(J1626=0,AND(J1626=1,K1626=1),AND(J1626=1,I1626="SBJ"),AND(J1626=1,I1626=0)),"?IN_FOCUS",IF(J1626&lt;=2,"?ACTIVATED",IF(J1626&lt;&gt;"","?FAMILIAR",IF(F1626="NEW",IF(ISNA(VLOOKUP(E1626,#REF!,1,FALSE())),"?TYPE_IDENTIFIABLE","?REFERENTIAL"),"_")))))</f>
        <v> </v>
      </c>
      <c r="H1626" s="24" t="str">
        <f>IF(J1626&lt;&gt;1,"",IF(I1626="SBJ","CB","?"))</f>
        <v> </v>
      </c>
      <c r="I1626" s="25" t="str">
        <f>IF(OR(E1626="",E1626="!!!",F1626="NEW"),"",INDEX(B1625:B$2,-1+SUMPRODUCT(MAX(ROW(E1625:E$2)*(E1626=E1625:E$2)))))</f>
        <v> </v>
      </c>
      <c r="J1626" s="25" t="str">
        <f>IF(OR(E1626="",E1626="!!!",F1626="NEW"),"",COUNTBLANK(OFFSET(A$1,,,SUMPRODUCT(MAX(ROW(E$2:E1626)*(E1626=E$2:E1626)))))-COUNTBLANK(OFFSET(A$1,,,SUMPRODUCT(MAX(ROW(E$1:E1625)*(E2=E$1:E1625))))))</f>
        <v> </v>
      </c>
      <c r="K1626" s="25" t="str">
        <f>IF(OR(E1626="",E1626="!!!",F1626="NEW"),"",INDEX(J$1:J1625,SUMPRODUCT(MAX(ROW(E$1:E1625)*(E1626=E$1:E1625)))))</f>
        <v> </v>
      </c>
      <c r="L1626" s="26"/>
    </row>
    <row r="1627" spans="1:12">
      <c r="A1627" s="20" t="s">
        <v>675</v>
      </c>
      <c r="E1627" s="21">
        <f>IF(D1627="?OLD","!!!","")</f>
        <v/>
      </c>
      <c r="F1627" s="22" t="str">
        <f>IF(OR(E1627="",E1627="!!!"),"",IF(NOT(ISNA(VLOOKUP(E1627,E$1:E1626,1,FALSE()))),"OLD",IF(AND(E1627&lt;&gt;"",E1627&lt;&gt;"!!!"),"NEW","")))</f>
        <v> </v>
      </c>
      <c r="G1627" s="23" t="str">
        <f>IF(OR(E1627="",E1627="!!!"),"",IF(OR(J1627=0,AND(J1627=1,K1627=1),AND(J1627=1,I1627="SBJ"),AND(J1627=1,I1627=0)),"?IN_FOCUS",IF(J1627&lt;=2,"?ACTIVATED",IF(J1627&lt;&gt;"","?FAMILIAR",IF(F1627="NEW",IF(ISNA(VLOOKUP(E1627,#REF!,1,FALSE())),"?TYPE_IDENTIFIABLE","?REFERENTIAL"),"_")))))</f>
        <v> </v>
      </c>
      <c r="H1627" s="24" t="str">
        <f>IF(J1627&lt;&gt;1,"",IF(I1627="SBJ","CB","?"))</f>
        <v> </v>
      </c>
      <c r="I1627" s="25" t="str">
        <f>IF(OR(E1627="",E1627="!!!",F1627="NEW"),"",INDEX(B1626:B$2,-1+SUMPRODUCT(MAX(ROW(E1626:E$2)*(E1627=E1626:E$2)))))</f>
        <v> </v>
      </c>
      <c r="J1627" s="25" t="str">
        <f>IF(OR(E1627="",E1627="!!!",F1627="NEW"),"",COUNTBLANK(OFFSET(A$1,,,SUMPRODUCT(MAX(ROW(E$2:E1627)*(E1627=E$2:E1627)))))-COUNTBLANK(OFFSET(A$1,,,SUMPRODUCT(MAX(ROW(E$1:E1626)*(E2=E$1:E1626))))))</f>
        <v> </v>
      </c>
      <c r="K1627" s="25" t="str">
        <f>IF(OR(E1627="",E1627="!!!",F1627="NEW"),"",INDEX(J$1:J1626,SUMPRODUCT(MAX(ROW(E$1:E1626)*(E1627=E$1:E1626)))))</f>
        <v> </v>
      </c>
      <c r="L1627" s="26"/>
    </row>
    <row r="1628" spans="1:12">
      <c r="A1628" s="20" t="s">
        <v>1196</v>
      </c>
      <c r="B1628" s="27" t="s">
        <v>538</v>
      </c>
      <c r="C1628" s="27" t="s">
        <v>474</v>
      </c>
      <c r="E1628" s="21">
        <f>IF(D1628="?OLD","!!!","")</f>
        <v/>
      </c>
      <c r="F1628" s="22" t="str">
        <f>IF(OR(E1628="",E1628="!!!"),"",IF(NOT(ISNA(VLOOKUP(E1628,E$1:E1627,1,FALSE()))),"OLD",IF(AND(E1628&lt;&gt;"",E1628&lt;&gt;"!!!"),"NEW","")))</f>
        <v> </v>
      </c>
      <c r="G1628" s="23" t="str">
        <f>IF(OR(E1628="",E1628="!!!"),"",IF(OR(J1628=0,AND(J1628=1,K1628=1),AND(J1628=1,I1628="SBJ"),AND(J1628=1,I1628=0)),"?IN_FOCUS",IF(J1628&lt;=2,"?ACTIVATED",IF(J1628&lt;&gt;"","?FAMILIAR",IF(F1628="NEW",IF(ISNA(VLOOKUP(E1628,#REF!,1,FALSE())),"?TYPE_IDENTIFIABLE","?REFERENTIAL"),"_")))))</f>
        <v> </v>
      </c>
      <c r="H1628" s="24" t="str">
        <f>IF(J1628&lt;&gt;1,"",IF(I1628="SBJ","CB","?"))</f>
        <v> </v>
      </c>
      <c r="I1628" s="25" t="str">
        <f>IF(OR(E1628="",E1628="!!!",F1628="NEW"),"",INDEX(B1627:B$2,-1+SUMPRODUCT(MAX(ROW(E1627:E$2)*(E1628=E1627:E$2)))))</f>
        <v> </v>
      </c>
      <c r="J1628" s="25" t="str">
        <f>IF(OR(E1628="",E1628="!!!",F1628="NEW"),"",COUNTBLANK(OFFSET(A$1,,,SUMPRODUCT(MAX(ROW(E$2:E1628)*(E1628=E$2:E1628)))))-COUNTBLANK(OFFSET(A$1,,,SUMPRODUCT(MAX(ROW(E$1:E1627)*(E2=E$1:E1627))))))</f>
        <v> </v>
      </c>
      <c r="K1628" s="25" t="str">
        <f>IF(OR(E1628="",E1628="!!!",F1628="NEW"),"",INDEX(J$1:J1627,SUMPRODUCT(MAX(ROW(E$1:E1627)*(E1628=E$1:E1627)))))</f>
        <v> </v>
      </c>
      <c r="L1628" s="26"/>
    </row>
    <row r="1629" spans="1:12">
      <c r="A1629" s="20" t="s">
        <v>482</v>
      </c>
      <c r="E1629" s="21">
        <f>IF(D1629="?OLD","!!!","")</f>
        <v/>
      </c>
      <c r="F1629" s="22" t="str">
        <f>IF(OR(E1629="",E1629="!!!"),"",IF(NOT(ISNA(VLOOKUP(E1629,E$1:E1628,1,FALSE()))),"OLD",IF(AND(E1629&lt;&gt;"",E1629&lt;&gt;"!!!"),"NEW","")))</f>
        <v> </v>
      </c>
      <c r="G1629" s="23" t="str">
        <f>IF(OR(E1629="",E1629="!!!"),"",IF(OR(J1629=0,AND(J1629=1,K1629=1),AND(J1629=1,I1629="SBJ"),AND(J1629=1,I1629=0)),"?IN_FOCUS",IF(J1629&lt;=2,"?ACTIVATED",IF(J1629&lt;&gt;"","?FAMILIAR",IF(F1629="NEW",IF(ISNA(VLOOKUP(E1629,#REF!,1,FALSE())),"?TYPE_IDENTIFIABLE","?REFERENTIAL"),"_")))))</f>
        <v> </v>
      </c>
      <c r="H1629" s="24" t="str">
        <f>IF(J1629&lt;&gt;1,"",IF(I1629="SBJ","CB","?"))</f>
        <v> </v>
      </c>
      <c r="I1629" s="25" t="str">
        <f>IF(OR(E1629="",E1629="!!!",F1629="NEW"),"",INDEX(B1628:B$2,-1+SUMPRODUCT(MAX(ROW(E1628:E$2)*(E1629=E1628:E$2)))))</f>
        <v> </v>
      </c>
      <c r="J1629" s="25" t="str">
        <f>IF(OR(E1629="",E1629="!!!",F1629="NEW"),"",COUNTBLANK(OFFSET(A$1,,,SUMPRODUCT(MAX(ROW(E$2:E1629)*(E1629=E$2:E1629)))))-COUNTBLANK(OFFSET(A$1,,,SUMPRODUCT(MAX(ROW(E$1:E1628)*(E2=E$1:E1628))))))</f>
        <v> </v>
      </c>
      <c r="K1629" s="25" t="str">
        <f>IF(OR(E1629="",E1629="!!!",F1629="NEW"),"",INDEX(J$1:J1628,SUMPRODUCT(MAX(ROW(E$1:E1628)*(E1629=E$1:E1628)))))</f>
        <v> </v>
      </c>
      <c r="L1629" s="26"/>
    </row>
    <row r="1630" spans="1:12">
      <c r="A1630" s="20" t="s">
        <v>1117</v>
      </c>
      <c r="E1630" s="21">
        <f>IF(D1630="?OLD","!!!","")</f>
        <v/>
      </c>
      <c r="F1630" s="22" t="str">
        <f>IF(OR(E1630="",E1630="!!!"),"",IF(NOT(ISNA(VLOOKUP(E1630,E$1:E1629,1,FALSE()))),"OLD",IF(AND(E1630&lt;&gt;"",E1630&lt;&gt;"!!!"),"NEW","")))</f>
        <v> </v>
      </c>
      <c r="G1630" s="23" t="str">
        <f>IF(OR(E1630="",E1630="!!!"),"",IF(OR(J1630=0,AND(J1630=1,K1630=1),AND(J1630=1,I1630="SBJ"),AND(J1630=1,I1630=0)),"?IN_FOCUS",IF(J1630&lt;=2,"?ACTIVATED",IF(J1630&lt;&gt;"","?FAMILIAR",IF(F1630="NEW",IF(ISNA(VLOOKUP(E1630,#REF!,1,FALSE())),"?TYPE_IDENTIFIABLE","?REFERENTIAL"),"_")))))</f>
        <v> </v>
      </c>
      <c r="H1630" s="24" t="str">
        <f>IF(J1630&lt;&gt;1,"",IF(I1630="SBJ","CB","?"))</f>
        <v> </v>
      </c>
      <c r="I1630" s="25" t="str">
        <f>IF(OR(E1630="",E1630="!!!",F1630="NEW"),"",INDEX(B1629:B$2,-1+SUMPRODUCT(MAX(ROW(E1629:E$2)*(E1630=E1629:E$2)))))</f>
        <v> </v>
      </c>
      <c r="J1630" s="25" t="str">
        <f>IF(OR(E1630="",E1630="!!!",F1630="NEW"),"",COUNTBLANK(OFFSET(A$1,,,SUMPRODUCT(MAX(ROW(E$2:E1630)*(E1630=E$2:E1630)))))-COUNTBLANK(OFFSET(A$1,,,SUMPRODUCT(MAX(ROW(E$1:E1629)*(E2=E$1:E1629))))))</f>
        <v> </v>
      </c>
      <c r="K1630" s="25" t="str">
        <f>IF(OR(E1630="",E1630="!!!",F1630="NEW"),"",INDEX(J$1:J1629,SUMPRODUCT(MAX(ROW(E$1:E1629)*(E1630=E$1:E1629)))))</f>
        <v> </v>
      </c>
      <c r="L1630" s="26"/>
    </row>
    <row r="1631" spans="1:12">
      <c r="A1631" s="20" t="s">
        <v>513</v>
      </c>
      <c r="E1631" s="21">
        <f>IF(D1631="?OLD","!!!","")</f>
        <v/>
      </c>
      <c r="F1631" s="22" t="str">
        <f>IF(OR(E1631="",E1631="!!!"),"",IF(NOT(ISNA(VLOOKUP(E1631,E$1:E1630,1,FALSE()))),"OLD",IF(AND(E1631&lt;&gt;"",E1631&lt;&gt;"!!!"),"NEW","")))</f>
        <v> </v>
      </c>
      <c r="G1631" s="23" t="str">
        <f>IF(OR(E1631="",E1631="!!!"),"",IF(OR(J1631=0,AND(J1631=1,K1631=1),AND(J1631=1,I1631="SBJ"),AND(J1631=1,I1631=0)),"?IN_FOCUS",IF(J1631&lt;=2,"?ACTIVATED",IF(J1631&lt;&gt;"","?FAMILIAR",IF(F1631="NEW",IF(ISNA(VLOOKUP(E1631,#REF!,1,FALSE())),"?TYPE_IDENTIFIABLE","?REFERENTIAL"),"_")))))</f>
        <v> </v>
      </c>
      <c r="H1631" s="24" t="str">
        <f>IF(J1631&lt;&gt;1,"",IF(I1631="SBJ","CB","?"))</f>
        <v> </v>
      </c>
      <c r="I1631" s="25" t="str">
        <f>IF(OR(E1631="",E1631="!!!",F1631="NEW"),"",INDEX(B1630:B$2,-1+SUMPRODUCT(MAX(ROW(E1630:E$2)*(E1631=E1630:E$2)))))</f>
        <v> </v>
      </c>
      <c r="J1631" s="25" t="str">
        <f>IF(OR(E1631="",E1631="!!!",F1631="NEW"),"",COUNTBLANK(OFFSET(A$1,,,SUMPRODUCT(MAX(ROW(E$2:E1631)*(E1631=E$2:E1631)))))-COUNTBLANK(OFFSET(A$1,,,SUMPRODUCT(MAX(ROW(E$1:E1630)*(E2=E$1:E1630))))))</f>
        <v> </v>
      </c>
      <c r="K1631" s="25" t="str">
        <f>IF(OR(E1631="",E1631="!!!",F1631="NEW"),"",INDEX(J$1:J1630,SUMPRODUCT(MAX(ROW(E$1:E1630)*(E1631=E$1:E1630)))))</f>
        <v> </v>
      </c>
      <c r="L1631" s="26"/>
    </row>
    <row r="1632" spans="1:12">
      <c r="A1632" s="20" t="s">
        <v>1197</v>
      </c>
      <c r="E1632" s="21">
        <f>IF(D1632="?OLD","!!!","")</f>
        <v/>
      </c>
      <c r="F1632" s="22" t="str">
        <f>IF(OR(E1632="",E1632="!!!"),"",IF(NOT(ISNA(VLOOKUP(E1632,E$1:E1631,1,FALSE()))),"OLD",IF(AND(E1632&lt;&gt;"",E1632&lt;&gt;"!!!"),"NEW","")))</f>
        <v> </v>
      </c>
      <c r="G1632" s="23" t="str">
        <f>IF(OR(E1632="",E1632="!!!"),"",IF(OR(J1632=0,AND(J1632=1,K1632=1),AND(J1632=1,I1632="SBJ"),AND(J1632=1,I1632=0)),"?IN_FOCUS",IF(J1632&lt;=2,"?ACTIVATED",IF(J1632&lt;&gt;"","?FAMILIAR",IF(F1632="NEW",IF(ISNA(VLOOKUP(E1632,#REF!,1,FALSE())),"?TYPE_IDENTIFIABLE","?REFERENTIAL"),"_")))))</f>
        <v> </v>
      </c>
      <c r="H1632" s="24" t="str">
        <f>IF(J1632&lt;&gt;1,"",IF(I1632="SBJ","CB","?"))</f>
        <v> </v>
      </c>
      <c r="I1632" s="25" t="str">
        <f>IF(OR(E1632="",E1632="!!!",F1632="NEW"),"",INDEX(B1631:B$2,-1+SUMPRODUCT(MAX(ROW(E1631:E$2)*(E1632=E1631:E$2)))))</f>
        <v> </v>
      </c>
      <c r="J1632" s="25" t="str">
        <f>IF(OR(E1632="",E1632="!!!",F1632="NEW"),"",COUNTBLANK(OFFSET(A$1,,,SUMPRODUCT(MAX(ROW(E$2:E1632)*(E1632=E$2:E1632)))))-COUNTBLANK(OFFSET(A$1,,,SUMPRODUCT(MAX(ROW(E$1:E1631)*(E2=E$1:E1631))))))</f>
        <v> </v>
      </c>
      <c r="K1632" s="25" t="str">
        <f>IF(OR(E1632="",E1632="!!!",F1632="NEW"),"",INDEX(J$1:J1631,SUMPRODUCT(MAX(ROW(E$1:E1631)*(E1632=E$1:E1631)))))</f>
        <v> </v>
      </c>
      <c r="L1632" s="26"/>
    </row>
    <row r="1633" spans="1:12">
      <c r="A1633" s="20" t="s">
        <v>1198</v>
      </c>
      <c r="E1633" s="21">
        <f>IF(D1633="?OLD","!!!","")</f>
        <v/>
      </c>
      <c r="F1633" s="22" t="str">
        <f>IF(OR(E1633="",E1633="!!!"),"",IF(NOT(ISNA(VLOOKUP(E1633,E$1:E1632,1,FALSE()))),"OLD",IF(AND(E1633&lt;&gt;"",E1633&lt;&gt;"!!!"),"NEW","")))</f>
        <v> </v>
      </c>
      <c r="G1633" s="23" t="str">
        <f>IF(OR(E1633="",E1633="!!!"),"",IF(OR(J1633=0,AND(J1633=1,K1633=1),AND(J1633=1,I1633="SBJ"),AND(J1633=1,I1633=0)),"?IN_FOCUS",IF(J1633&lt;=2,"?ACTIVATED",IF(J1633&lt;&gt;"","?FAMILIAR",IF(F1633="NEW",IF(ISNA(VLOOKUP(E1633,#REF!,1,FALSE())),"?TYPE_IDENTIFIABLE","?REFERENTIAL"),"_")))))</f>
        <v> </v>
      </c>
      <c r="H1633" s="24" t="str">
        <f>IF(J1633&lt;&gt;1,"",IF(I1633="SBJ","CB","?"))</f>
        <v> </v>
      </c>
      <c r="I1633" s="25" t="str">
        <f>IF(OR(E1633="",E1633="!!!",F1633="NEW"),"",INDEX(B1632:B$2,-1+SUMPRODUCT(MAX(ROW(E1632:E$2)*(E1633=E1632:E$2)))))</f>
        <v> </v>
      </c>
      <c r="J1633" s="25" t="str">
        <f>IF(OR(E1633="",E1633="!!!",F1633="NEW"),"",COUNTBLANK(OFFSET(A$1,,,SUMPRODUCT(MAX(ROW(E$2:E1633)*(E1633=E$2:E1633)))))-COUNTBLANK(OFFSET(A$1,,,SUMPRODUCT(MAX(ROW(E$1:E1632)*(E2=E$1:E1632))))))</f>
        <v> </v>
      </c>
      <c r="K1633" s="25" t="str">
        <f>IF(OR(E1633="",E1633="!!!",F1633="NEW"),"",INDEX(J$1:J1632,SUMPRODUCT(MAX(ROW(E$1:E1632)*(E1633=E$1:E1632)))))</f>
        <v> </v>
      </c>
      <c r="L1633" s="26"/>
    </row>
    <row r="1634" spans="1:12">
      <c r="A1634" s="20" t="s">
        <v>482</v>
      </c>
      <c r="E1634" s="21">
        <f>IF(D1634="?OLD","!!!","")</f>
        <v/>
      </c>
      <c r="F1634" s="22" t="str">
        <f>IF(OR(E1634="",E1634="!!!"),"",IF(NOT(ISNA(VLOOKUP(E1634,E$1:E1633,1,FALSE()))),"OLD",IF(AND(E1634&lt;&gt;"",E1634&lt;&gt;"!!!"),"NEW","")))</f>
        <v> </v>
      </c>
      <c r="G1634" s="23" t="str">
        <f>IF(OR(E1634="",E1634="!!!"),"",IF(OR(J1634=0,AND(J1634=1,K1634=1),AND(J1634=1,I1634="SBJ"),AND(J1634=1,I1634=0)),"?IN_FOCUS",IF(J1634&lt;=2,"?ACTIVATED",IF(J1634&lt;&gt;"","?FAMILIAR",IF(F1634="NEW",IF(ISNA(VLOOKUP(E1634,#REF!,1,FALSE())),"?TYPE_IDENTIFIABLE","?REFERENTIAL"),"_")))))</f>
        <v> </v>
      </c>
      <c r="H1634" s="24" t="str">
        <f>IF(J1634&lt;&gt;1,"",IF(I1634="SBJ","CB","?"))</f>
        <v> </v>
      </c>
      <c r="I1634" s="25" t="str">
        <f>IF(OR(E1634="",E1634="!!!",F1634="NEW"),"",INDEX(B1633:B$2,-1+SUMPRODUCT(MAX(ROW(E1633:E$2)*(E1634=E1633:E$2)))))</f>
        <v> </v>
      </c>
      <c r="J1634" s="25" t="str">
        <f>IF(OR(E1634="",E1634="!!!",F1634="NEW"),"",COUNTBLANK(OFFSET(A$1,,,SUMPRODUCT(MAX(ROW(E$2:E1634)*(E1634=E$2:E1634)))))-COUNTBLANK(OFFSET(A$1,,,SUMPRODUCT(MAX(ROW(E$1:E1633)*(E2=E$1:E1633))))))</f>
        <v> </v>
      </c>
      <c r="K1634" s="25" t="str">
        <f>IF(OR(E1634="",E1634="!!!",F1634="NEW"),"",INDEX(J$1:J1633,SUMPRODUCT(MAX(ROW(E$1:E1633)*(E1634=E$1:E1633)))))</f>
        <v> </v>
      </c>
      <c r="L1634" s="26"/>
    </row>
    <row r="1635" spans="1:12">
      <c r="A1635" s="20" t="s">
        <v>1199</v>
      </c>
      <c r="E1635" s="21">
        <f>IF(D1635="?OLD","!!!","")</f>
        <v/>
      </c>
      <c r="F1635" s="22" t="str">
        <f>IF(OR(E1635="",E1635="!!!"),"",IF(NOT(ISNA(VLOOKUP(E1635,E$1:E1634,1,FALSE()))),"OLD",IF(AND(E1635&lt;&gt;"",E1635&lt;&gt;"!!!"),"NEW","")))</f>
        <v> </v>
      </c>
      <c r="G1635" s="23" t="str">
        <f>IF(OR(E1635="",E1635="!!!"),"",IF(OR(J1635=0,AND(J1635=1,K1635=1),AND(J1635=1,I1635="SBJ"),AND(J1635=1,I1635=0)),"?IN_FOCUS",IF(J1635&lt;=2,"?ACTIVATED",IF(J1635&lt;&gt;"","?FAMILIAR",IF(F1635="NEW",IF(ISNA(VLOOKUP(E1635,#REF!,1,FALSE())),"?TYPE_IDENTIFIABLE","?REFERENTIAL"),"_")))))</f>
        <v> </v>
      </c>
      <c r="H1635" s="24" t="str">
        <f>IF(J1635&lt;&gt;1,"",IF(I1635="SBJ","CB","?"))</f>
        <v> </v>
      </c>
      <c r="I1635" s="25" t="str">
        <f>IF(OR(E1635="",E1635="!!!",F1635="NEW"),"",INDEX(B1634:B$2,-1+SUMPRODUCT(MAX(ROW(E1634:E$2)*(E1635=E1634:E$2)))))</f>
        <v> </v>
      </c>
      <c r="J1635" s="25" t="str">
        <f>IF(OR(E1635="",E1635="!!!",F1635="NEW"),"",COUNTBLANK(OFFSET(A$1,,,SUMPRODUCT(MAX(ROW(E$2:E1635)*(E1635=E$2:E1635)))))-COUNTBLANK(OFFSET(A$1,,,SUMPRODUCT(MAX(ROW(E$1:E1634)*(E2=E$1:E1634))))))</f>
        <v> </v>
      </c>
      <c r="K1635" s="25" t="str">
        <f>IF(OR(E1635="",E1635="!!!",F1635="NEW"),"",INDEX(J$1:J1634,SUMPRODUCT(MAX(ROW(E$1:E1634)*(E1635=E$1:E1634)))))</f>
        <v> </v>
      </c>
      <c r="L1635" s="26"/>
    </row>
    <row r="1636" spans="1:12">
      <c r="A1636" s="20" t="s">
        <v>482</v>
      </c>
      <c r="E1636" s="21">
        <f>IF(D1636="?OLD","!!!","")</f>
        <v/>
      </c>
      <c r="F1636" s="22" t="str">
        <f>IF(OR(E1636="",E1636="!!!"),"",IF(NOT(ISNA(VLOOKUP(E1636,E$1:E1635,1,FALSE()))),"OLD",IF(AND(E1636&lt;&gt;"",E1636&lt;&gt;"!!!"),"NEW","")))</f>
        <v> </v>
      </c>
      <c r="G1636" s="23" t="str">
        <f>IF(OR(E1636="",E1636="!!!"),"",IF(OR(J1636=0,AND(J1636=1,K1636=1),AND(J1636=1,I1636="SBJ"),AND(J1636=1,I1636=0)),"?IN_FOCUS",IF(J1636&lt;=2,"?ACTIVATED",IF(J1636&lt;&gt;"","?FAMILIAR",IF(F1636="NEW",IF(ISNA(VLOOKUP(E1636,#REF!,1,FALSE())),"?TYPE_IDENTIFIABLE","?REFERENTIAL"),"_")))))</f>
        <v> </v>
      </c>
      <c r="H1636" s="24" t="str">
        <f>IF(J1636&lt;&gt;1,"",IF(I1636="SBJ","CB","?"))</f>
        <v> </v>
      </c>
      <c r="I1636" s="25" t="str">
        <f>IF(OR(E1636="",E1636="!!!",F1636="NEW"),"",INDEX(B1635:B$2,-1+SUMPRODUCT(MAX(ROW(E1635:E$2)*(E1636=E1635:E$2)))))</f>
        <v> </v>
      </c>
      <c r="J1636" s="25" t="str">
        <f>IF(OR(E1636="",E1636="!!!",F1636="NEW"),"",COUNTBLANK(OFFSET(A$1,,,SUMPRODUCT(MAX(ROW(E$2:E1636)*(E1636=E$2:E1636)))))-COUNTBLANK(OFFSET(A$1,,,SUMPRODUCT(MAX(ROW(E$1:E1635)*(E2=E$1:E1635))))))</f>
        <v> </v>
      </c>
      <c r="K1636" s="25" t="str">
        <f>IF(OR(E1636="",E1636="!!!",F1636="NEW"),"",INDEX(J$1:J1635,SUMPRODUCT(MAX(ROW(E$1:E1635)*(E1636=E$1:E1635)))))</f>
        <v> </v>
      </c>
      <c r="L1636" s="26"/>
    </row>
    <row r="1637" spans="1:12">
      <c r="A1637" s="20" t="s">
        <v>218</v>
      </c>
      <c r="E1637" s="21">
        <f>IF(D1637="?OLD","!!!","")</f>
        <v/>
      </c>
      <c r="F1637" s="22" t="str">
        <f>IF(OR(E1637="",E1637="!!!"),"",IF(NOT(ISNA(VLOOKUP(E1637,E$1:E1636,1,FALSE()))),"OLD",IF(AND(E1637&lt;&gt;"",E1637&lt;&gt;"!!!"),"NEW","")))</f>
        <v> </v>
      </c>
      <c r="G1637" s="23" t="str">
        <f>IF(OR(E1637="",E1637="!!!"),"",IF(OR(J1637=0,AND(J1637=1,K1637=1),AND(J1637=1,I1637="SBJ"),AND(J1637=1,I1637=0)),"?IN_FOCUS",IF(J1637&lt;=2,"?ACTIVATED",IF(J1637&lt;&gt;"","?FAMILIAR",IF(F1637="NEW",IF(ISNA(VLOOKUP(E1637,#REF!,1,FALSE())),"?TYPE_IDENTIFIABLE","?REFERENTIAL"),"_")))))</f>
        <v> </v>
      </c>
      <c r="H1637" s="24" t="str">
        <f>IF(J1637&lt;&gt;1,"",IF(I1637="SBJ","CB","?"))</f>
        <v> </v>
      </c>
      <c r="I1637" s="25" t="str">
        <f>IF(OR(E1637="",E1637="!!!",F1637="NEW"),"",INDEX(B1636:B$2,-1+SUMPRODUCT(MAX(ROW(E1636:E$2)*(E1637=E1636:E$2)))))</f>
        <v> </v>
      </c>
      <c r="J1637" s="25" t="str">
        <f>IF(OR(E1637="",E1637="!!!",F1637="NEW"),"",COUNTBLANK(OFFSET(A$1,,,SUMPRODUCT(MAX(ROW(E$2:E1637)*(E1637=E$2:E1637)))))-COUNTBLANK(OFFSET(A$1,,,SUMPRODUCT(MAX(ROW(E$1:E1636)*(E2=E$1:E1636))))))</f>
        <v> </v>
      </c>
      <c r="K1637" s="25" t="str">
        <f>IF(OR(E1637="",E1637="!!!",F1637="NEW"),"",INDEX(J$1:J1636,SUMPRODUCT(MAX(ROW(E$1:E1636)*(E1637=E$1:E1636)))))</f>
        <v> </v>
      </c>
      <c r="L1637" s="26"/>
    </row>
    <row r="1638" spans="1:12">
      <c r="A1638" s="20" t="s">
        <v>569</v>
      </c>
      <c r="B1638" s="27" t="s">
        <v>704</v>
      </c>
      <c r="C1638" s="27" t="s">
        <v>477</v>
      </c>
      <c r="D1638" s="27" t="s">
        <v>478</v>
      </c>
      <c r="E1638" s="21">
        <f>IF(D1638="?OLD","!!!","")</f>
        <v/>
      </c>
      <c r="F1638" s="22" t="str">
        <f>IF(OR(E1638="",E1638="!!!"),"",IF(NOT(ISNA(VLOOKUP(E1638,E$1:E1637,1,FALSE()))),"OLD",IF(AND(E1638&lt;&gt;"",E1638&lt;&gt;"!!!"),"NEW","")))</f>
        <v> </v>
      </c>
      <c r="G1638" s="23" t="str">
        <f>IF(OR(E1638="",E1638="!!!"),"",IF(OR(J1638=0,AND(J1638=1,K1638=1),AND(J1638=1,I1638="SBJ"),AND(J1638=1,I1638=0)),"?IN_FOCUS",IF(J1638&lt;=2,"?ACTIVATED",IF(J1638&lt;&gt;"","?FAMILIAR",IF(F1638="NEW",IF(ISNA(VLOOKUP(E1638,#REF!,1,FALSE())),"?TYPE_IDENTIFIABLE","?REFERENTIAL"),"_")))))</f>
        <v> </v>
      </c>
      <c r="H1638" s="24" t="str">
        <f>IF(J1638&lt;&gt;1,"",IF(I1638="SBJ","CB","?"))</f>
        <v> </v>
      </c>
      <c r="I1638" s="25" t="str">
        <f>IF(OR(E1638="",E1638="!!!",F1638="NEW"),"",INDEX(B1637:B$2,-1+SUMPRODUCT(MAX(ROW(E1637:E$2)*(E1638=E1637:E$2)))))</f>
        <v> </v>
      </c>
      <c r="J1638" s="25" t="str">
        <f>IF(OR(E1638="",E1638="!!!",F1638="NEW"),"",COUNTBLANK(OFFSET(A$1,,,SUMPRODUCT(MAX(ROW(E$2:E1638)*(E1638=E$2:E1638)))))-COUNTBLANK(OFFSET(A$1,,,SUMPRODUCT(MAX(ROW(E$1:E1637)*(E2=E$1:E1637))))))</f>
        <v> </v>
      </c>
      <c r="K1638" s="25" t="str">
        <f>IF(OR(E1638="",E1638="!!!",F1638="NEW"),"",INDEX(J$1:J1637,SUMPRODUCT(MAX(ROW(E$1:E1637)*(E1638=E$1:E1637)))))</f>
        <v> </v>
      </c>
      <c r="L1638" s="26"/>
    </row>
    <row r="1639" spans="1:12">
      <c r="A1639" s="20" t="s">
        <v>1200</v>
      </c>
      <c r="E1639" s="21">
        <f>IF(D1639="?OLD","!!!","")</f>
        <v/>
      </c>
      <c r="F1639" s="22" t="str">
        <f>IF(OR(E1639="",E1639="!!!"),"",IF(NOT(ISNA(VLOOKUP(E1639,E$1:E1638,1,FALSE()))),"OLD",IF(AND(E1639&lt;&gt;"",E1639&lt;&gt;"!!!"),"NEW","")))</f>
        <v> </v>
      </c>
      <c r="G1639" s="23" t="str">
        <f>IF(OR(E1639="",E1639="!!!"),"",IF(OR(J1639=0,AND(J1639=1,K1639=1),AND(J1639=1,I1639="SBJ"),AND(J1639=1,I1639=0)),"?IN_FOCUS",IF(J1639&lt;=2,"?ACTIVATED",IF(J1639&lt;&gt;"","?FAMILIAR",IF(F1639="NEW",IF(ISNA(VLOOKUP(E1639,#REF!,1,FALSE())),"?TYPE_IDENTIFIABLE","?REFERENTIAL"),"_")))))</f>
        <v> </v>
      </c>
      <c r="H1639" s="24" t="str">
        <f>IF(J1639&lt;&gt;1,"",IF(I1639="SBJ","CB","?"))</f>
        <v> </v>
      </c>
      <c r="I1639" s="25" t="str">
        <f>IF(OR(E1639="",E1639="!!!",F1639="NEW"),"",INDEX(B1638:B$2,-1+SUMPRODUCT(MAX(ROW(E1638:E$2)*(E1639=E1638:E$2)))))</f>
        <v> </v>
      </c>
      <c r="J1639" s="25" t="str">
        <f>IF(OR(E1639="",E1639="!!!",F1639="NEW"),"",COUNTBLANK(OFFSET(A$1,,,SUMPRODUCT(MAX(ROW(E$2:E1639)*(E1639=E$2:E1639)))))-COUNTBLANK(OFFSET(A$1,,,SUMPRODUCT(MAX(ROW(E$1:E1638)*(E2=E$1:E1638))))))</f>
        <v> </v>
      </c>
      <c r="K1639" s="25" t="str">
        <f>IF(OR(E1639="",E1639="!!!",F1639="NEW"),"",INDEX(J$1:J1638,SUMPRODUCT(MAX(ROW(E$1:E1638)*(E1639=E$1:E1638)))))</f>
        <v> </v>
      </c>
      <c r="L1639" s="26"/>
    </row>
    <row r="1640" spans="1:12">
      <c r="A1640" s="20" t="s">
        <v>771</v>
      </c>
      <c r="E1640" s="21">
        <f>IF(D1640="?OLD","!!!","")</f>
        <v/>
      </c>
      <c r="F1640" s="22" t="str">
        <f>IF(OR(E1640="",E1640="!!!"),"",IF(NOT(ISNA(VLOOKUP(E1640,E$1:E1639,1,FALSE()))),"OLD",IF(AND(E1640&lt;&gt;"",E1640&lt;&gt;"!!!"),"NEW","")))</f>
        <v> </v>
      </c>
      <c r="G1640" s="23" t="str">
        <f>IF(OR(E1640="",E1640="!!!"),"",IF(OR(J1640=0,AND(J1640=1,K1640=1),AND(J1640=1,I1640="SBJ"),AND(J1640=1,I1640=0)),"?IN_FOCUS",IF(J1640&lt;=2,"?ACTIVATED",IF(J1640&lt;&gt;"","?FAMILIAR",IF(F1640="NEW",IF(ISNA(VLOOKUP(E1640,#REF!,1,FALSE())),"?TYPE_IDENTIFIABLE","?REFERENTIAL"),"_")))))</f>
        <v> </v>
      </c>
      <c r="H1640" s="24" t="str">
        <f>IF(J1640&lt;&gt;1,"",IF(I1640="SBJ","CB","?"))</f>
        <v> </v>
      </c>
      <c r="I1640" s="25" t="str">
        <f>IF(OR(E1640="",E1640="!!!",F1640="NEW"),"",INDEX(B1639:B$2,-1+SUMPRODUCT(MAX(ROW(E1639:E$2)*(E1640=E1639:E$2)))))</f>
        <v> </v>
      </c>
      <c r="J1640" s="25" t="str">
        <f>IF(OR(E1640="",E1640="!!!",F1640="NEW"),"",COUNTBLANK(OFFSET(A$1,,,SUMPRODUCT(MAX(ROW(E$2:E1640)*(E1640=E$2:E1640)))))-COUNTBLANK(OFFSET(A$1,,,SUMPRODUCT(MAX(ROW(E$1:E1639)*(E2=E$1:E1639))))))</f>
        <v> </v>
      </c>
      <c r="K1640" s="25" t="str">
        <f>IF(OR(E1640="",E1640="!!!",F1640="NEW"),"",INDEX(J$1:J1639,SUMPRODUCT(MAX(ROW(E$1:E1639)*(E1640=E$1:E1639)))))</f>
        <v> </v>
      </c>
      <c r="L1640" s="26"/>
    </row>
    <row r="1641" spans="1:12">
      <c r="A1641" s="20" t="s">
        <v>772</v>
      </c>
      <c r="B1641" s="27" t="s">
        <v>722</v>
      </c>
      <c r="C1641" s="27" t="s">
        <v>497</v>
      </c>
      <c r="D1641" s="27" t="s">
        <v>478</v>
      </c>
      <c r="E1641" s="21">
        <f>IF(D1641="?OLD","!!!","")</f>
        <v/>
      </c>
      <c r="F1641" s="22" t="str">
        <f>IF(OR(E1641="",E1641="!!!"),"",IF(NOT(ISNA(VLOOKUP(E1641,E$1:E1640,1,FALSE()))),"OLD",IF(AND(E1641&lt;&gt;"",E1641&lt;&gt;"!!!"),"NEW","")))</f>
        <v> </v>
      </c>
      <c r="G1641" s="23" t="str">
        <f>IF(OR(E1641="",E1641="!!!"),"",IF(OR(J1641=0,AND(J1641=1,K1641=1),AND(J1641=1,I1641="SBJ"),AND(J1641=1,I1641=0)),"?IN_FOCUS",IF(J1641&lt;=2,"?ACTIVATED",IF(J1641&lt;&gt;"","?FAMILIAR",IF(F1641="NEW",IF(ISNA(VLOOKUP(E1641,#REF!,1,FALSE())),"?TYPE_IDENTIFIABLE","?REFERENTIAL"),"_")))))</f>
        <v> </v>
      </c>
      <c r="H1641" s="24" t="str">
        <f>IF(J1641&lt;&gt;1,"",IF(I1641="SBJ","CB","?"))</f>
        <v> </v>
      </c>
      <c r="I1641" s="25" t="str">
        <f>IF(OR(E1641="",E1641="!!!",F1641="NEW"),"",INDEX(B1640:B$2,-1+SUMPRODUCT(MAX(ROW(E1640:E$2)*(E1641=E1640:E$2)))))</f>
        <v> </v>
      </c>
      <c r="J1641" s="25" t="str">
        <f>IF(OR(E1641="",E1641="!!!",F1641="NEW"),"",COUNTBLANK(OFFSET(A$1,,,SUMPRODUCT(MAX(ROW(E$2:E1641)*(E1641=E$2:E1641)))))-COUNTBLANK(OFFSET(A$1,,,SUMPRODUCT(MAX(ROW(E$1:E1640)*(E2=E$1:E1640))))))</f>
        <v> </v>
      </c>
      <c r="K1641" s="25" t="str">
        <f>IF(OR(E1641="",E1641="!!!",F1641="NEW"),"",INDEX(J$1:J1640,SUMPRODUCT(MAX(ROW(E$1:E1640)*(E1641=E$1:E1640)))))</f>
        <v> </v>
      </c>
      <c r="L1641" s="26"/>
    </row>
    <row r="1642" spans="1:12">
      <c r="A1642" s="20" t="s">
        <v>482</v>
      </c>
      <c r="E1642" s="21">
        <f>IF(D1642="?OLD","!!!","")</f>
        <v/>
      </c>
      <c r="F1642" s="22" t="str">
        <f>IF(OR(E1642="",E1642="!!!"),"",IF(NOT(ISNA(VLOOKUP(E1642,E$1:E1641,1,FALSE()))),"OLD",IF(AND(E1642&lt;&gt;"",E1642&lt;&gt;"!!!"),"NEW","")))</f>
        <v> </v>
      </c>
      <c r="G1642" s="23" t="str">
        <f>IF(OR(E1642="",E1642="!!!"),"",IF(OR(J1642=0,AND(J1642=1,K1642=1),AND(J1642=1,I1642="SBJ"),AND(J1642=1,I1642=0)),"?IN_FOCUS",IF(J1642&lt;=2,"?ACTIVATED",IF(J1642&lt;&gt;"","?FAMILIAR",IF(F1642="NEW",IF(ISNA(VLOOKUP(E1642,#REF!,1,FALSE())),"?TYPE_IDENTIFIABLE","?REFERENTIAL"),"_")))))</f>
        <v> </v>
      </c>
      <c r="H1642" s="24" t="str">
        <f>IF(J1642&lt;&gt;1,"",IF(I1642="SBJ","CB","?"))</f>
        <v> </v>
      </c>
      <c r="I1642" s="25" t="str">
        <f>IF(OR(E1642="",E1642="!!!",F1642="NEW"),"",INDEX(B1641:B$2,-1+SUMPRODUCT(MAX(ROW(E1641:E$2)*(E1642=E1641:E$2)))))</f>
        <v> </v>
      </c>
      <c r="J1642" s="25" t="str">
        <f>IF(OR(E1642="",E1642="!!!",F1642="NEW"),"",COUNTBLANK(OFFSET(A$1,,,SUMPRODUCT(MAX(ROW(E$2:E1642)*(E1642=E$2:E1642)))))-COUNTBLANK(OFFSET(A$1,,,SUMPRODUCT(MAX(ROW(E$1:E1641)*(E2=E$1:E1641))))))</f>
        <v> </v>
      </c>
      <c r="K1642" s="25" t="str">
        <f>IF(OR(E1642="",E1642="!!!",F1642="NEW"),"",INDEX(J$1:J1641,SUMPRODUCT(MAX(ROW(E$1:E1641)*(E1642=E$1:E1641)))))</f>
        <v> </v>
      </c>
      <c r="L1642" s="26"/>
    </row>
    <row r="1643" spans="1:12">
      <c r="A1643" s="20" t="s">
        <v>498</v>
      </c>
      <c r="E1643" s="21">
        <f>IF(D1643="?OLD","!!!","")</f>
        <v/>
      </c>
      <c r="F1643" s="22" t="str">
        <f>IF(OR(E1643="",E1643="!!!"),"",IF(NOT(ISNA(VLOOKUP(E1643,E$1:E1642,1,FALSE()))),"OLD",IF(AND(E1643&lt;&gt;"",E1643&lt;&gt;"!!!"),"NEW","")))</f>
        <v> </v>
      </c>
      <c r="G1643" s="23" t="str">
        <f>IF(OR(E1643="",E1643="!!!"),"",IF(OR(J1643=0,AND(J1643=1,K1643=1),AND(J1643=1,I1643="SBJ"),AND(J1643=1,I1643=0)),"?IN_FOCUS",IF(J1643&lt;=2,"?ACTIVATED",IF(J1643&lt;&gt;"","?FAMILIAR",IF(F1643="NEW",IF(ISNA(VLOOKUP(E1643,#REF!,1,FALSE())),"?TYPE_IDENTIFIABLE","?REFERENTIAL"),"_")))))</f>
        <v> </v>
      </c>
      <c r="H1643" s="24" t="str">
        <f>IF(J1643&lt;&gt;1,"",IF(I1643="SBJ","CB","?"))</f>
        <v> </v>
      </c>
      <c r="I1643" s="25" t="str">
        <f>IF(OR(E1643="",E1643="!!!",F1643="NEW"),"",INDEX(B1642:B$2,-1+SUMPRODUCT(MAX(ROW(E1642:E$2)*(E1643=E1642:E$2)))))</f>
        <v> </v>
      </c>
      <c r="J1643" s="25" t="str">
        <f>IF(OR(E1643="",E1643="!!!",F1643="NEW"),"",COUNTBLANK(OFFSET(A$1,,,SUMPRODUCT(MAX(ROW(E$2:E1643)*(E1643=E$2:E1643)))))-COUNTBLANK(OFFSET(A$1,,,SUMPRODUCT(MAX(ROW(E$1:E1642)*(E2=E$1:E1642))))))</f>
        <v> </v>
      </c>
      <c r="K1643" s="25" t="str">
        <f>IF(OR(E1643="",E1643="!!!",F1643="NEW"),"",INDEX(J$1:J1642,SUMPRODUCT(MAX(ROW(E$1:E1642)*(E1643=E$1:E1642)))))</f>
        <v> </v>
      </c>
      <c r="L1643" s="26"/>
    </row>
    <row r="1644" spans="1:12">
      <c r="A1644" s="20" t="s">
        <v>506</v>
      </c>
      <c r="B1644" s="27" t="s">
        <v>1201</v>
      </c>
      <c r="C1644" s="27" t="s">
        <v>484</v>
      </c>
      <c r="E1644" s="21">
        <f>IF(D1644="?OLD","!!!","")</f>
        <v/>
      </c>
      <c r="F1644" s="22" t="str">
        <f>IF(OR(E1644="",E1644="!!!"),"",IF(NOT(ISNA(VLOOKUP(E1644,E$1:E1643,1,FALSE()))),"OLD",IF(AND(E1644&lt;&gt;"",E1644&lt;&gt;"!!!"),"NEW","")))</f>
        <v> </v>
      </c>
      <c r="G1644" s="23" t="str">
        <f>IF(OR(E1644="",E1644="!!!"),"",IF(OR(J1644=0,AND(J1644=1,K1644=1),AND(J1644=1,I1644="SBJ"),AND(J1644=1,I1644=0)),"?IN_FOCUS",IF(J1644&lt;=2,"?ACTIVATED",IF(J1644&lt;&gt;"","?FAMILIAR",IF(F1644="NEW",IF(ISNA(VLOOKUP(E1644,#REF!,1,FALSE())),"?TYPE_IDENTIFIABLE","?REFERENTIAL"),"_")))))</f>
        <v> </v>
      </c>
      <c r="H1644" s="24" t="str">
        <f>IF(J1644&lt;&gt;1,"",IF(I1644="SBJ","CB","?"))</f>
        <v> </v>
      </c>
      <c r="I1644" s="25" t="str">
        <f>IF(OR(E1644="",E1644="!!!",F1644="NEW"),"",INDEX(B1643:B$2,-1+SUMPRODUCT(MAX(ROW(E1643:E$2)*(E1644=E1643:E$2)))))</f>
        <v> </v>
      </c>
      <c r="J1644" s="25" t="str">
        <f>IF(OR(E1644="",E1644="!!!",F1644="NEW"),"",COUNTBLANK(OFFSET(A$1,,,SUMPRODUCT(MAX(ROW(E$2:E1644)*(E1644=E$2:E1644)))))-COUNTBLANK(OFFSET(A$1,,,SUMPRODUCT(MAX(ROW(E$1:E1643)*(E2=E$1:E1643))))))</f>
        <v> </v>
      </c>
      <c r="K1644" s="25" t="str">
        <f>IF(OR(E1644="",E1644="!!!",F1644="NEW"),"",INDEX(J$1:J1643,SUMPRODUCT(MAX(ROW(E$1:E1643)*(E1644=E$1:E1643)))))</f>
        <v> </v>
      </c>
      <c r="L1644" s="26"/>
    </row>
    <row r="1645" spans="1:12">
      <c r="A1645" s="20" t="s">
        <v>994</v>
      </c>
      <c r="B1645" s="27" t="s">
        <v>1202</v>
      </c>
      <c r="E1645" s="21">
        <f>IF(D1645="?OLD","!!!","")</f>
        <v/>
      </c>
      <c r="F1645" s="22" t="str">
        <f>IF(OR(E1645="",E1645="!!!"),"",IF(NOT(ISNA(VLOOKUP(E1645,E$1:E1644,1,FALSE()))),"OLD",IF(AND(E1645&lt;&gt;"",E1645&lt;&gt;"!!!"),"NEW","")))</f>
        <v> </v>
      </c>
      <c r="G1645" s="23" t="str">
        <f>IF(OR(E1645="",E1645="!!!"),"",IF(OR(J1645=0,AND(J1645=1,K1645=1),AND(J1645=1,I1645="SBJ"),AND(J1645=1,I1645=0)),"?IN_FOCUS",IF(J1645&lt;=2,"?ACTIVATED",IF(J1645&lt;&gt;"","?FAMILIAR",IF(F1645="NEW",IF(ISNA(VLOOKUP(E1645,#REF!,1,FALSE())),"?TYPE_IDENTIFIABLE","?REFERENTIAL"),"_")))))</f>
        <v> </v>
      </c>
      <c r="H1645" s="24" t="str">
        <f>IF(J1645&lt;&gt;1,"",IF(I1645="SBJ","CB","?"))</f>
        <v> </v>
      </c>
      <c r="I1645" s="25" t="str">
        <f>IF(OR(E1645="",E1645="!!!",F1645="NEW"),"",INDEX(B1644:B$2,-1+SUMPRODUCT(MAX(ROW(E1644:E$2)*(E1645=E1644:E$2)))))</f>
        <v> </v>
      </c>
      <c r="J1645" s="25" t="str">
        <f>IF(OR(E1645="",E1645="!!!",F1645="NEW"),"",COUNTBLANK(OFFSET(A$1,,,SUMPRODUCT(MAX(ROW(E$2:E1645)*(E1645=E$2:E1645)))))-COUNTBLANK(OFFSET(A$1,,,SUMPRODUCT(MAX(ROW(E$1:E1644)*(E2=E$1:E1644))))))</f>
        <v> </v>
      </c>
      <c r="K1645" s="25" t="str">
        <f>IF(OR(E1645="",E1645="!!!",F1645="NEW"),"",INDEX(J$1:J1644,SUMPRODUCT(MAX(ROW(E$1:E1644)*(E1645=E$1:E1644)))))</f>
        <v> </v>
      </c>
      <c r="L1645" s="26"/>
    </row>
    <row r="1646" spans="1:12">
      <c r="A1646" s="20" t="s">
        <v>559</v>
      </c>
      <c r="E1646" s="21">
        <f>IF(D1646="?OLD","!!!","")</f>
        <v/>
      </c>
      <c r="F1646" s="22" t="str">
        <f>IF(OR(E1646="",E1646="!!!"),"",IF(NOT(ISNA(VLOOKUP(E1646,E$1:E1645,1,FALSE()))),"OLD",IF(AND(E1646&lt;&gt;"",E1646&lt;&gt;"!!!"),"NEW","")))</f>
        <v> </v>
      </c>
      <c r="G1646" s="23" t="str">
        <f>IF(OR(E1646="",E1646="!!!"),"",IF(OR(J1646=0,AND(J1646=1,K1646=1),AND(J1646=1,I1646="SBJ"),AND(J1646=1,I1646=0)),"?IN_FOCUS",IF(J1646&lt;=2,"?ACTIVATED",IF(J1646&lt;&gt;"","?FAMILIAR",IF(F1646="NEW",IF(ISNA(VLOOKUP(E1646,#REF!,1,FALSE())),"?TYPE_IDENTIFIABLE","?REFERENTIAL"),"_")))))</f>
        <v> </v>
      </c>
      <c r="H1646" s="24" t="str">
        <f>IF(J1646&lt;&gt;1,"",IF(I1646="SBJ","CB","?"))</f>
        <v> </v>
      </c>
      <c r="I1646" s="25" t="str">
        <f>IF(OR(E1646="",E1646="!!!",F1646="NEW"),"",INDEX(B1645:B$2,-1+SUMPRODUCT(MAX(ROW(E1645:E$2)*(E1646=E1645:E$2)))))</f>
        <v> </v>
      </c>
      <c r="J1646" s="25" t="str">
        <f>IF(OR(E1646="",E1646="!!!",F1646="NEW"),"",COUNTBLANK(OFFSET(A$1,,,SUMPRODUCT(MAX(ROW(E$2:E1646)*(E1646=E$2:E1646)))))-COUNTBLANK(OFFSET(A$1,,,SUMPRODUCT(MAX(ROW(E$1:E1645)*(E2=E$1:E1645))))))</f>
        <v> </v>
      </c>
      <c r="K1646" s="25" t="str">
        <f>IF(OR(E1646="",E1646="!!!",F1646="NEW"),"",INDEX(J$1:J1645,SUMPRODUCT(MAX(ROW(E$1:E1645)*(E1646=E$1:E1645)))))</f>
        <v> </v>
      </c>
      <c r="L1646" s="26"/>
    </row>
    <row r="1647" spans="1:12">
      <c r="A1647" s="20" t="s">
        <v>995</v>
      </c>
      <c r="E1647" s="21">
        <f>IF(D1647="?OLD","!!!","")</f>
        <v/>
      </c>
      <c r="F1647" s="22" t="str">
        <f>IF(OR(E1647="",E1647="!!!"),"",IF(NOT(ISNA(VLOOKUP(E1647,E$1:E1646,1,FALSE()))),"OLD",IF(AND(E1647&lt;&gt;"",E1647&lt;&gt;"!!!"),"NEW","")))</f>
        <v> </v>
      </c>
      <c r="G1647" s="23" t="str">
        <f>IF(OR(E1647="",E1647="!!!"),"",IF(OR(J1647=0,AND(J1647=1,K1647=1),AND(J1647=1,I1647="SBJ"),AND(J1647=1,I1647=0)),"?IN_FOCUS",IF(J1647&lt;=2,"?ACTIVATED",IF(J1647&lt;&gt;"","?FAMILIAR",IF(F1647="NEW",IF(ISNA(VLOOKUP(E1647,#REF!,1,FALSE())),"?TYPE_IDENTIFIABLE","?REFERENTIAL"),"_")))))</f>
        <v> </v>
      </c>
      <c r="H1647" s="24" t="str">
        <f>IF(J1647&lt;&gt;1,"",IF(I1647="SBJ","CB","?"))</f>
        <v> </v>
      </c>
      <c r="I1647" s="25" t="str">
        <f>IF(OR(E1647="",E1647="!!!",F1647="NEW"),"",INDEX(B1646:B$2,-1+SUMPRODUCT(MAX(ROW(E1646:E$2)*(E1647=E1646:E$2)))))</f>
        <v> </v>
      </c>
      <c r="J1647" s="25" t="str">
        <f>IF(OR(E1647="",E1647="!!!",F1647="NEW"),"",COUNTBLANK(OFFSET(A$1,,,SUMPRODUCT(MAX(ROW(E$2:E1647)*(E1647=E$2:E1647)))))-COUNTBLANK(OFFSET(A$1,,,SUMPRODUCT(MAX(ROW(E$1:E1646)*(E2=E$1:E1646))))))</f>
        <v> </v>
      </c>
      <c r="K1647" s="25" t="str">
        <f>IF(OR(E1647="",E1647="!!!",F1647="NEW"),"",INDEX(J$1:J1646,SUMPRODUCT(MAX(ROW(E$1:E1646)*(E1647=E$1:E1646)))))</f>
        <v> </v>
      </c>
      <c r="L1647" s="26"/>
    </row>
    <row r="1648" spans="1:12">
      <c r="A1648" s="20" t="s">
        <v>724</v>
      </c>
      <c r="E1648" s="21">
        <f>IF(D1648="?OLD","!!!","")</f>
        <v/>
      </c>
      <c r="F1648" s="22" t="str">
        <f>IF(OR(E1648="",E1648="!!!"),"",IF(NOT(ISNA(VLOOKUP(E1648,E$1:E1647,1,FALSE()))),"OLD",IF(AND(E1648&lt;&gt;"",E1648&lt;&gt;"!!!"),"NEW","")))</f>
        <v> </v>
      </c>
      <c r="G1648" s="23" t="str">
        <f>IF(OR(E1648="",E1648="!!!"),"",IF(OR(J1648=0,AND(J1648=1,K1648=1),AND(J1648=1,I1648="SBJ"),AND(J1648=1,I1648=0)),"?IN_FOCUS",IF(J1648&lt;=2,"?ACTIVATED",IF(J1648&lt;&gt;"","?FAMILIAR",IF(F1648="NEW",IF(ISNA(VLOOKUP(E1648,#REF!,1,FALSE())),"?TYPE_IDENTIFIABLE","?REFERENTIAL"),"_")))))</f>
        <v> </v>
      </c>
      <c r="H1648" s="24" t="str">
        <f>IF(J1648&lt;&gt;1,"",IF(I1648="SBJ","CB","?"))</f>
        <v> </v>
      </c>
      <c r="I1648" s="25" t="str">
        <f>IF(OR(E1648="",E1648="!!!",F1648="NEW"),"",INDEX(B1647:B$2,-1+SUMPRODUCT(MAX(ROW(E1647:E$2)*(E1648=E1647:E$2)))))</f>
        <v> </v>
      </c>
      <c r="J1648" s="25" t="str">
        <f>IF(OR(E1648="",E1648="!!!",F1648="NEW"),"",COUNTBLANK(OFFSET(A$1,,,SUMPRODUCT(MAX(ROW(E$2:E1648)*(E1648=E$2:E1648)))))-COUNTBLANK(OFFSET(A$1,,,SUMPRODUCT(MAX(ROW(E$1:E1647)*(E2=E$1:E1647))))))</f>
        <v> </v>
      </c>
      <c r="K1648" s="25" t="str">
        <f>IF(OR(E1648="",E1648="!!!",F1648="NEW"),"",INDEX(J$1:J1647,SUMPRODUCT(MAX(ROW(E$1:E1647)*(E1648=E$1:E1647)))))</f>
        <v> </v>
      </c>
      <c r="L1648" s="26"/>
    </row>
    <row r="1649" spans="1:12">
      <c r="A1649" s="20" t="s">
        <v>996</v>
      </c>
      <c r="E1649" s="21">
        <f>IF(D1649="?OLD","!!!","")</f>
        <v/>
      </c>
      <c r="F1649" s="22" t="str">
        <f>IF(OR(E1649="",E1649="!!!"),"",IF(NOT(ISNA(VLOOKUP(E1649,E$1:E1648,1,FALSE()))),"OLD",IF(AND(E1649&lt;&gt;"",E1649&lt;&gt;"!!!"),"NEW","")))</f>
        <v> </v>
      </c>
      <c r="G1649" s="23" t="str">
        <f>IF(OR(E1649="",E1649="!!!"),"",IF(OR(J1649=0,AND(J1649=1,K1649=1),AND(J1649=1,I1649="SBJ"),AND(J1649=1,I1649=0)),"?IN_FOCUS",IF(J1649&lt;=2,"?ACTIVATED",IF(J1649&lt;&gt;"","?FAMILIAR",IF(F1649="NEW",IF(ISNA(VLOOKUP(E1649,#REF!,1,FALSE())),"?TYPE_IDENTIFIABLE","?REFERENTIAL"),"_")))))</f>
        <v> </v>
      </c>
      <c r="H1649" s="24" t="str">
        <f>IF(J1649&lt;&gt;1,"",IF(I1649="SBJ","CB","?"))</f>
        <v> </v>
      </c>
      <c r="I1649" s="25" t="str">
        <f>IF(OR(E1649="",E1649="!!!",F1649="NEW"),"",INDEX(B1648:B$2,-1+SUMPRODUCT(MAX(ROW(E1648:E$2)*(E1649=E1648:E$2)))))</f>
        <v> </v>
      </c>
      <c r="J1649" s="25" t="str">
        <f>IF(OR(E1649="",E1649="!!!",F1649="NEW"),"",COUNTBLANK(OFFSET(A$1,,,SUMPRODUCT(MAX(ROW(E$2:E1649)*(E1649=E$2:E1649)))))-COUNTBLANK(OFFSET(A$1,,,SUMPRODUCT(MAX(ROW(E$1:E1648)*(E2=E$1:E1648))))))</f>
        <v> </v>
      </c>
      <c r="K1649" s="25" t="str">
        <f>IF(OR(E1649="",E1649="!!!",F1649="NEW"),"",INDEX(J$1:J1648,SUMPRODUCT(MAX(ROW(E$1:E1648)*(E1649=E$1:E1648)))))</f>
        <v> </v>
      </c>
      <c r="L1649" s="26"/>
    </row>
    <row r="1650" spans="1:12">
      <c r="A1650" s="20" t="s">
        <v>482</v>
      </c>
      <c r="E1650" s="21">
        <f>IF(D1650="?OLD","!!!","")</f>
        <v/>
      </c>
      <c r="F1650" s="22" t="str">
        <f>IF(OR(E1650="",E1650="!!!"),"",IF(NOT(ISNA(VLOOKUP(E1650,E$1:E1649,1,FALSE()))),"OLD",IF(AND(E1650&lt;&gt;"",E1650&lt;&gt;"!!!"),"NEW","")))</f>
        <v> </v>
      </c>
      <c r="G1650" s="23" t="str">
        <f>IF(OR(E1650="",E1650="!!!"),"",IF(OR(J1650=0,AND(J1650=1,K1650=1),AND(J1650=1,I1650="SBJ"),AND(J1650=1,I1650=0)),"?IN_FOCUS",IF(J1650&lt;=2,"?ACTIVATED",IF(J1650&lt;&gt;"","?FAMILIAR",IF(F1650="NEW",IF(ISNA(VLOOKUP(E1650,#REF!,1,FALSE())),"?TYPE_IDENTIFIABLE","?REFERENTIAL"),"_")))))</f>
        <v> </v>
      </c>
      <c r="H1650" s="24" t="str">
        <f>IF(J1650&lt;&gt;1,"",IF(I1650="SBJ","CB","?"))</f>
        <v> </v>
      </c>
      <c r="I1650" s="25" t="str">
        <f>IF(OR(E1650="",E1650="!!!",F1650="NEW"),"",INDEX(B1649:B$2,-1+SUMPRODUCT(MAX(ROW(E1649:E$2)*(E1650=E1649:E$2)))))</f>
        <v> </v>
      </c>
      <c r="J1650" s="25" t="str">
        <f>IF(OR(E1650="",E1650="!!!",F1650="NEW"),"",COUNTBLANK(OFFSET(A$1,,,SUMPRODUCT(MAX(ROW(E$2:E1650)*(E1650=E$2:E1650)))))-COUNTBLANK(OFFSET(A$1,,,SUMPRODUCT(MAX(ROW(E$1:E1649)*(E2=E$1:E1649))))))</f>
        <v> </v>
      </c>
      <c r="K1650" s="25" t="str">
        <f>IF(OR(E1650="",E1650="!!!",F1650="NEW"),"",INDEX(J$1:J1649,SUMPRODUCT(MAX(ROW(E$1:E1649)*(E1650=E$1:E1649)))))</f>
        <v> </v>
      </c>
      <c r="L1650" s="26"/>
    </row>
    <row r="1651" spans="1:12">
      <c r="A1651" s="20" t="s">
        <v>475</v>
      </c>
      <c r="B1651" s="27" t="s">
        <v>483</v>
      </c>
      <c r="C1651" s="27" t="s">
        <v>477</v>
      </c>
      <c r="D1651" s="27" t="s">
        <v>478</v>
      </c>
      <c r="E1651" s="21">
        <f>IF(D1651="?OLD","!!!","")</f>
        <v/>
      </c>
      <c r="F1651" s="22" t="str">
        <f>IF(OR(E1651="",E1651="!!!"),"",IF(NOT(ISNA(VLOOKUP(E1651,E$1:E1650,1,FALSE()))),"OLD",IF(AND(E1651&lt;&gt;"",E1651&lt;&gt;"!!!"),"NEW","")))</f>
        <v> </v>
      </c>
      <c r="G1651" s="23" t="str">
        <f>IF(OR(E1651="",E1651="!!!"),"",IF(OR(J1651=0,AND(J1651=1,K1651=1),AND(J1651=1,I1651="SBJ"),AND(J1651=1,I1651=0)),"?IN_FOCUS",IF(J1651&lt;=2,"?ACTIVATED",IF(J1651&lt;&gt;"","?FAMILIAR",IF(F1651="NEW",IF(ISNA(VLOOKUP(E1651,#REF!,1,FALSE())),"?TYPE_IDENTIFIABLE","?REFERENTIAL"),"_")))))</f>
        <v> </v>
      </c>
      <c r="H1651" s="24" t="str">
        <f>IF(J1651&lt;&gt;1,"",IF(I1651="SBJ","CB","?"))</f>
        <v> </v>
      </c>
      <c r="I1651" s="25" t="str">
        <f>IF(OR(E1651="",E1651="!!!",F1651="NEW"),"",INDEX(B1650:B$2,-1+SUMPRODUCT(MAX(ROW(E1650:E$2)*(E1651=E1650:E$2)))))</f>
        <v> </v>
      </c>
      <c r="J1651" s="25" t="str">
        <f>IF(OR(E1651="",E1651="!!!",F1651="NEW"),"",COUNTBLANK(OFFSET(A$1,,,SUMPRODUCT(MAX(ROW(E$2:E1651)*(E1651=E$2:E1651)))))-COUNTBLANK(OFFSET(A$1,,,SUMPRODUCT(MAX(ROW(E$1:E1650)*(E2=E$1:E1650))))))</f>
        <v> </v>
      </c>
      <c r="K1651" s="25" t="str">
        <f>IF(OR(E1651="",E1651="!!!",F1651="NEW"),"",INDEX(J$1:J1650,SUMPRODUCT(MAX(ROW(E$1:E1650)*(E1651=E$1:E1650)))))</f>
        <v> </v>
      </c>
      <c r="L1651" s="26"/>
    </row>
    <row r="1652" spans="1:12">
      <c r="A1652" s="20" t="s">
        <v>529</v>
      </c>
      <c r="E1652" s="21">
        <f>IF(D1652="?OLD","!!!","")</f>
        <v/>
      </c>
      <c r="F1652" s="22" t="str">
        <f>IF(OR(E1652="",E1652="!!!"),"",IF(NOT(ISNA(VLOOKUP(E1652,E$1:E1651,1,FALSE()))),"OLD",IF(AND(E1652&lt;&gt;"",E1652&lt;&gt;"!!!"),"NEW","")))</f>
        <v> </v>
      </c>
      <c r="G1652" s="23" t="str">
        <f>IF(OR(E1652="",E1652="!!!"),"",IF(OR(J1652=0,AND(J1652=1,K1652=1),AND(J1652=1,I1652="SBJ"),AND(J1652=1,I1652=0)),"?IN_FOCUS",IF(J1652&lt;=2,"?ACTIVATED",IF(J1652&lt;&gt;"","?FAMILIAR",IF(F1652="NEW",IF(ISNA(VLOOKUP(E1652,#REF!,1,FALSE())),"?TYPE_IDENTIFIABLE","?REFERENTIAL"),"_")))))</f>
        <v> </v>
      </c>
      <c r="H1652" s="24" t="str">
        <f>IF(J1652&lt;&gt;1,"",IF(I1652="SBJ","CB","?"))</f>
        <v> </v>
      </c>
      <c r="I1652" s="25" t="str">
        <f>IF(OR(E1652="",E1652="!!!",F1652="NEW"),"",INDEX(B1651:B$2,-1+SUMPRODUCT(MAX(ROW(E1651:E$2)*(E1652=E1651:E$2)))))</f>
        <v> </v>
      </c>
      <c r="J1652" s="25" t="str">
        <f>IF(OR(E1652="",E1652="!!!",F1652="NEW"),"",COUNTBLANK(OFFSET(A$1,,,SUMPRODUCT(MAX(ROW(E$2:E1652)*(E1652=E$2:E1652)))))-COUNTBLANK(OFFSET(A$1,,,SUMPRODUCT(MAX(ROW(E$1:E1651)*(E2=E$1:E1651))))))</f>
        <v> </v>
      </c>
      <c r="K1652" s="25" t="str">
        <f>IF(OR(E1652="",E1652="!!!",F1652="NEW"),"",INDEX(J$1:J1651,SUMPRODUCT(MAX(ROW(E$1:E1651)*(E1652=E$1:E1651)))))</f>
        <v> </v>
      </c>
      <c r="L1652" s="26"/>
    </row>
    <row r="1653" spans="1:12">
      <c r="A1653" s="20" t="s">
        <v>1203</v>
      </c>
      <c r="E1653" s="21">
        <f>IF(D1653="?OLD","!!!","")</f>
        <v/>
      </c>
      <c r="F1653" s="22" t="str">
        <f>IF(OR(E1653="",E1653="!!!"),"",IF(NOT(ISNA(VLOOKUP(E1653,E$1:E1652,1,FALSE()))),"OLD",IF(AND(E1653&lt;&gt;"",E1653&lt;&gt;"!!!"),"NEW","")))</f>
        <v> </v>
      </c>
      <c r="G1653" s="23" t="str">
        <f>IF(OR(E1653="",E1653="!!!"),"",IF(OR(J1653=0,AND(J1653=1,K1653=1),AND(J1653=1,I1653="SBJ"),AND(J1653=1,I1653=0)),"?IN_FOCUS",IF(J1653&lt;=2,"?ACTIVATED",IF(J1653&lt;&gt;"","?FAMILIAR",IF(F1653="NEW",IF(ISNA(VLOOKUP(E1653,#REF!,1,FALSE())),"?TYPE_IDENTIFIABLE","?REFERENTIAL"),"_")))))</f>
        <v> </v>
      </c>
      <c r="H1653" s="24" t="str">
        <f>IF(J1653&lt;&gt;1,"",IF(I1653="SBJ","CB","?"))</f>
        <v> </v>
      </c>
      <c r="I1653" s="25" t="str">
        <f>IF(OR(E1653="",E1653="!!!",F1653="NEW"),"",INDEX(B1652:B$2,-1+SUMPRODUCT(MAX(ROW(E1652:E$2)*(E1653=E1652:E$2)))))</f>
        <v> </v>
      </c>
      <c r="J1653" s="25" t="str">
        <f>IF(OR(E1653="",E1653="!!!",F1653="NEW"),"",COUNTBLANK(OFFSET(A$1,,,SUMPRODUCT(MAX(ROW(E$2:E1653)*(E1653=E$2:E1653)))))-COUNTBLANK(OFFSET(A$1,,,SUMPRODUCT(MAX(ROW(E$1:E1652)*(E2=E$1:E1652))))))</f>
        <v> </v>
      </c>
      <c r="K1653" s="25" t="str">
        <f>IF(OR(E1653="",E1653="!!!",F1653="NEW"),"",INDEX(J$1:J1652,SUMPRODUCT(MAX(ROW(E$1:E1652)*(E1653=E$1:E1652)))))</f>
        <v> </v>
      </c>
      <c r="L1653" s="26"/>
    </row>
    <row r="1654" spans="1:12">
      <c r="A1654" s="20" t="s">
        <v>738</v>
      </c>
      <c r="B1654" s="27" t="s">
        <v>577</v>
      </c>
      <c r="C1654" s="27" t="s">
        <v>477</v>
      </c>
      <c r="D1654" s="27" t="s">
        <v>478</v>
      </c>
      <c r="E1654" s="21">
        <f>IF(D1654="?OLD","!!!","")</f>
        <v/>
      </c>
      <c r="F1654" s="22" t="str">
        <f>IF(OR(E1654="",E1654="!!!"),"",IF(NOT(ISNA(VLOOKUP(E1654,E$1:E1653,1,FALSE()))),"OLD",IF(AND(E1654&lt;&gt;"",E1654&lt;&gt;"!!!"),"NEW","")))</f>
        <v> </v>
      </c>
      <c r="G1654" s="23" t="str">
        <f>IF(OR(E1654="",E1654="!!!"),"",IF(OR(J1654=0,AND(J1654=1,K1654=1),AND(J1654=1,I1654="SBJ"),AND(J1654=1,I1654=0)),"?IN_FOCUS",IF(J1654&lt;=2,"?ACTIVATED",IF(J1654&lt;&gt;"","?FAMILIAR",IF(F1654="NEW",IF(ISNA(VLOOKUP(E1654,#REF!,1,FALSE())),"?TYPE_IDENTIFIABLE","?REFERENTIAL"),"_")))))</f>
        <v> </v>
      </c>
      <c r="H1654" s="24" t="str">
        <f>IF(J1654&lt;&gt;1,"",IF(I1654="SBJ","CB","?"))</f>
        <v> </v>
      </c>
      <c r="I1654" s="25" t="str">
        <f>IF(OR(E1654="",E1654="!!!",F1654="NEW"),"",INDEX(B1653:B$2,-1+SUMPRODUCT(MAX(ROW(E1653:E$2)*(E1654=E1653:E$2)))))</f>
        <v> </v>
      </c>
      <c r="J1654" s="25" t="str">
        <f>IF(OR(E1654="",E1654="!!!",F1654="NEW"),"",COUNTBLANK(OFFSET(A$1,,,SUMPRODUCT(MAX(ROW(E$2:E1654)*(E1654=E$2:E1654)))))-COUNTBLANK(OFFSET(A$1,,,SUMPRODUCT(MAX(ROW(E$1:E1653)*(E2=E$1:E1653))))))</f>
        <v> </v>
      </c>
      <c r="K1654" s="25" t="str">
        <f>IF(OR(E1654="",E1654="!!!",F1654="NEW"),"",INDEX(J$1:J1653,SUMPRODUCT(MAX(ROW(E$1:E1653)*(E1654=E$1:E1653)))))</f>
        <v> </v>
      </c>
      <c r="L1654" s="26"/>
    </row>
    <row r="1655" spans="1:12">
      <c r="A1655" s="20" t="s">
        <v>754</v>
      </c>
      <c r="E1655" s="21">
        <f>IF(D1655="?OLD","!!!","")</f>
        <v/>
      </c>
      <c r="F1655" s="22" t="str">
        <f>IF(OR(E1655="",E1655="!!!"),"",IF(NOT(ISNA(VLOOKUP(E1655,E$1:E1654,1,FALSE()))),"OLD",IF(AND(E1655&lt;&gt;"",E1655&lt;&gt;"!!!"),"NEW","")))</f>
        <v> </v>
      </c>
      <c r="G1655" s="23" t="str">
        <f>IF(OR(E1655="",E1655="!!!"),"",IF(OR(J1655=0,AND(J1655=1,K1655=1),AND(J1655=1,I1655="SBJ"),AND(J1655=1,I1655=0)),"?IN_FOCUS",IF(J1655&lt;=2,"?ACTIVATED",IF(J1655&lt;&gt;"","?FAMILIAR",IF(F1655="NEW",IF(ISNA(VLOOKUP(E1655,#REF!,1,FALSE())),"?TYPE_IDENTIFIABLE","?REFERENTIAL"),"_")))))</f>
        <v> </v>
      </c>
      <c r="H1655" s="24" t="str">
        <f>IF(J1655&lt;&gt;1,"",IF(I1655="SBJ","CB","?"))</f>
        <v> </v>
      </c>
      <c r="I1655" s="25" t="str">
        <f>IF(OR(E1655="",E1655="!!!",F1655="NEW"),"",INDEX(B1654:B$2,-1+SUMPRODUCT(MAX(ROW(E1654:E$2)*(E1655=E1654:E$2)))))</f>
        <v> </v>
      </c>
      <c r="J1655" s="25" t="str">
        <f>IF(OR(E1655="",E1655="!!!",F1655="NEW"),"",COUNTBLANK(OFFSET(A$1,,,SUMPRODUCT(MAX(ROW(E$2:E1655)*(E1655=E$2:E1655)))))-COUNTBLANK(OFFSET(A$1,,,SUMPRODUCT(MAX(ROW(E$1:E1654)*(E2=E$1:E1654))))))</f>
        <v> </v>
      </c>
      <c r="K1655" s="25" t="str">
        <f>IF(OR(E1655="",E1655="!!!",F1655="NEW"),"",INDEX(J$1:J1654,SUMPRODUCT(MAX(ROW(E$1:E1654)*(E1655=E$1:E1654)))))</f>
        <v> </v>
      </c>
      <c r="L1655" s="26"/>
    </row>
    <row r="1656" spans="1:12">
      <c r="A1656" s="20" t="s">
        <v>656</v>
      </c>
      <c r="E1656" s="21">
        <f>IF(D1656="?OLD","!!!","")</f>
        <v/>
      </c>
      <c r="F1656" s="22" t="str">
        <f>IF(OR(E1656="",E1656="!!!"),"",IF(NOT(ISNA(VLOOKUP(E1656,E$1:E1655,1,FALSE()))),"OLD",IF(AND(E1656&lt;&gt;"",E1656&lt;&gt;"!!!"),"NEW","")))</f>
        <v> </v>
      </c>
      <c r="G1656" s="23" t="str">
        <f>IF(OR(E1656="",E1656="!!!"),"",IF(OR(J1656=0,AND(J1656=1,K1656=1),AND(J1656=1,I1656="SBJ"),AND(J1656=1,I1656=0)),"?IN_FOCUS",IF(J1656&lt;=2,"?ACTIVATED",IF(J1656&lt;&gt;"","?FAMILIAR",IF(F1656="NEW",IF(ISNA(VLOOKUP(E1656,#REF!,1,FALSE())),"?TYPE_IDENTIFIABLE","?REFERENTIAL"),"_")))))</f>
        <v> </v>
      </c>
      <c r="H1656" s="24" t="str">
        <f>IF(J1656&lt;&gt;1,"",IF(I1656="SBJ","CB","?"))</f>
        <v> </v>
      </c>
      <c r="I1656" s="25" t="str">
        <f>IF(OR(E1656="",E1656="!!!",F1656="NEW"),"",INDEX(B1655:B$2,-1+SUMPRODUCT(MAX(ROW(E1655:E$2)*(E1656=E1655:E$2)))))</f>
        <v> </v>
      </c>
      <c r="J1656" s="25" t="str">
        <f>IF(OR(E1656="",E1656="!!!",F1656="NEW"),"",COUNTBLANK(OFFSET(A$1,,,SUMPRODUCT(MAX(ROW(E$2:E1656)*(E1656=E$2:E1656)))))-COUNTBLANK(OFFSET(A$1,,,SUMPRODUCT(MAX(ROW(E$1:E1655)*(E2=E$1:E1655))))))</f>
        <v> </v>
      </c>
      <c r="K1656" s="25" t="str">
        <f>IF(OR(E1656="",E1656="!!!",F1656="NEW"),"",INDEX(J$1:J1655,SUMPRODUCT(MAX(ROW(E$1:E1655)*(E1656=E$1:E1655)))))</f>
        <v> </v>
      </c>
      <c r="L1656" s="26"/>
    </row>
    <row r="1657" spans="1:12">
      <c r="A1657" s="20" t="s">
        <v>1204</v>
      </c>
      <c r="E1657" s="21">
        <f>IF(D1657="?OLD","!!!","")</f>
        <v/>
      </c>
      <c r="F1657" s="22" t="str">
        <f>IF(OR(E1657="",E1657="!!!"),"",IF(NOT(ISNA(VLOOKUP(E1657,E$1:E1656,1,FALSE()))),"OLD",IF(AND(E1657&lt;&gt;"",E1657&lt;&gt;"!!!"),"NEW","")))</f>
        <v> </v>
      </c>
      <c r="G1657" s="23" t="str">
        <f>IF(OR(E1657="",E1657="!!!"),"",IF(OR(J1657=0,AND(J1657=1,K1657=1),AND(J1657=1,I1657="SBJ"),AND(J1657=1,I1657=0)),"?IN_FOCUS",IF(J1657&lt;=2,"?ACTIVATED",IF(J1657&lt;&gt;"","?FAMILIAR",IF(F1657="NEW",IF(ISNA(VLOOKUP(E1657,#REF!,1,FALSE())),"?TYPE_IDENTIFIABLE","?REFERENTIAL"),"_")))))</f>
        <v> </v>
      </c>
      <c r="H1657" s="24" t="str">
        <f>IF(J1657&lt;&gt;1,"",IF(I1657="SBJ","CB","?"))</f>
        <v> </v>
      </c>
      <c r="I1657" s="25" t="str">
        <f>IF(OR(E1657="",E1657="!!!",F1657="NEW"),"",INDEX(B1656:B$2,-1+SUMPRODUCT(MAX(ROW(E1656:E$2)*(E1657=E1656:E$2)))))</f>
        <v> </v>
      </c>
      <c r="J1657" s="25" t="str">
        <f>IF(OR(E1657="",E1657="!!!",F1657="NEW"),"",COUNTBLANK(OFFSET(A$1,,,SUMPRODUCT(MAX(ROW(E$2:E1657)*(E1657=E$2:E1657)))))-COUNTBLANK(OFFSET(A$1,,,SUMPRODUCT(MAX(ROW(E$1:E1656)*(E2=E$1:E1656))))))</f>
        <v> </v>
      </c>
      <c r="K1657" s="25" t="str">
        <f>IF(OR(E1657="",E1657="!!!",F1657="NEW"),"",INDEX(J$1:J1656,SUMPRODUCT(MAX(ROW(E$1:E1656)*(E1657=E$1:E1656)))))</f>
        <v> </v>
      </c>
      <c r="L1657" s="26"/>
    </row>
    <row r="1658" spans="1:12">
      <c r="A1658" s="20" t="s">
        <v>1205</v>
      </c>
      <c r="E1658" s="21">
        <f>IF(D1658="?OLD","!!!","")</f>
        <v/>
      </c>
      <c r="F1658" s="22" t="str">
        <f>IF(OR(E1658="",E1658="!!!"),"",IF(NOT(ISNA(VLOOKUP(E1658,E$1:E1657,1,FALSE()))),"OLD",IF(AND(E1658&lt;&gt;"",E1658&lt;&gt;"!!!"),"NEW","")))</f>
        <v> </v>
      </c>
      <c r="G1658" s="23" t="str">
        <f>IF(OR(E1658="",E1658="!!!"),"",IF(OR(J1658=0,AND(J1658=1,K1658=1),AND(J1658=1,I1658="SBJ"),AND(J1658=1,I1658=0)),"?IN_FOCUS",IF(J1658&lt;=2,"?ACTIVATED",IF(J1658&lt;&gt;"","?FAMILIAR",IF(F1658="NEW",IF(ISNA(VLOOKUP(E1658,#REF!,1,FALSE())),"?TYPE_IDENTIFIABLE","?REFERENTIAL"),"_")))))</f>
        <v> </v>
      </c>
      <c r="H1658" s="24" t="str">
        <f>IF(J1658&lt;&gt;1,"",IF(I1658="SBJ","CB","?"))</f>
        <v> </v>
      </c>
      <c r="I1658" s="25" t="str">
        <f>IF(OR(E1658="",E1658="!!!",F1658="NEW"),"",INDEX(B1657:B$2,-1+SUMPRODUCT(MAX(ROW(E1657:E$2)*(E1658=E1657:E$2)))))</f>
        <v> </v>
      </c>
      <c r="J1658" s="25" t="str">
        <f>IF(OR(E1658="",E1658="!!!",F1658="NEW"),"",COUNTBLANK(OFFSET(A$1,,,SUMPRODUCT(MAX(ROW(E$2:E1658)*(E1658=E$2:E1658)))))-COUNTBLANK(OFFSET(A$1,,,SUMPRODUCT(MAX(ROW(E$1:E1657)*(E2=E$1:E1657))))))</f>
        <v> </v>
      </c>
      <c r="K1658" s="25" t="str">
        <f>IF(OR(E1658="",E1658="!!!",F1658="NEW"),"",INDEX(J$1:J1657,SUMPRODUCT(MAX(ROW(E$1:E1657)*(E1658=E$1:E1657)))))</f>
        <v> </v>
      </c>
      <c r="L1658" s="26"/>
    </row>
    <row r="1659" spans="1:12">
      <c r="A1659" s="20" t="s">
        <v>1206</v>
      </c>
      <c r="E1659" s="21">
        <f>IF(D1659="?OLD","!!!","")</f>
        <v/>
      </c>
      <c r="F1659" s="22" t="str">
        <f>IF(OR(E1659="",E1659="!!!"),"",IF(NOT(ISNA(VLOOKUP(E1659,E$1:E1658,1,FALSE()))),"OLD",IF(AND(E1659&lt;&gt;"",E1659&lt;&gt;"!!!"),"NEW","")))</f>
        <v> </v>
      </c>
      <c r="G1659" s="23" t="str">
        <f>IF(OR(E1659="",E1659="!!!"),"",IF(OR(J1659=0,AND(J1659=1,K1659=1),AND(J1659=1,I1659="SBJ"),AND(J1659=1,I1659=0)),"?IN_FOCUS",IF(J1659&lt;=2,"?ACTIVATED",IF(J1659&lt;&gt;"","?FAMILIAR",IF(F1659="NEW",IF(ISNA(VLOOKUP(E1659,#REF!,1,FALSE())),"?TYPE_IDENTIFIABLE","?REFERENTIAL"),"_")))))</f>
        <v> </v>
      </c>
      <c r="H1659" s="24" t="str">
        <f>IF(J1659&lt;&gt;1,"",IF(I1659="SBJ","CB","?"))</f>
        <v> </v>
      </c>
      <c r="I1659" s="25" t="str">
        <f>IF(OR(E1659="",E1659="!!!",F1659="NEW"),"",INDEX(B1658:B$2,-1+SUMPRODUCT(MAX(ROW(E1658:E$2)*(E1659=E1658:E$2)))))</f>
        <v> </v>
      </c>
      <c r="J1659" s="25" t="str">
        <f>IF(OR(E1659="",E1659="!!!",F1659="NEW"),"",COUNTBLANK(OFFSET(A$1,,,SUMPRODUCT(MAX(ROW(E$2:E1659)*(E1659=E$2:E1659)))))-COUNTBLANK(OFFSET(A$1,,,SUMPRODUCT(MAX(ROW(E$1:E1658)*(E2=E$1:E1658))))))</f>
        <v> </v>
      </c>
      <c r="K1659" s="25" t="str">
        <f>IF(OR(E1659="",E1659="!!!",F1659="NEW"),"",INDEX(J$1:J1658,SUMPRODUCT(MAX(ROW(E$1:E1658)*(E1659=E$1:E1658)))))</f>
        <v> </v>
      </c>
      <c r="L1659" s="26"/>
    </row>
    <row r="1660" spans="1:12">
      <c r="A1660" s="20" t="s">
        <v>253</v>
      </c>
      <c r="E1660" s="21">
        <f>IF(D1660="?OLD","!!!","")</f>
        <v/>
      </c>
      <c r="F1660" s="22" t="str">
        <f>IF(OR(E1660="",E1660="!!!"),"",IF(NOT(ISNA(VLOOKUP(E1660,E$1:E1659,1,FALSE()))),"OLD",IF(AND(E1660&lt;&gt;"",E1660&lt;&gt;"!!!"),"NEW","")))</f>
        <v> </v>
      </c>
      <c r="G1660" s="23" t="str">
        <f>IF(OR(E1660="",E1660="!!!"),"",IF(OR(J1660=0,AND(J1660=1,K1660=1),AND(J1660=1,I1660="SBJ"),AND(J1660=1,I1660=0)),"?IN_FOCUS",IF(J1660&lt;=2,"?ACTIVATED",IF(J1660&lt;&gt;"","?FAMILIAR",IF(F1660="NEW",IF(ISNA(VLOOKUP(E1660,#REF!,1,FALSE())),"?TYPE_IDENTIFIABLE","?REFERENTIAL"),"_")))))</f>
        <v> </v>
      </c>
      <c r="H1660" s="24" t="str">
        <f>IF(J1660&lt;&gt;1,"",IF(I1660="SBJ","CB","?"))</f>
        <v> </v>
      </c>
      <c r="I1660" s="25" t="str">
        <f>IF(OR(E1660="",E1660="!!!",F1660="NEW"),"",INDEX(B1659:B$2,-1+SUMPRODUCT(MAX(ROW(E1659:E$2)*(E1660=E1659:E$2)))))</f>
        <v> </v>
      </c>
      <c r="J1660" s="25" t="str">
        <f>IF(OR(E1660="",E1660="!!!",F1660="NEW"),"",COUNTBLANK(OFFSET(A$1,,,SUMPRODUCT(MAX(ROW(E$2:E1660)*(E1660=E$2:E1660)))))-COUNTBLANK(OFFSET(A$1,,,SUMPRODUCT(MAX(ROW(E$1:E1659)*(E2=E$1:E1659))))))</f>
        <v> </v>
      </c>
      <c r="K1660" s="25" t="str">
        <f>IF(OR(E1660="",E1660="!!!",F1660="NEW"),"",INDEX(J$1:J1659,SUMPRODUCT(MAX(ROW(E$1:E1659)*(E1660=E$1:E1659)))))</f>
        <v> </v>
      </c>
      <c r="L1660" s="26"/>
    </row>
    <row r="1661" spans="1:12">
      <c r="A1661" s="20"/>
    </row>
    <row r="1662" spans="1:12">
      <c r="A1662" s="20" t="s">
        <v>1207</v>
      </c>
    </row>
    <row r="1663" spans="1:12">
      <c r="A1663" s="20" t="s">
        <v>645</v>
      </c>
      <c r="E1663" s="21">
        <f>IF(D1663="?OLD","!!!","")</f>
        <v/>
      </c>
      <c r="F1663" s="22" t="str">
        <f>IF(OR(E1663="",E1663="!!!"),"",IF(NOT(ISNA(VLOOKUP(E1663,E$1:E1662,1,FALSE()))),"OLD",IF(AND(E1663&lt;&gt;"",E1663&lt;&gt;"!!!"),"NEW","")))</f>
        <v> </v>
      </c>
      <c r="G1663" s="23" t="str">
        <f>IF(OR(E1663="",E1663="!!!"),"",IF(OR(J1663=0,AND(J1663=1,K1663=1),AND(J1663=1,I1663="SBJ"),AND(J1663=1,I1663=0)),"?IN_FOCUS",IF(J1663&lt;=2,"?ACTIVATED",IF(J1663&lt;&gt;"","?FAMILIAR",IF(F1663="NEW",IF(ISNA(VLOOKUP(E1663,#REF!,1,FALSE())),"?TYPE_IDENTIFIABLE","?REFERENTIAL"),"_")))))</f>
        <v> </v>
      </c>
      <c r="H1663" s="24" t="str">
        <f>IF(J1663&lt;&gt;1,"",IF(I1663="SBJ","CB","?"))</f>
        <v> </v>
      </c>
      <c r="I1663" s="25" t="str">
        <f>IF(OR(E1663="",E1663="!!!",F1663="NEW"),"",INDEX(B1662:B$2,-1+SUMPRODUCT(MAX(ROW(E1662:E$2)*(E1663=E1662:E$2)))))</f>
        <v> </v>
      </c>
      <c r="J1663" s="25" t="str">
        <f>IF(OR(E1663="",E1663="!!!",F1663="NEW"),"",COUNTBLANK(OFFSET(A$1,,,SUMPRODUCT(MAX(ROW(E$2:E1663)*(E1663=E$2:E1663)))))-COUNTBLANK(OFFSET(A$1,,,SUMPRODUCT(MAX(ROW(E$1:E1662)*(E2=E$1:E1662))))))</f>
        <v> </v>
      </c>
      <c r="K1663" s="25" t="str">
        <f>IF(OR(E1663="",E1663="!!!",F1663="NEW"),"",INDEX(J$1:J1662,SUMPRODUCT(MAX(ROW(E$1:E1662)*(E1663=E$1:E1662)))))</f>
        <v> </v>
      </c>
      <c r="L1663" s="26"/>
    </row>
    <row r="1664" spans="1:12">
      <c r="A1664" s="20" t="s">
        <v>968</v>
      </c>
      <c r="B1664" s="27" t="s">
        <v>473</v>
      </c>
      <c r="C1664" s="27" t="s">
        <v>477</v>
      </c>
      <c r="D1664" s="27" t="s">
        <v>478</v>
      </c>
      <c r="E1664" s="21">
        <f>IF(D1664="?OLD","!!!","")</f>
        <v/>
      </c>
      <c r="F1664" s="22" t="str">
        <f>IF(OR(E1664="",E1664="!!!"),"",IF(NOT(ISNA(VLOOKUP(E1664,E$1:E1663,1,FALSE()))),"OLD",IF(AND(E1664&lt;&gt;"",E1664&lt;&gt;"!!!"),"NEW","")))</f>
        <v> </v>
      </c>
      <c r="G1664" s="23" t="str">
        <f>IF(OR(E1664="",E1664="!!!"),"",IF(OR(J1664=0,AND(J1664=1,K1664=1),AND(J1664=1,I1664="SBJ"),AND(J1664=1,I1664=0)),"?IN_FOCUS",IF(J1664&lt;=2,"?ACTIVATED",IF(J1664&lt;&gt;"","?FAMILIAR",IF(F1664="NEW",IF(ISNA(VLOOKUP(E1664,#REF!,1,FALSE())),"?TYPE_IDENTIFIABLE","?REFERENTIAL"),"_")))))</f>
        <v> </v>
      </c>
      <c r="H1664" s="24" t="str">
        <f>IF(J1664&lt;&gt;1,"",IF(I1664="SBJ","CB","?"))</f>
        <v> </v>
      </c>
      <c r="I1664" s="25" t="str">
        <f>IF(OR(E1664="",E1664="!!!",F1664="NEW"),"",INDEX(B1663:B$2,-1+SUMPRODUCT(MAX(ROW(E1663:E$2)*(E1664=E1663:E$2)))))</f>
        <v> </v>
      </c>
      <c r="J1664" s="25" t="str">
        <f>IF(OR(E1664="",E1664="!!!",F1664="NEW"),"",COUNTBLANK(OFFSET(A$1,,,SUMPRODUCT(MAX(ROW(E$2:E1664)*(E1664=E$2:E1664)))))-COUNTBLANK(OFFSET(A$1,,,SUMPRODUCT(MAX(ROW(E$1:E1663)*(E2=E$1:E1663))))))</f>
        <v> </v>
      </c>
      <c r="K1664" s="25" t="str">
        <f>IF(OR(E1664="",E1664="!!!",F1664="NEW"),"",INDEX(J$1:J1663,SUMPRODUCT(MAX(ROW(E$1:E1663)*(E1664=E$1:E1663)))))</f>
        <v> </v>
      </c>
      <c r="L1664" s="26"/>
    </row>
    <row r="1665" spans="1:12">
      <c r="A1665" s="20" t="s">
        <v>1070</v>
      </c>
      <c r="E1665" s="21">
        <f>IF(D1665="?OLD","!!!","")</f>
        <v/>
      </c>
      <c r="F1665" s="22" t="str">
        <f>IF(OR(E1665="",E1665="!!!"),"",IF(NOT(ISNA(VLOOKUP(E1665,E$1:E1664,1,FALSE()))),"OLD",IF(AND(E1665&lt;&gt;"",E1665&lt;&gt;"!!!"),"NEW","")))</f>
        <v> </v>
      </c>
      <c r="G1665" s="23" t="str">
        <f>IF(OR(E1665="",E1665="!!!"),"",IF(OR(J1665=0,AND(J1665=1,K1665=1),AND(J1665=1,I1665="SBJ"),AND(J1665=1,I1665=0)),"?IN_FOCUS",IF(J1665&lt;=2,"?ACTIVATED",IF(J1665&lt;&gt;"","?FAMILIAR",IF(F1665="NEW",IF(ISNA(VLOOKUP(E1665,#REF!,1,FALSE())),"?TYPE_IDENTIFIABLE","?REFERENTIAL"),"_")))))</f>
        <v> </v>
      </c>
      <c r="H1665" s="24" t="str">
        <f>IF(J1665&lt;&gt;1,"",IF(I1665="SBJ","CB","?"))</f>
        <v> </v>
      </c>
      <c r="I1665" s="25" t="str">
        <f>IF(OR(E1665="",E1665="!!!",F1665="NEW"),"",INDEX(B1664:B$2,-1+SUMPRODUCT(MAX(ROW(E1664:E$2)*(E1665=E1664:E$2)))))</f>
        <v> </v>
      </c>
      <c r="J1665" s="25" t="str">
        <f>IF(OR(E1665="",E1665="!!!",F1665="NEW"),"",COUNTBLANK(OFFSET(A$1,,,SUMPRODUCT(MAX(ROW(E$2:E1665)*(E1665=E$2:E1665)))))-COUNTBLANK(OFFSET(A$1,,,SUMPRODUCT(MAX(ROW(E$1:E1664)*(E2=E$1:E1664))))))</f>
        <v> </v>
      </c>
      <c r="K1665" s="25" t="str">
        <f>IF(OR(E1665="",E1665="!!!",F1665="NEW"),"",INDEX(J$1:J1664,SUMPRODUCT(MAX(ROW(E$1:E1664)*(E1665=E$1:E1664)))))</f>
        <v> </v>
      </c>
      <c r="L1665" s="26"/>
    </row>
    <row r="1666" spans="1:12">
      <c r="A1666" s="20" t="s">
        <v>877</v>
      </c>
      <c r="E1666" s="21">
        <f>IF(D1666="?OLD","!!!","")</f>
        <v/>
      </c>
      <c r="F1666" s="22" t="str">
        <f>IF(OR(E1666="",E1666="!!!"),"",IF(NOT(ISNA(VLOOKUP(E1666,E$1:E1665,1,FALSE()))),"OLD",IF(AND(E1666&lt;&gt;"",E1666&lt;&gt;"!!!"),"NEW","")))</f>
        <v> </v>
      </c>
      <c r="G1666" s="23" t="str">
        <f>IF(OR(E1666="",E1666="!!!"),"",IF(OR(J1666=0,AND(J1666=1,K1666=1),AND(J1666=1,I1666="SBJ"),AND(J1666=1,I1666=0)),"?IN_FOCUS",IF(J1666&lt;=2,"?ACTIVATED",IF(J1666&lt;&gt;"","?FAMILIAR",IF(F1666="NEW",IF(ISNA(VLOOKUP(E1666,#REF!,1,FALSE())),"?TYPE_IDENTIFIABLE","?REFERENTIAL"),"_")))))</f>
        <v> </v>
      </c>
      <c r="H1666" s="24" t="str">
        <f>IF(J1666&lt;&gt;1,"",IF(I1666="SBJ","CB","?"))</f>
        <v> </v>
      </c>
      <c r="I1666" s="25" t="str">
        <f>IF(OR(E1666="",E1666="!!!",F1666="NEW"),"",INDEX(B1665:B$2,-1+SUMPRODUCT(MAX(ROW(E1665:E$2)*(E1666=E1665:E$2)))))</f>
        <v> </v>
      </c>
      <c r="J1666" s="25" t="str">
        <f>IF(OR(E1666="",E1666="!!!",F1666="NEW"),"",COUNTBLANK(OFFSET(A$1,,,SUMPRODUCT(MAX(ROW(E$2:E1666)*(E1666=E$2:E1666)))))-COUNTBLANK(OFFSET(A$1,,,SUMPRODUCT(MAX(ROW(E$1:E1665)*(E2=E$1:E1665))))))</f>
        <v> </v>
      </c>
      <c r="K1666" s="25" t="str">
        <f>IF(OR(E1666="",E1666="!!!",F1666="NEW"),"",INDEX(J$1:J1665,SUMPRODUCT(MAX(ROW(E$1:E1665)*(E1666=E$1:E1665)))))</f>
        <v> </v>
      </c>
      <c r="L1666" s="26"/>
    </row>
    <row r="1667" spans="1:12">
      <c r="A1667" s="20" t="s">
        <v>1208</v>
      </c>
      <c r="E1667" s="21">
        <f>IF(D1667="?OLD","!!!","")</f>
        <v/>
      </c>
      <c r="F1667" s="22" t="str">
        <f>IF(OR(E1667="",E1667="!!!"),"",IF(NOT(ISNA(VLOOKUP(E1667,E$1:E1666,1,FALSE()))),"OLD",IF(AND(E1667&lt;&gt;"",E1667&lt;&gt;"!!!"),"NEW","")))</f>
        <v> </v>
      </c>
      <c r="G1667" s="23" t="str">
        <f>IF(OR(E1667="",E1667="!!!"),"",IF(OR(J1667=0,AND(J1667=1,K1667=1),AND(J1667=1,I1667="SBJ"),AND(J1667=1,I1667=0)),"?IN_FOCUS",IF(J1667&lt;=2,"?ACTIVATED",IF(J1667&lt;&gt;"","?FAMILIAR",IF(F1667="NEW",IF(ISNA(VLOOKUP(E1667,#REF!,1,FALSE())),"?TYPE_IDENTIFIABLE","?REFERENTIAL"),"_")))))</f>
        <v> </v>
      </c>
      <c r="H1667" s="24" t="str">
        <f>IF(J1667&lt;&gt;1,"",IF(I1667="SBJ","CB","?"))</f>
        <v> </v>
      </c>
      <c r="I1667" s="25" t="str">
        <f>IF(OR(E1667="",E1667="!!!",F1667="NEW"),"",INDEX(B1666:B$2,-1+SUMPRODUCT(MAX(ROW(E1666:E$2)*(E1667=E1666:E$2)))))</f>
        <v> </v>
      </c>
      <c r="J1667" s="25" t="str">
        <f>IF(OR(E1667="",E1667="!!!",F1667="NEW"),"",COUNTBLANK(OFFSET(A$1,,,SUMPRODUCT(MAX(ROW(E$2:E1667)*(E1667=E$2:E1667)))))-COUNTBLANK(OFFSET(A$1,,,SUMPRODUCT(MAX(ROW(E$1:E1666)*(E2=E$1:E1666))))))</f>
        <v> </v>
      </c>
      <c r="K1667" s="25" t="str">
        <f>IF(OR(E1667="",E1667="!!!",F1667="NEW"),"",INDEX(J$1:J1666,SUMPRODUCT(MAX(ROW(E$1:E1666)*(E1667=E$1:E1666)))))</f>
        <v> </v>
      </c>
      <c r="L1667" s="26"/>
    </row>
    <row r="1668" spans="1:12">
      <c r="A1668" s="20" t="s">
        <v>1209</v>
      </c>
      <c r="B1668" s="27" t="s">
        <v>476</v>
      </c>
      <c r="C1668" s="27" t="s">
        <v>779</v>
      </c>
      <c r="E1668" s="21">
        <f>IF(D1668="?OLD","!!!","")</f>
        <v/>
      </c>
      <c r="F1668" s="22" t="str">
        <f>IF(OR(E1668="",E1668="!!!"),"",IF(NOT(ISNA(VLOOKUP(E1668,E$1:E1667,1,FALSE()))),"OLD",IF(AND(E1668&lt;&gt;"",E1668&lt;&gt;"!!!"),"NEW","")))</f>
        <v> </v>
      </c>
      <c r="G1668" s="23" t="str">
        <f>IF(OR(E1668="",E1668="!!!"),"",IF(OR(J1668=0,AND(J1668=1,K1668=1),AND(J1668=1,I1668="SBJ"),AND(J1668=1,I1668=0)),"?IN_FOCUS",IF(J1668&lt;=2,"?ACTIVATED",IF(J1668&lt;&gt;"","?FAMILIAR",IF(F1668="NEW",IF(ISNA(VLOOKUP(E1668,#REF!,1,FALSE())),"?TYPE_IDENTIFIABLE","?REFERENTIAL"),"_")))))</f>
        <v> </v>
      </c>
      <c r="H1668" s="24" t="str">
        <f>IF(J1668&lt;&gt;1,"",IF(I1668="SBJ","CB","?"))</f>
        <v> </v>
      </c>
      <c r="I1668" s="25" t="str">
        <f>IF(OR(E1668="",E1668="!!!",F1668="NEW"),"",INDEX(B1667:B$2,-1+SUMPRODUCT(MAX(ROW(E1667:E$2)*(E1668=E1667:E$2)))))</f>
        <v> </v>
      </c>
      <c r="J1668" s="25" t="str">
        <f>IF(OR(E1668="",E1668="!!!",F1668="NEW"),"",COUNTBLANK(OFFSET(A$1,,,SUMPRODUCT(MAX(ROW(E$2:E1668)*(E1668=E$2:E1668)))))-COUNTBLANK(OFFSET(A$1,,,SUMPRODUCT(MAX(ROW(E$1:E1667)*(E2=E$1:E1667))))))</f>
        <v> </v>
      </c>
      <c r="K1668" s="25" t="str">
        <f>IF(OR(E1668="",E1668="!!!",F1668="NEW"),"",INDEX(J$1:J1667,SUMPRODUCT(MAX(ROW(E$1:E1667)*(E1668=E$1:E1667)))))</f>
        <v> </v>
      </c>
      <c r="L1668" s="26"/>
    </row>
    <row r="1669" spans="1:12">
      <c r="A1669" s="20" t="s">
        <v>482</v>
      </c>
      <c r="E1669" s="21">
        <f>IF(D1669="?OLD","!!!","")</f>
        <v/>
      </c>
      <c r="F1669" s="22" t="str">
        <f>IF(OR(E1669="",E1669="!!!"),"",IF(NOT(ISNA(VLOOKUP(E1669,E$1:E1668,1,FALSE()))),"OLD",IF(AND(E1669&lt;&gt;"",E1669&lt;&gt;"!!!"),"NEW","")))</f>
        <v> </v>
      </c>
      <c r="G1669" s="23" t="str">
        <f>IF(OR(E1669="",E1669="!!!"),"",IF(OR(J1669=0,AND(J1669=1,K1669=1),AND(J1669=1,I1669="SBJ"),AND(J1669=1,I1669=0)),"?IN_FOCUS",IF(J1669&lt;=2,"?ACTIVATED",IF(J1669&lt;&gt;"","?FAMILIAR",IF(F1669="NEW",IF(ISNA(VLOOKUP(E1669,#REF!,1,FALSE())),"?TYPE_IDENTIFIABLE","?REFERENTIAL"),"_")))))</f>
        <v> </v>
      </c>
      <c r="H1669" s="24" t="str">
        <f>IF(J1669&lt;&gt;1,"",IF(I1669="SBJ","CB","?"))</f>
        <v> </v>
      </c>
      <c r="I1669" s="25" t="str">
        <f>IF(OR(E1669="",E1669="!!!",F1669="NEW"),"",INDEX(B1668:B$2,-1+SUMPRODUCT(MAX(ROW(E1668:E$2)*(E1669=E1668:E$2)))))</f>
        <v> </v>
      </c>
      <c r="J1669" s="25" t="str">
        <f>IF(OR(E1669="",E1669="!!!",F1669="NEW"),"",COUNTBLANK(OFFSET(A$1,,,SUMPRODUCT(MAX(ROW(E$2:E1669)*(E1669=E$2:E1669)))))-COUNTBLANK(OFFSET(A$1,,,SUMPRODUCT(MAX(ROW(E$1:E1668)*(E2=E$1:E1668))))))</f>
        <v> </v>
      </c>
      <c r="K1669" s="25" t="str">
        <f>IF(OR(E1669="",E1669="!!!",F1669="NEW"),"",INDEX(J$1:J1668,SUMPRODUCT(MAX(ROW(E$1:E1668)*(E1669=E$1:E1668)))))</f>
        <v> </v>
      </c>
      <c r="L1669" s="26"/>
    </row>
    <row r="1670" spans="1:12">
      <c r="A1670" s="20" t="s">
        <v>568</v>
      </c>
      <c r="E1670" s="21">
        <f>IF(D1670="?OLD","!!!","")</f>
        <v/>
      </c>
      <c r="F1670" s="22" t="str">
        <f>IF(OR(E1670="",E1670="!!!"),"",IF(NOT(ISNA(VLOOKUP(E1670,E$1:E1669,1,FALSE()))),"OLD",IF(AND(E1670&lt;&gt;"",E1670&lt;&gt;"!!!"),"NEW","")))</f>
        <v> </v>
      </c>
      <c r="G1670" s="23" t="str">
        <f>IF(OR(E1670="",E1670="!!!"),"",IF(OR(J1670=0,AND(J1670=1,K1670=1),AND(J1670=1,I1670="SBJ"),AND(J1670=1,I1670=0)),"?IN_FOCUS",IF(J1670&lt;=2,"?ACTIVATED",IF(J1670&lt;&gt;"","?FAMILIAR",IF(F1670="NEW",IF(ISNA(VLOOKUP(E1670,#REF!,1,FALSE())),"?TYPE_IDENTIFIABLE","?REFERENTIAL"),"_")))))</f>
        <v> </v>
      </c>
      <c r="H1670" s="24" t="str">
        <f>IF(J1670&lt;&gt;1,"",IF(I1670="SBJ","CB","?"))</f>
        <v> </v>
      </c>
      <c r="I1670" s="25" t="str">
        <f>IF(OR(E1670="",E1670="!!!",F1670="NEW"),"",INDEX(B1669:B$2,-1+SUMPRODUCT(MAX(ROW(E1669:E$2)*(E1670=E1669:E$2)))))</f>
        <v> </v>
      </c>
      <c r="J1670" s="25" t="str">
        <f>IF(OR(E1670="",E1670="!!!",F1670="NEW"),"",COUNTBLANK(OFFSET(A$1,,,SUMPRODUCT(MAX(ROW(E$2:E1670)*(E1670=E$2:E1670)))))-COUNTBLANK(OFFSET(A$1,,,SUMPRODUCT(MAX(ROW(E$1:E1669)*(E2=E$1:E1669))))))</f>
        <v> </v>
      </c>
      <c r="K1670" s="25" t="str">
        <f>IF(OR(E1670="",E1670="!!!",F1670="NEW"),"",INDEX(J$1:J1669,SUMPRODUCT(MAX(ROW(E$1:E1669)*(E1670=E$1:E1669)))))</f>
        <v> </v>
      </c>
      <c r="L1670" s="26"/>
    </row>
    <row r="1671" spans="1:12">
      <c r="A1671" s="20" t="s">
        <v>1210</v>
      </c>
      <c r="E1671" s="21">
        <f>IF(D1671="?OLD","!!!","")</f>
        <v/>
      </c>
      <c r="F1671" s="22" t="str">
        <f>IF(OR(E1671="",E1671="!!!"),"",IF(NOT(ISNA(VLOOKUP(E1671,E$1:E1670,1,FALSE()))),"OLD",IF(AND(E1671&lt;&gt;"",E1671&lt;&gt;"!!!"),"NEW","")))</f>
        <v> </v>
      </c>
      <c r="G1671" s="23" t="str">
        <f>IF(OR(E1671="",E1671="!!!"),"",IF(OR(J1671=0,AND(J1671=1,K1671=1),AND(J1671=1,I1671="SBJ"),AND(J1671=1,I1671=0)),"?IN_FOCUS",IF(J1671&lt;=2,"?ACTIVATED",IF(J1671&lt;&gt;"","?FAMILIAR",IF(F1671="NEW",IF(ISNA(VLOOKUP(E1671,#REF!,1,FALSE())),"?TYPE_IDENTIFIABLE","?REFERENTIAL"),"_")))))</f>
        <v> </v>
      </c>
      <c r="H1671" s="24" t="str">
        <f>IF(J1671&lt;&gt;1,"",IF(I1671="SBJ","CB","?"))</f>
        <v> </v>
      </c>
      <c r="I1671" s="25" t="str">
        <f>IF(OR(E1671="",E1671="!!!",F1671="NEW"),"",INDEX(B1670:B$2,-1+SUMPRODUCT(MAX(ROW(E1670:E$2)*(E1671=E1670:E$2)))))</f>
        <v> </v>
      </c>
      <c r="J1671" s="25" t="str">
        <f>IF(OR(E1671="",E1671="!!!",F1671="NEW"),"",COUNTBLANK(OFFSET(A$1,,,SUMPRODUCT(MAX(ROW(E$2:E1671)*(E1671=E$2:E1671)))))-COUNTBLANK(OFFSET(A$1,,,SUMPRODUCT(MAX(ROW(E$1:E1670)*(E2=E$1:E1670))))))</f>
        <v> </v>
      </c>
      <c r="K1671" s="25" t="str">
        <f>IF(OR(E1671="",E1671="!!!",F1671="NEW"),"",INDEX(J$1:J1670,SUMPRODUCT(MAX(ROW(E$1:E1670)*(E1671=E$1:E1670)))))</f>
        <v> </v>
      </c>
      <c r="L1671" s="26"/>
    </row>
    <row r="1672" spans="1:12">
      <c r="A1672" s="20" t="s">
        <v>253</v>
      </c>
      <c r="E1672" s="21">
        <f>IF(D1672="?OLD","!!!","")</f>
        <v/>
      </c>
      <c r="F1672" s="22" t="str">
        <f>IF(OR(E1672="",E1672="!!!"),"",IF(NOT(ISNA(VLOOKUP(E1672,E$1:E1671,1,FALSE()))),"OLD",IF(AND(E1672&lt;&gt;"",E1672&lt;&gt;"!!!"),"NEW","")))</f>
        <v> </v>
      </c>
      <c r="G1672" s="23" t="str">
        <f>IF(OR(E1672="",E1672="!!!"),"",IF(OR(J1672=0,AND(J1672=1,K1672=1),AND(J1672=1,I1672="SBJ"),AND(J1672=1,I1672=0)),"?IN_FOCUS",IF(J1672&lt;=2,"?ACTIVATED",IF(J1672&lt;&gt;"","?FAMILIAR",IF(F1672="NEW",IF(ISNA(VLOOKUP(E1672,#REF!,1,FALSE())),"?TYPE_IDENTIFIABLE","?REFERENTIAL"),"_")))))</f>
        <v> </v>
      </c>
      <c r="H1672" s="24" t="str">
        <f>IF(J1672&lt;&gt;1,"",IF(I1672="SBJ","CB","?"))</f>
        <v> </v>
      </c>
      <c r="I1672" s="25" t="str">
        <f>IF(OR(E1672="",E1672="!!!",F1672="NEW"),"",INDEX(B1671:B$2,-1+SUMPRODUCT(MAX(ROW(E1671:E$2)*(E1672=E1671:E$2)))))</f>
        <v> </v>
      </c>
      <c r="J1672" s="25" t="str">
        <f>IF(OR(E1672="",E1672="!!!",F1672="NEW"),"",COUNTBLANK(OFFSET(A$1,,,SUMPRODUCT(MAX(ROW(E$2:E1672)*(E1672=E$2:E1672)))))-COUNTBLANK(OFFSET(A$1,,,SUMPRODUCT(MAX(ROW(E$1:E1671)*(E2=E$1:E1671))))))</f>
        <v> </v>
      </c>
      <c r="K1672" s="25" t="str">
        <f>IF(OR(E1672="",E1672="!!!",F1672="NEW"),"",INDEX(J$1:J1671,SUMPRODUCT(MAX(ROW(E$1:E1671)*(E1672=E$1:E1671)))))</f>
        <v> </v>
      </c>
      <c r="L1672" s="26"/>
    </row>
    <row r="1673" spans="1:12">
      <c r="A1673" s="20"/>
    </row>
    <row r="1674" spans="1:12">
      <c r="A1674" s="20" t="s">
        <v>1211</v>
      </c>
    </row>
    <row r="1675" spans="1:12">
      <c r="A1675" s="20" t="s">
        <v>1212</v>
      </c>
      <c r="E1675" s="21">
        <f>IF(D1675="?OLD","!!!","")</f>
        <v/>
      </c>
      <c r="F1675" s="22" t="str">
        <f>IF(OR(E1675="",E1675="!!!"),"",IF(NOT(ISNA(VLOOKUP(E1675,E$1:E1674,1,FALSE()))),"OLD",IF(AND(E1675&lt;&gt;"",E1675&lt;&gt;"!!!"),"NEW","")))</f>
        <v> </v>
      </c>
      <c r="G1675" s="23" t="str">
        <f>IF(OR(E1675="",E1675="!!!"),"",IF(OR(J1675=0,AND(J1675=1,K1675=1),AND(J1675=1,I1675="SBJ"),AND(J1675=1,I1675=0)),"?IN_FOCUS",IF(J1675&lt;=2,"?ACTIVATED",IF(J1675&lt;&gt;"","?FAMILIAR",IF(F1675="NEW",IF(ISNA(VLOOKUP(E1675,#REF!,1,FALSE())),"?TYPE_IDENTIFIABLE","?REFERENTIAL"),"_")))))</f>
        <v> </v>
      </c>
      <c r="H1675" s="24" t="str">
        <f>IF(J1675&lt;&gt;1,"",IF(I1675="SBJ","CB","?"))</f>
        <v> </v>
      </c>
      <c r="I1675" s="25" t="str">
        <f>IF(OR(E1675="",E1675="!!!",F1675="NEW"),"",INDEX(B1674:B$2,-1+SUMPRODUCT(MAX(ROW(E1674:E$2)*(E1675=E1674:E$2)))))</f>
        <v> </v>
      </c>
      <c r="J1675" s="25" t="str">
        <f>IF(OR(E1675="",E1675="!!!",F1675="NEW"),"",COUNTBLANK(OFFSET(A$1,,,SUMPRODUCT(MAX(ROW(E$2:E1675)*(E1675=E$2:E1675)))))-COUNTBLANK(OFFSET(A$1,,,SUMPRODUCT(MAX(ROW(E$1:E1674)*(E2=E$1:E1674))))))</f>
        <v> </v>
      </c>
      <c r="K1675" s="25" t="str">
        <f>IF(OR(E1675="",E1675="!!!",F1675="NEW"),"",INDEX(J$1:J1674,SUMPRODUCT(MAX(ROW(E$1:E1674)*(E1675=E$1:E1674)))))</f>
        <v> </v>
      </c>
      <c r="L1675" s="26"/>
    </row>
    <row r="1676" spans="1:12">
      <c r="A1676" s="20" t="s">
        <v>482</v>
      </c>
      <c r="E1676" s="21">
        <f>IF(D1676="?OLD","!!!","")</f>
        <v/>
      </c>
      <c r="F1676" s="22" t="str">
        <f>IF(OR(E1676="",E1676="!!!"),"",IF(NOT(ISNA(VLOOKUP(E1676,E$1:E1675,1,FALSE()))),"OLD",IF(AND(E1676&lt;&gt;"",E1676&lt;&gt;"!!!"),"NEW","")))</f>
        <v> </v>
      </c>
      <c r="G1676" s="23" t="str">
        <f>IF(OR(E1676="",E1676="!!!"),"",IF(OR(J1676=0,AND(J1676=1,K1676=1),AND(J1676=1,I1676="SBJ"),AND(J1676=1,I1676=0)),"?IN_FOCUS",IF(J1676&lt;=2,"?ACTIVATED",IF(J1676&lt;&gt;"","?FAMILIAR",IF(F1676="NEW",IF(ISNA(VLOOKUP(E1676,#REF!,1,FALSE())),"?TYPE_IDENTIFIABLE","?REFERENTIAL"),"_")))))</f>
        <v> </v>
      </c>
      <c r="H1676" s="24" t="str">
        <f>IF(J1676&lt;&gt;1,"",IF(I1676="SBJ","CB","?"))</f>
        <v> </v>
      </c>
      <c r="I1676" s="25" t="str">
        <f>IF(OR(E1676="",E1676="!!!",F1676="NEW"),"",INDEX(B1675:B$2,-1+SUMPRODUCT(MAX(ROW(E1675:E$2)*(E1676=E1675:E$2)))))</f>
        <v> </v>
      </c>
      <c r="J1676" s="25" t="str">
        <f>IF(OR(E1676="",E1676="!!!",F1676="NEW"),"",COUNTBLANK(OFFSET(A$1,,,SUMPRODUCT(MAX(ROW(E$2:E1676)*(E1676=E$2:E1676)))))-COUNTBLANK(OFFSET(A$1,,,SUMPRODUCT(MAX(ROW(E$1:E1675)*(E2=E$1:E1675))))))</f>
        <v> </v>
      </c>
      <c r="K1676" s="25" t="str">
        <f>IF(OR(E1676="",E1676="!!!",F1676="NEW"),"",INDEX(J$1:J1675,SUMPRODUCT(MAX(ROW(E$1:E1675)*(E1676=E$1:E1675)))))</f>
        <v> </v>
      </c>
      <c r="L1676" s="26"/>
    </row>
    <row r="1677" spans="1:12">
      <c r="A1677" s="20" t="s">
        <v>299</v>
      </c>
      <c r="B1677" s="27" t="s">
        <v>483</v>
      </c>
      <c r="C1677" s="27" t="s">
        <v>477</v>
      </c>
      <c r="D1677" s="27" t="s">
        <v>478</v>
      </c>
      <c r="E1677" s="21">
        <f>IF(D1677="?OLD","!!!","")</f>
        <v/>
      </c>
      <c r="F1677" s="22" t="str">
        <f>IF(OR(E1677="",E1677="!!!"),"",IF(NOT(ISNA(VLOOKUP(E1677,E$1:E1676,1,FALSE()))),"OLD",IF(AND(E1677&lt;&gt;"",E1677&lt;&gt;"!!!"),"NEW","")))</f>
        <v> </v>
      </c>
      <c r="G1677" s="23" t="str">
        <f>IF(OR(E1677="",E1677="!!!"),"",IF(OR(J1677=0,AND(J1677=1,K1677=1),AND(J1677=1,I1677="SBJ"),AND(J1677=1,I1677=0)),"?IN_FOCUS",IF(J1677&lt;=2,"?ACTIVATED",IF(J1677&lt;&gt;"","?FAMILIAR",IF(F1677="NEW",IF(ISNA(VLOOKUP(E1677,#REF!,1,FALSE())),"?TYPE_IDENTIFIABLE","?REFERENTIAL"),"_")))))</f>
        <v> </v>
      </c>
      <c r="H1677" s="24" t="str">
        <f>IF(J1677&lt;&gt;1,"",IF(I1677="SBJ","CB","?"))</f>
        <v> </v>
      </c>
      <c r="I1677" s="25" t="str">
        <f>IF(OR(E1677="",E1677="!!!",F1677="NEW"),"",INDEX(B1676:B$2,-1+SUMPRODUCT(MAX(ROW(E1676:E$2)*(E1677=E1676:E$2)))))</f>
        <v> </v>
      </c>
      <c r="J1677" s="25" t="str">
        <f>IF(OR(E1677="",E1677="!!!",F1677="NEW"),"",COUNTBLANK(OFFSET(A$1,,,SUMPRODUCT(MAX(ROW(E$2:E1677)*(E1677=E$2:E1677)))))-COUNTBLANK(OFFSET(A$1,,,SUMPRODUCT(MAX(ROW(E$1:E1676)*(E2=E$1:E1676))))))</f>
        <v> </v>
      </c>
      <c r="K1677" s="25" t="str">
        <f>IF(OR(E1677="",E1677="!!!",F1677="NEW"),"",INDEX(J$1:J1676,SUMPRODUCT(MAX(ROW(E$1:E1676)*(E1677=E$1:E1676)))))</f>
        <v> </v>
      </c>
      <c r="L1677" s="26"/>
    </row>
    <row r="1678" spans="1:12">
      <c r="A1678" s="20" t="s">
        <v>1213</v>
      </c>
      <c r="E1678" s="21">
        <f>IF(D1678="?OLD","!!!","")</f>
        <v/>
      </c>
      <c r="F1678" s="22" t="str">
        <f>IF(OR(E1678="",E1678="!!!"),"",IF(NOT(ISNA(VLOOKUP(E1678,E$1:E1677,1,FALSE()))),"OLD",IF(AND(E1678&lt;&gt;"",E1678&lt;&gt;"!!!"),"NEW","")))</f>
        <v> </v>
      </c>
      <c r="G1678" s="23" t="str">
        <f>IF(OR(E1678="",E1678="!!!"),"",IF(OR(J1678=0,AND(J1678=1,K1678=1),AND(J1678=1,I1678="SBJ"),AND(J1678=1,I1678=0)),"?IN_FOCUS",IF(J1678&lt;=2,"?ACTIVATED",IF(J1678&lt;&gt;"","?FAMILIAR",IF(F1678="NEW",IF(ISNA(VLOOKUP(E1678,#REF!,1,FALSE())),"?TYPE_IDENTIFIABLE","?REFERENTIAL"),"_")))))</f>
        <v> </v>
      </c>
      <c r="H1678" s="24" t="str">
        <f>IF(J1678&lt;&gt;1,"",IF(I1678="SBJ","CB","?"))</f>
        <v> </v>
      </c>
      <c r="I1678" s="25" t="str">
        <f>IF(OR(E1678="",E1678="!!!",F1678="NEW"),"",INDEX(B1677:B$2,-1+SUMPRODUCT(MAX(ROW(E1677:E$2)*(E1678=E1677:E$2)))))</f>
        <v> </v>
      </c>
      <c r="J1678" s="25" t="str">
        <f>IF(OR(E1678="",E1678="!!!",F1678="NEW"),"",COUNTBLANK(OFFSET(A$1,,,SUMPRODUCT(MAX(ROW(E$2:E1678)*(E1678=E$2:E1678)))))-COUNTBLANK(OFFSET(A$1,,,SUMPRODUCT(MAX(ROW(E$1:E1677)*(E2=E$1:E1677))))))</f>
        <v> </v>
      </c>
      <c r="K1678" s="25" t="str">
        <f>IF(OR(E1678="",E1678="!!!",F1678="NEW"),"",INDEX(J$1:J1677,SUMPRODUCT(MAX(ROW(E$1:E1677)*(E1678=E$1:E1677)))))</f>
        <v> </v>
      </c>
      <c r="L1678" s="26"/>
    </row>
    <row r="1679" spans="1:12">
      <c r="A1679" s="20" t="s">
        <v>534</v>
      </c>
      <c r="E1679" s="21">
        <f>IF(D1679="?OLD","!!!","")</f>
        <v/>
      </c>
      <c r="F1679" s="22" t="str">
        <f>IF(OR(E1679="",E1679="!!!"),"",IF(NOT(ISNA(VLOOKUP(E1679,E$1:E1678,1,FALSE()))),"OLD",IF(AND(E1679&lt;&gt;"",E1679&lt;&gt;"!!!"),"NEW","")))</f>
        <v> </v>
      </c>
      <c r="G1679" s="23" t="str">
        <f>IF(OR(E1679="",E1679="!!!"),"",IF(OR(J1679=0,AND(J1679=1,K1679=1),AND(J1679=1,I1679="SBJ"),AND(J1679=1,I1679=0)),"?IN_FOCUS",IF(J1679&lt;=2,"?ACTIVATED",IF(J1679&lt;&gt;"","?FAMILIAR",IF(F1679="NEW",IF(ISNA(VLOOKUP(E1679,#REF!,1,FALSE())),"?TYPE_IDENTIFIABLE","?REFERENTIAL"),"_")))))</f>
        <v> </v>
      </c>
      <c r="H1679" s="24" t="str">
        <f>IF(J1679&lt;&gt;1,"",IF(I1679="SBJ","CB","?"))</f>
        <v> </v>
      </c>
      <c r="I1679" s="25" t="str">
        <f>IF(OR(E1679="",E1679="!!!",F1679="NEW"),"",INDEX(B1678:B$2,-1+SUMPRODUCT(MAX(ROW(E1678:E$2)*(E1679=E1678:E$2)))))</f>
        <v> </v>
      </c>
      <c r="J1679" s="25" t="str">
        <f>IF(OR(E1679="",E1679="!!!",F1679="NEW"),"",COUNTBLANK(OFFSET(A$1,,,SUMPRODUCT(MAX(ROW(E$2:E1679)*(E1679=E$2:E1679)))))-COUNTBLANK(OFFSET(A$1,,,SUMPRODUCT(MAX(ROW(E$1:E1678)*(E2=E$1:E1678))))))</f>
        <v> </v>
      </c>
      <c r="K1679" s="25" t="str">
        <f>IF(OR(E1679="",E1679="!!!",F1679="NEW"),"",INDEX(J$1:J1678,SUMPRODUCT(MAX(ROW(E$1:E1678)*(E1679=E$1:E1678)))))</f>
        <v> </v>
      </c>
      <c r="L1679" s="26"/>
    </row>
    <row r="1680" spans="1:12">
      <c r="A1680" s="20" t="s">
        <v>1214</v>
      </c>
      <c r="E1680" s="21">
        <f>IF(D1680="?OLD","!!!","")</f>
        <v/>
      </c>
      <c r="F1680" s="22" t="str">
        <f>IF(OR(E1680="",E1680="!!!"),"",IF(NOT(ISNA(VLOOKUP(E1680,E$1:E1679,1,FALSE()))),"OLD",IF(AND(E1680&lt;&gt;"",E1680&lt;&gt;"!!!"),"NEW","")))</f>
        <v> </v>
      </c>
      <c r="G1680" s="23" t="str">
        <f>IF(OR(E1680="",E1680="!!!"),"",IF(OR(J1680=0,AND(J1680=1,K1680=1),AND(J1680=1,I1680="SBJ"),AND(J1680=1,I1680=0)),"?IN_FOCUS",IF(J1680&lt;=2,"?ACTIVATED",IF(J1680&lt;&gt;"","?FAMILIAR",IF(F1680="NEW",IF(ISNA(VLOOKUP(E1680,#REF!,1,FALSE())),"?TYPE_IDENTIFIABLE","?REFERENTIAL"),"_")))))</f>
        <v> </v>
      </c>
      <c r="H1680" s="24" t="str">
        <f>IF(J1680&lt;&gt;1,"",IF(I1680="SBJ","CB","?"))</f>
        <v> </v>
      </c>
      <c r="I1680" s="25" t="str">
        <f>IF(OR(E1680="",E1680="!!!",F1680="NEW"),"",INDEX(B1679:B$2,-1+SUMPRODUCT(MAX(ROW(E1679:E$2)*(E1680=E1679:E$2)))))</f>
        <v> </v>
      </c>
      <c r="J1680" s="25" t="str">
        <f>IF(OR(E1680="",E1680="!!!",F1680="NEW"),"",COUNTBLANK(OFFSET(A$1,,,SUMPRODUCT(MAX(ROW(E$2:E1680)*(E1680=E$2:E1680)))))-COUNTBLANK(OFFSET(A$1,,,SUMPRODUCT(MAX(ROW(E$1:E1679)*(E2=E$1:E1679))))))</f>
        <v> </v>
      </c>
      <c r="K1680" s="25" t="str">
        <f>IF(OR(E1680="",E1680="!!!",F1680="NEW"),"",INDEX(J$1:J1679,SUMPRODUCT(MAX(ROW(E$1:E1679)*(E1680=E$1:E1679)))))</f>
        <v> </v>
      </c>
      <c r="L1680" s="26"/>
    </row>
    <row r="1681" spans="1:12">
      <c r="A1681" s="20" t="s">
        <v>456</v>
      </c>
      <c r="E1681" s="21">
        <f>IF(D1681="?OLD","!!!","")</f>
        <v/>
      </c>
      <c r="F1681" s="22" t="str">
        <f>IF(OR(E1681="",E1681="!!!"),"",IF(NOT(ISNA(VLOOKUP(E1681,E$1:E1680,1,FALSE()))),"OLD",IF(AND(E1681&lt;&gt;"",E1681&lt;&gt;"!!!"),"NEW","")))</f>
        <v> </v>
      </c>
      <c r="G1681" s="23" t="str">
        <f>IF(OR(E1681="",E1681="!!!"),"",IF(OR(J1681=0,AND(J1681=1,K1681=1),AND(J1681=1,I1681="SBJ"),AND(J1681=1,I1681=0)),"?IN_FOCUS",IF(J1681&lt;=2,"?ACTIVATED",IF(J1681&lt;&gt;"","?FAMILIAR",IF(F1681="NEW",IF(ISNA(VLOOKUP(E1681,#REF!,1,FALSE())),"?TYPE_IDENTIFIABLE","?REFERENTIAL"),"_")))))</f>
        <v> </v>
      </c>
      <c r="H1681" s="24" t="str">
        <f>IF(J1681&lt;&gt;1,"",IF(I1681="SBJ","CB","?"))</f>
        <v> </v>
      </c>
      <c r="I1681" s="25" t="str">
        <f>IF(OR(E1681="",E1681="!!!",F1681="NEW"),"",INDEX(B1680:B$2,-1+SUMPRODUCT(MAX(ROW(E1680:E$2)*(E1681=E1680:E$2)))))</f>
        <v> </v>
      </c>
      <c r="J1681" s="25" t="str">
        <f>IF(OR(E1681="",E1681="!!!",F1681="NEW"),"",COUNTBLANK(OFFSET(A$1,,,SUMPRODUCT(MAX(ROW(E$2:E1681)*(E1681=E$2:E1681)))))-COUNTBLANK(OFFSET(A$1,,,SUMPRODUCT(MAX(ROW(E$1:E1680)*(E2=E$1:E1680))))))</f>
        <v> </v>
      </c>
      <c r="K1681" s="25" t="str">
        <f>IF(OR(E1681="",E1681="!!!",F1681="NEW"),"",INDEX(J$1:J1680,SUMPRODUCT(MAX(ROW(E$1:E1680)*(E1681=E$1:E1680)))))</f>
        <v> </v>
      </c>
      <c r="L1681" s="26"/>
    </row>
    <row r="1682" spans="1:12">
      <c r="A1682" s="20" t="s">
        <v>1215</v>
      </c>
      <c r="E1682" s="21">
        <f>IF(D1682="?OLD","!!!","")</f>
        <v/>
      </c>
      <c r="F1682" s="22" t="str">
        <f>IF(OR(E1682="",E1682="!!!"),"",IF(NOT(ISNA(VLOOKUP(E1682,E$1:E1681,1,FALSE()))),"OLD",IF(AND(E1682&lt;&gt;"",E1682&lt;&gt;"!!!"),"NEW","")))</f>
        <v> </v>
      </c>
      <c r="G1682" s="23" t="str">
        <f>IF(OR(E1682="",E1682="!!!"),"",IF(OR(J1682=0,AND(J1682=1,K1682=1),AND(J1682=1,I1682="SBJ"),AND(J1682=1,I1682=0)),"?IN_FOCUS",IF(J1682&lt;=2,"?ACTIVATED",IF(J1682&lt;&gt;"","?FAMILIAR",IF(F1682="NEW",IF(ISNA(VLOOKUP(E1682,#REF!,1,FALSE())),"?TYPE_IDENTIFIABLE","?REFERENTIAL"),"_")))))</f>
        <v> </v>
      </c>
      <c r="H1682" s="24" t="str">
        <f>IF(J1682&lt;&gt;1,"",IF(I1682="SBJ","CB","?"))</f>
        <v> </v>
      </c>
      <c r="I1682" s="25" t="str">
        <f>IF(OR(E1682="",E1682="!!!",F1682="NEW"),"",INDEX(B1681:B$2,-1+SUMPRODUCT(MAX(ROW(E1681:E$2)*(E1682=E1681:E$2)))))</f>
        <v> </v>
      </c>
      <c r="J1682" s="25" t="str">
        <f>IF(OR(E1682="",E1682="!!!",F1682="NEW"),"",COUNTBLANK(OFFSET(A$1,,,SUMPRODUCT(MAX(ROW(E$2:E1682)*(E1682=E$2:E1682)))))-COUNTBLANK(OFFSET(A$1,,,SUMPRODUCT(MAX(ROW(E$1:E1681)*(E2=E$1:E1681))))))</f>
        <v> </v>
      </c>
      <c r="K1682" s="25" t="str">
        <f>IF(OR(E1682="",E1682="!!!",F1682="NEW"),"",INDEX(J$1:J1681,SUMPRODUCT(MAX(ROW(E$1:E1681)*(E1682=E$1:E1681)))))</f>
        <v> </v>
      </c>
      <c r="L1682" s="26"/>
    </row>
    <row r="1683" spans="1:12">
      <c r="A1683" s="20" t="s">
        <v>1216</v>
      </c>
      <c r="E1683" s="21">
        <f>IF(D1683="?OLD","!!!","")</f>
        <v/>
      </c>
      <c r="F1683" s="22" t="str">
        <f>IF(OR(E1683="",E1683="!!!"),"",IF(NOT(ISNA(VLOOKUP(E1683,E$1:E1682,1,FALSE()))),"OLD",IF(AND(E1683&lt;&gt;"",E1683&lt;&gt;"!!!"),"NEW","")))</f>
        <v> </v>
      </c>
      <c r="G1683" s="23" t="str">
        <f>IF(OR(E1683="",E1683="!!!"),"",IF(OR(J1683=0,AND(J1683=1,K1683=1),AND(J1683=1,I1683="SBJ"),AND(J1683=1,I1683=0)),"?IN_FOCUS",IF(J1683&lt;=2,"?ACTIVATED",IF(J1683&lt;&gt;"","?FAMILIAR",IF(F1683="NEW",IF(ISNA(VLOOKUP(E1683,#REF!,1,FALSE())),"?TYPE_IDENTIFIABLE","?REFERENTIAL"),"_")))))</f>
        <v> </v>
      </c>
      <c r="H1683" s="24" t="str">
        <f>IF(J1683&lt;&gt;1,"",IF(I1683="SBJ","CB","?"))</f>
        <v> </v>
      </c>
      <c r="I1683" s="25" t="str">
        <f>IF(OR(E1683="",E1683="!!!",F1683="NEW"),"",INDEX(B1682:B$2,-1+SUMPRODUCT(MAX(ROW(E1682:E$2)*(E1683=E1682:E$2)))))</f>
        <v> </v>
      </c>
      <c r="J1683" s="25" t="str">
        <f>IF(OR(E1683="",E1683="!!!",F1683="NEW"),"",COUNTBLANK(OFFSET(A$1,,,SUMPRODUCT(MAX(ROW(E$2:E1683)*(E1683=E$2:E1683)))))-COUNTBLANK(OFFSET(A$1,,,SUMPRODUCT(MAX(ROW(E$1:E1682)*(E2=E$1:E1682))))))</f>
        <v> </v>
      </c>
      <c r="K1683" s="25" t="str">
        <f>IF(OR(E1683="",E1683="!!!",F1683="NEW"),"",INDEX(J$1:J1682,SUMPRODUCT(MAX(ROW(E$1:E1682)*(E1683=E$1:E1682)))))</f>
        <v> </v>
      </c>
      <c r="L1683" s="26"/>
    </row>
    <row r="1684" spans="1:12">
      <c r="A1684" s="20" t="s">
        <v>253</v>
      </c>
      <c r="E1684" s="21">
        <f>IF(D1684="?OLD","!!!","")</f>
        <v/>
      </c>
      <c r="F1684" s="22" t="str">
        <f>IF(OR(E1684="",E1684="!!!"),"",IF(NOT(ISNA(VLOOKUP(E1684,E$1:E1683,1,FALSE()))),"OLD",IF(AND(E1684&lt;&gt;"",E1684&lt;&gt;"!!!"),"NEW","")))</f>
        <v> </v>
      </c>
      <c r="G1684" s="23" t="str">
        <f>IF(OR(E1684="",E1684="!!!"),"",IF(OR(J1684=0,AND(J1684=1,K1684=1),AND(J1684=1,I1684="SBJ"),AND(J1684=1,I1684=0)),"?IN_FOCUS",IF(J1684&lt;=2,"?ACTIVATED",IF(J1684&lt;&gt;"","?FAMILIAR",IF(F1684="NEW",IF(ISNA(VLOOKUP(E1684,#REF!,1,FALSE())),"?TYPE_IDENTIFIABLE","?REFERENTIAL"),"_")))))</f>
        <v> </v>
      </c>
      <c r="H1684" s="24" t="str">
        <f>IF(J1684&lt;&gt;1,"",IF(I1684="SBJ","CB","?"))</f>
        <v> </v>
      </c>
      <c r="I1684" s="25" t="str">
        <f>IF(OR(E1684="",E1684="!!!",F1684="NEW"),"",INDEX(B1683:B$2,-1+SUMPRODUCT(MAX(ROW(E1683:E$2)*(E1684=E1683:E$2)))))</f>
        <v> </v>
      </c>
      <c r="J1684" s="25" t="str">
        <f>IF(OR(E1684="",E1684="!!!",F1684="NEW"),"",COUNTBLANK(OFFSET(A$1,,,SUMPRODUCT(MAX(ROW(E$2:E1684)*(E1684=E$2:E1684)))))-COUNTBLANK(OFFSET(A$1,,,SUMPRODUCT(MAX(ROW(E$1:E1683)*(E2=E$1:E1683))))))</f>
        <v> </v>
      </c>
      <c r="K1684" s="25" t="str">
        <f>IF(OR(E1684="",E1684="!!!",F1684="NEW"),"",INDEX(J$1:J1683,SUMPRODUCT(MAX(ROW(E$1:E1683)*(E1684=E$1:E1683)))))</f>
        <v> </v>
      </c>
      <c r="L1684" s="26"/>
    </row>
    <row r="1685" spans="1:12">
      <c r="A168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2024-07-05T04:32:31Z</dcterms:created>
  <dcterms:modified xsi:type="dcterms:W3CDTF">2024-07-05T04:32:31Z</dcterms:modified>
</cp:coreProperties>
</file>