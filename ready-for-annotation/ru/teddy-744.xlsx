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<sst xmlns="http://schemas.openxmlformats.org/spreadsheetml/2006/main" count="5713" uniqueCount="1956">
  <si>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</si>
  <si>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</si>
  <si>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</si>
  <si>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</si>
  <si>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</si>
  <si>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</si>
  <si>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</si>
  <si>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</si>
  <si>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</si>
  <si>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</si>
  <si>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</si>
  <si>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8</t>
  </si>
  <si>
    <t>_</t>
  </si>
  <si>
    <t>знать</t>
  </si>
  <si>
    <t>Что ж , за свою жизнь я знал много рыб .</t>
  </si>
  <si>
    <t>file://conllu/ru/teddy-744.conllu#s1_0</t>
  </si>
  <si>
    <t>2</t>
  </si>
  <si>
    <t>любить</t>
  </si>
  <si>
    <t>Но любил я только двух .</t>
  </si>
  <si>
    <t>file://conllu/ru/teddy-744.conllu#s2_0</t>
  </si>
  <si>
    <t>3</t>
  </si>
  <si>
    <t>быть</t>
  </si>
  <si>
    <t>С первой было что-то вроде страстной интрижки .</t>
  </si>
  <si>
    <t>file://conllu/ru/teddy-744.conllu#s3_0</t>
  </si>
  <si>
    <t>4</t>
  </si>
  <si>
    <t>быть (быть рыба)</t>
  </si>
  <si>
    <t>Это была прекрасная рыба , ароматная , текстурная , мясистая , хит продаж в меню .</t>
  </si>
  <si>
    <t>file://conllu/ru/teddy-744.conllu#s4_0</t>
  </si>
  <si>
    <t>5</t>
  </si>
  <si>
    <t>рыба</t>
  </si>
  <si>
    <t>Что за рыба !</t>
  </si>
  <si>
    <t>file://conllu/ru/teddy-744.conllu#s5_0</t>
  </si>
  <si>
    <t>6</t>
  </si>
  <si>
    <t>хороший</t>
  </si>
  <si>
    <t>( Смех ) Что ещё лучше , это была рыба , выращенная на ферме , которая придерживалась высоких экологических стандартов .</t>
  </si>
  <si>
    <t>file://conllu/ru/teddy-744.conllu#s6_0</t>
  </si>
  <si>
    <t>7</t>
  </si>
  <si>
    <t>мочь</t>
  </si>
  <si>
    <t>Так что вы могли чувствовать себя уверенно , продавая эту рыбу .</t>
  </si>
  <si>
    <t>file://conllu/ru/teddy-744.conllu#s7_0</t>
  </si>
  <si>
    <t>длиться</t>
  </si>
  <si>
    <t>Отношения с этой красавицей длились несколько месяцев .</t>
  </si>
  <si>
    <t>file://conllu/ru/teddy-744.conllu#s8_0</t>
  </si>
  <si>
    <t>9</t>
  </si>
  <si>
    <t>звонить</t>
  </si>
  <si>
    <t>Однажды , мне позвонил глава компании и спросил , мог бы я выступить на встрече об экологической сбалансированности фермы .</t>
  </si>
  <si>
    <t>file://conllu/ru/teddy-744.conllu#s9_0</t>
  </si>
  <si>
    <t>10</t>
  </si>
  <si>
    <t>«Безусловно»</t>
  </si>
  <si>
    <t>«Безусловно» , — сказал я .</t>
  </si>
  <si>
    <t>file://conllu/ru/teddy-744.conllu#s10_0</t>
  </si>
  <si>
    <t>11</t>
  </si>
  <si>
    <t>быть (быть попытка)</t>
  </si>
  <si>
    <t>Это была попытка компании решить то , что стало невообразимой проблемой для наших шеф -поваров .</t>
  </si>
  <si>
    <t>file://conllu/ru/teddy-744.conllu#s11_0</t>
  </si>
  <si>
    <t>12</t>
  </si>
  <si>
    <t>сохранить</t>
  </si>
  <si>
    <t>Как сохранить рыбу в нашем меню ?</t>
  </si>
  <si>
    <t>file://conllu/ru/teddy-744.conllu#s12_0</t>
  </si>
  <si>
    <t>13</t>
  </si>
  <si>
    <t>ловить</t>
  </si>
  <si>
    <t>Последние 50 лет мы ловили рыбу в морях так же , как вырубали леса .</t>
  </si>
  <si>
    <t>file://conllu/ru/teddy-744.conllu#s13_0</t>
  </si>
  <si>
    <t>14</t>
  </si>
  <si>
    <t>трудный</t>
  </si>
  <si>
    <t>Трудно переоценить разрушение .</t>
  </si>
  <si>
    <t>file://conllu/ru/teddy-744.conllu#s14_0</t>
  </si>
  <si>
    <t>15</t>
  </si>
  <si>
    <t>21</t>
  </si>
  <si>
    <t>уничтожить</t>
  </si>
  <si>
    <t>90 % крупных рыб , одни из наших любимых , тунец , палтус , лосось , рыба меч — уничтожены .</t>
  </si>
  <si>
    <t>file://conllu/ru/teddy-744.conllu#s15_0</t>
  </si>
  <si>
    <t>16</t>
  </si>
  <si>
    <t>остаться</t>
  </si>
  <si>
    <t>Почти ничего не осталось .</t>
  </si>
  <si>
    <t>file://conllu/ru/teddy-744.conllu#s16_0</t>
  </si>
  <si>
    <t>17</t>
  </si>
  <si>
    <t>быть (быть часть)</t>
  </si>
  <si>
    <t>Таким образом , к лучшему или к худшему , но аквакультура , рыбное фермерство , будет частью нашего будущего .</t>
  </si>
  <si>
    <t>file://conllu/ru/teddy-744.conllu#s17_0</t>
  </si>
  <si>
    <t>18</t>
  </si>
  <si>
    <t>аргумент</t>
  </si>
  <si>
    <t>Много аргументов против этого .</t>
  </si>
  <si>
    <t>file://conllu/ru/teddy-744.conllu#s18_0</t>
  </si>
  <si>
    <t>19</t>
  </si>
  <si>
    <t>загрязнять</t>
  </si>
  <si>
    <t>Рыбные фермерства загрязняют окружающую среду , по крайне мере большинство из них , и они неэффективны , возьмём , к примеру , тунца .</t>
  </si>
  <si>
    <t>file://conllu/ru/teddy-744.conllu#s19_0</t>
  </si>
  <si>
    <t>20</t>
  </si>
  <si>
    <t>это (это показатель)</t>
  </si>
  <si>
    <t>Основной недостаток — это показатель эффективности корма : 15 к 1му .</t>
  </si>
  <si>
    <t>file://conllu/ru/teddy-744.conllu#s20_0</t>
  </si>
  <si>
    <t>Это означает?</t>
  </si>
  <si>
    <t>означать</t>
  </si>
  <si>
    <t>Это означает , что вам требуется 15 кг дикой рыбы , чтобы получить 1 кг фермерской .</t>
  </si>
  <si>
    <t>file://conllu/ru/teddy-744.conllu#s21_0</t>
  </si>
  <si>
    <t>22</t>
  </si>
  <si>
    <t>рационально</t>
  </si>
  <si>
    <t>Не очень рационально .</t>
  </si>
  <si>
    <t>file://conllu/ru/teddy-744.conllu#s22_0</t>
  </si>
  <si>
    <t>23</t>
  </si>
  <si>
    <t>очень</t>
  </si>
  <si>
    <t>На вкус тоже не очень .</t>
  </si>
  <si>
    <t>file://conllu/ru/teddy-744.conllu#s23_0</t>
  </si>
  <si>
    <t>24</t>
  </si>
  <si>
    <t>компания</t>
  </si>
  <si>
    <t>И вот , наконец , компания , пытающаяся выращивать рыбу правильно .</t>
  </si>
  <si>
    <t>file://conllu/ru/teddy-744.conllu#s24_0</t>
  </si>
  <si>
    <t>25</t>
  </si>
  <si>
    <t>хотеть</t>
  </si>
  <si>
    <t>Я хотел их поддержать .</t>
  </si>
  <si>
    <t>file://conllu/ru/teddy-744.conllu#s25_0</t>
  </si>
  <si>
    <t>26</t>
  </si>
  <si>
    <t>За день до встречи я позвонил PR менеджеру компании .</t>
  </si>
  <si>
    <t>file://conllu/ru/teddy-744.conllu#s26_0</t>
  </si>
  <si>
    <t>27</t>
  </si>
  <si>
    <t>Дон</t>
  </si>
  <si>
    <t>Назовём его Дон .</t>
  </si>
  <si>
    <t>file://conllu/ru/teddy-744.conllu#s27_0</t>
  </si>
  <si>
    <t>28</t>
  </si>
  <si>
    <t>«Дон»</t>
  </si>
  <si>
    <t>«Дон» , говорю я , «давай смотреть фактам в лицо , вы , ребята , известны тем , что ваши фермы так далеко от моря , что вы не загрязняете окружающую среду» .</t>
  </si>
  <si>
    <t>file://conllu/ru/teddy-744.conllu#s28_0</t>
  </si>
  <si>
    <t>29</t>
  </si>
  <si>
    <t>«Ма</t>
  </si>
  <si>
    <t>«Это точно» , говорит он , «Мы так далеко , что отходы от нашей рыбы рассредоточиваются , а не концентрируются» .</t>
  </si>
  <si>
    <t>file://conllu/ru/teddy-744.conllu#s29_0</t>
  </si>
  <si>
    <t>30</t>
  </si>
  <si>
    <t>добавить</t>
  </si>
  <si>
    <t>А потом он добавил , «По существу , у нас свой мир .</t>
  </si>
  <si>
    <t>file://conllu/ru/teddy-744.conllu#s30_0</t>
  </si>
  <si>
    <t>31</t>
  </si>
  <si>
    <t>показатель</t>
  </si>
  <si>
    <t>Показатель эффективности корма ?</t>
  </si>
  <si>
    <t>file://conllu/ru/teddy-744.conllu#s31_0</t>
  </si>
  <si>
    <t>32</t>
  </si>
  <si>
    <t>2.5</t>
  </si>
  <si>
    <t>2.5 к 1му» , говорит он , «Лучший показатель в этом бизнесе» .</t>
  </si>
  <si>
    <t>file://conllu/ru/teddy-744.conllu#s32_0</t>
  </si>
  <si>
    <t>33</t>
  </si>
  <si>
    <t>1й</t>
  </si>
  <si>
    <t>2.5 к 1му , отлично .</t>
  </si>
  <si>
    <t>file://conllu/ru/teddy-744.conllu#s33_0</t>
  </si>
  <si>
    <t>34</t>
  </si>
  <si>
    <t>«2.5</t>
  </si>
  <si>
    <t>«2.5 к 1му чего , чем вы кормите рыбу ? » «Полноценным белком» , сказал он .</t>
  </si>
  <si>
    <t>file://conllu/ru/teddy-744.conllu#s34_0</t>
  </si>
  <si>
    <t>35</t>
  </si>
  <si>
    <t>«Отлично»</t>
  </si>
  <si>
    <t>«Отлично» , сказал я и положил трубку .</t>
  </si>
  <si>
    <t>file://conllu/ru/teddy-744.conllu#s35_0</t>
  </si>
  <si>
    <t>36</t>
  </si>
  <si>
    <t>лежать</t>
  </si>
  <si>
    <t>В ту ночь я лежал в кровати и думал :</t>
  </si>
  <si>
    <t>file://conllu/ru/teddy-744.conllu#s36_0</t>
  </si>
  <si>
    <t>37</t>
  </si>
  <si>
    <t>белок</t>
  </si>
  <si>
    <t>Что же это за чёртов полноценный белок ?</t>
  </si>
  <si>
    <t>file://conllu/ru/teddy-744.conllu#s37_0</t>
  </si>
  <si>
    <t>38</t>
  </si>
  <si>
    <t>Поэтому на следующий день , буквально перед встречей , я позвонил Дону .</t>
  </si>
  <si>
    <t>file://conllu/ru/teddy-744.conllu#s38_0</t>
  </si>
  <si>
    <t>39</t>
  </si>
  <si>
    <t>сказать (сказать говорить)</t>
  </si>
  <si>
    <t>Говорю , «Дон , скажи мне пару примеров полноценного белка» .</t>
  </si>
  <si>
    <t>file://conllu/ru/teddy-744.conllu#s39_0</t>
  </si>
  <si>
    <t>40</t>
  </si>
  <si>
    <t>знать (знать сказать)</t>
  </si>
  <si>
    <t>Он сказал , что не знает .</t>
  </si>
  <si>
    <t>file://conllu/ru/teddy-744.conllu#s40_0</t>
  </si>
  <si>
    <t>41</t>
  </si>
  <si>
    <t>спрашивать</t>
  </si>
  <si>
    <t>Он поспрашивает .</t>
  </si>
  <si>
    <t>file://conllu/ru/teddy-744.conllu#s41_0</t>
  </si>
  <si>
    <t>42</t>
  </si>
  <si>
    <t>созвониться</t>
  </si>
  <si>
    <t>Что ж , я созвонился с несколькими представителями компании .</t>
  </si>
  <si>
    <t>file://conllu/ru/teddy-744.conllu#s42_0</t>
  </si>
  <si>
    <t>43</t>
  </si>
  <si>
    <t>Ни один не смог дать мне прямого ответа .</t>
  </si>
  <si>
    <t>file://conllu/ru/teddy-744.conllu#s43_0</t>
  </si>
  <si>
    <t>44</t>
  </si>
  <si>
    <t>Пока?</t>
  </si>
  <si>
    <t>связать</t>
  </si>
  <si>
    <t>Пока , наконец , я не связался с главным биологом .</t>
  </si>
  <si>
    <t>file://conllu/ru/teddy-744.conllu#s44_0</t>
  </si>
  <si>
    <t>45</t>
  </si>
  <si>
    <t>давать</t>
  </si>
  <si>
    <t>Давайте назовём его тоже Доном .</t>
  </si>
  <si>
    <t>file://conllu/ru/teddy-744.conllu#s45_0</t>
  </si>
  <si>
    <t>46</t>
  </si>
  <si>
    <t>«Дон» , я говорю , «Приведите мне несколько примеров полноценного белка» .</t>
  </si>
  <si>
    <t>file://conllu/ru/teddy-744.conllu#s46_0</t>
  </si>
  <si>
    <t>47</t>
  </si>
  <si>
    <t>упомянуть</t>
  </si>
  <si>
    <t>Что ж , он упомянул некоторые водоросли , рыбий корм , и потом назвал куриные брикеты .</t>
  </si>
  <si>
    <t>file://conllu/ru/teddy-744.conllu#s47_0</t>
  </si>
  <si>
    <t>48</t>
  </si>
  <si>
    <t>спросить</t>
  </si>
  <si>
    <t>Я спросил , «Куриные брикеты ? » Он ответил , «Да , перья , кожа , костная мука , остатки , высушенные и переработанные в корм» .</t>
  </si>
  <si>
    <t>file://conllu/ru/teddy-744.conllu#s48_0</t>
  </si>
  <si>
    <t>49</t>
  </si>
  <si>
    <t>думать (думать знать спросить)</t>
  </si>
  <si>
    <t>Я спросил , «Какой процент кормления ваших рыб составляет курица ? » , думая при этом , знаете ли , о процентах двух .</t>
  </si>
  <si>
    <t>file://conllu/ru/teddy-744.conllu#s49_0</t>
  </si>
  <si>
    <t>50</t>
  </si>
  <si>
    <t>Нуа</t>
  </si>
  <si>
    <t>Нуу , около 30 % » , ответил он .</t>
  </si>
  <si>
    <t>file://conllu/ru/teddy-744.conllu#s50_0</t>
  </si>
  <si>
    <t>51</t>
  </si>
  <si>
    <t>Я спросил , «Дон , а в чём экологичность кормления рыбы курицей ? » На том конце телефона возникла длинная пауза , и он ответил , «да , собственно , на Земле слишком много кур» .</t>
  </si>
  <si>
    <t>file://conllu/ru/teddy-744.conllu#s51_0</t>
  </si>
  <si>
    <t>52</t>
  </si>
  <si>
    <t>разлюбить</t>
  </si>
  <si>
    <t>Что ж , я разлюбил эту рыбу .</t>
  </si>
  <si>
    <t>file://conllu/ru/teddy-744.conllu#s52_0</t>
  </si>
  <si>
    <t>53</t>
  </si>
  <si>
    <t>Потому?</t>
  </si>
  <si>
    <t>потому</t>
  </si>
  <si>
    <t>Нет , не потому , что я самодовольный , благочестивый гурман .</t>
  </si>
  <si>
    <t>file://conllu/ru/teddy-744.conllu#s53_0</t>
  </si>
  <si>
    <t>54</t>
  </si>
  <si>
    <t>гурмать</t>
  </si>
  <si>
    <t>Хотя я гурман .</t>
  </si>
  <si>
    <t>file://conllu/ru/teddy-744.conllu#s54_0</t>
  </si>
  <si>
    <t>55</t>
  </si>
  <si>
    <t>Нет , в действительности , я разлюбил эту рыбу , потому что после этого разговора , я клянусь вам , эта рыба на вкус стала как курица .</t>
  </si>
  <si>
    <t>file://conllu/ru/teddy-744.conllu#s55_0</t>
  </si>
  <si>
    <t>56</t>
  </si>
  <si>
    <t>история</t>
  </si>
  <si>
    <t>Вторая рыба — это другая история любви .</t>
  </si>
  <si>
    <t>file://conllu/ru/teddy-744.conllu#s56_0</t>
  </si>
  <si>
    <t>57</t>
  </si>
  <si>
    <t>что-то</t>
  </si>
  <si>
    <t>Что-то вроде романтичной истории , где , чем больше вы узнаёте вашу рыбу , тем больше вы её любите .</t>
  </si>
  <si>
    <t>file://conllu/ru/teddy-744.conllu#s57_0</t>
  </si>
  <si>
    <t>58</t>
  </si>
  <si>
    <t>есть</t>
  </si>
  <si>
    <t>Я ел эту рыбу в ресторане на юге Испании .</t>
  </si>
  <si>
    <t>file://conllu/ru/teddy-744.conllu#s58_0</t>
  </si>
  <si>
    <t>59</t>
  </si>
  <si>
    <t>рассказывать</t>
  </si>
  <si>
    <t>Мой друг журналист рассказывал мне об этой рыбе много раз .</t>
  </si>
  <si>
    <t>file://conllu/ru/teddy-744.conllu#s59_0</t>
  </si>
  <si>
    <t>60</t>
  </si>
  <si>
    <t>Эта рыба «подставила» нас .</t>
  </si>
  <si>
    <t>file://conllu/ru/teddy-744.conllu#s60_0</t>
  </si>
  <si>
    <t>61</t>
  </si>
  <si>
    <t>появиться</t>
  </si>
  <si>
    <t>Она появилась на столе , яркая , почти мерцающая , белого цвета .</t>
  </si>
  <si>
    <t>file://conllu/ru/teddy-744.conllu#s61_0</t>
  </si>
  <si>
    <t>62</t>
  </si>
  <si>
    <t>передержать</t>
  </si>
  <si>
    <t>Повар передержал её при готовке , раза в два .</t>
  </si>
  <si>
    <t>file://conllu/ru/teddy-744.conllu#s62_0</t>
  </si>
  <si>
    <t>63</t>
  </si>
  <si>
    <t>невероятный</t>
  </si>
  <si>
    <t>Невероятно , но рыба была восхитительна .</t>
  </si>
  <si>
    <t>file://conllu/ru/teddy-744.conllu#s63_0</t>
  </si>
  <si>
    <t>64</t>
  </si>
  <si>
    <t>Кто?</t>
  </si>
  <si>
    <t>Кто может сделать вкус рыбы пригодным к еде после того , как её переварили ?</t>
  </si>
  <si>
    <t>file://conllu/ru/teddy-744.conllu#s64_0</t>
  </si>
  <si>
    <t>65</t>
  </si>
  <si>
    <t>Я не могу , но этот парень может .</t>
  </si>
  <si>
    <t>file://conllu/ru/teddy-744.conllu#s65_0</t>
  </si>
  <si>
    <t>66</t>
  </si>
  <si>
    <t>Мигель</t>
  </si>
  <si>
    <t>Назовём его Мигель .</t>
  </si>
  <si>
    <t>file://conllu/ru/teddy-744.conllu#s66_0</t>
  </si>
  <si>
    <t>67</t>
  </si>
  <si>
    <t>Вообще то , его имя действительно Мигель .</t>
  </si>
  <si>
    <t>file://conllu/ru/teddy-744.conllu#s67_0</t>
  </si>
  <si>
    <t>68</t>
  </si>
  <si>
    <t>готовить</t>
  </si>
  <si>
    <t>Нет , он не готовит рыбу , и он не шеф-повар .</t>
  </si>
  <si>
    <t>file://conllu/ru/teddy-744.conllu#s68_0</t>
  </si>
  <si>
    <t>69</t>
  </si>
  <si>
    <t>смысл</t>
  </si>
  <si>
    <t>По крайней мере в том смысле , как вы и я это понимаем .</t>
  </si>
  <si>
    <t>file://conllu/ru/teddy-744.conllu#s69_0</t>
  </si>
  <si>
    <t>70</t>
  </si>
  <si>
    <t>л</t>
  </si>
  <si>
    <t>Он биолог в Вета ла Пальма .</t>
  </si>
  <si>
    <t>file://conllu/ru/teddy-744.conllu#s70_0</t>
  </si>
  <si>
    <t>71</t>
  </si>
  <si>
    <t>ферма</t>
  </si>
  <si>
    <t>Это рыбная ферма на юго-западе Испании .</t>
  </si>
  <si>
    <t>file://conllu/ru/teddy-744.conllu#s71_0</t>
  </si>
  <si>
    <t>72</t>
  </si>
  <si>
    <t>расположенный</t>
  </si>
  <si>
    <t>Расположена в верховьях реки Гвадалквивир .</t>
  </si>
  <si>
    <t>file://conllu/ru/teddy-744.conllu#s72_0</t>
  </si>
  <si>
    <t>73</t>
  </si>
  <si>
    <t>быть (быть рука)</t>
  </si>
  <si>
    <t>До 1980г эта ферма была в руках аргентинцев .</t>
  </si>
  <si>
    <t>file://conllu/ru/teddy-744.conllu#s73_0</t>
  </si>
  <si>
    <t>74</t>
  </si>
  <si>
    <t>выращивать</t>
  </si>
  <si>
    <t>Они выращивали крупный рогатый скот на земле , которая , фактически , была болотом .</t>
  </si>
  <si>
    <t>file://conllu/ru/teddy-744.conllu#s74_0</t>
  </si>
  <si>
    <t>75</t>
  </si>
  <si>
    <t>заниматься</t>
  </si>
  <si>
    <t>Они занимались этим , осушая земли .</t>
  </si>
  <si>
    <t>file://conllu/ru/teddy-744.conllu#s75_0</t>
  </si>
  <si>
    <t>76</t>
  </si>
  <si>
    <t>строить</t>
  </si>
  <si>
    <t>Они построили сложный ряд каналов , выводя воду из земли и направляя её прямо в реку .</t>
  </si>
  <si>
    <t>file://conllu/ru/teddy-744.conllu#s76_0</t>
  </si>
  <si>
    <t>77</t>
  </si>
  <si>
    <t>работать</t>
  </si>
  <si>
    <t>Что ж , это не работало , так же и экономически , а экологически – это было ужасно .</t>
  </si>
  <si>
    <t>file://conllu/ru/teddy-744.conllu#s77_0</t>
  </si>
  <si>
    <t>78</t>
  </si>
  <si>
    <t>убить</t>
  </si>
  <si>
    <t>Этот метод убил 90 % птиц , для этого места это много птиц .</t>
  </si>
  <si>
    <t>file://conllu/ru/teddy-744.conllu#s78_0</t>
  </si>
  <si>
    <t>79</t>
  </si>
  <si>
    <t>купить</t>
  </si>
  <si>
    <t>И поэтому , в 1982 г. , испанская компания с экологической политикой купила эту землю .</t>
  </si>
  <si>
    <t>file://conllu/ru/teddy-744.conllu#s79_0</t>
  </si>
  <si>
    <t>80</t>
  </si>
  <si>
    <t>делать</t>
  </si>
  <si>
    <t>Что они сделали ?</t>
  </si>
  <si>
    <t>file://conllu/ru/teddy-744.conllu#s80_0</t>
  </si>
  <si>
    <t>81</t>
  </si>
  <si>
    <t>развернуть</t>
  </si>
  <si>
    <t>Они развернули поток воды .</t>
  </si>
  <si>
    <t>file://conllu/ru/teddy-744.conllu#s81_0</t>
  </si>
  <si>
    <t>82</t>
  </si>
  <si>
    <t>переключить</t>
  </si>
  <si>
    <t>Буквально переключили выключатель .</t>
  </si>
  <si>
    <t>file://conllu/ru/teddy-744.conllu#s82_0</t>
  </si>
  <si>
    <t>83</t>
  </si>
  <si>
    <t>использовать</t>
  </si>
  <si>
    <t>Вместо отвода воды , они использовали каналы для вливания воды на территорию .</t>
  </si>
  <si>
    <t>file://conllu/ru/teddy-744.conllu#s83_0</t>
  </si>
  <si>
    <t>84</t>
  </si>
  <si>
    <t>наводнить</t>
  </si>
  <si>
    <t>Они наводнили каналы .</t>
  </si>
  <si>
    <t>file://conllu/ru/teddy-744.conllu#s84_0</t>
  </si>
  <si>
    <t>85</t>
  </si>
  <si>
    <t>создать</t>
  </si>
  <si>
    <t>Они создали 109 кв . км рыбных ферм — окунь , кефаль , креветки , угорь и в этом процессе , Мигель и эта компания , полностью исправили экологическое разрушение .</t>
  </si>
  <si>
    <t>file://conllu/ru/teddy-744.conllu#s85_0</t>
  </si>
  <si>
    <t>86</t>
  </si>
  <si>
    <t>потрясающать</t>
  </si>
  <si>
    <t>Ферма потрясающая .</t>
  </si>
  <si>
    <t>file://conllu/ru/teddy-744.conllu#s86_0</t>
  </si>
  <si>
    <t>87</t>
  </si>
  <si>
    <t>сказать (сказать хотеть видеть)</t>
  </si>
  <si>
    <t>Я хочу сказать , вы никогда не видели ничего подобного .</t>
  </si>
  <si>
    <t>file://conllu/ru/teddy-744.conllu#s87_0</t>
  </si>
  <si>
    <t>88</t>
  </si>
  <si>
    <t>вглядываться</t>
  </si>
  <si>
    <t>Вы вглядываетесь в горизонт на расстоянии миллионов километров , и всё , что вы видите , — это наводнённые каналы и эту насыщенную , богатую болотистую местность .</t>
  </si>
  <si>
    <t>file://conllu/ru/teddy-744.conllu#s88_0</t>
  </si>
  <si>
    <t>89</t>
  </si>
  <si>
    <t>быть (быть Мигель)</t>
  </si>
  <si>
    <t>Я там был недавно с Мигелем .</t>
  </si>
  <si>
    <t>file://conllu/ru/teddy-744.conllu#s89_0</t>
  </si>
  <si>
    <t>90</t>
  </si>
  <si>
    <t>парень</t>
  </si>
  <si>
    <t>Он потрясный парень , три четверти Чарльза Дарвина и одна Крокодила Данди .</t>
  </si>
  <si>
    <t>file://conllu/ru/teddy-744.conllu#s90_0</t>
  </si>
  <si>
    <t>91</t>
  </si>
  <si>
    <t>представить</t>
  </si>
  <si>
    <t>Представили ?</t>
  </si>
  <si>
    <t>file://conllu/ru/teddy-744.conllu#s91_0</t>
  </si>
  <si>
    <t>92</t>
  </si>
  <si>
    <t>пробираться</t>
  </si>
  <si>
    <t>Мы пробирались по болотистой почве , я задыхался и покрывался потом , утопая по колено в грязи , а Мигель спокойно читал лекции по биологии .</t>
  </si>
  <si>
    <t>file://conllu/ru/teddy-744.conllu#s92_0</t>
  </si>
  <si>
    <t>93</t>
  </si>
  <si>
    <t>упоминать (упоминать показывать)</t>
  </si>
  <si>
    <t>Здесь он показывал редкого чернокрыло дымчатого коршуна , потом он упоминал о минеральных потребностях фитопланктона , а там он видит схему группирования , которая напоминает ему о танзанском жирафе .</t>
  </si>
  <si>
    <t>file://conllu/ru/teddy-744.conllu#s93_0</t>
  </si>
  <si>
    <t>94</t>
  </si>
  <si>
    <t>провести</t>
  </si>
  <si>
    <t>Оказывается , Мигель провёл лучший период своей карьеры в национальном парке Микуми в Африке .</t>
  </si>
  <si>
    <t>file://conllu/ru/teddy-744.conllu#s94_0</t>
  </si>
  <si>
    <t>95</t>
  </si>
  <si>
    <t>Я спросил его , как он стал таким экспертом по рыбе .</t>
  </si>
  <si>
    <t>file://conllu/ru/teddy-744.conllu#s95_0</t>
  </si>
  <si>
    <t>96</t>
  </si>
  <si>
    <t>Он спросил , «Рыбе ?</t>
  </si>
  <si>
    <t>file://conllu/ru/teddy-744.conllu#s96_0</t>
  </si>
  <si>
    <t>97</t>
  </si>
  <si>
    <t>Я не знал ничего о рыбе .</t>
  </si>
  <si>
    <t>file://conllu/ru/teddy-744.conllu#s97_0</t>
  </si>
  <si>
    <t>98</t>
  </si>
  <si>
    <t>эксперт</t>
  </si>
  <si>
    <t>Я эксперт во взаимосвязях» А потом он переключается на разговор о редких птицах , водорослях и странных водных растениях .</t>
  </si>
  <si>
    <t>file://conllu/ru/teddy-744.conllu#s98_0</t>
  </si>
  <si>
    <t>99</t>
  </si>
  <si>
    <t>поймать</t>
  </si>
  <si>
    <t>И поймите меня правильно , это было действительно увлекательно , знаете ли , автономный биоценоз , всё такое .</t>
  </si>
  <si>
    <t>file://conllu/ru/teddy-744.conllu#s99_0</t>
  </si>
  <si>
    <t>100</t>
  </si>
  <si>
    <t>здоровый</t>
  </si>
  <si>
    <t>Это здорово , но я был влюблён .</t>
  </si>
  <si>
    <t>file://conllu/ru/teddy-744.conllu#s100_0</t>
  </si>
  <si>
    <t>101</t>
  </si>
  <si>
    <t>терять</t>
  </si>
  <si>
    <t>Я потерял голову от порции той потрясающей переваренной рыбы , которую я ел накануне вечером .</t>
  </si>
  <si>
    <t>file://conllu/ru/teddy-744.conllu#s101_0</t>
  </si>
  <si>
    <t>102</t>
  </si>
  <si>
    <t>перебить</t>
  </si>
  <si>
    <t>Поэтому я перебил его и спросил , «Мигель , что делает вашу рыбу такой вкусной ? » Он показал на водоросли .</t>
  </si>
  <si>
    <t>file://conllu/ru/teddy-744.conllu#s102_0</t>
  </si>
  <si>
    <t>103</t>
  </si>
  <si>
    <t>«Я знаю , чувак , — водоросли , фитопланктон , взаимосвязи — всё это хорошо , но что ест ваша рыба ?</t>
  </si>
  <si>
    <t>file://conllu/ru/teddy-744.conllu#s103_0</t>
  </si>
  <si>
    <t>104</t>
  </si>
  <si>
    <t>Какой показатель эффективности корма ? » Что ж , он сказал мне , что это настолько богатая система , что рыба ест то , что бы она ела в дикой среде .</t>
  </si>
  <si>
    <t>file://conllu/ru/teddy-744.conllu#s104_0</t>
  </si>
  <si>
    <t>105</t>
  </si>
  <si>
    <t>биомасса</t>
  </si>
  <si>
    <t>Растительная биомасса , фитопланктон , зоопланктон — это то , чем питается рыба .</t>
  </si>
  <si>
    <t>file://conllu/ru/teddy-744.conllu#s105_0</t>
  </si>
  <si>
    <t>106</t>
  </si>
  <si>
    <t>Система настолько здоровая , настолько самообновляющаяся , что здесь нет искусственного кормления .</t>
  </si>
  <si>
    <t>file://conllu/ru/teddy-744.conllu#s106_0</t>
  </si>
  <si>
    <t>107</t>
  </si>
  <si>
    <t>слышать</t>
  </si>
  <si>
    <t>Слышали когда-нибудь о ферме , которая не кормит своих животных ?</t>
  </si>
  <si>
    <t>file://conllu/ru/teddy-744.conllu#s107_0</t>
  </si>
  <si>
    <t>108</t>
  </si>
  <si>
    <t>объезжать</t>
  </si>
  <si>
    <t>Позже в тот же день мы объезжали с Мигелем их хозяйство , и я спросил его , «Для места , выглядящего столь натурально» , в отличие от других ферм , где я был раньше , «как вы измеряете успех ? » В этот момент , режиссёр будто попросил сменить декорацию .</t>
  </si>
  <si>
    <t>file://conllu/ru/teddy-744.conllu#s108_0</t>
  </si>
  <si>
    <t>109</t>
  </si>
  <si>
    <t>завернуть</t>
  </si>
  <si>
    <t>Мы завернули за угол , и открылся потрясающий вид , тысячи и тысячи розовых фламинго , буквально розовый ковёр , так далеко , как только вы можете видеть .</t>
  </si>
  <si>
    <t>file://conllu/ru/teddy-744.conllu#s109_0</t>
  </si>
  <si>
    <t>110</t>
  </si>
  <si>
    <t>«вот</t>
  </si>
  <si>
    <t>«Вот он успех» , сказал он , «Посмотри на их брюшки , они розовые , они пируют» .</t>
  </si>
  <si>
    <t>file://conllu/ru/teddy-744.conllu#s110_0</t>
  </si>
  <si>
    <t>111</t>
  </si>
  <si>
    <t>Пировать</t>
  </si>
  <si>
    <t>Пируют ?</t>
  </si>
  <si>
    <t>file://conllu/ru/teddy-744.conllu#s111_0</t>
  </si>
  <si>
    <t>112</t>
  </si>
  <si>
    <t>сбить</t>
  </si>
  <si>
    <t>Я был совершенно сбит с толку .</t>
  </si>
  <si>
    <t>file://conllu/ru/teddy-744.conllu#s112_0</t>
  </si>
  <si>
    <t>113</t>
  </si>
  <si>
    <t>ответить (ответить спросить)</t>
  </si>
  <si>
    <t>Я спросил , «Мигель , они пируют вашей рыбой ? » «Да» , ответил он .</t>
  </si>
  <si>
    <t>file://conllu/ru/teddy-744.conllu#s113_0</t>
  </si>
  <si>
    <t>114</t>
  </si>
  <si>
    <t>«Мы теряем из-за птиц 20 % нашей рыбы и рыбьей икры .</t>
  </si>
  <si>
    <t>file://conllu/ru/teddy-744.conllu#s114_0</t>
  </si>
  <si>
    <t>115</t>
  </si>
  <si>
    <t>Что ж , в прошлом году , на этой территории было 600 тысяч птиц , более 250 видов .</t>
  </si>
  <si>
    <t>file://conllu/ru/teddy-744.conllu#s115_0</t>
  </si>
  <si>
    <t>116</t>
  </si>
  <si>
    <t>большой</t>
  </si>
  <si>
    <t>На сегодняшний день это самый большой и один из самых важных во всей Европе частный птичий заповедник» .</t>
  </si>
  <si>
    <t>file://conllu/ru/teddy-744.conllu#s116_0</t>
  </si>
  <si>
    <t>117</t>
  </si>
  <si>
    <t>говорить</t>
  </si>
  <si>
    <t>Я говорю , «Мигель , по-моему , процветание птиц – это последние , чего желают на рыбных фермах ? » Он покачал головой , «Нет» Он говорит , «Мы развиваемся экстенсивно , не интенсивно .</t>
  </si>
  <si>
    <t>file://conllu/ru/teddy-744.conllu#s117_0</t>
  </si>
  <si>
    <t>118</t>
  </si>
  <si>
    <t>сеть</t>
  </si>
  <si>
    <t>Это экологическая сеть .</t>
  </si>
  <si>
    <t>file://conllu/ru/teddy-744.conllu#s118_0</t>
  </si>
  <si>
    <t>119</t>
  </si>
  <si>
    <t>Фламинго едят креветок .</t>
  </si>
  <si>
    <t>file://conllu/ru/teddy-744.conllu#s119_0</t>
  </si>
  <si>
    <t>120</t>
  </si>
  <si>
    <t>Креветки едят фитопланктон .</t>
  </si>
  <si>
    <t>file://conllu/ru/teddy-744.conllu#s120_0</t>
  </si>
  <si>
    <t>121</t>
  </si>
  <si>
    <t>розовый</t>
  </si>
  <si>
    <t>Чем розовее брюшко , тем лучше система» .</t>
  </si>
  <si>
    <t>file://conllu/ru/teddy-744.conllu#s121_0</t>
  </si>
  <si>
    <t>122</t>
  </si>
  <si>
    <t>подведё</t>
  </si>
  <si>
    <t>Что ж , подведём итог .</t>
  </si>
  <si>
    <t>file://conllu/ru/teddy-744.conllu#s122_0</t>
  </si>
  <si>
    <t>123</t>
  </si>
  <si>
    <t>Ферма</t>
  </si>
  <si>
    <t>Ферма , которая не кормит своих животных , ферма , которая измеряет свой успех здоровьем своих «хищников» .</t>
  </si>
  <si>
    <t>file://conllu/ru/teddy-744.conllu#s123_0</t>
  </si>
  <si>
    <t>124</t>
  </si>
  <si>
    <t>Рыбная ферма , и в то же время птичий заповедник .</t>
  </si>
  <si>
    <t>file://conllu/ru/teddy-744.conllu#s124_0</t>
  </si>
  <si>
    <t>125</t>
  </si>
  <si>
    <t>должен</t>
  </si>
  <si>
    <t>Да , и кстати , во-первых те фламинго , их не должны быть здесь .</t>
  </si>
  <si>
    <t>file://conllu/ru/teddy-744.conllu#s125_0</t>
  </si>
  <si>
    <t>126</t>
  </si>
  <si>
    <t>высиживать</t>
  </si>
  <si>
    <t>Они высиживают яйца в 240 км от этого места , где состояние почвы лучше для устройства гнёзд .</t>
  </si>
  <si>
    <t>file://conllu/ru/teddy-744.conllu#s126_0</t>
  </si>
  <si>
    <t>127</t>
  </si>
  <si>
    <t>летать</t>
  </si>
  <si>
    <t>Каждое утро они пролетают 240 км к ферме и каждый вечер они пролетают 240 км назад .</t>
  </si>
  <si>
    <t>file://conllu/ru/teddy-744.conllu#s127_0</t>
  </si>
  <si>
    <t>128</t>
  </si>
  <si>
    <t>Они делают это , потому что могут перелететь сплошную линию магистрали А92 .</t>
  </si>
  <si>
    <t>file://conllu/ru/teddy-744.conllu#s128_0</t>
  </si>
  <si>
    <t>129</t>
  </si>
  <si>
    <t>Серьёзно</t>
  </si>
  <si>
    <t>Серьёзно .</t>
  </si>
  <si>
    <t>file://conllu/ru/teddy-744.conllu#s129_0</t>
  </si>
  <si>
    <t>130</t>
  </si>
  <si>
    <t>спросить (спросить смотреть воображать)</t>
  </si>
  <si>
    <t>Я воображал себе что-то типа марша пингвинов , поэтому я посмотрел на Мигеля спросил , «Мигель , они действительно пролетают 240 км на ферму и 240 км обратно на ночлег ?</t>
  </si>
  <si>
    <t>file://conllu/ru/teddy-744.conllu#s130_0</t>
  </si>
  <si>
    <t>131</t>
  </si>
  <si>
    <t>Они делают это для своего потомства ? » Он посмотрел на меня , будто я только что процитировал песню Уитни Хьюстон .</t>
  </si>
  <si>
    <t>file://conllu/ru/teddy-744.conllu#s131_0</t>
  </si>
  <si>
    <t>132</t>
  </si>
  <si>
    <t>И говорит , «Нет , они прилетают , потому что здесь еда лучше» Я не упоминал кожу моей любимой рыбы , которая была восхитительна , хотя вообще я не люблю рыбью кожу .</t>
  </si>
  <si>
    <t>file://conllu/ru/teddy-744.conllu#s132_0</t>
  </si>
  <si>
    <t>133</t>
  </si>
  <si>
    <t>нравиться</t>
  </si>
  <si>
    <t>Мне не нравится , как выглядит опалённая кожа , я не люблю , как кожа хрустит , на вкус очень горькая , как смола .</t>
  </si>
  <si>
    <t>file://conllu/ru/teddy-744.conllu#s133_0</t>
  </si>
  <si>
    <t>134</t>
  </si>
  <si>
    <t>Я почти всегда готовлю без кожи .</t>
  </si>
  <si>
    <t>file://conllu/ru/teddy-744.conllu#s134_0</t>
  </si>
  <si>
    <t>135</t>
  </si>
  <si>
    <t>быть (быть похожий)</t>
  </si>
  <si>
    <t>Но когда я попробовал кожу рыбы в том ресторане на юге Испании , на вкус она была совершенно не похожа на рыбью кожу .</t>
  </si>
  <si>
    <t>file://conllu/ru/teddy-744.conllu#s135_0</t>
  </si>
  <si>
    <t>136</t>
  </si>
  <si>
    <t>быть (быть сладкий)</t>
  </si>
  <si>
    <t>Она была сладкая и чистая , будто вы берёте в рот кусочек океана .</t>
  </si>
  <si>
    <t>file://conllu/ru/teddy-744.conllu#s136_0</t>
  </si>
  <si>
    <t>137</t>
  </si>
  <si>
    <t>согласиться (согласиться сказать)</t>
  </si>
  <si>
    <t>Я сказал об этом Мигелю и он согласился .</t>
  </si>
  <si>
    <t>file://conllu/ru/teddy-744.conllu#s137_0</t>
  </si>
  <si>
    <t>138</t>
  </si>
  <si>
    <t>сказать</t>
  </si>
  <si>
    <t>Он сказал , «Кожа действует как губка .</t>
  </si>
  <si>
    <t>file://conllu/ru/teddy-744.conllu#s138_0</t>
  </si>
  <si>
    <t>139</t>
  </si>
  <si>
    <t>защита</t>
  </si>
  <si>
    <t>Это последняя защита , прежде чем что-либо попадает в организм .</t>
  </si>
  <si>
    <t>file://conllu/ru/teddy-744.conllu#s139_0</t>
  </si>
  <si>
    <t>140</t>
  </si>
  <si>
    <t>эволюционировать</t>
  </si>
  <si>
    <t>Она эволюционировала , чтобы впитывать загрязнения» .</t>
  </si>
  <si>
    <t>file://conllu/ru/teddy-744.conllu#s140_0</t>
  </si>
  <si>
    <t>141</t>
  </si>
  <si>
    <t>А потом он добавил , «Но в нашей воде нет загрязнений» .</t>
  </si>
  <si>
    <t>file://conllu/ru/teddy-744.conllu#s141_0</t>
  </si>
  <si>
    <t>142</t>
  </si>
  <si>
    <t>Хорошо , ферма , которая не кормит свою рыбу .</t>
  </si>
  <si>
    <t>file://conllu/ru/teddy-744.conllu#s142_0</t>
  </si>
  <si>
    <t>143</t>
  </si>
  <si>
    <t>Ферма , которая измеряет свой успех успехом своих «хищников» .</t>
  </si>
  <si>
    <t>file://conllu/ru/teddy-744.conllu#s143_0</t>
  </si>
  <si>
    <t>144</t>
  </si>
  <si>
    <t>осознать</t>
  </si>
  <si>
    <t>И тут я осознал , когда он сказал , что эта ферма не имеет загрязнений , что он что-то недоговаривает , потому что вода , которая течёт через ферму , приходит из реки Гвадалквивир .</t>
  </si>
  <si>
    <t>file://conllu/ru/teddy-744.conllu#s144_0</t>
  </si>
  <si>
    <t>145</t>
  </si>
  <si>
    <t>приносить</t>
  </si>
  <si>
    <t>Эта река приносит всё то , из чего реки , как правило , состоят в наши дни химические вещества , ядохимикаты .</t>
  </si>
  <si>
    <t>file://conllu/ru/teddy-744.conllu#s145_0</t>
  </si>
  <si>
    <t>146</t>
  </si>
  <si>
    <t>становиться</t>
  </si>
  <si>
    <t>Но когда вода проходит через всю систему и листья , она становится чище .</t>
  </si>
  <si>
    <t>file://conllu/ru/teddy-744.conllu#s146_0</t>
  </si>
  <si>
    <t>147</t>
  </si>
  <si>
    <t>Эта система настолько здорова , что очищает воду .</t>
  </si>
  <si>
    <t>file://conllu/ru/teddy-744.conllu#s147_0</t>
  </si>
  <si>
    <t>148</t>
  </si>
  <si>
    <t>Так что , это не только ферма , которая не кормит своих животных , а так же измеряет свой успех здоровьем своих «хищников» , но это ферма является , в буквальном смысле , установкой по очистке воды , и не только для рыб , но так же для вас и меня .</t>
  </si>
  <si>
    <t>file://conllu/ru/teddy-744.conllu#s148_0</t>
  </si>
  <si>
    <t>149</t>
  </si>
  <si>
    <t>впадать</t>
  </si>
  <si>
    <t>Потому что , когда вода уходит , она впадает в Атлантический океан .</t>
  </si>
  <si>
    <t>file://conllu/ru/teddy-744.conllu#s149_0</t>
  </si>
  <si>
    <t>150</t>
  </si>
  <si>
    <t>поддерживать (поддерживать знать)</t>
  </si>
  <si>
    <t>Капля в море , я знаю , но я буду поддерживать их , и вы должны , потому что это история любви , не только романтичная , но и поучительная .</t>
  </si>
  <si>
    <t>file://conllu/ru/teddy-744.conllu#s150_0</t>
  </si>
  <si>
    <t>151</t>
  </si>
  <si>
    <t>можно</t>
  </si>
  <si>
    <t>Можно сказать , что это рецепт будущего хорошего питания , говорим ли мы об окуне или говядине .</t>
  </si>
  <si>
    <t>file://conllu/ru/teddy-744.conllu#s151_0</t>
  </si>
  <si>
    <t>152</t>
  </si>
  <si>
    <t>нужный</t>
  </si>
  <si>
    <t>Что нам теперь нужно — это радикально новая концепция сельского хозяйства , в которой еда должна быть вкусной .</t>
  </si>
  <si>
    <t>file://conllu/ru/teddy-744.conllu#s152_0</t>
  </si>
  <si>
    <t>153</t>
  </si>
  <si>
    <t>( Аплодисменты ) Но для многих людей это может быть слишком радикально .</t>
  </si>
  <si>
    <t>file://conllu/ru/teddy-744.conllu#s153_0</t>
  </si>
  <si>
    <t>154</t>
  </si>
  <si>
    <t>реалист</t>
  </si>
  <si>
    <t>Мы , гурманы , не реалисты .</t>
  </si>
  <si>
    <t>file://conllu/ru/teddy-744.conllu#s154_0</t>
  </si>
  <si>
    <t>155</t>
  </si>
  <si>
    <t>влюблёть</t>
  </si>
  <si>
    <t>Мы влюблённые .</t>
  </si>
  <si>
    <t>file://conllu/ru/teddy-744.conllu#s155_0</t>
  </si>
  <si>
    <t>156</t>
  </si>
  <si>
    <t>Мы любим фермерские рынки .</t>
  </si>
  <si>
    <t>file://conllu/ru/teddy-744.conllu#s156_0</t>
  </si>
  <si>
    <t>157</t>
  </si>
  <si>
    <t>Мы любим маленькие семейные фермы .</t>
  </si>
  <si>
    <t>file://conllu/ru/teddy-744.conllu#s157_0</t>
  </si>
  <si>
    <t>158</t>
  </si>
  <si>
    <t>Мы говорим о местной еде .</t>
  </si>
  <si>
    <t>file://conllu/ru/teddy-744.conllu#s158_0</t>
  </si>
  <si>
    <t>159</t>
  </si>
  <si>
    <t>едить</t>
  </si>
  <si>
    <t>Мы едим экологически чистые продукты .</t>
  </si>
  <si>
    <t>file://conllu/ru/teddy-744.conllu#s159_0</t>
  </si>
  <si>
    <t>160</t>
  </si>
  <si>
    <t>подняться</t>
  </si>
  <si>
    <t>И когда вы решите , что это то , что может гарантировать в будущем хорошую еду , кто-то поднимется и скажет , «Эй , парень , мне нравятся розовые фламинго , но как вы собираетесь кормить мир ? » Как вы собираетесь кормить мир ? » Могу я быть честным ?</t>
  </si>
  <si>
    <t>file://conllu/ru/teddy-744.conllu#s160_0</t>
  </si>
  <si>
    <t>161</t>
  </si>
  <si>
    <t>Я не люблю этот вопрос .</t>
  </si>
  <si>
    <t>file://conllu/ru/teddy-744.conllu#s161_0</t>
  </si>
  <si>
    <t>162</t>
  </si>
  <si>
    <t>Нет , не потому , что мы уже производим достаточно калорий , чтобы накормить мир , даже более чем нужно .</t>
  </si>
  <si>
    <t>file://conllu/ru/teddy-744.conllu#s162_0</t>
  </si>
  <si>
    <t>163</t>
  </si>
  <si>
    <t>оставаться</t>
  </si>
  <si>
    <t>Но один миллиард людей остаётся голодным .</t>
  </si>
  <si>
    <t>file://conllu/ru/teddy-744.conllu#s163_0</t>
  </si>
  <si>
    <t>164</t>
  </si>
  <si>
    <t>это (это большой)</t>
  </si>
  <si>
    <t>Один миллиард – это больше , чем когда-либо , по причине огромного неравенства в распределении , а не в общем количестве еды .</t>
  </si>
  <si>
    <t>file://conllu/ru/teddy-744.conllu#s164_0</t>
  </si>
  <si>
    <t>165</t>
  </si>
  <si>
    <t>Потом , я не люблю этот вопрос , потому что он определяется логикой нашей продовольственной системы в течение последних 50 лет .</t>
  </si>
  <si>
    <t>file://conllu/ru/teddy-744.conllu#s165_0</t>
  </si>
  <si>
    <t>166</t>
  </si>
  <si>
    <t>зерно</t>
  </si>
  <si>
    <t>Кормовые зерна травоядным животным , пестициды монокультурам , химия в почву , курица – рыбе , и всё это время фермеры просто спрашивают : «Если мы кормим всё больше людей , всё более дешёвыми продуктами , что же в этом плохого ? » Это была мотивация .</t>
  </si>
  <si>
    <t>file://conllu/ru/teddy-744.conllu#s166_0</t>
  </si>
  <si>
    <t>167</t>
  </si>
  <si>
    <t>быть (быть оправдание)</t>
  </si>
  <si>
    <t>Это было оправдание .</t>
  </si>
  <si>
    <t>file://conllu/ru/teddy-744.conllu#s167_0</t>
  </si>
  <si>
    <t>168</t>
  </si>
  <si>
    <t>быть (быть план)</t>
  </si>
  <si>
    <t>Это был бизнес план американского сельского хозяйства .</t>
  </si>
  <si>
    <t>file://conllu/ru/teddy-744.conllu#s168_0</t>
  </si>
  <si>
    <t>169</t>
  </si>
  <si>
    <t>Мы должны называть вещи своими именами , бизнес уничтожается , бизнес , который быстро разрушает тот самый экологический капитал , который делает само производство возможным .</t>
  </si>
  <si>
    <t>file://conllu/ru/teddy-744.conllu#s169_0</t>
  </si>
  <si>
    <t>170</t>
  </si>
  <si>
    <t>бизнес</t>
  </si>
  <si>
    <t>Это не бизнес и не сельское хозяйство .</t>
  </si>
  <si>
    <t>file://conllu/ru/teddy-744.conllu#s170_0</t>
  </si>
  <si>
    <t>171</t>
  </si>
  <si>
    <t>сегодня</t>
  </si>
  <si>
    <t>Сегодня наша продуктовая корзина под угрозой не из-за сокращения поставок , а из-за сокращения объёмов ресурсов , не из-за комбайнов и тракторов , а из-за плодородности земли , не из-за водных насосов , а из-за пресной воды , не из-за бензопил , а из-за леса , не из-за рыболовецких судов и сетей , а из-за рыбы в море .</t>
  </si>
  <si>
    <t>file://conllu/ru/teddy-744.conllu#s171_0</t>
  </si>
  <si>
    <t>172</t>
  </si>
  <si>
    <t>Хотите накормить весь мир ?</t>
  </si>
  <si>
    <t>file://conllu/ru/teddy-744.conllu#s172_0</t>
  </si>
  <si>
    <t>173</t>
  </si>
  <si>
    <t>начать</t>
  </si>
  <si>
    <t>Начнём с вопроса : как мы будем кормить себя ?</t>
  </si>
  <si>
    <t>file://conllu/ru/teddy-744.conllu#s173_0</t>
  </si>
  <si>
    <t>174</t>
  </si>
  <si>
    <t>Или ещё лучше , как нам создать условия , которые позволят каждой общине прокормить себя .</t>
  </si>
  <si>
    <t>file://conllu/ru/teddy-744.conllu#s174_0</t>
  </si>
  <si>
    <t>175</t>
  </si>
  <si>
    <t>смотреть</t>
  </si>
  <si>
    <t>Чтобы сделать это , для будущего не смотрите на современную модель агробизнеса .</t>
  </si>
  <si>
    <t>file://conllu/ru/teddy-744.conllu#s175_0</t>
  </si>
  <si>
    <t>176</t>
  </si>
  <si>
    <t>модель</t>
  </si>
  <si>
    <t>Это слишком старая модель , ей пора на покой .</t>
  </si>
  <si>
    <t>file://conllu/ru/teddy-744.conllu#s176_0</t>
  </si>
  <si>
    <t>177</t>
  </si>
  <si>
    <t>требовать (требовать требовать)</t>
  </si>
  <si>
    <t>Эта модель требует большого капитала , химию , требует техническое оснащение , и , по сути , никогда не производит что-то пригодное для еды .</t>
  </si>
  <si>
    <t>file://conllu/ru/teddy-744.conllu#s177_0</t>
  </si>
  <si>
    <t>178</t>
  </si>
  <si>
    <t>смотреть (смотреть давать)</t>
  </si>
  <si>
    <t>Вместо этого давайте посмотрим на экологическую модель .</t>
  </si>
  <si>
    <t>file://conllu/ru/teddy-744.conllu#s178_0</t>
  </si>
  <si>
    <t>179</t>
  </si>
  <si>
    <t>Это единственная модель , которая опирается на двух миллиардный опыт работы .</t>
  </si>
  <si>
    <t>file://conllu/ru/teddy-744.conllu#s179_0</t>
  </si>
  <si>
    <t>180</t>
  </si>
  <si>
    <t>Посмотрите на Мигеля , фермеры как Мигель , фермы , которые не замкнуты на самих себе , фермы , которые восстанавливают , а не истощают , фермы , которые работают экстенсивно , а не интенсивно , фермеры , которые не только производители , но и эксперты во взаимосвязях , а также единственные эксперты в хорошей еде .</t>
  </si>
  <si>
    <t>file://conllu/ru/teddy-744.conllu#s180_0</t>
  </si>
  <si>
    <t>181</t>
  </si>
  <si>
    <t>быть (быть шеф)</t>
  </si>
  <si>
    <t>И если говорить на чистоту , они лучшие шеф -повара , чем я когда-либо буду .</t>
  </si>
  <si>
    <t>file://conllu/ru/teddy-744.conllu#s181_0</t>
  </si>
  <si>
    <t>182</t>
  </si>
  <si>
    <t>нет</t>
  </si>
  <si>
    <t>И знаете что , у меня нет с этим проблем , потому что , если это будущее хороших продуктов , то они будут восхитительны .</t>
  </si>
  <si>
    <t>file://conllu/ru/teddy-744.conllu#s182_0</t>
  </si>
  <si>
    <t>183</t>
  </si>
  <si>
    <t>спасибо</t>
  </si>
  <si>
    <t>Спасибо</t>
  </si>
  <si>
    <t>file://conllu/ru/teddy-744.conllu#s183_0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</si>
  <si>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</si>
  <si>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</si>
  <si>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</si>
  <si>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</si>
  <si>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</si>
  <si>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</si>
  <si>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</si>
  <si>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</si>
  <si>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</si>
  <si>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</si>
  <si>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</si>
  <si>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Что ж, за свою жизнь я знал много рыб.</t>
  </si>
  <si>
    <t>Что</t>
  </si>
  <si>
    <t>other</t>
  </si>
  <si>
    <t>pron.pint</t>
  </si>
  <si>
    <t>ж</t>
  </si>
  <si>
    <t>,</t>
  </si>
  <si>
    <t>за</t>
  </si>
  <si>
    <t>свою</t>
  </si>
  <si>
    <t>жизнь</t>
  </si>
  <si>
    <t>я</t>
  </si>
  <si>
    <t>SBJ</t>
  </si>
  <si>
    <t>pron</t>
  </si>
  <si>
    <t>?OLD</t>
  </si>
  <si>
    <t>знал</t>
  </si>
  <si>
    <t>много</t>
  </si>
  <si>
    <t>рыб</t>
  </si>
  <si>
    <t>.</t>
  </si>
  <si>
    <t># text = Но любил я только двух.</t>
  </si>
  <si>
    <t>Но</t>
  </si>
  <si>
    <t>любил</t>
  </si>
  <si>
    <t>только</t>
  </si>
  <si>
    <t>двух</t>
  </si>
  <si>
    <t># text = С первой было что-то вроде страстной интрижки.</t>
  </si>
  <si>
    <t>С</t>
  </si>
  <si>
    <t>первой</t>
  </si>
  <si>
    <t>было</t>
  </si>
  <si>
    <t>вроде</t>
  </si>
  <si>
    <t>страстной</t>
  </si>
  <si>
    <t>интрижки</t>
  </si>
  <si>
    <t># text = Это была прекрасная рыба, ароматная, текстурная, мясистая, хит продаж в меню.</t>
  </si>
  <si>
    <t>Это</t>
  </si>
  <si>
    <t>pron.pds</t>
  </si>
  <si>
    <t>была</t>
  </si>
  <si>
    <t>прекрасная</t>
  </si>
  <si>
    <t>ароматная</t>
  </si>
  <si>
    <t>текстурная</t>
  </si>
  <si>
    <t>мясистая</t>
  </si>
  <si>
    <t>хит</t>
  </si>
  <si>
    <t>продаж</t>
  </si>
  <si>
    <t>в</t>
  </si>
  <si>
    <t>меню</t>
  </si>
  <si>
    <t># text = Что за рыба!</t>
  </si>
  <si>
    <t>!</t>
  </si>
  <si>
    <t># text = (Смех) Что ещё лучше, это была рыба, выращенная на ферме, которая придерживалась высоких экологических стандартов.</t>
  </si>
  <si>
    <t>(</t>
  </si>
  <si>
    <t>Смех</t>
  </si>
  <si>
    <t>ne</t>
  </si>
  <si>
    <t>)</t>
  </si>
  <si>
    <t>ещё</t>
  </si>
  <si>
    <t>лучше</t>
  </si>
  <si>
    <t>это</t>
  </si>
  <si>
    <t>SBJ_2</t>
  </si>
  <si>
    <t>выращенная</t>
  </si>
  <si>
    <t>на</t>
  </si>
  <si>
    <t>ферме</t>
  </si>
  <si>
    <t>которая</t>
  </si>
  <si>
    <t>SBJ_5</t>
  </si>
  <si>
    <t>придерживалась</t>
  </si>
  <si>
    <t>высоких</t>
  </si>
  <si>
    <t>экологических</t>
  </si>
  <si>
    <t>стандартов</t>
  </si>
  <si>
    <t># text = Так что вы могли чувствовать себя уверенно, продавая эту рыбу.</t>
  </si>
  <si>
    <t>Так</t>
  </si>
  <si>
    <t>что</t>
  </si>
  <si>
    <t>вы</t>
  </si>
  <si>
    <t>могли</t>
  </si>
  <si>
    <t>чувствовать</t>
  </si>
  <si>
    <t>себя</t>
  </si>
  <si>
    <t>OBJ_2</t>
  </si>
  <si>
    <t>уверенно</t>
  </si>
  <si>
    <t>продавая</t>
  </si>
  <si>
    <t>эту</t>
  </si>
  <si>
    <t>рыбу</t>
  </si>
  <si>
    <t>OBJ_3</t>
  </si>
  <si>
    <t>def-np.dem</t>
  </si>
  <si>
    <t># text = Отношения с этой красавицей длились несколько месяцев.</t>
  </si>
  <si>
    <t>Отношения</t>
  </si>
  <si>
    <t>с</t>
  </si>
  <si>
    <t>этой</t>
  </si>
  <si>
    <t>красавицей</t>
  </si>
  <si>
    <t>other_2</t>
  </si>
  <si>
    <t>длились</t>
  </si>
  <si>
    <t>несколько</t>
  </si>
  <si>
    <t>месяцев</t>
  </si>
  <si>
    <t>indef-np.quant</t>
  </si>
  <si>
    <t># text = Однажды, мне позвонил глава компании и спросил, мог бы я выступить на встрече об экологической сбалансированности фермы.</t>
  </si>
  <si>
    <t>Однажды</t>
  </si>
  <si>
    <t>мне</t>
  </si>
  <si>
    <t>OBJ</t>
  </si>
  <si>
    <t>позвонил</t>
  </si>
  <si>
    <t>глава</t>
  </si>
  <si>
    <t>компании</t>
  </si>
  <si>
    <t>и</t>
  </si>
  <si>
    <t>спросил</t>
  </si>
  <si>
    <t>мог</t>
  </si>
  <si>
    <t>бы</t>
  </si>
  <si>
    <t>SBJ_3</t>
  </si>
  <si>
    <t>выступить</t>
  </si>
  <si>
    <t>встрече</t>
  </si>
  <si>
    <t>об</t>
  </si>
  <si>
    <t>экологической</t>
  </si>
  <si>
    <t>сбалансированности</t>
  </si>
  <si>
    <t>фермы</t>
  </si>
  <si>
    <t># text = «Безусловно», — сказал я.</t>
  </si>
  <si>
    <t>—</t>
  </si>
  <si>
    <t>сказал</t>
  </si>
  <si>
    <t># text = Это была попытка компании решить то, что стало невообразимой проблемой для наших шеф-поваров.</t>
  </si>
  <si>
    <t>попытка</t>
  </si>
  <si>
    <t>решить</t>
  </si>
  <si>
    <t>то</t>
  </si>
  <si>
    <t>SBJ_4</t>
  </si>
  <si>
    <t>стало</t>
  </si>
  <si>
    <t>невообразимой</t>
  </si>
  <si>
    <t>проблемой</t>
  </si>
  <si>
    <t>для</t>
  </si>
  <si>
    <t>наших</t>
  </si>
  <si>
    <t>other_6</t>
  </si>
  <si>
    <t>pron.ppos</t>
  </si>
  <si>
    <t>шеф</t>
  </si>
  <si>
    <t>-поваров</t>
  </si>
  <si>
    <t># text = Как сохранить рыбу в нашем меню?</t>
  </si>
  <si>
    <t>Как</t>
  </si>
  <si>
    <t>нашем</t>
  </si>
  <si>
    <t>?</t>
  </si>
  <si>
    <t># text = Последние 50 лет мы ловили рыбу в морях так же, как вырубали леса.</t>
  </si>
  <si>
    <t>Последние</t>
  </si>
  <si>
    <t>лет</t>
  </si>
  <si>
    <t>мы</t>
  </si>
  <si>
    <t>ловили</t>
  </si>
  <si>
    <t>морях</t>
  </si>
  <si>
    <t>так</t>
  </si>
  <si>
    <t>же</t>
  </si>
  <si>
    <t>как</t>
  </si>
  <si>
    <t>вырубали</t>
  </si>
  <si>
    <t>леса</t>
  </si>
  <si>
    <t># text = Трудно переоценить разрушение.</t>
  </si>
  <si>
    <t>Трудно</t>
  </si>
  <si>
    <t>переоценить</t>
  </si>
  <si>
    <t>разрушение</t>
  </si>
  <si>
    <t># text = 90% крупных рыб, одни из наших любимых, тунец, палтус, лосось, рыба-меч — уничтожены.</t>
  </si>
  <si>
    <t>%</t>
  </si>
  <si>
    <t>крупных</t>
  </si>
  <si>
    <t>одни</t>
  </si>
  <si>
    <t>из</t>
  </si>
  <si>
    <t>other_3</t>
  </si>
  <si>
    <t>любимых</t>
  </si>
  <si>
    <t>тунец</t>
  </si>
  <si>
    <t>палтус</t>
  </si>
  <si>
    <t>лосось</t>
  </si>
  <si>
    <t>меч</t>
  </si>
  <si>
    <t>уничтожены</t>
  </si>
  <si>
    <t># text = Почти ничего не осталось.</t>
  </si>
  <si>
    <t>Почти</t>
  </si>
  <si>
    <t>ничего</t>
  </si>
  <si>
    <t>pron.pind</t>
  </si>
  <si>
    <t>не</t>
  </si>
  <si>
    <t>осталось</t>
  </si>
  <si>
    <t># text = Таким образом, к лучшему или к худшему, но аквакультура, рыбное фермерство, будет частью нашего будущего.</t>
  </si>
  <si>
    <t>Таким</t>
  </si>
  <si>
    <t>образом</t>
  </si>
  <si>
    <t>к</t>
  </si>
  <si>
    <t>лучшему</t>
  </si>
  <si>
    <t>или</t>
  </si>
  <si>
    <t>худшему</t>
  </si>
  <si>
    <t>но</t>
  </si>
  <si>
    <t>аквакультура</t>
  </si>
  <si>
    <t>рыбное</t>
  </si>
  <si>
    <t>фермерство</t>
  </si>
  <si>
    <t>будет</t>
  </si>
  <si>
    <t>частью</t>
  </si>
  <si>
    <t>нашего</t>
  </si>
  <si>
    <t>будущего</t>
  </si>
  <si>
    <t># text = Много аргументов против этого.</t>
  </si>
  <si>
    <t>Много</t>
  </si>
  <si>
    <t>аргументов</t>
  </si>
  <si>
    <t>def-np.poss</t>
  </si>
  <si>
    <t>против</t>
  </si>
  <si>
    <t>этого</t>
  </si>
  <si>
    <t># text = Рыбные фермерства загрязняют окружающую среду, по крайне мере большинство из них, и они неэффективны, возьмём, к примеру, тунца.</t>
  </si>
  <si>
    <t>Рыбные</t>
  </si>
  <si>
    <t>фермерства</t>
  </si>
  <si>
    <t>загрязняют</t>
  </si>
  <si>
    <t>окружающую</t>
  </si>
  <si>
    <t>среду</t>
  </si>
  <si>
    <t>по</t>
  </si>
  <si>
    <t>крайне</t>
  </si>
  <si>
    <t>мере</t>
  </si>
  <si>
    <t>большинство</t>
  </si>
  <si>
    <t>них</t>
  </si>
  <si>
    <t>они</t>
  </si>
  <si>
    <t>неэффективны</t>
  </si>
  <si>
    <t>возьмём</t>
  </si>
  <si>
    <t>примеру</t>
  </si>
  <si>
    <t>тунца</t>
  </si>
  <si>
    <t># text = Основной недостаток — это показатель эффективности корма: 15 к 1му.</t>
  </si>
  <si>
    <t>Основной</t>
  </si>
  <si>
    <t>недостаток</t>
  </si>
  <si>
    <t>эффективности</t>
  </si>
  <si>
    <t>корма</t>
  </si>
  <si>
    <t>:</t>
  </si>
  <si>
    <t>1му</t>
  </si>
  <si>
    <t># text = Это означает, что вам требуется 15 кг дикой рыбы, чтобы получить 1 кг фермерской.</t>
  </si>
  <si>
    <t>означает</t>
  </si>
  <si>
    <t>вам</t>
  </si>
  <si>
    <t>требуется</t>
  </si>
  <si>
    <t>кг</t>
  </si>
  <si>
    <t>дикой</t>
  </si>
  <si>
    <t>рыбы</t>
  </si>
  <si>
    <t>чтобы</t>
  </si>
  <si>
    <t>получить</t>
  </si>
  <si>
    <t>фермерской</t>
  </si>
  <si>
    <t># text = Не очень рационально.</t>
  </si>
  <si>
    <t>Не</t>
  </si>
  <si>
    <t># text = На вкус тоже не очень.</t>
  </si>
  <si>
    <t>На</t>
  </si>
  <si>
    <t>вкус</t>
  </si>
  <si>
    <t>тоже</t>
  </si>
  <si>
    <t># text = И вот, наконец, компания, пытающаяся выращивать рыбу правильно.</t>
  </si>
  <si>
    <t>И</t>
  </si>
  <si>
    <t>вот</t>
  </si>
  <si>
    <t>наконец</t>
  </si>
  <si>
    <t>пытающаяся</t>
  </si>
  <si>
    <t>правильно</t>
  </si>
  <si>
    <t># text = Я хотел их поддержать.</t>
  </si>
  <si>
    <t>Я</t>
  </si>
  <si>
    <t>хотел</t>
  </si>
  <si>
    <t>их</t>
  </si>
  <si>
    <t>поддержать</t>
  </si>
  <si>
    <t># text = За день до встречи я позвонил PR-менеджеру компании.</t>
  </si>
  <si>
    <t>За</t>
  </si>
  <si>
    <t>день</t>
  </si>
  <si>
    <t>до</t>
  </si>
  <si>
    <t>встречи</t>
  </si>
  <si>
    <t>PR</t>
  </si>
  <si>
    <t>менеджеру</t>
  </si>
  <si>
    <t># text = Назовём его Дон.</t>
  </si>
  <si>
    <t>Назовём</t>
  </si>
  <si>
    <t>его</t>
  </si>
  <si>
    <t># text = «Дон»,- говорю я, - «давай смотреть фактам в лицо, вы, ребята, известны тем, что ваши фермы так далеко от моря, что вы не загрязняете окружающую среду».</t>
  </si>
  <si>
    <t>говорю</t>
  </si>
  <si>
    <t>«давай</t>
  </si>
  <si>
    <t>фактам</t>
  </si>
  <si>
    <t>лицо</t>
  </si>
  <si>
    <t>ребята</t>
  </si>
  <si>
    <t>известны</t>
  </si>
  <si>
    <t>тем</t>
  </si>
  <si>
    <t>ваши</t>
  </si>
  <si>
    <t>OBJ_5</t>
  </si>
  <si>
    <t>далеко</t>
  </si>
  <si>
    <t>от</t>
  </si>
  <si>
    <t>моря</t>
  </si>
  <si>
    <t>SBJ_7</t>
  </si>
  <si>
    <t>загрязняете</t>
  </si>
  <si>
    <t>среду»</t>
  </si>
  <si>
    <t># text = «Это точно», - говорит он, - «Мы так далеко, что отходы от нашей рыбы рассредоточиваются, а не концентрируются».</t>
  </si>
  <si>
    <t>«Это</t>
  </si>
  <si>
    <t>точно»</t>
  </si>
  <si>
    <t>говорит</t>
  </si>
  <si>
    <t>он</t>
  </si>
  <si>
    <t>«Мы</t>
  </si>
  <si>
    <t>отходы</t>
  </si>
  <si>
    <t>нашей</t>
  </si>
  <si>
    <t>other_5</t>
  </si>
  <si>
    <t>рассредоточиваются</t>
  </si>
  <si>
    <t>а</t>
  </si>
  <si>
    <t>концентрируются»</t>
  </si>
  <si>
    <t># text = А потом он добавил, - «По существу, у нас свой мир.</t>
  </si>
  <si>
    <t>А</t>
  </si>
  <si>
    <t>потом</t>
  </si>
  <si>
    <t>добавил</t>
  </si>
  <si>
    <t>«По</t>
  </si>
  <si>
    <t>существу</t>
  </si>
  <si>
    <t>у</t>
  </si>
  <si>
    <t>нас</t>
  </si>
  <si>
    <t>свой</t>
  </si>
  <si>
    <t>мир</t>
  </si>
  <si>
    <t># text = Показатель эффективности корма?</t>
  </si>
  <si>
    <t>Показатель</t>
  </si>
  <si>
    <t># text = 2.5 к 1му»,- говорит он,- «Лучший показатель в этом бизнесе».</t>
  </si>
  <si>
    <t>1му»</t>
  </si>
  <si>
    <t>«Лучший</t>
  </si>
  <si>
    <t>этом</t>
  </si>
  <si>
    <t>бизнесе»</t>
  </si>
  <si>
    <t># text = 2.5 к 1му, отлично.</t>
  </si>
  <si>
    <t>отлично</t>
  </si>
  <si>
    <t># text = «2.5 к 1му чего, чем вы кормите рыбу?» «Полноценным белком», - сказал он.</t>
  </si>
  <si>
    <t>чего</t>
  </si>
  <si>
    <t>чем</t>
  </si>
  <si>
    <t>other_4</t>
  </si>
  <si>
    <t>кормите</t>
  </si>
  <si>
    <t>OBJ_4</t>
  </si>
  <si>
    <t>»</t>
  </si>
  <si>
    <t>«Полноценным</t>
  </si>
  <si>
    <t>белком»</t>
  </si>
  <si>
    <t># text = «Отлично»,- сказал я и положил трубку.</t>
  </si>
  <si>
    <t>положил</t>
  </si>
  <si>
    <t>трубку</t>
  </si>
  <si>
    <t># text = В ту ночь я лежал в кровати и думал:</t>
  </si>
  <si>
    <t>В</t>
  </si>
  <si>
    <t>ту</t>
  </si>
  <si>
    <t>ночь</t>
  </si>
  <si>
    <t>лежал</t>
  </si>
  <si>
    <t>кровати</t>
  </si>
  <si>
    <t>думал</t>
  </si>
  <si>
    <t># text = Что же это за чёртов полноценный белок?</t>
  </si>
  <si>
    <t>чёртов</t>
  </si>
  <si>
    <t>полноценный</t>
  </si>
  <si>
    <t># text = Поэтому на следующий день, буквально перед встречей, я позвонил Дону.</t>
  </si>
  <si>
    <t>Поэтому</t>
  </si>
  <si>
    <t>следующий</t>
  </si>
  <si>
    <t>буквально</t>
  </si>
  <si>
    <t>перед</t>
  </si>
  <si>
    <t>встречей</t>
  </si>
  <si>
    <t>Дону</t>
  </si>
  <si>
    <t># text = Говорю,- «Дон, скажи мне пару примеров полноценного белка».</t>
  </si>
  <si>
    <t>Говорю</t>
  </si>
  <si>
    <t>«Дон</t>
  </si>
  <si>
    <t>скажи</t>
  </si>
  <si>
    <t>пару</t>
  </si>
  <si>
    <t>примеров</t>
  </si>
  <si>
    <t>полноценного</t>
  </si>
  <si>
    <t>белка»</t>
  </si>
  <si>
    <t># text = Он сказал, что не знает.</t>
  </si>
  <si>
    <t>Он</t>
  </si>
  <si>
    <t>знает</t>
  </si>
  <si>
    <t># text = Он поспрашивает.</t>
  </si>
  <si>
    <t>поспрашивает</t>
  </si>
  <si>
    <t># text = Что ж, я созвонился с несколькими представителями компании.</t>
  </si>
  <si>
    <t>созвонился</t>
  </si>
  <si>
    <t>несколькими</t>
  </si>
  <si>
    <t>представителями</t>
  </si>
  <si>
    <t># text = Ни один не смог дать мне прямого ответа.</t>
  </si>
  <si>
    <t>Ни</t>
  </si>
  <si>
    <t>один</t>
  </si>
  <si>
    <t>смог</t>
  </si>
  <si>
    <t>дать</t>
  </si>
  <si>
    <t>прямого</t>
  </si>
  <si>
    <t>ответа</t>
  </si>
  <si>
    <t># text = Пока, наконец, я не связался с главным биологом.</t>
  </si>
  <si>
    <t>Пока</t>
  </si>
  <si>
    <t>связался</t>
  </si>
  <si>
    <t>главным</t>
  </si>
  <si>
    <t>биологом</t>
  </si>
  <si>
    <t># text = Давайте назовём его тоже Доном.</t>
  </si>
  <si>
    <t>Давайте</t>
  </si>
  <si>
    <t>назовём</t>
  </si>
  <si>
    <t>Доном</t>
  </si>
  <si>
    <t># text = «Дон», - я говорю, - «Приведите мне несколько примеров полноценного белка».</t>
  </si>
  <si>
    <t>«Приведите</t>
  </si>
  <si>
    <t># text = Что ж, он упомянул некоторые водоросли, рыбий корм, и потом назвал куриные брикеты.</t>
  </si>
  <si>
    <t>упомянул</t>
  </si>
  <si>
    <t>некоторые</t>
  </si>
  <si>
    <t>водоросли</t>
  </si>
  <si>
    <t>indef-np</t>
  </si>
  <si>
    <t>рыбий</t>
  </si>
  <si>
    <t>корм</t>
  </si>
  <si>
    <t>назвал</t>
  </si>
  <si>
    <t>куриные</t>
  </si>
  <si>
    <t>брикеты</t>
  </si>
  <si>
    <t># text = Я спросил,- «Куриные брикеты?» Он ответил,- «Да, перья, кожа, костная мука, остатки, высушенные и переработанные в корм».</t>
  </si>
  <si>
    <t>«Куриные</t>
  </si>
  <si>
    <t>ответил</t>
  </si>
  <si>
    <t>«Да</t>
  </si>
  <si>
    <t>перья</t>
  </si>
  <si>
    <t>кожа</t>
  </si>
  <si>
    <t>костная</t>
  </si>
  <si>
    <t>мука</t>
  </si>
  <si>
    <t>остатки</t>
  </si>
  <si>
    <t>высушенные</t>
  </si>
  <si>
    <t>переработанные</t>
  </si>
  <si>
    <t>корм»</t>
  </si>
  <si>
    <t># text = Я спросил, - «Какой процент кормления ваших рыб составляет курица?», - думая при этом, знаете ли, о процентах двух.</t>
  </si>
  <si>
    <t>«Какой</t>
  </si>
  <si>
    <t>процент</t>
  </si>
  <si>
    <t>кормления</t>
  </si>
  <si>
    <t>ваших</t>
  </si>
  <si>
    <t>составляет</t>
  </si>
  <si>
    <t>курица</t>
  </si>
  <si>
    <t>думая</t>
  </si>
  <si>
    <t>при</t>
  </si>
  <si>
    <t>знаете</t>
  </si>
  <si>
    <t>ли</t>
  </si>
  <si>
    <t>о</t>
  </si>
  <si>
    <t>процентах</t>
  </si>
  <si>
    <t># text = Нуу, около 30%»,- ответил он.</t>
  </si>
  <si>
    <t>Нуу</t>
  </si>
  <si>
    <t>около</t>
  </si>
  <si>
    <t># text = Я спросил,- «Дон, а в чём экологичность кормления рыбы курицей?» На том конце телефона возникла длинная пауза, и он ответил,- «да, собственно, на Земле слишком много кур».</t>
  </si>
  <si>
    <t>чём</t>
  </si>
  <si>
    <t>экологичность</t>
  </si>
  <si>
    <t>курицей</t>
  </si>
  <si>
    <t>том</t>
  </si>
  <si>
    <t>конце</t>
  </si>
  <si>
    <t>other_7</t>
  </si>
  <si>
    <t>телефона</t>
  </si>
  <si>
    <t>возникла</t>
  </si>
  <si>
    <t>длинная</t>
  </si>
  <si>
    <t>пауза</t>
  </si>
  <si>
    <t>SBJ_8</t>
  </si>
  <si>
    <t>«да</t>
  </si>
  <si>
    <t>собственно</t>
  </si>
  <si>
    <t>Земле</t>
  </si>
  <si>
    <t>слишком</t>
  </si>
  <si>
    <t>кур»</t>
  </si>
  <si>
    <t># text = Что ж, я разлюбил эту рыбу.</t>
  </si>
  <si>
    <t>разлюбил</t>
  </si>
  <si>
    <t># text = Нет, не потому, что я самодовольный, благочестивый гурман.</t>
  </si>
  <si>
    <t>Нет</t>
  </si>
  <si>
    <t>самодовольный</t>
  </si>
  <si>
    <t>благочестивый</t>
  </si>
  <si>
    <t>гурман</t>
  </si>
  <si>
    <t># text = Хотя я гурман.</t>
  </si>
  <si>
    <t>Хотя</t>
  </si>
  <si>
    <t># text = Нет, в действительности, я разлюбил эту рыбу, потому что после этого разговора, я клянусь вам, эта рыба на вкус стала как курица.</t>
  </si>
  <si>
    <t>действительности</t>
  </si>
  <si>
    <t>после</t>
  </si>
  <si>
    <t>разговора</t>
  </si>
  <si>
    <t>клянусь</t>
  </si>
  <si>
    <t>эта</t>
  </si>
  <si>
    <t>стала</t>
  </si>
  <si>
    <t># text = Вторая рыба — это другая история любви.</t>
  </si>
  <si>
    <t>Вторая</t>
  </si>
  <si>
    <t>другая</t>
  </si>
  <si>
    <t>любви</t>
  </si>
  <si>
    <t># text = Что-то вроде романтичной истории, где, чем больше вы узнаёте вашу рыбу, тем больше вы её любите.</t>
  </si>
  <si>
    <t>Что-то</t>
  </si>
  <si>
    <t>романтичной</t>
  </si>
  <si>
    <t>истории</t>
  </si>
  <si>
    <t>где</t>
  </si>
  <si>
    <t>больше</t>
  </si>
  <si>
    <t>узнаёте</t>
  </si>
  <si>
    <t>вашу</t>
  </si>
  <si>
    <t>её</t>
  </si>
  <si>
    <t>любите</t>
  </si>
  <si>
    <t># text = Я ел эту рыбу в ресторане на юге Испании.</t>
  </si>
  <si>
    <t>ел</t>
  </si>
  <si>
    <t>ресторане</t>
  </si>
  <si>
    <t>юге</t>
  </si>
  <si>
    <t>Испании</t>
  </si>
  <si>
    <t># text = Мой друг журналист рассказывал мне об этой рыбе много раз.</t>
  </si>
  <si>
    <t>Мой</t>
  </si>
  <si>
    <t>друг</t>
  </si>
  <si>
    <t>журналист</t>
  </si>
  <si>
    <t>рассказывал</t>
  </si>
  <si>
    <t>рыбе</t>
  </si>
  <si>
    <t>раз</t>
  </si>
  <si>
    <t># text = Эта рыба «подставила» нас.</t>
  </si>
  <si>
    <t>Эта</t>
  </si>
  <si>
    <t>«подставила»</t>
  </si>
  <si>
    <t># text = Она появилась на столе, яркая, почти мерцающая, белого цвета.</t>
  </si>
  <si>
    <t>Она</t>
  </si>
  <si>
    <t>появилась</t>
  </si>
  <si>
    <t>столе</t>
  </si>
  <si>
    <t>яркая</t>
  </si>
  <si>
    <t>почти</t>
  </si>
  <si>
    <t>мерцающая</t>
  </si>
  <si>
    <t>белого</t>
  </si>
  <si>
    <t>цвета</t>
  </si>
  <si>
    <t># text = Повар передержал её при готовке, раза в два.</t>
  </si>
  <si>
    <t>Повар</t>
  </si>
  <si>
    <t>передержал</t>
  </si>
  <si>
    <t>готовке</t>
  </si>
  <si>
    <t>раза</t>
  </si>
  <si>
    <t>два</t>
  </si>
  <si>
    <t># text = Невероятно, но рыба была восхитительна.</t>
  </si>
  <si>
    <t>Невероятно</t>
  </si>
  <si>
    <t>восхитительна</t>
  </si>
  <si>
    <t># text = Кто может сделать вкус рыбы пригодным к еде после того, как её переварили?</t>
  </si>
  <si>
    <t>Кто</t>
  </si>
  <si>
    <t>может</t>
  </si>
  <si>
    <t>сделать</t>
  </si>
  <si>
    <t>пригодным</t>
  </si>
  <si>
    <t>еде</t>
  </si>
  <si>
    <t>того</t>
  </si>
  <si>
    <t>OBJ_6</t>
  </si>
  <si>
    <t>переварили</t>
  </si>
  <si>
    <t># text = Я не могу, но этот парень может.</t>
  </si>
  <si>
    <t>могу</t>
  </si>
  <si>
    <t>этот</t>
  </si>
  <si>
    <t># text = Назовём его Мигель.</t>
  </si>
  <si>
    <t># text = Вообще-то, его имя действительно Мигель.</t>
  </si>
  <si>
    <t>Вообще</t>
  </si>
  <si>
    <t>имя</t>
  </si>
  <si>
    <t>действительно</t>
  </si>
  <si>
    <t># text = Нет, он не готовит рыбу, и он не шеф-повар.</t>
  </si>
  <si>
    <t>готовит</t>
  </si>
  <si>
    <t>шеф-повар</t>
  </si>
  <si>
    <t># text = По крайней мере в том смысле, как вы и я это понимаем.</t>
  </si>
  <si>
    <t>По</t>
  </si>
  <si>
    <t>крайней</t>
  </si>
  <si>
    <t>смысле</t>
  </si>
  <si>
    <t>понимаем</t>
  </si>
  <si>
    <t># text = Он биолог в Вета ла Пальма.</t>
  </si>
  <si>
    <t>биолог</t>
  </si>
  <si>
    <t>Вета</t>
  </si>
  <si>
    <t>ла</t>
  </si>
  <si>
    <t>Пальма</t>
  </si>
  <si>
    <t># text = Это рыбная ферма на юго-западе Испании.</t>
  </si>
  <si>
    <t>рыбная</t>
  </si>
  <si>
    <t>юго-западе</t>
  </si>
  <si>
    <t># text = Расположена в верховьях реки Гвадалквивир.</t>
  </si>
  <si>
    <t>Расположена</t>
  </si>
  <si>
    <t>верховьях</t>
  </si>
  <si>
    <t>реки</t>
  </si>
  <si>
    <t>Гвадалквивир</t>
  </si>
  <si>
    <t># text = До 1980г эта ферма была в руках аргентинцев.</t>
  </si>
  <si>
    <t>До</t>
  </si>
  <si>
    <t>1980г</t>
  </si>
  <si>
    <t>руках</t>
  </si>
  <si>
    <t>аргентинцев</t>
  </si>
  <si>
    <t># text = Они выращивали крупный рогатый скот на земле, которая, фактически, была болотом.</t>
  </si>
  <si>
    <t>Они</t>
  </si>
  <si>
    <t>выращивали</t>
  </si>
  <si>
    <t>крупный</t>
  </si>
  <si>
    <t>рогатый</t>
  </si>
  <si>
    <t>скот</t>
  </si>
  <si>
    <t>земле</t>
  </si>
  <si>
    <t>фактически</t>
  </si>
  <si>
    <t>болотом</t>
  </si>
  <si>
    <t># text = Они занимались этим, осушая земли.</t>
  </si>
  <si>
    <t>занимались</t>
  </si>
  <si>
    <t>этим</t>
  </si>
  <si>
    <t>осушая</t>
  </si>
  <si>
    <t>земли</t>
  </si>
  <si>
    <t># text = Они построили сложный ряд каналов, выводя воду из земли и направляя её прямо в реку.</t>
  </si>
  <si>
    <t>построили</t>
  </si>
  <si>
    <t>сложный</t>
  </si>
  <si>
    <t>ряд</t>
  </si>
  <si>
    <t>каналов</t>
  </si>
  <si>
    <t>выводя</t>
  </si>
  <si>
    <t>воду</t>
  </si>
  <si>
    <t>направляя</t>
  </si>
  <si>
    <t>прямо</t>
  </si>
  <si>
    <t>реку</t>
  </si>
  <si>
    <t># text = Что ж, это не работало, так же и экономически, а экологически – это было ужасно.</t>
  </si>
  <si>
    <t>работало</t>
  </si>
  <si>
    <t>экономически</t>
  </si>
  <si>
    <t>экологически</t>
  </si>
  <si>
    <t>–</t>
  </si>
  <si>
    <t>ужасно</t>
  </si>
  <si>
    <t># text = Этот метод убил 90% птиц, для этого места это много птиц.</t>
  </si>
  <si>
    <t>Этот</t>
  </si>
  <si>
    <t>метод</t>
  </si>
  <si>
    <t>убил</t>
  </si>
  <si>
    <t>птиц</t>
  </si>
  <si>
    <t>места</t>
  </si>
  <si>
    <t># text = И поэтому, в 1982 г., испанская компания с экологической политикой купила эту землю.</t>
  </si>
  <si>
    <t>поэтому</t>
  </si>
  <si>
    <t>1982</t>
  </si>
  <si>
    <t>г.</t>
  </si>
  <si>
    <t>испанская</t>
  </si>
  <si>
    <t>политикой</t>
  </si>
  <si>
    <t>купила</t>
  </si>
  <si>
    <t>землю</t>
  </si>
  <si>
    <t># text = Что они сделали?</t>
  </si>
  <si>
    <t>сделали</t>
  </si>
  <si>
    <t># text = Они развернули поток воды.</t>
  </si>
  <si>
    <t>развернули</t>
  </si>
  <si>
    <t>поток</t>
  </si>
  <si>
    <t>воды</t>
  </si>
  <si>
    <t># text = Буквально переключили выключатель.</t>
  </si>
  <si>
    <t>Буквально</t>
  </si>
  <si>
    <t>переключили</t>
  </si>
  <si>
    <t>выключатель</t>
  </si>
  <si>
    <t># text = Вместо отвода воды, они использовали каналы для вливания воды на территорию.</t>
  </si>
  <si>
    <t>Вместо</t>
  </si>
  <si>
    <t>отвода</t>
  </si>
  <si>
    <t>использовали</t>
  </si>
  <si>
    <t>каналы</t>
  </si>
  <si>
    <t>вливания</t>
  </si>
  <si>
    <t>территорию</t>
  </si>
  <si>
    <t># text = Они наводнили каналы.</t>
  </si>
  <si>
    <t>наводнили</t>
  </si>
  <si>
    <t># text = Они создали 109 кв. км рыбных ферм — окунь, кефаль, креветки, угорь и в этом процессе, Мигель и эта компания, полностью исправили экологическое разрушение.</t>
  </si>
  <si>
    <t>создали</t>
  </si>
  <si>
    <t>кв</t>
  </si>
  <si>
    <t>км</t>
  </si>
  <si>
    <t>рыбных</t>
  </si>
  <si>
    <t>ферм</t>
  </si>
  <si>
    <t>окунь</t>
  </si>
  <si>
    <t>кефаль</t>
  </si>
  <si>
    <t>креветки</t>
  </si>
  <si>
    <t>угорь</t>
  </si>
  <si>
    <t>процессе</t>
  </si>
  <si>
    <t>полностью</t>
  </si>
  <si>
    <t>исправили</t>
  </si>
  <si>
    <t>экологическое</t>
  </si>
  <si>
    <t># text = Ферма потрясающая.</t>
  </si>
  <si>
    <t>потрясающая</t>
  </si>
  <si>
    <t># text = Я хочу сказать, вы никогда не видели ничего подобного.</t>
  </si>
  <si>
    <t>хочу</t>
  </si>
  <si>
    <t>никогда</t>
  </si>
  <si>
    <t>видели</t>
  </si>
  <si>
    <t>подобного</t>
  </si>
  <si>
    <t># text = Вы вглядываетесь в горизонт на расстоянии миллионов километров, и всё, что вы видите, — это наводнённые каналы и эту насыщенную, богатую болотистую местность.</t>
  </si>
  <si>
    <t>Вы</t>
  </si>
  <si>
    <t>вглядываетесь</t>
  </si>
  <si>
    <t>горизонт</t>
  </si>
  <si>
    <t>расстоянии</t>
  </si>
  <si>
    <t>миллионов</t>
  </si>
  <si>
    <t>километров</t>
  </si>
  <si>
    <t>всё</t>
  </si>
  <si>
    <t>видите</t>
  </si>
  <si>
    <t>наводнённые</t>
  </si>
  <si>
    <t>насыщенную</t>
  </si>
  <si>
    <t>богатую</t>
  </si>
  <si>
    <t>болотистую</t>
  </si>
  <si>
    <t>местность</t>
  </si>
  <si>
    <t># text = Я там был недавно с Мигелем.</t>
  </si>
  <si>
    <t>там</t>
  </si>
  <si>
    <t>был</t>
  </si>
  <si>
    <t>недавно</t>
  </si>
  <si>
    <t>Мигелем</t>
  </si>
  <si>
    <t># text = Он потрясный парень, три четверти Чарльза Дарвина и одна Крокодила Данди.</t>
  </si>
  <si>
    <t>потрясный</t>
  </si>
  <si>
    <t>три</t>
  </si>
  <si>
    <t>четверти</t>
  </si>
  <si>
    <t>Чарльза</t>
  </si>
  <si>
    <t>Дарвина</t>
  </si>
  <si>
    <t>одна</t>
  </si>
  <si>
    <t>Крокодила</t>
  </si>
  <si>
    <t>Данди</t>
  </si>
  <si>
    <t># text = Представили?</t>
  </si>
  <si>
    <t>Представили</t>
  </si>
  <si>
    <t># text = Мы пробирались по болотистой почве, я задыхался и покрывался потом, утопая по колено в грязи, а Мигель спокойно читал лекции по биологии.</t>
  </si>
  <si>
    <t>Мы</t>
  </si>
  <si>
    <t>пробирались</t>
  </si>
  <si>
    <t>болотистой</t>
  </si>
  <si>
    <t>почве</t>
  </si>
  <si>
    <t>задыхался</t>
  </si>
  <si>
    <t>покрывался</t>
  </si>
  <si>
    <t>утопая</t>
  </si>
  <si>
    <t>колено</t>
  </si>
  <si>
    <t>грязи</t>
  </si>
  <si>
    <t>спокойно</t>
  </si>
  <si>
    <t>читал</t>
  </si>
  <si>
    <t>лекции</t>
  </si>
  <si>
    <t>биологии</t>
  </si>
  <si>
    <t># text = Здесь он показывал редкого чернокрыло-дымчатого коршуна, потом он упоминал о минеральных потребностях фитопланктона, а там он видит схему группирования, которая напоминает ему о танзанском жирафе.</t>
  </si>
  <si>
    <t>Здесь</t>
  </si>
  <si>
    <t>показывал</t>
  </si>
  <si>
    <t>редкого</t>
  </si>
  <si>
    <t>чернокрыло</t>
  </si>
  <si>
    <t>дымчатого</t>
  </si>
  <si>
    <t>коршуна</t>
  </si>
  <si>
    <t>упоминал</t>
  </si>
  <si>
    <t>минеральных</t>
  </si>
  <si>
    <t>потребностях</t>
  </si>
  <si>
    <t>фитопланктона</t>
  </si>
  <si>
    <t>видит</t>
  </si>
  <si>
    <t>схему</t>
  </si>
  <si>
    <t>группирования</t>
  </si>
  <si>
    <t>напоминает</t>
  </si>
  <si>
    <t>ему</t>
  </si>
  <si>
    <t>танзанском</t>
  </si>
  <si>
    <t>жирафе</t>
  </si>
  <si>
    <t># text = Оказывается, Мигель провёл лучший период своей карьеры в национальном парке Микуми в Африке.</t>
  </si>
  <si>
    <t>Оказывается</t>
  </si>
  <si>
    <t>провёл</t>
  </si>
  <si>
    <t>лучший</t>
  </si>
  <si>
    <t>период</t>
  </si>
  <si>
    <t>своей</t>
  </si>
  <si>
    <t>карьеры</t>
  </si>
  <si>
    <t>национальном</t>
  </si>
  <si>
    <t>парке</t>
  </si>
  <si>
    <t>Микуми</t>
  </si>
  <si>
    <t>Африке</t>
  </si>
  <si>
    <t># text = Я спросил его, как он стал таким экспертом по рыбе.</t>
  </si>
  <si>
    <t>стал</t>
  </si>
  <si>
    <t>таким</t>
  </si>
  <si>
    <t>экспертом</t>
  </si>
  <si>
    <t># text = Он спросил,- «Рыбе?</t>
  </si>
  <si>
    <t>«Рыбе</t>
  </si>
  <si>
    <t># text = Я не знал ничего о рыбе.</t>
  </si>
  <si>
    <t># text = Я эксперт во взаимосвязях» А потом он переключается на разговор о редких птицах, водорослях и странных водных растениях.</t>
  </si>
  <si>
    <t>во</t>
  </si>
  <si>
    <t>взаимосвязях»</t>
  </si>
  <si>
    <t>переключается</t>
  </si>
  <si>
    <t>разговор</t>
  </si>
  <si>
    <t>редких</t>
  </si>
  <si>
    <t>птицах</t>
  </si>
  <si>
    <t>водорослях</t>
  </si>
  <si>
    <t>странных</t>
  </si>
  <si>
    <t>водных</t>
  </si>
  <si>
    <t>растениях</t>
  </si>
  <si>
    <t># text = И поймите меня правильно, это было действительно увлекательно, знаете ли, автономный биоценоз, всё такое.</t>
  </si>
  <si>
    <t>поймите</t>
  </si>
  <si>
    <t>меня</t>
  </si>
  <si>
    <t>увлекательно</t>
  </si>
  <si>
    <t>автономный</t>
  </si>
  <si>
    <t>биоценоз</t>
  </si>
  <si>
    <t>такое</t>
  </si>
  <si>
    <t># text = Это здорово, но я был влюблён.</t>
  </si>
  <si>
    <t>здорово</t>
  </si>
  <si>
    <t>влюблён</t>
  </si>
  <si>
    <t># text = Я потерял голову от порции той потрясающей переваренной рыбы, которую я ел накануне вечером.</t>
  </si>
  <si>
    <t>потерял</t>
  </si>
  <si>
    <t>голову</t>
  </si>
  <si>
    <t>порции</t>
  </si>
  <si>
    <t>той</t>
  </si>
  <si>
    <t>потрясающей</t>
  </si>
  <si>
    <t>переваренной</t>
  </si>
  <si>
    <t>которую</t>
  </si>
  <si>
    <t>накануне</t>
  </si>
  <si>
    <t>вечером</t>
  </si>
  <si>
    <t># text = Поэтому я перебил его и спросил,- «Мигель, что делает вашу рыбу такой вкусной?» Он показал на водоросли.</t>
  </si>
  <si>
    <t>перебил</t>
  </si>
  <si>
    <t>«Мигель</t>
  </si>
  <si>
    <t>делает</t>
  </si>
  <si>
    <t>такой</t>
  </si>
  <si>
    <t>вкусной</t>
  </si>
  <si>
    <t>показал</t>
  </si>
  <si>
    <t># text = «Я знаю, чувак, — водоросли, фитопланктон, взаимосвязи — всё это хорошо, но что ест ваша рыба?</t>
  </si>
  <si>
    <t>«Я</t>
  </si>
  <si>
    <t>знаю</t>
  </si>
  <si>
    <t>чувак</t>
  </si>
  <si>
    <t>фитопланктон</t>
  </si>
  <si>
    <t>взаимосвязи</t>
  </si>
  <si>
    <t>хорошо</t>
  </si>
  <si>
    <t>ест</t>
  </si>
  <si>
    <t>ваша</t>
  </si>
  <si>
    <t># text = Какой показатель эффективности корма?» Что ж, он сказал мне, что это настолько богатая система, что рыба ест то, что бы она ела в дикой среде.</t>
  </si>
  <si>
    <t>Какой</t>
  </si>
  <si>
    <t>настолько</t>
  </si>
  <si>
    <t>богатая</t>
  </si>
  <si>
    <t>система</t>
  </si>
  <si>
    <t>SBJ_6</t>
  </si>
  <si>
    <t>OBJ_8</t>
  </si>
  <si>
    <t>она</t>
  </si>
  <si>
    <t>ела</t>
  </si>
  <si>
    <t>среде</t>
  </si>
  <si>
    <t># text = Растительная биомасса, фитопланктон, зоопланктон — это то, чем питается рыба.</t>
  </si>
  <si>
    <t>Растительная</t>
  </si>
  <si>
    <t>зоопланктон</t>
  </si>
  <si>
    <t>питается</t>
  </si>
  <si>
    <t># text = Система настолько здоровая, настолько самообновляющаяся, что здесь нет искусственного кормления.</t>
  </si>
  <si>
    <t>Система</t>
  </si>
  <si>
    <t>здоровая</t>
  </si>
  <si>
    <t>самообновляющаяся</t>
  </si>
  <si>
    <t>здесь</t>
  </si>
  <si>
    <t>искусственного</t>
  </si>
  <si>
    <t># text = Слышали когда-нибудь о ферме, которая не кормит своих животных?</t>
  </si>
  <si>
    <t>Слышали</t>
  </si>
  <si>
    <t>когда-нибудь</t>
  </si>
  <si>
    <t>кормит</t>
  </si>
  <si>
    <t>своих</t>
  </si>
  <si>
    <t>животных</t>
  </si>
  <si>
    <t># text = Позже в тот же день мы объезжали с Мигелем их хозяйство, и я спросил его,- «Для места, выглядящего столь натурально»,- в отличие от других ферм, где я был раньше,- «как вы измеряете успех?» В этот момент, режиссёр будто попросил сменить декорацию.</t>
  </si>
  <si>
    <t>Позже</t>
  </si>
  <si>
    <t>тот</t>
  </si>
  <si>
    <t>объезжали</t>
  </si>
  <si>
    <t>хозяйство</t>
  </si>
  <si>
    <t>«Для</t>
  </si>
  <si>
    <t>выглядящего</t>
  </si>
  <si>
    <t>столь</t>
  </si>
  <si>
    <t>натурально»</t>
  </si>
  <si>
    <t>отличие</t>
  </si>
  <si>
    <t>других</t>
  </si>
  <si>
    <t>раньше</t>
  </si>
  <si>
    <t>«как</t>
  </si>
  <si>
    <t>SBJ_9</t>
  </si>
  <si>
    <t>измеряете</t>
  </si>
  <si>
    <t>успех</t>
  </si>
  <si>
    <t>OBJ_9</t>
  </si>
  <si>
    <t>момент</t>
  </si>
  <si>
    <t>other_11</t>
  </si>
  <si>
    <t>режиссёр</t>
  </si>
  <si>
    <t>SBJ_11</t>
  </si>
  <si>
    <t>будто</t>
  </si>
  <si>
    <t>попросил</t>
  </si>
  <si>
    <t>сменить</t>
  </si>
  <si>
    <t>декорацию</t>
  </si>
  <si>
    <t>OBJ_12</t>
  </si>
  <si>
    <t># text = Мы завернули за угол, и открылся потрясающий вид, тысячи и тысячи розовых фламинго, буквально розовый ковёр, так далеко, как только вы можете видеть.</t>
  </si>
  <si>
    <t>завернули</t>
  </si>
  <si>
    <t>угол</t>
  </si>
  <si>
    <t>открылся</t>
  </si>
  <si>
    <t>потрясающий</t>
  </si>
  <si>
    <t>вид</t>
  </si>
  <si>
    <t>тысячи</t>
  </si>
  <si>
    <t>розовых</t>
  </si>
  <si>
    <t>фламинго</t>
  </si>
  <si>
    <t>ковёр</t>
  </si>
  <si>
    <t>можете</t>
  </si>
  <si>
    <t>видеть</t>
  </si>
  <si>
    <t># text = «Вот он успех»,- сказал он,- «Посмотри на их брюшки, они розовые, они пируют».</t>
  </si>
  <si>
    <t>«Вот</t>
  </si>
  <si>
    <t>успех»</t>
  </si>
  <si>
    <t>«Посмотри</t>
  </si>
  <si>
    <t>брюшки</t>
  </si>
  <si>
    <t>розовые</t>
  </si>
  <si>
    <t>пируют»</t>
  </si>
  <si>
    <t># text = Пируют?</t>
  </si>
  <si>
    <t>Пируют</t>
  </si>
  <si>
    <t># text = Я был совершенно сбит с толку.</t>
  </si>
  <si>
    <t>совершенно</t>
  </si>
  <si>
    <t>сбит</t>
  </si>
  <si>
    <t>толку</t>
  </si>
  <si>
    <t># text = Я спросил,- «Мигель, они пируют вашей рыбой?» «Да»,- ответил он.</t>
  </si>
  <si>
    <t>пируют</t>
  </si>
  <si>
    <t>вашей</t>
  </si>
  <si>
    <t>рыбой</t>
  </si>
  <si>
    <t>«Да»</t>
  </si>
  <si>
    <t># text = «Мы теряем из-за птиц 20% нашей рыбы и рыбьей икры.</t>
  </si>
  <si>
    <t>теряем</t>
  </si>
  <si>
    <t>из-за</t>
  </si>
  <si>
    <t>рыбьей</t>
  </si>
  <si>
    <t>икры</t>
  </si>
  <si>
    <t># text = Что ж, в прошлом году, на этой территории было 600 тысяч птиц, более 250 видов.</t>
  </si>
  <si>
    <t>прошлом</t>
  </si>
  <si>
    <t>году</t>
  </si>
  <si>
    <t>территории</t>
  </si>
  <si>
    <t>600</t>
  </si>
  <si>
    <t>тысяч</t>
  </si>
  <si>
    <t>более</t>
  </si>
  <si>
    <t>250</t>
  </si>
  <si>
    <t>видов</t>
  </si>
  <si>
    <t># text = На сегодняшний день это самый большой и один из самых важных во всей Европе частный птичий заповедник».</t>
  </si>
  <si>
    <t>сегодняшний</t>
  </si>
  <si>
    <t>самый</t>
  </si>
  <si>
    <t>самых</t>
  </si>
  <si>
    <t>важных</t>
  </si>
  <si>
    <t>всей</t>
  </si>
  <si>
    <t>Европе</t>
  </si>
  <si>
    <t>частный</t>
  </si>
  <si>
    <t>птичий</t>
  </si>
  <si>
    <t>заповедник»</t>
  </si>
  <si>
    <t># text = Я говорю,- «Мигель, по-моему, процветание птиц – это последние, чего желают на рыбных фермах?» Он покачал головой,- «Нет» Он говорит,-«Мы развиваемся экстенсивно, не интенсивно.</t>
  </si>
  <si>
    <t>по-моему</t>
  </si>
  <si>
    <t>процветание</t>
  </si>
  <si>
    <t>последние</t>
  </si>
  <si>
    <t>желают</t>
  </si>
  <si>
    <t>фермах</t>
  </si>
  <si>
    <t>покачал</t>
  </si>
  <si>
    <t>головой</t>
  </si>
  <si>
    <t>«Нет»</t>
  </si>
  <si>
    <t>развиваемся</t>
  </si>
  <si>
    <t>экстенсивно</t>
  </si>
  <si>
    <t>интенсивно</t>
  </si>
  <si>
    <t># text = Это экологическая сеть.</t>
  </si>
  <si>
    <t>экологическая</t>
  </si>
  <si>
    <t># text = Фламинго едят креветок.</t>
  </si>
  <si>
    <t>Фламинго</t>
  </si>
  <si>
    <t>едят</t>
  </si>
  <si>
    <t>креветок</t>
  </si>
  <si>
    <t># text = Креветки едят фитопланктон.</t>
  </si>
  <si>
    <t>Креветки</t>
  </si>
  <si>
    <t># text = Чем розовее брюшко, тем лучше система».</t>
  </si>
  <si>
    <t>Чем</t>
  </si>
  <si>
    <t>розовее</t>
  </si>
  <si>
    <t>брюшко</t>
  </si>
  <si>
    <t>система»</t>
  </si>
  <si>
    <t># text = Что ж, подведём итог.</t>
  </si>
  <si>
    <t>подведём</t>
  </si>
  <si>
    <t>итог</t>
  </si>
  <si>
    <t># text = Ферма, которая не кормит своих животных, ферма, которая измеряет свой успех здоровьем своих «хищников».</t>
  </si>
  <si>
    <t>измеряет</t>
  </si>
  <si>
    <t>здоровьем</t>
  </si>
  <si>
    <t>«хищников»</t>
  </si>
  <si>
    <t># text = Рыбная ферма, и в то же время птичий заповедник.</t>
  </si>
  <si>
    <t>Рыбная</t>
  </si>
  <si>
    <t>время</t>
  </si>
  <si>
    <t>заповедник</t>
  </si>
  <si>
    <t># text = Да, и кстати, во-первых те фламинго, их не должны быть здесь.</t>
  </si>
  <si>
    <t>Да</t>
  </si>
  <si>
    <t>кстати</t>
  </si>
  <si>
    <t>во-первых</t>
  </si>
  <si>
    <t>те</t>
  </si>
  <si>
    <t>должны</t>
  </si>
  <si>
    <t># text = Они высиживают яйца в 240 км от этого места, где состояние почвы лучше для устройства гнёзд.</t>
  </si>
  <si>
    <t>высиживают</t>
  </si>
  <si>
    <t>яйца</t>
  </si>
  <si>
    <t>240</t>
  </si>
  <si>
    <t>состояние</t>
  </si>
  <si>
    <t>почвы</t>
  </si>
  <si>
    <t>устройства</t>
  </si>
  <si>
    <t>гнёзд</t>
  </si>
  <si>
    <t># text = Каждое утро они пролетают 240 км к ферме и каждый вечер они пролетают 240 км назад.</t>
  </si>
  <si>
    <t>Каждое</t>
  </si>
  <si>
    <t>утро</t>
  </si>
  <si>
    <t>пролетают</t>
  </si>
  <si>
    <t>каждый</t>
  </si>
  <si>
    <t>вечер</t>
  </si>
  <si>
    <t>назад</t>
  </si>
  <si>
    <t># text = Они делают это, потому что могут перелететь сплошную линию магистрали А92.</t>
  </si>
  <si>
    <t>делают</t>
  </si>
  <si>
    <t>могут</t>
  </si>
  <si>
    <t>перелететь</t>
  </si>
  <si>
    <t>сплошную</t>
  </si>
  <si>
    <t>линию</t>
  </si>
  <si>
    <t>магистрали</t>
  </si>
  <si>
    <t>А92</t>
  </si>
  <si>
    <t># text = Серьёзно.</t>
  </si>
  <si>
    <t># text = Я воображал себе что-то типа марша пингвинов, поэтому я посмотрел на Мигеля спросил,- «Мигель, они действительно пролетают 240 км на ферму и 240 км обратно на ночлег?</t>
  </si>
  <si>
    <t>воображал</t>
  </si>
  <si>
    <t>себе</t>
  </si>
  <si>
    <t>типа</t>
  </si>
  <si>
    <t>марша</t>
  </si>
  <si>
    <t>пингвинов</t>
  </si>
  <si>
    <t>посмотрел</t>
  </si>
  <si>
    <t>Мигеля</t>
  </si>
  <si>
    <t>ферму</t>
  </si>
  <si>
    <t>обратно</t>
  </si>
  <si>
    <t>ночлег</t>
  </si>
  <si>
    <t># text = Они делают это для своего потомства?» Он посмотрел на меня, будто я только что процитировал песню Уитни Хьюстон.</t>
  </si>
  <si>
    <t>своего</t>
  </si>
  <si>
    <t>потомства</t>
  </si>
  <si>
    <t>процитировал</t>
  </si>
  <si>
    <t>песню</t>
  </si>
  <si>
    <t>Уитни</t>
  </si>
  <si>
    <t>Хьюстон</t>
  </si>
  <si>
    <t># text = И говорит,- «Нет, они прилетают, потому что здесь еда лучше» Я не упоминал кожу моей любимой рыбы, которая была восхитительна, хотя вообще я не люблю рыбью кожу.</t>
  </si>
  <si>
    <t>«Нет</t>
  </si>
  <si>
    <t>прилетают</t>
  </si>
  <si>
    <t>еда</t>
  </si>
  <si>
    <t>лучше»</t>
  </si>
  <si>
    <t>кожу</t>
  </si>
  <si>
    <t>моей</t>
  </si>
  <si>
    <t>любимой</t>
  </si>
  <si>
    <t>хотя</t>
  </si>
  <si>
    <t>вообще</t>
  </si>
  <si>
    <t>люблю</t>
  </si>
  <si>
    <t>рыбью</t>
  </si>
  <si>
    <t># text = Мне не нравится, как выглядит опалённая кожа, я не люблю, как кожа хрустит, на вкус очень горькая, как смола.</t>
  </si>
  <si>
    <t>Мне</t>
  </si>
  <si>
    <t>нравится</t>
  </si>
  <si>
    <t>выглядит</t>
  </si>
  <si>
    <t>опалённая</t>
  </si>
  <si>
    <t>хрустит</t>
  </si>
  <si>
    <t>горькая</t>
  </si>
  <si>
    <t>смола</t>
  </si>
  <si>
    <t># text = Я почти всегда готовлю без кожи.</t>
  </si>
  <si>
    <t>всегда</t>
  </si>
  <si>
    <t>готовлю</t>
  </si>
  <si>
    <t>без</t>
  </si>
  <si>
    <t>кожи</t>
  </si>
  <si>
    <t># text = Но когда я попробовал кожу рыбы в том ресторане на юге Испании, на вкус она была совершенно не похожа на рыбью кожу.</t>
  </si>
  <si>
    <t>когда</t>
  </si>
  <si>
    <t>попробовал</t>
  </si>
  <si>
    <t>похожа</t>
  </si>
  <si>
    <t># text = Она была сладкая и чистая, будто вы берёте в рот кусочек океана.</t>
  </si>
  <si>
    <t>сладкая</t>
  </si>
  <si>
    <t>чистая</t>
  </si>
  <si>
    <t>берёте</t>
  </si>
  <si>
    <t>рот</t>
  </si>
  <si>
    <t>кусочек</t>
  </si>
  <si>
    <t>океана</t>
  </si>
  <si>
    <t># text = Я сказал об этом Мигелю и он согласился.</t>
  </si>
  <si>
    <t>Мигелю</t>
  </si>
  <si>
    <t>согласился</t>
  </si>
  <si>
    <t># text = Он сказал,- «Кожа действует как губка.</t>
  </si>
  <si>
    <t>«Кожа</t>
  </si>
  <si>
    <t>действует</t>
  </si>
  <si>
    <t>губка</t>
  </si>
  <si>
    <t># text = Это последняя защита, прежде чем что-либо попадает в организм.</t>
  </si>
  <si>
    <t>последняя</t>
  </si>
  <si>
    <t>прежде</t>
  </si>
  <si>
    <t>что-либо</t>
  </si>
  <si>
    <t>попадает</t>
  </si>
  <si>
    <t>организм</t>
  </si>
  <si>
    <t># text = Она эволюционировала, чтобы впитывать загрязнения».</t>
  </si>
  <si>
    <t>эволюционировала</t>
  </si>
  <si>
    <t>впитывать</t>
  </si>
  <si>
    <t>загрязнения»</t>
  </si>
  <si>
    <t># text = А потом он добавил,- «Но в нашей воде нет загрязнений».</t>
  </si>
  <si>
    <t>«Но</t>
  </si>
  <si>
    <t>воде</t>
  </si>
  <si>
    <t>загрязнений»</t>
  </si>
  <si>
    <t># text = Хорошо, ферма, которая не кормит свою рыбу.</t>
  </si>
  <si>
    <t>Хорошо</t>
  </si>
  <si>
    <t># text = Ферма, которая измеряет свой успех успехом своих «хищников».</t>
  </si>
  <si>
    <t>успехом</t>
  </si>
  <si>
    <t># text = И тут я осознал, когда он сказал, что эта ферма не имеет загрязнений, что он что-то недоговаривает, потому что вода, которая течёт через ферму, приходит из реки Гвадалквивир.</t>
  </si>
  <si>
    <t>тут</t>
  </si>
  <si>
    <t>осознал</t>
  </si>
  <si>
    <t>имеет</t>
  </si>
  <si>
    <t>загрязнений</t>
  </si>
  <si>
    <t>недоговаривает</t>
  </si>
  <si>
    <t>вода</t>
  </si>
  <si>
    <t>течёт</t>
  </si>
  <si>
    <t>через</t>
  </si>
  <si>
    <t>приходит</t>
  </si>
  <si>
    <t># text = Эта река приносит всё то, из чего реки, как правило, состоят в наши дни - химические вещества, ядохимикаты.</t>
  </si>
  <si>
    <t>река</t>
  </si>
  <si>
    <t>приносит</t>
  </si>
  <si>
    <t>правило</t>
  </si>
  <si>
    <t>состоят</t>
  </si>
  <si>
    <t>наши</t>
  </si>
  <si>
    <t>дни</t>
  </si>
  <si>
    <t>химические</t>
  </si>
  <si>
    <t>вещества</t>
  </si>
  <si>
    <t>ядохимикаты</t>
  </si>
  <si>
    <t># text = Но когда вода проходит через всю систему и листья, она становится чище.</t>
  </si>
  <si>
    <t>проходит</t>
  </si>
  <si>
    <t>всю</t>
  </si>
  <si>
    <t>систему</t>
  </si>
  <si>
    <t>листья</t>
  </si>
  <si>
    <t>становится</t>
  </si>
  <si>
    <t>чище</t>
  </si>
  <si>
    <t># text = Эта система настолько здорова, что очищает воду.</t>
  </si>
  <si>
    <t>здорова</t>
  </si>
  <si>
    <t>очищает</t>
  </si>
  <si>
    <t># text = Так что, это не только ферма, которая не кормит своих животных, а так же измеряет свой успех здоровьем своих «хищников», но это ферма является, в буквальном смысле, установкой по очистке воды, и не только для рыб, но так же для вас и меня.</t>
  </si>
  <si>
    <t>является</t>
  </si>
  <si>
    <t>буквальном</t>
  </si>
  <si>
    <t>установкой</t>
  </si>
  <si>
    <t>очистке</t>
  </si>
  <si>
    <t>вас</t>
  </si>
  <si>
    <t># text = Потому что, когда вода уходит, она впадает в Атлантический океан.</t>
  </si>
  <si>
    <t>Потому</t>
  </si>
  <si>
    <t>уходит</t>
  </si>
  <si>
    <t>впадает</t>
  </si>
  <si>
    <t>Атлантический</t>
  </si>
  <si>
    <t>океан</t>
  </si>
  <si>
    <t># text = Капля в море, я знаю, но я буду поддерживать их, и вы должны, потому что это история любви, не только романтичная, но и поучительная.</t>
  </si>
  <si>
    <t>Капля</t>
  </si>
  <si>
    <t>море</t>
  </si>
  <si>
    <t>буду</t>
  </si>
  <si>
    <t>поддерживать</t>
  </si>
  <si>
    <t>романтичная</t>
  </si>
  <si>
    <t>поучительная</t>
  </si>
  <si>
    <t># text = Можно сказать, что это рецепт будущего хорошего питания, говорим ли мы об окуне или говядине.</t>
  </si>
  <si>
    <t>Можно</t>
  </si>
  <si>
    <t>рецепт</t>
  </si>
  <si>
    <t>хорошего</t>
  </si>
  <si>
    <t>питания</t>
  </si>
  <si>
    <t>говорим</t>
  </si>
  <si>
    <t>окуне</t>
  </si>
  <si>
    <t>говядине</t>
  </si>
  <si>
    <t># text = Что нам теперь нужно — это радикально новая концепция сельского хозяйства, в которой еда должна быть вкусной.</t>
  </si>
  <si>
    <t>нам</t>
  </si>
  <si>
    <t>теперь</t>
  </si>
  <si>
    <t>нужно</t>
  </si>
  <si>
    <t>радикально</t>
  </si>
  <si>
    <t>новая</t>
  </si>
  <si>
    <t>концепция</t>
  </si>
  <si>
    <t>сельского</t>
  </si>
  <si>
    <t>хозяйства</t>
  </si>
  <si>
    <t>которой</t>
  </si>
  <si>
    <t>должна</t>
  </si>
  <si>
    <t># text = (Аплодисменты) Но для многих людей это может быть слишком радикально.</t>
  </si>
  <si>
    <t>Аплодисменты</t>
  </si>
  <si>
    <t>многих</t>
  </si>
  <si>
    <t>людей</t>
  </si>
  <si>
    <t># text = Мы, гурманы, не реалисты.</t>
  </si>
  <si>
    <t>гурманы</t>
  </si>
  <si>
    <t>реалисты</t>
  </si>
  <si>
    <t># text = Мы влюблённые.</t>
  </si>
  <si>
    <t>влюблённые</t>
  </si>
  <si>
    <t># text = Мы любим фермерские рынки.</t>
  </si>
  <si>
    <t>любим</t>
  </si>
  <si>
    <t>фермерские</t>
  </si>
  <si>
    <t>рынки</t>
  </si>
  <si>
    <t># text = Мы любим маленькие семейные фермы.</t>
  </si>
  <si>
    <t>маленькие</t>
  </si>
  <si>
    <t>семейные</t>
  </si>
  <si>
    <t># text = Мы говорим о местной еде.</t>
  </si>
  <si>
    <t>местной</t>
  </si>
  <si>
    <t># text = Мы едим экологически чистые продукты.</t>
  </si>
  <si>
    <t>едим</t>
  </si>
  <si>
    <t>чистые</t>
  </si>
  <si>
    <t>продукты</t>
  </si>
  <si>
    <t># text = И когда вы решите, что это то, что может гарантировать в будущем хорошую еду, кто-то поднимется и скажет,- «Эй, парень, мне нравятся розовые фламинго, но как вы собираетесь кормить мир?» Как вы собираетесь кормить мир?» Могу я быть честным?</t>
  </si>
  <si>
    <t>решите</t>
  </si>
  <si>
    <t>гарантировать</t>
  </si>
  <si>
    <t>будущем</t>
  </si>
  <si>
    <t>хорошую</t>
  </si>
  <si>
    <t>еду</t>
  </si>
  <si>
    <t>кто-то</t>
  </si>
  <si>
    <t>поднимется</t>
  </si>
  <si>
    <t>скажет</t>
  </si>
  <si>
    <t>«Эй</t>
  </si>
  <si>
    <t>нравятся</t>
  </si>
  <si>
    <t>собираетесь</t>
  </si>
  <si>
    <t>кормить</t>
  </si>
  <si>
    <t>OBJ_7</t>
  </si>
  <si>
    <t>Могу</t>
  </si>
  <si>
    <t>честным</t>
  </si>
  <si>
    <t># text = Я не люблю этот вопрос.</t>
  </si>
  <si>
    <t>вопрос</t>
  </si>
  <si>
    <t># text = Нет, не потому, что мы уже производим достаточно калорий, чтобы накормить мир, даже более чем нужно.</t>
  </si>
  <si>
    <t>уже</t>
  </si>
  <si>
    <t>производим</t>
  </si>
  <si>
    <t>достаточно</t>
  </si>
  <si>
    <t>калорий</t>
  </si>
  <si>
    <t>накормить</t>
  </si>
  <si>
    <t>даже</t>
  </si>
  <si>
    <t># text = Но один миллиард людей остаётся голодным.</t>
  </si>
  <si>
    <t>миллиард</t>
  </si>
  <si>
    <t>остаётся</t>
  </si>
  <si>
    <t>голодным</t>
  </si>
  <si>
    <t># text = Один миллиард – это больше, чем когда-либо, по причине огромного неравенства в распределении, а не в общем количестве еды.</t>
  </si>
  <si>
    <t>Один</t>
  </si>
  <si>
    <t>когда-либо</t>
  </si>
  <si>
    <t>причине</t>
  </si>
  <si>
    <t>огромного</t>
  </si>
  <si>
    <t>неравенства</t>
  </si>
  <si>
    <t>распределении</t>
  </si>
  <si>
    <t>общем</t>
  </si>
  <si>
    <t>количестве</t>
  </si>
  <si>
    <t>еды</t>
  </si>
  <si>
    <t># text = Потом, я не люблю этот вопрос, потому что он определяется логикой нашей продовольственной системы в течение последних 50 лет.</t>
  </si>
  <si>
    <t>Потом</t>
  </si>
  <si>
    <t>определяется</t>
  </si>
  <si>
    <t>логикой</t>
  </si>
  <si>
    <t>продовольственной</t>
  </si>
  <si>
    <t>системы</t>
  </si>
  <si>
    <t>течение</t>
  </si>
  <si>
    <t>последних</t>
  </si>
  <si>
    <t># text = Кормовые зерна - травоядным животным, пестициды - монокультурам, химия - в почву, курица – рыбе, и всё это время фермеры просто спрашивают: «Если мы кормим всё больше людей, всё более дешёвыми продуктами, что же в этом плохого?» Это была мотивация.</t>
  </si>
  <si>
    <t>Кормовые</t>
  </si>
  <si>
    <t>зерна</t>
  </si>
  <si>
    <t>травоядным</t>
  </si>
  <si>
    <t>животным</t>
  </si>
  <si>
    <t>пестициды</t>
  </si>
  <si>
    <t>монокультурам</t>
  </si>
  <si>
    <t>химия</t>
  </si>
  <si>
    <t>почву</t>
  </si>
  <si>
    <t>фермеры</t>
  </si>
  <si>
    <t>просто</t>
  </si>
  <si>
    <t>спрашивают</t>
  </si>
  <si>
    <t>«Если</t>
  </si>
  <si>
    <t>кормим</t>
  </si>
  <si>
    <t>дешёвыми</t>
  </si>
  <si>
    <t>продуктами</t>
  </si>
  <si>
    <t>other_8</t>
  </si>
  <si>
    <t>плохого</t>
  </si>
  <si>
    <t>мотивация</t>
  </si>
  <si>
    <t># text = Это было оправдание.</t>
  </si>
  <si>
    <t>оправдание</t>
  </si>
  <si>
    <t># text = Это был бизнес-план американского сельского хозяйства.</t>
  </si>
  <si>
    <t>план</t>
  </si>
  <si>
    <t>американского</t>
  </si>
  <si>
    <t># text = Мы должны называть вещи своими именами, бизнес уничтожается, бизнес, который быстро разрушает тот самый экологический капитал, который делает само производство возможным.</t>
  </si>
  <si>
    <t>называть</t>
  </si>
  <si>
    <t>вещи</t>
  </si>
  <si>
    <t>своими</t>
  </si>
  <si>
    <t>именами</t>
  </si>
  <si>
    <t>уничтожается</t>
  </si>
  <si>
    <t>который</t>
  </si>
  <si>
    <t>быстро</t>
  </si>
  <si>
    <t>разрушает</t>
  </si>
  <si>
    <t>экологический</t>
  </si>
  <si>
    <t>капитал</t>
  </si>
  <si>
    <t>само</t>
  </si>
  <si>
    <t>производство</t>
  </si>
  <si>
    <t>возможным</t>
  </si>
  <si>
    <t># text = Это не бизнес и не сельское хозяйство.</t>
  </si>
  <si>
    <t>сельское</t>
  </si>
  <si>
    <t># text = Сегодня наша продуктовая корзина под угрозой не из-за сокращения поставок, а из-за сокращения объёмов ресурсов, не из-за комбайнов и тракторов, а из-за плодородности земли, не из-за водных насосов, а из-за пресной воды, не из-за бензопил, а из-за леса, не из-за рыболовецких судов и сетей, а из-за рыбы в море.</t>
  </si>
  <si>
    <t>Сегодня</t>
  </si>
  <si>
    <t>наша</t>
  </si>
  <si>
    <t>продуктовая</t>
  </si>
  <si>
    <t>корзина</t>
  </si>
  <si>
    <t>под</t>
  </si>
  <si>
    <t>угрозой</t>
  </si>
  <si>
    <t>сокращения</t>
  </si>
  <si>
    <t>поставок</t>
  </si>
  <si>
    <t>объёмов</t>
  </si>
  <si>
    <t>ресурсов</t>
  </si>
  <si>
    <t>комбайнов</t>
  </si>
  <si>
    <t>тракторов</t>
  </si>
  <si>
    <t>плодородности</t>
  </si>
  <si>
    <t>насосов</t>
  </si>
  <si>
    <t>пресной</t>
  </si>
  <si>
    <t>бензопил</t>
  </si>
  <si>
    <t>рыболовецких</t>
  </si>
  <si>
    <t>судов</t>
  </si>
  <si>
    <t>сетей</t>
  </si>
  <si>
    <t># text = Хотите накормить весь мир?</t>
  </si>
  <si>
    <t>Хотите</t>
  </si>
  <si>
    <t>весь</t>
  </si>
  <si>
    <t># text = Начнём с вопроса: как мы будем кормить себя?</t>
  </si>
  <si>
    <t>Начнём</t>
  </si>
  <si>
    <t>вопроса</t>
  </si>
  <si>
    <t>будем</t>
  </si>
  <si>
    <t># text = Или ещё лучше, как нам создать условия, которые позволят каждой общине прокормить себя.</t>
  </si>
  <si>
    <t>Или</t>
  </si>
  <si>
    <t>условия</t>
  </si>
  <si>
    <t>которые</t>
  </si>
  <si>
    <t>позволят</t>
  </si>
  <si>
    <t>каждой</t>
  </si>
  <si>
    <t>общине</t>
  </si>
  <si>
    <t>прокормить</t>
  </si>
  <si>
    <t># text = Чтобы сделать это, для будущего не смотрите на современную модель агробизнеса.</t>
  </si>
  <si>
    <t>Чтобы</t>
  </si>
  <si>
    <t>смотрите</t>
  </si>
  <si>
    <t>современную</t>
  </si>
  <si>
    <t>агробизнеса</t>
  </si>
  <si>
    <t># text = Это слишком старая модель, ей пора на покой.</t>
  </si>
  <si>
    <t>старая</t>
  </si>
  <si>
    <t>ей</t>
  </si>
  <si>
    <t>пора</t>
  </si>
  <si>
    <t>покой</t>
  </si>
  <si>
    <t># text = Эта модель требует большого капитала, химию, требует техническое оснащение, и, по сути, никогда не производит что-то пригодное для еды.</t>
  </si>
  <si>
    <t>требует</t>
  </si>
  <si>
    <t>большого</t>
  </si>
  <si>
    <t>капитала</t>
  </si>
  <si>
    <t>химию</t>
  </si>
  <si>
    <t>техническое</t>
  </si>
  <si>
    <t>оснащение</t>
  </si>
  <si>
    <t>сути</t>
  </si>
  <si>
    <t>производит</t>
  </si>
  <si>
    <t>пригодное</t>
  </si>
  <si>
    <t># text = Вместо этого давайте посмотрим на экологическую модель.</t>
  </si>
  <si>
    <t>давайте</t>
  </si>
  <si>
    <t>посмотрим</t>
  </si>
  <si>
    <t>экологическую</t>
  </si>
  <si>
    <t># text = Это единственная модель, которая опирается на двух миллиардный опыт работы.</t>
  </si>
  <si>
    <t>единственная</t>
  </si>
  <si>
    <t>опирается</t>
  </si>
  <si>
    <t>миллиардный</t>
  </si>
  <si>
    <t>опыт</t>
  </si>
  <si>
    <t>работы</t>
  </si>
  <si>
    <t># text = Посмотрите на Мигеля, фермеры как Мигель, фермы, которые не замкнуты на самих себе, фермы, которые восстанавливают, а не истощают, фермы, которые работают экстенсивно, а не интенсивно, фермеры, которые не только производители, но и эксперты во взаимосвязях, а также единственные эксперты в хорошей еде.</t>
  </si>
  <si>
    <t>Посмотрите</t>
  </si>
  <si>
    <t>замкнуты</t>
  </si>
  <si>
    <t>самих</t>
  </si>
  <si>
    <t>восстанавливают</t>
  </si>
  <si>
    <t>истощают</t>
  </si>
  <si>
    <t>работают</t>
  </si>
  <si>
    <t>производители</t>
  </si>
  <si>
    <t>эксперты</t>
  </si>
  <si>
    <t>взаимосвязях</t>
  </si>
  <si>
    <t>также</t>
  </si>
  <si>
    <t>единственные</t>
  </si>
  <si>
    <t>хорошей</t>
  </si>
  <si>
    <t># text = И если говорить на чистоту, они лучшие шеф-повара, чем я когда-либо буду.</t>
  </si>
  <si>
    <t>если</t>
  </si>
  <si>
    <t>чистоту</t>
  </si>
  <si>
    <t>лучшие</t>
  </si>
  <si>
    <t>-повара</t>
  </si>
  <si>
    <t># text = И знаете что, у меня нет с этим проблем, потому что, если это будущее хороших продуктов, то они будут восхитительны.</t>
  </si>
  <si>
    <t>проблем</t>
  </si>
  <si>
    <t>будущее</t>
  </si>
  <si>
    <t>хороших</t>
  </si>
  <si>
    <t>продуктов</t>
  </si>
  <si>
    <t>будут</t>
  </si>
  <si>
    <t>восхитительны</t>
  </si>
  <si>
    <t># text = Спасибо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</si>
</sst>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32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24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11</v>
      </c>
      <c r="B9" s="6" t="s">
        <v>28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24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10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16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16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28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10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68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24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72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16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20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24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68</v>
      </c>
      <c r="B22" s="6" t="s">
        <v>16</v>
      </c>
      <c r="C22" s="6" t="s">
        <v>92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20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28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32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32</v>
      </c>
      <c r="C27" s="6" t="s">
        <v>12</v>
      </c>
      <c r="D27" s="7" t="s">
        <v>44</v>
      </c>
      <c r="E27" s="8" t="s">
        <v>113</v>
      </c>
      <c r="F27" s="6" t="s">
        <v>114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115</v>
      </c>
      <c r="B28" s="6" t="s">
        <v>20</v>
      </c>
      <c r="C28" s="6" t="s">
        <v>12</v>
      </c>
      <c r="D28" s="7" t="s">
        <v>116</v>
      </c>
      <c r="E28" s="8" t="s">
        <v>117</v>
      </c>
      <c r="F28" s="6" t="s">
        <v>118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119</v>
      </c>
      <c r="B29" s="6" t="s">
        <v>10</v>
      </c>
      <c r="C29" s="6" t="s">
        <v>12</v>
      </c>
      <c r="D29" s="7" t="s">
        <v>120</v>
      </c>
      <c r="E29" s="8" t="s">
        <v>121</v>
      </c>
      <c r="F29" s="6" t="s">
        <v>122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123</v>
      </c>
      <c r="B30" s="6" t="s">
        <v>43</v>
      </c>
      <c r="C30" s="6" t="s">
        <v>12</v>
      </c>
      <c r="D30" s="7" t="s">
        <v>124</v>
      </c>
      <c r="E30" s="8" t="s">
        <v>125</v>
      </c>
      <c r="F30" s="6" t="s">
        <v>126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127</v>
      </c>
      <c r="B31" s="6" t="s">
        <v>24</v>
      </c>
      <c r="C31" s="6" t="s">
        <v>12</v>
      </c>
      <c r="D31" s="7" t="s">
        <v>128</v>
      </c>
      <c r="E31" s="8" t="s">
        <v>129</v>
      </c>
      <c r="F31" s="6" t="s">
        <v>130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131</v>
      </c>
      <c r="B32" s="6" t="s">
        <v>10</v>
      </c>
      <c r="C32" s="6" t="s">
        <v>12</v>
      </c>
      <c r="D32" s="7" t="s">
        <v>132</v>
      </c>
      <c r="E32" s="8" t="s">
        <v>133</v>
      </c>
      <c r="F32" s="6" t="s">
        <v>134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135</v>
      </c>
      <c r="B33" s="6" t="s">
        <v>10</v>
      </c>
      <c r="C33" s="6" t="s">
        <v>12</v>
      </c>
      <c r="D33" s="7" t="s">
        <v>136</v>
      </c>
      <c r="E33" s="8" t="s">
        <v>137</v>
      </c>
      <c r="F33" s="6" t="s">
        <v>138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139</v>
      </c>
      <c r="B34" s="6" t="s">
        <v>20</v>
      </c>
      <c r="C34" s="6" t="s">
        <v>12</v>
      </c>
      <c r="D34" s="7" t="s">
        <v>140</v>
      </c>
      <c r="E34" s="8" t="s">
        <v>141</v>
      </c>
      <c r="F34" s="6" t="s">
        <v>142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143</v>
      </c>
      <c r="B35" s="6" t="s">
        <v>10</v>
      </c>
      <c r="C35" s="6" t="s">
        <v>12</v>
      </c>
      <c r="D35" s="7" t="s">
        <v>144</v>
      </c>
      <c r="E35" s="8" t="s">
        <v>145</v>
      </c>
      <c r="F35" s="6" t="s">
        <v>146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147</v>
      </c>
      <c r="B36" s="6" t="s">
        <v>10</v>
      </c>
      <c r="C36" s="6" t="s">
        <v>12</v>
      </c>
      <c r="D36" s="7" t="s">
        <v>148</v>
      </c>
      <c r="E36" s="8" t="s">
        <v>149</v>
      </c>
      <c r="F36" s="6" t="s">
        <v>150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151</v>
      </c>
      <c r="B37" s="6" t="s">
        <v>28</v>
      </c>
      <c r="C37" s="6" t="s">
        <v>12</v>
      </c>
      <c r="D37" s="7" t="s">
        <v>152</v>
      </c>
      <c r="E37" s="8" t="s">
        <v>153</v>
      </c>
      <c r="F37" s="6" t="s">
        <v>154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155</v>
      </c>
      <c r="B38" s="6" t="s">
        <v>36</v>
      </c>
      <c r="C38" s="6" t="s">
        <v>12</v>
      </c>
      <c r="D38" s="7" t="s">
        <v>156</v>
      </c>
      <c r="E38" s="8" t="s">
        <v>157</v>
      </c>
      <c r="F38" s="6" t="s">
        <v>158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159</v>
      </c>
      <c r="B39" s="6" t="s">
        <v>51</v>
      </c>
      <c r="C39" s="6" t="s">
        <v>12</v>
      </c>
      <c r="D39" s="7" t="s">
        <v>44</v>
      </c>
      <c r="E39" s="8" t="s">
        <v>160</v>
      </c>
      <c r="F39" s="6" t="s">
        <v>161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162</v>
      </c>
      <c r="B40" s="6" t="s">
        <v>32</v>
      </c>
      <c r="C40" s="6" t="s">
        <v>12</v>
      </c>
      <c r="D40" s="7" t="s">
        <v>163</v>
      </c>
      <c r="E40" s="8" t="s">
        <v>164</v>
      </c>
      <c r="F40" s="6" t="s">
        <v>165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166</v>
      </c>
      <c r="B41" s="6" t="s">
        <v>32</v>
      </c>
      <c r="C41" s="6" t="s">
        <v>12</v>
      </c>
      <c r="D41" s="7" t="s">
        <v>167</v>
      </c>
      <c r="E41" s="8" t="s">
        <v>168</v>
      </c>
      <c r="F41" s="6" t="s">
        <v>169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170</v>
      </c>
      <c r="B42" s="6" t="s">
        <v>16</v>
      </c>
      <c r="C42" s="6" t="s">
        <v>12</v>
      </c>
      <c r="D42" s="7" t="s">
        <v>171</v>
      </c>
      <c r="E42" s="8" t="s">
        <v>172</v>
      </c>
      <c r="F42" s="6" t="s">
        <v>173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174</v>
      </c>
      <c r="B43" s="6" t="s">
        <v>28</v>
      </c>
      <c r="C43" s="6" t="s">
        <v>12</v>
      </c>
      <c r="D43" s="7" t="s">
        <v>175</v>
      </c>
      <c r="E43" s="8" t="s">
        <v>176</v>
      </c>
      <c r="F43" s="6" t="s">
        <v>177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178</v>
      </c>
      <c r="B44" s="6" t="s">
        <v>24</v>
      </c>
      <c r="C44" s="6" t="s">
        <v>12</v>
      </c>
      <c r="D44" s="7" t="s">
        <v>37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36</v>
      </c>
      <c r="C45" s="6" t="s">
        <v>182</v>
      </c>
      <c r="D45" s="7" t="s">
        <v>183</v>
      </c>
      <c r="E45" s="8" t="s">
        <v>184</v>
      </c>
      <c r="F45" s="6" t="s">
        <v>185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186</v>
      </c>
      <c r="B46" s="6" t="s">
        <v>10</v>
      </c>
      <c r="C46" s="6" t="s">
        <v>12</v>
      </c>
      <c r="D46" s="7" t="s">
        <v>187</v>
      </c>
      <c r="E46" s="8" t="s">
        <v>188</v>
      </c>
      <c r="F46" s="6" t="s">
        <v>189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190</v>
      </c>
      <c r="B47" s="6" t="s">
        <v>10</v>
      </c>
      <c r="C47" s="6" t="s">
        <v>12</v>
      </c>
      <c r="D47" s="7" t="s">
        <v>120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28</v>
      </c>
      <c r="C48" s="6" t="s">
        <v>12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197</v>
      </c>
      <c r="B49" s="6" t="s">
        <v>16</v>
      </c>
      <c r="C49" s="6" t="s">
        <v>12</v>
      </c>
      <c r="D49" s="7" t="s">
        <v>198</v>
      </c>
      <c r="E49" s="8" t="s">
        <v>199</v>
      </c>
      <c r="F49" s="6" t="s">
        <v>200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201</v>
      </c>
      <c r="B50" s="6" t="s">
        <v>72</v>
      </c>
      <c r="C50" s="6" t="s">
        <v>12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205</v>
      </c>
      <c r="B51" s="6" t="s">
        <v>10</v>
      </c>
      <c r="C51" s="6" t="s">
        <v>12</v>
      </c>
      <c r="D51" s="7" t="s">
        <v>206</v>
      </c>
      <c r="E51" s="8" t="s">
        <v>207</v>
      </c>
      <c r="F51" s="6" t="s">
        <v>208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209</v>
      </c>
      <c r="B52" s="6" t="s">
        <v>16</v>
      </c>
      <c r="C52" s="6" t="s">
        <v>12</v>
      </c>
      <c r="D52" s="7" t="s">
        <v>198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28</v>
      </c>
      <c r="C53" s="6" t="s">
        <v>12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216</v>
      </c>
      <c r="B54" s="6" t="s">
        <v>24</v>
      </c>
      <c r="C54" s="6" t="s">
        <v>217</v>
      </c>
      <c r="D54" s="7" t="s">
        <v>218</v>
      </c>
      <c r="E54" s="8" t="s">
        <v>219</v>
      </c>
      <c r="F54" s="6" t="s">
        <v>220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221</v>
      </c>
      <c r="B55" s="6" t="s">
        <v>20</v>
      </c>
      <c r="C55" s="6" t="s">
        <v>12</v>
      </c>
      <c r="D55" s="7" t="s">
        <v>222</v>
      </c>
      <c r="E55" s="8" t="s">
        <v>223</v>
      </c>
      <c r="F55" s="6" t="s">
        <v>224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225</v>
      </c>
      <c r="B56" s="6" t="s">
        <v>36</v>
      </c>
      <c r="C56" s="6" t="s">
        <v>217</v>
      </c>
      <c r="D56" s="7" t="s">
        <v>213</v>
      </c>
      <c r="E56" s="8" t="s">
        <v>226</v>
      </c>
      <c r="F56" s="6" t="s">
        <v>227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228</v>
      </c>
      <c r="B57" s="6" t="s">
        <v>32</v>
      </c>
      <c r="C57" s="6" t="s">
        <v>12</v>
      </c>
      <c r="D57" s="7" t="s">
        <v>229</v>
      </c>
      <c r="E57" s="8" t="s">
        <v>230</v>
      </c>
      <c r="F57" s="6" t="s">
        <v>231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232</v>
      </c>
      <c r="B58" s="6" t="s">
        <v>10</v>
      </c>
      <c r="C58" s="6" t="s">
        <v>12</v>
      </c>
      <c r="D58" s="7" t="s">
        <v>233</v>
      </c>
      <c r="E58" s="8" t="s">
        <v>234</v>
      </c>
      <c r="F58" s="6" t="s">
        <v>235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236</v>
      </c>
      <c r="B59" s="6" t="s">
        <v>16</v>
      </c>
      <c r="C59" s="6" t="s">
        <v>12</v>
      </c>
      <c r="D59" s="7" t="s">
        <v>237</v>
      </c>
      <c r="E59" s="8" t="s">
        <v>238</v>
      </c>
      <c r="F59" s="6" t="s">
        <v>239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240</v>
      </c>
      <c r="B60" s="6" t="s">
        <v>24</v>
      </c>
      <c r="C60" s="6" t="s">
        <v>12</v>
      </c>
      <c r="D60" s="7" t="s">
        <v>241</v>
      </c>
      <c r="E60" s="8" t="s">
        <v>242</v>
      </c>
      <c r="F60" s="6" t="s">
        <v>243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244</v>
      </c>
      <c r="B61" s="6" t="s">
        <v>16</v>
      </c>
      <c r="C61" s="6" t="s">
        <v>12</v>
      </c>
      <c r="D61" s="7" t="s">
        <v>29</v>
      </c>
      <c r="E61" s="8" t="s">
        <v>245</v>
      </c>
      <c r="F61" s="6" t="s">
        <v>246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247</v>
      </c>
      <c r="B62" s="6" t="s">
        <v>16</v>
      </c>
      <c r="C62" s="6" t="s">
        <v>12</v>
      </c>
      <c r="D62" s="7" t="s">
        <v>248</v>
      </c>
      <c r="E62" s="8" t="s">
        <v>249</v>
      </c>
      <c r="F62" s="6" t="s">
        <v>250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251</v>
      </c>
      <c r="B63" s="6" t="s">
        <v>16</v>
      </c>
      <c r="C63" s="6" t="s">
        <v>12</v>
      </c>
      <c r="D63" s="7" t="s">
        <v>252</v>
      </c>
      <c r="E63" s="8" t="s">
        <v>253</v>
      </c>
      <c r="F63" s="6" t="s">
        <v>254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255</v>
      </c>
      <c r="B64" s="6" t="s">
        <v>10</v>
      </c>
      <c r="C64" s="6" t="s">
        <v>12</v>
      </c>
      <c r="D64" s="7" t="s">
        <v>256</v>
      </c>
      <c r="E64" s="8" t="s">
        <v>257</v>
      </c>
      <c r="F64" s="6" t="s">
        <v>258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259</v>
      </c>
      <c r="B65" s="6" t="s">
        <v>16</v>
      </c>
      <c r="C65" s="6" t="s">
        <v>260</v>
      </c>
      <c r="D65" s="7" t="s">
        <v>37</v>
      </c>
      <c r="E65" s="8" t="s">
        <v>261</v>
      </c>
      <c r="F65" s="6" t="s">
        <v>262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263</v>
      </c>
      <c r="B66" s="6" t="s">
        <v>20</v>
      </c>
      <c r="C66" s="6" t="s">
        <v>12</v>
      </c>
      <c r="D66" s="7" t="s">
        <v>37</v>
      </c>
      <c r="E66" s="8" t="s">
        <v>264</v>
      </c>
      <c r="F66" s="6" t="s">
        <v>265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266</v>
      </c>
      <c r="B67" s="6" t="s">
        <v>20</v>
      </c>
      <c r="C67" s="6" t="s">
        <v>12</v>
      </c>
      <c r="D67" s="7" t="s">
        <v>267</v>
      </c>
      <c r="E67" s="8" t="s">
        <v>268</v>
      </c>
      <c r="F67" s="6" t="s">
        <v>269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270</v>
      </c>
      <c r="B68" s="6" t="s">
        <v>11</v>
      </c>
      <c r="C68" s="6" t="s">
        <v>12</v>
      </c>
      <c r="D68" s="7" t="s">
        <v>267</v>
      </c>
      <c r="E68" s="8" t="s">
        <v>271</v>
      </c>
      <c r="F68" s="6" t="s">
        <v>272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273</v>
      </c>
      <c r="B69" s="6" t="s">
        <v>28</v>
      </c>
      <c r="C69" s="6" t="s">
        <v>12</v>
      </c>
      <c r="D69" s="7" t="s">
        <v>274</v>
      </c>
      <c r="E69" s="8" t="s">
        <v>275</v>
      </c>
      <c r="F69" s="6" t="s">
        <v>276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277</v>
      </c>
      <c r="B70" s="6" t="s">
        <v>32</v>
      </c>
      <c r="C70" s="6" t="s">
        <v>12</v>
      </c>
      <c r="D70" s="7" t="s">
        <v>278</v>
      </c>
      <c r="E70" s="8" t="s">
        <v>279</v>
      </c>
      <c r="F70" s="6" t="s">
        <v>280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281</v>
      </c>
      <c r="B71" s="6" t="s">
        <v>28</v>
      </c>
      <c r="C71" s="6" t="s">
        <v>12</v>
      </c>
      <c r="D71" s="7" t="s">
        <v>282</v>
      </c>
      <c r="E71" s="8" t="s">
        <v>283</v>
      </c>
      <c r="F71" s="6" t="s">
        <v>284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285</v>
      </c>
      <c r="B72" s="6" t="s">
        <v>20</v>
      </c>
      <c r="C72" s="6" t="s">
        <v>12</v>
      </c>
      <c r="D72" s="7" t="s">
        <v>286</v>
      </c>
      <c r="E72" s="8" t="s">
        <v>287</v>
      </c>
      <c r="F72" s="6" t="s">
        <v>288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289</v>
      </c>
      <c r="B73" s="6" t="s">
        <v>10</v>
      </c>
      <c r="C73" s="6" t="s">
        <v>12</v>
      </c>
      <c r="D73" s="7" t="s">
        <v>290</v>
      </c>
      <c r="E73" s="8" t="s">
        <v>291</v>
      </c>
      <c r="F73" s="6" t="s">
        <v>292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293</v>
      </c>
      <c r="B74" s="6" t="s">
        <v>28</v>
      </c>
      <c r="C74" s="6" t="s">
        <v>12</v>
      </c>
      <c r="D74" s="7" t="s">
        <v>294</v>
      </c>
      <c r="E74" s="8" t="s">
        <v>295</v>
      </c>
      <c r="F74" s="6" t="s">
        <v>296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297</v>
      </c>
      <c r="B75" s="6" t="s">
        <v>16</v>
      </c>
      <c r="C75" s="6" t="s">
        <v>12</v>
      </c>
      <c r="D75" s="7" t="s">
        <v>298</v>
      </c>
      <c r="E75" s="8" t="s">
        <v>299</v>
      </c>
      <c r="F75" s="6" t="s">
        <v>300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301</v>
      </c>
      <c r="B76" s="6" t="s">
        <v>16</v>
      </c>
      <c r="C76" s="6" t="s">
        <v>12</v>
      </c>
      <c r="D76" s="7" t="s">
        <v>302</v>
      </c>
      <c r="E76" s="8" t="s">
        <v>303</v>
      </c>
      <c r="F76" s="6" t="s">
        <v>304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305</v>
      </c>
      <c r="B77" s="6" t="s">
        <v>16</v>
      </c>
      <c r="C77" s="6" t="s">
        <v>12</v>
      </c>
      <c r="D77" s="7" t="s">
        <v>306</v>
      </c>
      <c r="E77" s="8" t="s">
        <v>307</v>
      </c>
      <c r="F77" s="6" t="s">
        <v>308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309</v>
      </c>
      <c r="B78" s="6" t="s">
        <v>32</v>
      </c>
      <c r="C78" s="6" t="s">
        <v>12</v>
      </c>
      <c r="D78" s="7" t="s">
        <v>310</v>
      </c>
      <c r="E78" s="8" t="s">
        <v>311</v>
      </c>
      <c r="F78" s="6" t="s">
        <v>312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313</v>
      </c>
      <c r="B79" s="6" t="s">
        <v>20</v>
      </c>
      <c r="C79" s="6" t="s">
        <v>12</v>
      </c>
      <c r="D79" s="7" t="s">
        <v>314</v>
      </c>
      <c r="E79" s="8" t="s">
        <v>315</v>
      </c>
      <c r="F79" s="6" t="s">
        <v>316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317</v>
      </c>
      <c r="B80" s="6" t="s">
        <v>59</v>
      </c>
      <c r="C80" s="6" t="s">
        <v>12</v>
      </c>
      <c r="D80" s="7" t="s">
        <v>318</v>
      </c>
      <c r="E80" s="8" t="s">
        <v>319</v>
      </c>
      <c r="F80" s="6" t="s">
        <v>320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321</v>
      </c>
      <c r="B81" s="6" t="s">
        <v>20</v>
      </c>
      <c r="C81" s="6" t="s">
        <v>12</v>
      </c>
      <c r="D81" s="7" t="s">
        <v>322</v>
      </c>
      <c r="E81" s="8" t="s">
        <v>323</v>
      </c>
      <c r="F81" s="6" t="s">
        <v>324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325</v>
      </c>
      <c r="B82" s="6" t="s">
        <v>16</v>
      </c>
      <c r="C82" s="6" t="s">
        <v>12</v>
      </c>
      <c r="D82" s="7" t="s">
        <v>326</v>
      </c>
      <c r="E82" s="8" t="s">
        <v>327</v>
      </c>
      <c r="F82" s="6" t="s">
        <v>328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329</v>
      </c>
      <c r="B83" s="6" t="s">
        <v>16</v>
      </c>
      <c r="C83" s="6" t="s">
        <v>12</v>
      </c>
      <c r="D83" s="7" t="s">
        <v>330</v>
      </c>
      <c r="E83" s="8" t="s">
        <v>331</v>
      </c>
      <c r="F83" s="6" t="s">
        <v>332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333</v>
      </c>
      <c r="B84" s="6" t="s">
        <v>32</v>
      </c>
      <c r="C84" s="6" t="s">
        <v>12</v>
      </c>
      <c r="D84" s="7" t="s">
        <v>334</v>
      </c>
      <c r="E84" s="8" t="s">
        <v>335</v>
      </c>
      <c r="F84" s="6" t="s">
        <v>336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337</v>
      </c>
      <c r="B85" s="6" t="s">
        <v>16</v>
      </c>
      <c r="C85" s="6" t="s">
        <v>12</v>
      </c>
      <c r="D85" s="7" t="s">
        <v>338</v>
      </c>
      <c r="E85" s="8" t="s">
        <v>339</v>
      </c>
      <c r="F85" s="6" t="s">
        <v>340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341</v>
      </c>
      <c r="B86" s="6" t="s">
        <v>16</v>
      </c>
      <c r="C86" s="6" t="s">
        <v>12</v>
      </c>
      <c r="D86" s="7" t="s">
        <v>342</v>
      </c>
      <c r="E86" s="8" t="s">
        <v>343</v>
      </c>
      <c r="F86" s="6" t="s">
        <v>344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345</v>
      </c>
      <c r="B87" s="6" t="s">
        <v>16</v>
      </c>
      <c r="C87" s="6" t="s">
        <v>12</v>
      </c>
      <c r="D87" s="7" t="s">
        <v>346</v>
      </c>
      <c r="E87" s="8" t="s">
        <v>347</v>
      </c>
      <c r="F87" s="6" t="s">
        <v>348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349</v>
      </c>
      <c r="B88" s="6" t="s">
        <v>20</v>
      </c>
      <c r="C88" s="6" t="s">
        <v>12</v>
      </c>
      <c r="D88" s="7" t="s">
        <v>350</v>
      </c>
      <c r="E88" s="8" t="s">
        <v>351</v>
      </c>
      <c r="F88" s="6" t="s">
        <v>352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353</v>
      </c>
      <c r="B89" s="6" t="s">
        <v>16</v>
      </c>
      <c r="C89" s="6" t="s">
        <v>12</v>
      </c>
      <c r="D89" s="7" t="s">
        <v>354</v>
      </c>
      <c r="E89" s="8" t="s">
        <v>355</v>
      </c>
      <c r="F89" s="6" t="s">
        <v>356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357</v>
      </c>
      <c r="B90" s="6" t="s">
        <v>20</v>
      </c>
      <c r="C90" s="6" t="s">
        <v>12</v>
      </c>
      <c r="D90" s="7" t="s">
        <v>358</v>
      </c>
      <c r="E90" s="8" t="s">
        <v>359</v>
      </c>
      <c r="F90" s="6" t="s">
        <v>360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361</v>
      </c>
      <c r="B91" s="6" t="s">
        <v>20</v>
      </c>
      <c r="C91" s="6" t="s">
        <v>12</v>
      </c>
      <c r="D91" s="7" t="s">
        <v>362</v>
      </c>
      <c r="E91" s="8" t="s">
        <v>363</v>
      </c>
      <c r="F91" s="6" t="s">
        <v>364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365</v>
      </c>
      <c r="B92" s="6" t="s">
        <v>10</v>
      </c>
      <c r="C92" s="6" t="s">
        <v>12</v>
      </c>
      <c r="D92" s="7" t="s">
        <v>366</v>
      </c>
      <c r="E92" s="8" t="s">
        <v>367</v>
      </c>
      <c r="F92" s="6" t="s">
        <v>368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369</v>
      </c>
      <c r="B93" s="6" t="s">
        <v>16</v>
      </c>
      <c r="C93" s="6" t="s">
        <v>12</v>
      </c>
      <c r="D93" s="7" t="s">
        <v>370</v>
      </c>
      <c r="E93" s="8" t="s">
        <v>371</v>
      </c>
      <c r="F93" s="6" t="s">
        <v>372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373</v>
      </c>
      <c r="B94" s="6" t="s">
        <v>55</v>
      </c>
      <c r="C94" s="6" t="s">
        <v>12</v>
      </c>
      <c r="D94" s="7" t="s">
        <v>374</v>
      </c>
      <c r="E94" s="8" t="s">
        <v>375</v>
      </c>
      <c r="F94" s="6" t="s">
        <v>376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377</v>
      </c>
      <c r="B95" s="6" t="s">
        <v>24</v>
      </c>
      <c r="C95" s="6" t="s">
        <v>12</v>
      </c>
      <c r="D95" s="7" t="s">
        <v>378</v>
      </c>
      <c r="E95" s="8" t="s">
        <v>379</v>
      </c>
      <c r="F95" s="6" t="s">
        <v>380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381</v>
      </c>
      <c r="B96" s="6" t="s">
        <v>16</v>
      </c>
      <c r="C96" s="6" t="s">
        <v>12</v>
      </c>
      <c r="D96" s="7" t="s">
        <v>198</v>
      </c>
      <c r="E96" s="8" t="s">
        <v>382</v>
      </c>
      <c r="F96" s="6" t="s">
        <v>383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384</v>
      </c>
      <c r="B97" s="6" t="s">
        <v>16</v>
      </c>
      <c r="C97" s="6" t="s">
        <v>12</v>
      </c>
      <c r="D97" s="7" t="s">
        <v>198</v>
      </c>
      <c r="E97" s="8" t="s">
        <v>385</v>
      </c>
      <c r="F97" s="6" t="s">
        <v>386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387</v>
      </c>
      <c r="B98" s="6" t="s">
        <v>20</v>
      </c>
      <c r="C98" s="6" t="s">
        <v>12</v>
      </c>
      <c r="D98" s="7" t="s">
        <v>13</v>
      </c>
      <c r="E98" s="8" t="s">
        <v>388</v>
      </c>
      <c r="F98" s="6" t="s">
        <v>389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390</v>
      </c>
      <c r="B99" s="6" t="s">
        <v>16</v>
      </c>
      <c r="C99" s="6" t="s">
        <v>12</v>
      </c>
      <c r="D99" s="7" t="s">
        <v>391</v>
      </c>
      <c r="E99" s="8" t="s">
        <v>392</v>
      </c>
      <c r="F99" s="6" t="s">
        <v>393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394</v>
      </c>
      <c r="B100" s="6" t="s">
        <v>16</v>
      </c>
      <c r="C100" s="6" t="s">
        <v>12</v>
      </c>
      <c r="D100" s="7" t="s">
        <v>395</v>
      </c>
      <c r="E100" s="8" t="s">
        <v>396</v>
      </c>
      <c r="F100" s="6" t="s">
        <v>397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398</v>
      </c>
      <c r="B101" s="6" t="s">
        <v>16</v>
      </c>
      <c r="C101" s="6" t="s">
        <v>12</v>
      </c>
      <c r="D101" s="7" t="s">
        <v>399</v>
      </c>
      <c r="E101" s="8" t="s">
        <v>400</v>
      </c>
      <c r="F101" s="6" t="s">
        <v>401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402</v>
      </c>
      <c r="B102" s="6" t="s">
        <v>16</v>
      </c>
      <c r="C102" s="6" t="s">
        <v>12</v>
      </c>
      <c r="D102" s="7" t="s">
        <v>403</v>
      </c>
      <c r="E102" s="8" t="s">
        <v>404</v>
      </c>
      <c r="F102" s="6" t="s">
        <v>405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406</v>
      </c>
      <c r="B103" s="6" t="s">
        <v>20</v>
      </c>
      <c r="C103" s="6" t="s">
        <v>12</v>
      </c>
      <c r="D103" s="7" t="s">
        <v>407</v>
      </c>
      <c r="E103" s="8" t="s">
        <v>408</v>
      </c>
      <c r="F103" s="6" t="s">
        <v>409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410</v>
      </c>
      <c r="B104" s="6" t="s">
        <v>16</v>
      </c>
      <c r="C104" s="6" t="s">
        <v>12</v>
      </c>
      <c r="D104" s="7" t="s">
        <v>13</v>
      </c>
      <c r="E104" s="8" t="s">
        <v>411</v>
      </c>
      <c r="F104" s="6" t="s">
        <v>412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413</v>
      </c>
      <c r="B105" s="6" t="s">
        <v>16</v>
      </c>
      <c r="C105" s="6" t="s">
        <v>12</v>
      </c>
      <c r="D105" s="7" t="s">
        <v>132</v>
      </c>
      <c r="E105" s="8" t="s">
        <v>414</v>
      </c>
      <c r="F105" s="6" t="s">
        <v>415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416</v>
      </c>
      <c r="B106" s="6" t="s">
        <v>16</v>
      </c>
      <c r="C106" s="6" t="s">
        <v>12</v>
      </c>
      <c r="D106" s="7" t="s">
        <v>417</v>
      </c>
      <c r="E106" s="8" t="s">
        <v>418</v>
      </c>
      <c r="F106" s="6" t="s">
        <v>419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420</v>
      </c>
      <c r="B107" s="6" t="s">
        <v>20</v>
      </c>
      <c r="C107" s="6" t="s">
        <v>12</v>
      </c>
      <c r="D107" s="7" t="s">
        <v>399</v>
      </c>
      <c r="E107" s="8" t="s">
        <v>421</v>
      </c>
      <c r="F107" s="6" t="s">
        <v>422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423</v>
      </c>
      <c r="B108" s="6" t="s">
        <v>10</v>
      </c>
      <c r="C108" s="6" t="s">
        <v>12</v>
      </c>
      <c r="D108" s="7" t="s">
        <v>424</v>
      </c>
      <c r="E108" s="8" t="s">
        <v>425</v>
      </c>
      <c r="F108" s="6" t="s">
        <v>426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427</v>
      </c>
      <c r="B109" s="6" t="s">
        <v>36</v>
      </c>
      <c r="C109" s="6" t="s">
        <v>12</v>
      </c>
      <c r="D109" s="7" t="s">
        <v>428</v>
      </c>
      <c r="E109" s="8" t="s">
        <v>429</v>
      </c>
      <c r="F109" s="6" t="s">
        <v>430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431</v>
      </c>
      <c r="B110" s="6" t="s">
        <v>16</v>
      </c>
      <c r="C110" s="6" t="s">
        <v>12</v>
      </c>
      <c r="D110" s="7" t="s">
        <v>432</v>
      </c>
      <c r="E110" s="8" t="s">
        <v>433</v>
      </c>
      <c r="F110" s="6" t="s">
        <v>434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435</v>
      </c>
      <c r="B111" s="6" t="s">
        <v>10</v>
      </c>
      <c r="C111" s="6" t="s">
        <v>12</v>
      </c>
      <c r="D111" s="7" t="s">
        <v>436</v>
      </c>
      <c r="E111" s="8" t="s">
        <v>437</v>
      </c>
      <c r="F111" s="6" t="s">
        <v>438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439</v>
      </c>
      <c r="B112" s="6" t="s">
        <v>10</v>
      </c>
      <c r="C112" s="6" t="s">
        <v>12</v>
      </c>
      <c r="D112" s="7" t="s">
        <v>440</v>
      </c>
      <c r="E112" s="8" t="s">
        <v>441</v>
      </c>
      <c r="F112" s="6" t="s">
        <v>442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443</v>
      </c>
      <c r="B113" s="6" t="s">
        <v>24</v>
      </c>
      <c r="C113" s="6" t="s">
        <v>12</v>
      </c>
      <c r="D113" s="7" t="s">
        <v>444</v>
      </c>
      <c r="E113" s="8" t="s">
        <v>445</v>
      </c>
      <c r="F113" s="6" t="s">
        <v>446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447</v>
      </c>
      <c r="B114" s="6" t="s">
        <v>72</v>
      </c>
      <c r="C114" s="6" t="s">
        <v>12</v>
      </c>
      <c r="D114" s="7" t="s">
        <v>448</v>
      </c>
      <c r="E114" s="8" t="s">
        <v>449</v>
      </c>
      <c r="F114" s="6" t="s">
        <v>450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451</v>
      </c>
      <c r="B115" s="6" t="s">
        <v>16</v>
      </c>
      <c r="C115" s="6" t="s">
        <v>12</v>
      </c>
      <c r="D115" s="7" t="s">
        <v>403</v>
      </c>
      <c r="E115" s="8" t="s">
        <v>452</v>
      </c>
      <c r="F115" s="6" t="s">
        <v>453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454</v>
      </c>
      <c r="B116" s="6" t="s">
        <v>51</v>
      </c>
      <c r="C116" s="6" t="s">
        <v>12</v>
      </c>
      <c r="D116" s="7" t="s">
        <v>21</v>
      </c>
      <c r="E116" s="8" t="s">
        <v>455</v>
      </c>
      <c r="F116" s="6" t="s">
        <v>456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457</v>
      </c>
      <c r="B117" s="6" t="s">
        <v>32</v>
      </c>
      <c r="C117" s="6" t="s">
        <v>12</v>
      </c>
      <c r="D117" s="7" t="s">
        <v>458</v>
      </c>
      <c r="E117" s="8" t="s">
        <v>459</v>
      </c>
      <c r="F117" s="6" t="s">
        <v>460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461</v>
      </c>
      <c r="B118" s="6" t="s">
        <v>16</v>
      </c>
      <c r="C118" s="6" t="s">
        <v>12</v>
      </c>
      <c r="D118" s="7" t="s">
        <v>462</v>
      </c>
      <c r="E118" s="8" t="s">
        <v>463</v>
      </c>
      <c r="F118" s="6" t="s">
        <v>464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465</v>
      </c>
      <c r="B119" s="6" t="s">
        <v>20</v>
      </c>
      <c r="C119" s="6" t="s">
        <v>12</v>
      </c>
      <c r="D119" s="7" t="s">
        <v>466</v>
      </c>
      <c r="E119" s="8" t="s">
        <v>467</v>
      </c>
      <c r="F119" s="6" t="s">
        <v>468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469</v>
      </c>
      <c r="B120" s="6" t="s">
        <v>16</v>
      </c>
      <c r="C120" s="6" t="s">
        <v>12</v>
      </c>
      <c r="D120" s="7" t="s">
        <v>237</v>
      </c>
      <c r="E120" s="8" t="s">
        <v>470</v>
      </c>
      <c r="F120" s="6" t="s">
        <v>471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472</v>
      </c>
      <c r="B121" s="6" t="s">
        <v>16</v>
      </c>
      <c r="C121" s="6" t="s">
        <v>12</v>
      </c>
      <c r="D121" s="7" t="s">
        <v>237</v>
      </c>
      <c r="E121" s="8" t="s">
        <v>473</v>
      </c>
      <c r="F121" s="6" t="s">
        <v>474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475</v>
      </c>
      <c r="B122" s="6" t="s">
        <v>16</v>
      </c>
      <c r="C122" s="6" t="s">
        <v>12</v>
      </c>
      <c r="D122" s="7" t="s">
        <v>476</v>
      </c>
      <c r="E122" s="8" t="s">
        <v>477</v>
      </c>
      <c r="F122" s="6" t="s">
        <v>478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479</v>
      </c>
      <c r="B123" s="6" t="s">
        <v>24</v>
      </c>
      <c r="C123" s="6" t="s">
        <v>12</v>
      </c>
      <c r="D123" s="7" t="s">
        <v>480</v>
      </c>
      <c r="E123" s="8" t="s">
        <v>481</v>
      </c>
      <c r="F123" s="6" t="s">
        <v>482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483</v>
      </c>
      <c r="B124" s="6" t="s">
        <v>10</v>
      </c>
      <c r="C124" s="6" t="s">
        <v>12</v>
      </c>
      <c r="D124" s="7" t="s">
        <v>484</v>
      </c>
      <c r="E124" s="8" t="s">
        <v>485</v>
      </c>
      <c r="F124" s="6" t="s">
        <v>486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487</v>
      </c>
      <c r="B125" s="6" t="s">
        <v>16</v>
      </c>
      <c r="C125" s="6" t="s">
        <v>12</v>
      </c>
      <c r="D125" s="7" t="s">
        <v>286</v>
      </c>
      <c r="E125" s="8" t="s">
        <v>488</v>
      </c>
      <c r="F125" s="6" t="s">
        <v>489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490</v>
      </c>
      <c r="B126" s="6" t="s">
        <v>55</v>
      </c>
      <c r="C126" s="6" t="s">
        <v>12</v>
      </c>
      <c r="D126" s="7" t="s">
        <v>491</v>
      </c>
      <c r="E126" s="8" t="s">
        <v>492</v>
      </c>
      <c r="F126" s="6" t="s">
        <v>493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494</v>
      </c>
      <c r="B127" s="6" t="s">
        <v>16</v>
      </c>
      <c r="C127" s="6" t="s">
        <v>12</v>
      </c>
      <c r="D127" s="7" t="s">
        <v>495</v>
      </c>
      <c r="E127" s="8" t="s">
        <v>496</v>
      </c>
      <c r="F127" s="6" t="s">
        <v>497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498</v>
      </c>
      <c r="B128" s="6" t="s">
        <v>24</v>
      </c>
      <c r="C128" s="6" t="s">
        <v>12</v>
      </c>
      <c r="D128" s="7" t="s">
        <v>499</v>
      </c>
      <c r="E128" s="8" t="s">
        <v>500</v>
      </c>
      <c r="F128" s="6" t="s">
        <v>501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502</v>
      </c>
      <c r="B129" s="6" t="s">
        <v>16</v>
      </c>
      <c r="C129" s="6" t="s">
        <v>217</v>
      </c>
      <c r="D129" s="7" t="s">
        <v>322</v>
      </c>
      <c r="E129" s="8" t="s">
        <v>503</v>
      </c>
      <c r="F129" s="6" t="s">
        <v>504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505</v>
      </c>
      <c r="B130" s="6" t="s">
        <v>10</v>
      </c>
      <c r="C130" s="6" t="s">
        <v>12</v>
      </c>
      <c r="D130" s="7" t="s">
        <v>506</v>
      </c>
      <c r="E130" s="8" t="s">
        <v>507</v>
      </c>
      <c r="F130" s="6" t="s">
        <v>508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509</v>
      </c>
      <c r="B131" s="6" t="s">
        <v>63</v>
      </c>
      <c r="C131" s="6" t="s">
        <v>12</v>
      </c>
      <c r="D131" s="7" t="s">
        <v>510</v>
      </c>
      <c r="E131" s="8" t="s">
        <v>511</v>
      </c>
      <c r="F131" s="6" t="s">
        <v>512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513</v>
      </c>
      <c r="B132" s="6" t="s">
        <v>16</v>
      </c>
      <c r="C132" s="6" t="s">
        <v>12</v>
      </c>
      <c r="D132" s="7" t="s">
        <v>322</v>
      </c>
      <c r="E132" s="8" t="s">
        <v>514</v>
      </c>
      <c r="F132" s="6" t="s">
        <v>515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516</v>
      </c>
      <c r="B133" s="6" t="s">
        <v>16</v>
      </c>
      <c r="C133" s="6" t="s">
        <v>12</v>
      </c>
      <c r="D133" s="7" t="s">
        <v>462</v>
      </c>
      <c r="E133" s="8" t="s">
        <v>517</v>
      </c>
      <c r="F133" s="6" t="s">
        <v>518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519</v>
      </c>
      <c r="B134" s="6" t="s">
        <v>20</v>
      </c>
      <c r="C134" s="6" t="s">
        <v>12</v>
      </c>
      <c r="D134" s="7" t="s">
        <v>520</v>
      </c>
      <c r="E134" s="8" t="s">
        <v>521</v>
      </c>
      <c r="F134" s="6" t="s">
        <v>522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523</v>
      </c>
      <c r="B135" s="6" t="s">
        <v>24</v>
      </c>
      <c r="C135" s="6" t="s">
        <v>12</v>
      </c>
      <c r="D135" s="7" t="s">
        <v>274</v>
      </c>
      <c r="E135" s="8" t="s">
        <v>524</v>
      </c>
      <c r="F135" s="6" t="s">
        <v>525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526</v>
      </c>
      <c r="B136" s="6" t="s">
        <v>76</v>
      </c>
      <c r="C136" s="6" t="s">
        <v>12</v>
      </c>
      <c r="D136" s="7" t="s">
        <v>527</v>
      </c>
      <c r="E136" s="8" t="s">
        <v>528</v>
      </c>
      <c r="F136" s="6" t="s">
        <v>529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530</v>
      </c>
      <c r="B137" s="6" t="s">
        <v>16</v>
      </c>
      <c r="C137" s="6" t="s">
        <v>12</v>
      </c>
      <c r="D137" s="7" t="s">
        <v>531</v>
      </c>
      <c r="E137" s="8" t="s">
        <v>532</v>
      </c>
      <c r="F137" s="6" t="s">
        <v>533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534</v>
      </c>
      <c r="B138" s="6" t="s">
        <v>11</v>
      </c>
      <c r="C138" s="6" t="s">
        <v>12</v>
      </c>
      <c r="D138" s="7" t="s">
        <v>535</v>
      </c>
      <c r="E138" s="8" t="s">
        <v>536</v>
      </c>
      <c r="F138" s="6" t="s">
        <v>537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538</v>
      </c>
      <c r="B139" s="6" t="s">
        <v>16</v>
      </c>
      <c r="C139" s="6" t="s">
        <v>12</v>
      </c>
      <c r="D139" s="7" t="s">
        <v>539</v>
      </c>
      <c r="E139" s="8" t="s">
        <v>540</v>
      </c>
      <c r="F139" s="6" t="s">
        <v>541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542</v>
      </c>
      <c r="B140" s="6" t="s">
        <v>20</v>
      </c>
      <c r="C140" s="6" t="s">
        <v>12</v>
      </c>
      <c r="D140" s="7" t="s">
        <v>543</v>
      </c>
      <c r="E140" s="8" t="s">
        <v>544</v>
      </c>
      <c r="F140" s="6" t="s">
        <v>545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546</v>
      </c>
      <c r="B141" s="6" t="s">
        <v>16</v>
      </c>
      <c r="C141" s="6" t="s">
        <v>12</v>
      </c>
      <c r="D141" s="7" t="s">
        <v>547</v>
      </c>
      <c r="E141" s="8" t="s">
        <v>548</v>
      </c>
      <c r="F141" s="6" t="s">
        <v>549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550</v>
      </c>
      <c r="B142" s="6" t="s">
        <v>24</v>
      </c>
      <c r="C142" s="6" t="s">
        <v>12</v>
      </c>
      <c r="D142" s="7" t="s">
        <v>128</v>
      </c>
      <c r="E142" s="8" t="s">
        <v>551</v>
      </c>
      <c r="F142" s="6" t="s">
        <v>552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553</v>
      </c>
      <c r="B143" s="6" t="s">
        <v>10</v>
      </c>
      <c r="C143" s="6" t="s">
        <v>12</v>
      </c>
      <c r="D143" s="7" t="s">
        <v>33</v>
      </c>
      <c r="E143" s="8" t="s">
        <v>554</v>
      </c>
      <c r="F143" s="6" t="s">
        <v>555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556</v>
      </c>
      <c r="B144" s="6" t="s">
        <v>10</v>
      </c>
      <c r="C144" s="6" t="s">
        <v>12</v>
      </c>
      <c r="D144" s="7" t="s">
        <v>484</v>
      </c>
      <c r="E144" s="8" t="s">
        <v>557</v>
      </c>
      <c r="F144" s="6" t="s">
        <v>558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559</v>
      </c>
      <c r="B145" s="6" t="s">
        <v>24</v>
      </c>
      <c r="C145" s="6" t="s">
        <v>12</v>
      </c>
      <c r="D145" s="7" t="s">
        <v>560</v>
      </c>
      <c r="E145" s="8" t="s">
        <v>561</v>
      </c>
      <c r="F145" s="6" t="s">
        <v>562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563</v>
      </c>
      <c r="B146" s="6" t="s">
        <v>20</v>
      </c>
      <c r="C146" s="6" t="s">
        <v>12</v>
      </c>
      <c r="D146" s="7" t="s">
        <v>564</v>
      </c>
      <c r="E146" s="8" t="s">
        <v>565</v>
      </c>
      <c r="F146" s="6" t="s">
        <v>566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567</v>
      </c>
      <c r="B147" s="6" t="s">
        <v>55</v>
      </c>
      <c r="C147" s="6" t="s">
        <v>12</v>
      </c>
      <c r="D147" s="7" t="s">
        <v>568</v>
      </c>
      <c r="E147" s="8" t="s">
        <v>569</v>
      </c>
      <c r="F147" s="6" t="s">
        <v>570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571</v>
      </c>
      <c r="B148" s="6" t="s">
        <v>24</v>
      </c>
      <c r="C148" s="6" t="s">
        <v>12</v>
      </c>
      <c r="D148" s="7" t="s">
        <v>399</v>
      </c>
      <c r="E148" s="8" t="s">
        <v>572</v>
      </c>
      <c r="F148" s="6" t="s">
        <v>573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574</v>
      </c>
      <c r="B149" s="6" t="s">
        <v>36</v>
      </c>
      <c r="C149" s="6" t="s">
        <v>12</v>
      </c>
      <c r="D149" s="7" t="s">
        <v>286</v>
      </c>
      <c r="E149" s="8" t="s">
        <v>575</v>
      </c>
      <c r="F149" s="6" t="s">
        <v>576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577</v>
      </c>
      <c r="B150" s="6" t="s">
        <v>43</v>
      </c>
      <c r="C150" s="6" t="s">
        <v>217</v>
      </c>
      <c r="D150" s="7" t="s">
        <v>578</v>
      </c>
      <c r="E150" s="8" t="s">
        <v>579</v>
      </c>
      <c r="F150" s="6" t="s">
        <v>580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581</v>
      </c>
      <c r="B151" s="6" t="s">
        <v>51</v>
      </c>
      <c r="C151" s="6" t="s">
        <v>12</v>
      </c>
      <c r="D151" s="7" t="s">
        <v>582</v>
      </c>
      <c r="E151" s="8" t="s">
        <v>583</v>
      </c>
      <c r="F151" s="6" t="s">
        <v>584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585</v>
      </c>
      <c r="B152" s="6" t="s">
        <v>10</v>
      </c>
      <c r="C152" s="6" t="s">
        <v>12</v>
      </c>
      <c r="D152" s="7" t="s">
        <v>586</v>
      </c>
      <c r="E152" s="8" t="s">
        <v>587</v>
      </c>
      <c r="F152" s="6" t="s">
        <v>588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589</v>
      </c>
      <c r="B153" s="6" t="s">
        <v>24</v>
      </c>
      <c r="C153" s="6" t="s">
        <v>12</v>
      </c>
      <c r="D153" s="7" t="s">
        <v>590</v>
      </c>
      <c r="E153" s="8" t="s">
        <v>591</v>
      </c>
      <c r="F153" s="6" t="s">
        <v>592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593</v>
      </c>
      <c r="B154" s="6" t="s">
        <v>43</v>
      </c>
      <c r="C154" s="6" t="s">
        <v>12</v>
      </c>
      <c r="D154" s="7" t="s">
        <v>37</v>
      </c>
      <c r="E154" s="8" t="s">
        <v>594</v>
      </c>
      <c r="F154" s="6" t="s">
        <v>595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596</v>
      </c>
      <c r="B155" s="6" t="s">
        <v>32</v>
      </c>
      <c r="C155" s="6" t="s">
        <v>12</v>
      </c>
      <c r="D155" s="7" t="s">
        <v>597</v>
      </c>
      <c r="E155" s="8" t="s">
        <v>598</v>
      </c>
      <c r="F155" s="6" t="s">
        <v>599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600</v>
      </c>
      <c r="B156" s="6" t="s">
        <v>16</v>
      </c>
      <c r="C156" s="6" t="s">
        <v>12</v>
      </c>
      <c r="D156" s="7" t="s">
        <v>601</v>
      </c>
      <c r="E156" s="8" t="s">
        <v>602</v>
      </c>
      <c r="F156" s="6" t="s">
        <v>603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604</v>
      </c>
      <c r="B157" s="6" t="s">
        <v>16</v>
      </c>
      <c r="C157" s="6" t="s">
        <v>12</v>
      </c>
      <c r="D157" s="7" t="s">
        <v>17</v>
      </c>
      <c r="E157" s="8" t="s">
        <v>605</v>
      </c>
      <c r="F157" s="6" t="s">
        <v>606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607</v>
      </c>
      <c r="B158" s="6" t="s">
        <v>16</v>
      </c>
      <c r="C158" s="6" t="s">
        <v>12</v>
      </c>
      <c r="D158" s="7" t="s">
        <v>17</v>
      </c>
      <c r="E158" s="8" t="s">
        <v>608</v>
      </c>
      <c r="F158" s="6" t="s">
        <v>609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610</v>
      </c>
      <c r="B159" s="6" t="s">
        <v>16</v>
      </c>
      <c r="C159" s="6" t="s">
        <v>12</v>
      </c>
      <c r="D159" s="7" t="s">
        <v>462</v>
      </c>
      <c r="E159" s="8" t="s">
        <v>611</v>
      </c>
      <c r="F159" s="6" t="s">
        <v>612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613</v>
      </c>
      <c r="B160" s="6" t="s">
        <v>16</v>
      </c>
      <c r="C160" s="6" t="s">
        <v>12</v>
      </c>
      <c r="D160" s="7" t="s">
        <v>614</v>
      </c>
      <c r="E160" s="8" t="s">
        <v>615</v>
      </c>
      <c r="F160" s="6" t="s">
        <v>616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617</v>
      </c>
      <c r="B161" s="6" t="s">
        <v>84</v>
      </c>
      <c r="C161" s="6" t="s">
        <v>12</v>
      </c>
      <c r="D161" s="7" t="s">
        <v>618</v>
      </c>
      <c r="E161" s="8" t="s">
        <v>619</v>
      </c>
      <c r="F161" s="6" t="s">
        <v>620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621</v>
      </c>
      <c r="B162" s="6" t="s">
        <v>20</v>
      </c>
      <c r="C162" s="6" t="s">
        <v>12</v>
      </c>
      <c r="D162" s="7" t="s">
        <v>17</v>
      </c>
      <c r="E162" s="8" t="s">
        <v>622</v>
      </c>
      <c r="F162" s="6" t="s">
        <v>623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624</v>
      </c>
      <c r="B163" s="6" t="s">
        <v>24</v>
      </c>
      <c r="C163" s="6" t="s">
        <v>217</v>
      </c>
      <c r="D163" s="7" t="s">
        <v>218</v>
      </c>
      <c r="E163" s="8" t="s">
        <v>625</v>
      </c>
      <c r="F163" s="6" t="s">
        <v>626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627</v>
      </c>
      <c r="B164" s="6" t="s">
        <v>28</v>
      </c>
      <c r="C164" s="6" t="s">
        <v>12</v>
      </c>
      <c r="D164" s="7" t="s">
        <v>628</v>
      </c>
      <c r="E164" s="8" t="s">
        <v>629</v>
      </c>
      <c r="F164" s="6" t="s">
        <v>630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631</v>
      </c>
      <c r="B165" s="6" t="s">
        <v>24</v>
      </c>
      <c r="C165" s="6" t="s">
        <v>12</v>
      </c>
      <c r="D165" s="7" t="s">
        <v>632</v>
      </c>
      <c r="E165" s="8" t="s">
        <v>633</v>
      </c>
      <c r="F165" s="6" t="s">
        <v>634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635</v>
      </c>
      <c r="B166" s="6" t="s">
        <v>28</v>
      </c>
      <c r="C166" s="6" t="s">
        <v>217</v>
      </c>
      <c r="D166" s="7" t="s">
        <v>17</v>
      </c>
      <c r="E166" s="8" t="s">
        <v>636</v>
      </c>
      <c r="F166" s="6" t="s">
        <v>637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638</v>
      </c>
      <c r="B167" s="6" t="s">
        <v>16</v>
      </c>
      <c r="C167" s="6" t="s">
        <v>12</v>
      </c>
      <c r="D167" s="7" t="s">
        <v>639</v>
      </c>
      <c r="E167" s="8" t="s">
        <v>640</v>
      </c>
      <c r="F167" s="6" t="s">
        <v>641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642</v>
      </c>
      <c r="B168" s="6" t="s">
        <v>16</v>
      </c>
      <c r="C168" s="6" t="s">
        <v>12</v>
      </c>
      <c r="D168" s="7" t="s">
        <v>643</v>
      </c>
      <c r="E168" s="8" t="s">
        <v>644</v>
      </c>
      <c r="F168" s="6" t="s">
        <v>645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646</v>
      </c>
      <c r="B169" s="6" t="s">
        <v>16</v>
      </c>
      <c r="C169" s="6" t="s">
        <v>12</v>
      </c>
      <c r="D169" s="7" t="s">
        <v>647</v>
      </c>
      <c r="E169" s="8" t="s">
        <v>648</v>
      </c>
      <c r="F169" s="6" t="s">
        <v>649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650</v>
      </c>
      <c r="B170" s="6" t="s">
        <v>16</v>
      </c>
      <c r="C170" s="6" t="s">
        <v>12</v>
      </c>
      <c r="D170" s="7" t="s">
        <v>491</v>
      </c>
      <c r="E170" s="8" t="s">
        <v>651</v>
      </c>
      <c r="F170" s="6" t="s">
        <v>652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653</v>
      </c>
      <c r="B171" s="6" t="s">
        <v>20</v>
      </c>
      <c r="C171" s="6" t="s">
        <v>12</v>
      </c>
      <c r="D171" s="7" t="s">
        <v>654</v>
      </c>
      <c r="E171" s="8" t="s">
        <v>655</v>
      </c>
      <c r="F171" s="6" t="s">
        <v>656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657</v>
      </c>
      <c r="B172" s="6" t="s">
        <v>10</v>
      </c>
      <c r="C172" s="6" t="s">
        <v>12</v>
      </c>
      <c r="D172" s="7" t="s">
        <v>658</v>
      </c>
      <c r="E172" s="8" t="s">
        <v>659</v>
      </c>
      <c r="F172" s="6" t="s">
        <v>660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661</v>
      </c>
      <c r="B173" s="6" t="s">
        <v>10</v>
      </c>
      <c r="C173" s="6" t="s">
        <v>12</v>
      </c>
      <c r="D173" s="7" t="s">
        <v>109</v>
      </c>
      <c r="E173" s="8" t="s">
        <v>662</v>
      </c>
      <c r="F173" s="6" t="s">
        <v>663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664</v>
      </c>
      <c r="B174" s="6" t="s">
        <v>10</v>
      </c>
      <c r="C174" s="6" t="s">
        <v>12</v>
      </c>
      <c r="D174" s="7" t="s">
        <v>665</v>
      </c>
      <c r="E174" s="8" t="s">
        <v>666</v>
      </c>
      <c r="F174" s="6" t="s">
        <v>667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668</v>
      </c>
      <c r="B175" s="6" t="s">
        <v>20</v>
      </c>
      <c r="C175" s="6" t="s">
        <v>12</v>
      </c>
      <c r="D175" s="7" t="s">
        <v>33</v>
      </c>
      <c r="E175" s="8" t="s">
        <v>669</v>
      </c>
      <c r="F175" s="6" t="s">
        <v>670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671</v>
      </c>
      <c r="B176" s="6" t="s">
        <v>11</v>
      </c>
      <c r="C176" s="6" t="s">
        <v>12</v>
      </c>
      <c r="D176" s="7" t="s">
        <v>672</v>
      </c>
      <c r="E176" s="8" t="s">
        <v>673</v>
      </c>
      <c r="F176" s="6" t="s">
        <v>674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675</v>
      </c>
      <c r="B177" s="6" t="s">
        <v>24</v>
      </c>
      <c r="C177" s="6" t="s">
        <v>12</v>
      </c>
      <c r="D177" s="7" t="s">
        <v>676</v>
      </c>
      <c r="E177" s="8" t="s">
        <v>677</v>
      </c>
      <c r="F177" s="6" t="s">
        <v>678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679</v>
      </c>
      <c r="B178" s="6" t="s">
        <v>43</v>
      </c>
      <c r="C178" s="6" t="s">
        <v>12</v>
      </c>
      <c r="D178" s="7" t="s">
        <v>680</v>
      </c>
      <c r="E178" s="8" t="s">
        <v>681</v>
      </c>
      <c r="F178" s="6" t="s">
        <v>682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683</v>
      </c>
      <c r="B179" s="6" t="s">
        <v>24</v>
      </c>
      <c r="C179" s="6" t="s">
        <v>12</v>
      </c>
      <c r="D179" s="7" t="s">
        <v>684</v>
      </c>
      <c r="E179" s="8" t="s">
        <v>685</v>
      </c>
      <c r="F179" s="6" t="s">
        <v>686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687</v>
      </c>
      <c r="B180" s="6" t="s">
        <v>20</v>
      </c>
      <c r="C180" s="6" t="s">
        <v>12</v>
      </c>
      <c r="D180" s="7" t="s">
        <v>676</v>
      </c>
      <c r="E180" s="8" t="s">
        <v>688</v>
      </c>
      <c r="F180" s="6" t="s">
        <v>689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690</v>
      </c>
      <c r="B181" s="6" t="s">
        <v>10</v>
      </c>
      <c r="C181" s="6" t="s">
        <v>12</v>
      </c>
      <c r="D181" s="7" t="s">
        <v>672</v>
      </c>
      <c r="E181" s="8" t="s">
        <v>691</v>
      </c>
      <c r="F181" s="6" t="s">
        <v>692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693</v>
      </c>
      <c r="B182" s="6" t="s">
        <v>67</v>
      </c>
      <c r="C182" s="6" t="s">
        <v>12</v>
      </c>
      <c r="D182" s="7" t="s">
        <v>694</v>
      </c>
      <c r="E182" s="8" t="s">
        <v>695</v>
      </c>
      <c r="F182" s="6" t="s">
        <v>696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697</v>
      </c>
      <c r="B183" s="6" t="s">
        <v>36</v>
      </c>
      <c r="C183" s="6" t="s">
        <v>217</v>
      </c>
      <c r="D183" s="7" t="s">
        <v>698</v>
      </c>
      <c r="E183" s="8" t="s">
        <v>699</v>
      </c>
      <c r="F183" s="6" t="s">
        <v>700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701</v>
      </c>
      <c r="B184" s="6" t="s">
        <v>10</v>
      </c>
      <c r="C184" s="6" t="s">
        <v>12</v>
      </c>
      <c r="D184" s="7" t="s">
        <v>702</v>
      </c>
      <c r="E184" s="8" t="s">
        <v>703</v>
      </c>
      <c r="F184" s="6" t="s">
        <v>704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04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705</v>
      </c>
      <c r="B1" s="13" t="s">
        <v>706</v>
      </c>
      <c r="C1" s="13" t="s">
        <v>707</v>
      </c>
      <c r="D1" s="13" t="s">
        <v>708</v>
      </c>
      <c r="E1" s="14" t="s">
        <v>709</v>
      </c>
      <c r="F1" s="15" t="s">
        <v>710</v>
      </c>
      <c r="G1" s="16" t="s">
        <v>711</v>
      </c>
      <c r="H1" s="17" t="s">
        <v>712</v>
      </c>
      <c r="I1" s="18" t="s">
        <v>713</v>
      </c>
      <c r="J1" s="18" t="s">
        <v>714</v>
      </c>
      <c r="K1" s="18" t="s">
        <v>715</v>
      </c>
      <c r="L1" s="19" t="s">
        <v>9</v>
      </c>
    </row>
    <row r="2" spans="1:12">
      <c r="A2" s="20" t="s">
        <v>716</v>
      </c>
    </row>
    <row r="3" spans="1:12">
      <c r="A3" s="20" t="s">
        <v>717</v>
      </c>
      <c r="B3" s="21" t="s">
        <v>718</v>
      </c>
      <c r="C3" s="21" t="s">
        <v>719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720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721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722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723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724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725</v>
      </c>
      <c r="B9" s="21" t="s">
        <v>726</v>
      </c>
      <c r="C9" s="21" t="s">
        <v>727</v>
      </c>
      <c r="D9" s="21" t="s">
        <v>728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729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730</v>
      </c>
      <c r="B11" s="21" t="s">
        <v>726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731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732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733</v>
      </c>
    </row>
    <row r="16" spans="1:12">
      <c r="A16" s="20" t="s">
        <v>734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735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725</v>
      </c>
      <c r="B18" s="21" t="s">
        <v>726</v>
      </c>
      <c r="C18" s="21" t="s">
        <v>727</v>
      </c>
      <c r="D18" s="21" t="s">
        <v>728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736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737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732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/>
    </row>
    <row r="23" spans="1:12">
      <c r="A23" s="20" t="s">
        <v>738</v>
      </c>
    </row>
    <row r="24" spans="1:12">
      <c r="A24" s="20" t="s">
        <v>739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740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741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233</v>
      </c>
      <c r="B27" s="21" t="s">
        <v>726</v>
      </c>
      <c r="C27" s="21" t="s">
        <v>719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742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743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744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732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/>
    </row>
    <row r="33" spans="1:12">
      <c r="A33" s="20" t="s">
        <v>745</v>
      </c>
    </row>
    <row r="34" spans="1:12">
      <c r="A34" s="20" t="s">
        <v>746</v>
      </c>
      <c r="B34" s="21" t="s">
        <v>726</v>
      </c>
      <c r="C34" s="21" t="s">
        <v>747</v>
      </c>
      <c r="D34" s="21" t="s">
        <v>728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748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749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29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721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750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721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751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721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752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721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753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754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755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756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732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/>
    </row>
    <row r="51" spans="1:12">
      <c r="A51" s="20" t="s">
        <v>757</v>
      </c>
    </row>
    <row r="52" spans="1:12">
      <c r="A52" s="20" t="s">
        <v>717</v>
      </c>
      <c r="B52" s="21" t="s">
        <v>726</v>
      </c>
      <c r="C52" s="21" t="s">
        <v>719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722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29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758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/>
    </row>
    <row r="57" spans="1:12">
      <c r="A57" s="20" t="s">
        <v>759</v>
      </c>
    </row>
    <row r="58" spans="1:12">
      <c r="A58" s="20" t="s">
        <v>760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761</v>
      </c>
      <c r="B59" s="21" t="s">
        <v>718</v>
      </c>
      <c r="C59" s="21" t="s">
        <v>762</v>
      </c>
      <c r="D59" s="21" t="s">
        <v>728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763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717</v>
      </c>
      <c r="B61" s="21" t="s">
        <v>726</v>
      </c>
      <c r="C61" s="21" t="s">
        <v>719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764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765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721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766</v>
      </c>
      <c r="B65" s="21" t="s">
        <v>767</v>
      </c>
      <c r="C65" s="21" t="s">
        <v>747</v>
      </c>
      <c r="D65" s="21" t="s">
        <v>728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748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29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721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768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769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770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721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771</v>
      </c>
      <c r="B73" s="21" t="s">
        <v>772</v>
      </c>
      <c r="C73" s="21" t="s">
        <v>719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773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774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775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776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732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/>
    </row>
    <row r="80" spans="1:12">
      <c r="A80" s="20" t="s">
        <v>777</v>
      </c>
    </row>
    <row r="81" spans="1:12">
      <c r="A81" s="20" t="s">
        <v>778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779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780</v>
      </c>
      <c r="B83" s="21" t="s">
        <v>726</v>
      </c>
      <c r="C83" s="21" t="s">
        <v>727</v>
      </c>
      <c r="D83" s="21" t="s">
        <v>728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781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782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783</v>
      </c>
      <c r="B86" s="21" t="s">
        <v>784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785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721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786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787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788</v>
      </c>
      <c r="B91" s="21" t="s">
        <v>789</v>
      </c>
      <c r="C91" s="21" t="s">
        <v>790</v>
      </c>
      <c r="D91" s="21" t="s">
        <v>728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732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/>
    </row>
    <row r="94" spans="1:12">
      <c r="A94" s="20" t="s">
        <v>791</v>
      </c>
    </row>
    <row r="95" spans="1:12">
      <c r="A95" s="20" t="s">
        <v>792</v>
      </c>
      <c r="B95" s="21" t="s">
        <v>726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793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794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795</v>
      </c>
      <c r="B98" s="21" t="s">
        <v>796</v>
      </c>
      <c r="C98" s="21" t="s">
        <v>790</v>
      </c>
      <c r="D98" s="21" t="s">
        <v>728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797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798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799</v>
      </c>
      <c r="B101" s="21" t="s">
        <v>718</v>
      </c>
      <c r="C101" s="21" t="s">
        <v>800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732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/>
    </row>
    <row r="104" spans="1:12">
      <c r="A104" s="20" t="s">
        <v>801</v>
      </c>
    </row>
    <row r="105" spans="1:12">
      <c r="A105" s="20" t="s">
        <v>802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721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803</v>
      </c>
      <c r="B107" s="21" t="s">
        <v>804</v>
      </c>
      <c r="C107" s="21" t="s">
        <v>727</v>
      </c>
      <c r="D107" s="21" t="s">
        <v>728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805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806</v>
      </c>
      <c r="B109" s="21" t="s">
        <v>726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807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808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809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721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810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811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725</v>
      </c>
      <c r="B116" s="21" t="s">
        <v>812</v>
      </c>
      <c r="C116" s="21" t="s">
        <v>727</v>
      </c>
      <c r="D116" s="21" t="s">
        <v>728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813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769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814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815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816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817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818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732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/>
    </row>
    <row r="126" spans="1:12">
      <c r="A126" s="20" t="s">
        <v>819</v>
      </c>
    </row>
    <row r="127" spans="1:12">
      <c r="A127" s="20" t="s">
        <v>48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721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820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821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725</v>
      </c>
      <c r="B131" s="21" t="s">
        <v>767</v>
      </c>
      <c r="C131" s="21" t="s">
        <v>727</v>
      </c>
      <c r="D131" s="21" t="s">
        <v>728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732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/>
    </row>
    <row r="134" spans="1:12">
      <c r="A134" s="20" t="s">
        <v>822</v>
      </c>
    </row>
    <row r="135" spans="1:12">
      <c r="A135" s="20" t="s">
        <v>746</v>
      </c>
      <c r="B135" s="21" t="s">
        <v>726</v>
      </c>
      <c r="C135" s="21" t="s">
        <v>747</v>
      </c>
      <c r="D135" s="21" t="s">
        <v>728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748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823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807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824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825</v>
      </c>
      <c r="B140" s="21" t="s">
        <v>784</v>
      </c>
      <c r="C140" s="21" t="s">
        <v>747</v>
      </c>
      <c r="D140" s="21" t="s">
        <v>728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721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779</v>
      </c>
      <c r="B142" s="21" t="s">
        <v>826</v>
      </c>
      <c r="C142" s="21" t="s">
        <v>719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827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828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829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830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831</v>
      </c>
      <c r="B147" s="21" t="s">
        <v>832</v>
      </c>
      <c r="C147" s="21" t="s">
        <v>833</v>
      </c>
      <c r="D147" s="21" t="s">
        <v>728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834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835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732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/>
    </row>
    <row r="152" spans="1:12">
      <c r="A152" s="20" t="s">
        <v>836</v>
      </c>
    </row>
    <row r="153" spans="1:12">
      <c r="A153" s="20" t="s">
        <v>837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56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788</v>
      </c>
      <c r="B155" s="21" t="s">
        <v>804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755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838</v>
      </c>
      <c r="B157" s="21" t="s">
        <v>796</v>
      </c>
      <c r="C157" s="21" t="s">
        <v>833</v>
      </c>
      <c r="D157" s="21" t="s">
        <v>728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756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839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/>
    </row>
    <row r="161" spans="1:12">
      <c r="A161" s="20" t="s">
        <v>840</v>
      </c>
    </row>
    <row r="162" spans="1:12">
      <c r="A162" s="20" t="s">
        <v>841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205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842</v>
      </c>
      <c r="B164" s="21" t="s">
        <v>718</v>
      </c>
      <c r="C164" s="21" t="s">
        <v>800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843</v>
      </c>
      <c r="B165" s="21" t="s">
        <v>726</v>
      </c>
      <c r="C165" s="21" t="s">
        <v>727</v>
      </c>
      <c r="D165" s="21" t="s">
        <v>728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844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788</v>
      </c>
      <c r="B167" s="21" t="s">
        <v>804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755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845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846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847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721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848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849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850</v>
      </c>
      <c r="B175" s="21" t="s">
        <v>812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732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/>
    </row>
    <row r="178" spans="1:12">
      <c r="A178" s="20" t="s">
        <v>851</v>
      </c>
    </row>
    <row r="179" spans="1:12">
      <c r="A179" s="20" t="s">
        <v>852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853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854</v>
      </c>
      <c r="B181" s="21" t="s">
        <v>784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732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/>
    </row>
    <row r="184" spans="1:12">
      <c r="A184" s="20" t="s">
        <v>855</v>
      </c>
    </row>
    <row r="185" spans="1:12">
      <c r="A185" s="20" t="s">
        <v>361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856</v>
      </c>
      <c r="B186" s="21" t="s">
        <v>726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857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731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721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858</v>
      </c>
      <c r="B190" s="21" t="s">
        <v>726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859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831</v>
      </c>
      <c r="B192" s="21" t="s">
        <v>860</v>
      </c>
      <c r="C192" s="21" t="s">
        <v>833</v>
      </c>
      <c r="D192" s="21" t="s">
        <v>728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861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721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862</v>
      </c>
      <c r="B195" s="21" t="s">
        <v>726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721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863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721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864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721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29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865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820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866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732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/>
    </row>
    <row r="208" spans="1:12">
      <c r="A208" s="20" t="s">
        <v>867</v>
      </c>
    </row>
    <row r="209" spans="1:12">
      <c r="A209" s="20" t="s">
        <v>868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869</v>
      </c>
      <c r="B210" s="21" t="s">
        <v>726</v>
      </c>
      <c r="C210" s="21" t="s">
        <v>870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871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872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732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/>
    </row>
    <row r="215" spans="1:12">
      <c r="A215" s="20" t="s">
        <v>873</v>
      </c>
    </row>
    <row r="216" spans="1:12">
      <c r="A216" s="20" t="s">
        <v>874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875</v>
      </c>
      <c r="B217" s="21" t="s">
        <v>718</v>
      </c>
      <c r="C217" s="21" t="s">
        <v>747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721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876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877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878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876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879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721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880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881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721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882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883</v>
      </c>
      <c r="B229" s="21" t="s">
        <v>726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721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884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885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886</v>
      </c>
      <c r="B233" s="21" t="s">
        <v>796</v>
      </c>
      <c r="C233" s="21" t="s">
        <v>833</v>
      </c>
      <c r="D233" s="21" t="s">
        <v>728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887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732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/>
    </row>
    <row r="237" spans="1:12">
      <c r="A237" s="20" t="s">
        <v>888</v>
      </c>
    </row>
    <row r="238" spans="1:12">
      <c r="A238" s="20" t="s">
        <v>889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890</v>
      </c>
      <c r="B239" s="21" t="s">
        <v>718</v>
      </c>
      <c r="C239" s="21" t="s">
        <v>891</v>
      </c>
      <c r="D239" s="21" t="s">
        <v>728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892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893</v>
      </c>
      <c r="B241" s="21" t="s">
        <v>718</v>
      </c>
      <c r="C241" s="21" t="s">
        <v>747</v>
      </c>
      <c r="D241" s="21" t="s">
        <v>728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732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/>
    </row>
    <row r="244" spans="1:12">
      <c r="A244" s="20" t="s">
        <v>894</v>
      </c>
    </row>
    <row r="245" spans="1:12">
      <c r="A245" s="20" t="s">
        <v>895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896</v>
      </c>
      <c r="B246" s="21" t="s">
        <v>726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897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898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899</v>
      </c>
      <c r="B249" s="21" t="s">
        <v>804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721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900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901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902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903</v>
      </c>
      <c r="B254" s="21" t="s">
        <v>718</v>
      </c>
      <c r="C254" s="21" t="s">
        <v>891</v>
      </c>
      <c r="D254" s="21" t="s">
        <v>728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859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904</v>
      </c>
      <c r="B256" s="21" t="s">
        <v>796</v>
      </c>
      <c r="C256" s="21" t="s">
        <v>727</v>
      </c>
      <c r="D256" s="21" t="s">
        <v>728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721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808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905</v>
      </c>
      <c r="B259" s="21" t="s">
        <v>767</v>
      </c>
      <c r="C259" s="21" t="s">
        <v>727</v>
      </c>
      <c r="D259" s="21" t="s">
        <v>728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906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721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907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721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876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908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721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909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732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/>
    </row>
    <row r="270" spans="1:12">
      <c r="A270" s="20" t="s">
        <v>910</v>
      </c>
    </row>
    <row r="271" spans="1:12">
      <c r="A271" s="20" t="s">
        <v>911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912</v>
      </c>
      <c r="B272" s="21" t="s">
        <v>726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820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766</v>
      </c>
      <c r="B274" s="21" t="s">
        <v>718</v>
      </c>
      <c r="C274" s="21" t="s">
        <v>747</v>
      </c>
      <c r="D274" s="21" t="s">
        <v>728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132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913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914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915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67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876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916</v>
      </c>
      <c r="B281" s="21" t="s">
        <v>796</v>
      </c>
      <c r="C281" s="21" t="s">
        <v>800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732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/>
    </row>
    <row r="284" spans="1:12">
      <c r="A284" s="20" t="s">
        <v>917</v>
      </c>
    </row>
    <row r="285" spans="1:12">
      <c r="A285" s="20" t="s">
        <v>746</v>
      </c>
      <c r="B285" s="21" t="s">
        <v>726</v>
      </c>
      <c r="C285" s="21" t="s">
        <v>747</v>
      </c>
      <c r="D285" s="21" t="s">
        <v>728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918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721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779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919</v>
      </c>
      <c r="B289" s="21" t="s">
        <v>784</v>
      </c>
      <c r="C289" s="21" t="s">
        <v>727</v>
      </c>
      <c r="D289" s="21" t="s">
        <v>728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920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67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921</v>
      </c>
      <c r="B292" s="21" t="s">
        <v>767</v>
      </c>
      <c r="C292" s="21" t="s">
        <v>800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922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923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721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924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925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10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921</v>
      </c>
      <c r="B299" s="21" t="s">
        <v>860</v>
      </c>
      <c r="C299" s="21" t="s">
        <v>800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926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732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/>
    </row>
    <row r="303" spans="1:12">
      <c r="A303" s="20" t="s">
        <v>927</v>
      </c>
    </row>
    <row r="304" spans="1:12">
      <c r="A304" s="20" t="s">
        <v>928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101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97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732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/>
    </row>
    <row r="309" spans="1:12">
      <c r="A309" s="20" t="s">
        <v>929</v>
      </c>
    </row>
    <row r="310" spans="1:12">
      <c r="A310" s="20" t="s">
        <v>930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931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932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871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101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732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/>
    </row>
    <row r="317" spans="1:12">
      <c r="A317" s="20" t="s">
        <v>933</v>
      </c>
    </row>
    <row r="318" spans="1:12">
      <c r="A318" s="20" t="s">
        <v>934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935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721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936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721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105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721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937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298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788</v>
      </c>
      <c r="B327" s="21" t="s">
        <v>789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938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732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/>
    </row>
    <row r="331" spans="1:12">
      <c r="A331" s="20" t="s">
        <v>939</v>
      </c>
    </row>
    <row r="332" spans="1:12">
      <c r="A332" s="20" t="s">
        <v>940</v>
      </c>
      <c r="B332" s="21" t="s">
        <v>726</v>
      </c>
      <c r="C332" s="21" t="s">
        <v>727</v>
      </c>
      <c r="D332" s="21" t="s">
        <v>728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941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942</v>
      </c>
      <c r="B334" s="21" t="s">
        <v>784</v>
      </c>
      <c r="C334" s="21" t="s">
        <v>727</v>
      </c>
      <c r="D334" s="21" t="s">
        <v>728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943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732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/>
    </row>
    <row r="338" spans="1:12">
      <c r="A338" s="20" t="s">
        <v>944</v>
      </c>
    </row>
    <row r="339" spans="1:12">
      <c r="A339" s="20" t="s">
        <v>945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946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947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948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725</v>
      </c>
      <c r="B343" s="21" t="s">
        <v>726</v>
      </c>
      <c r="C343" s="21" t="s">
        <v>727</v>
      </c>
      <c r="D343" s="21" t="s">
        <v>728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805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949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950</v>
      </c>
      <c r="B347" s="21" t="s">
        <v>804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807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732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/>
    </row>
    <row r="351" spans="1:12">
      <c r="A351" s="20" t="s">
        <v>951</v>
      </c>
    </row>
    <row r="352" spans="1:12">
      <c r="A352" s="20" t="s">
        <v>952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953</v>
      </c>
      <c r="B353" s="21" t="s">
        <v>718</v>
      </c>
      <c r="C353" s="21" t="s">
        <v>833</v>
      </c>
      <c r="D353" s="21" t="s">
        <v>728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116</v>
      </c>
      <c r="B354" s="21" t="s">
        <v>718</v>
      </c>
      <c r="C354" s="21" t="s">
        <v>762</v>
      </c>
      <c r="D354" s="21" t="s">
        <v>728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732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/>
    </row>
    <row r="357" spans="1:12">
      <c r="A357" s="20" t="s">
        <v>954</v>
      </c>
    </row>
    <row r="358" spans="1:12">
      <c r="A358" s="20" t="s">
        <v>120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721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12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955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725</v>
      </c>
      <c r="B362" s="21" t="s">
        <v>767</v>
      </c>
      <c r="C362" s="21" t="s">
        <v>727</v>
      </c>
      <c r="D362" s="21" t="s">
        <v>728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721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12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956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672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957</v>
      </c>
      <c r="B367" s="21" t="s">
        <v>789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755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958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721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780</v>
      </c>
      <c r="B371" s="21" t="s">
        <v>812</v>
      </c>
      <c r="C371" s="21" t="s">
        <v>727</v>
      </c>
      <c r="D371" s="21" t="s">
        <v>728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721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959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721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960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961</v>
      </c>
      <c r="B376" s="21" t="s">
        <v>860</v>
      </c>
      <c r="C376" s="21" t="s">
        <v>747</v>
      </c>
      <c r="D376" s="21" t="s">
        <v>728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721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779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962</v>
      </c>
      <c r="B379" s="21" t="s">
        <v>832</v>
      </c>
      <c r="C379" s="21" t="s">
        <v>833</v>
      </c>
      <c r="D379" s="21" t="s">
        <v>728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818</v>
      </c>
      <c r="B380" s="21" t="s">
        <v>963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846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964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965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966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721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779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780</v>
      </c>
      <c r="B387" s="21" t="s">
        <v>967</v>
      </c>
      <c r="C387" s="21" t="s">
        <v>727</v>
      </c>
      <c r="D387" s="21" t="s">
        <v>728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871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968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898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969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732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/>
    </row>
    <row r="394" spans="1:12">
      <c r="A394" s="20" t="s">
        <v>970</v>
      </c>
    </row>
    <row r="395" spans="1:12">
      <c r="A395" s="20" t="s">
        <v>971</v>
      </c>
      <c r="B395" s="21" t="s">
        <v>726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972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721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12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973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974</v>
      </c>
      <c r="B400" s="21" t="s">
        <v>767</v>
      </c>
      <c r="C400" s="21" t="s">
        <v>727</v>
      </c>
      <c r="D400" s="21" t="s">
        <v>728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721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975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846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964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721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779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976</v>
      </c>
      <c r="B408" s="21" t="s">
        <v>812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965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977</v>
      </c>
      <c r="B410" s="21" t="s">
        <v>978</v>
      </c>
      <c r="C410" s="21" t="s">
        <v>833</v>
      </c>
      <c r="D410" s="21" t="s">
        <v>728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923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979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721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980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871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981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732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/>
    </row>
    <row r="419" spans="1:12">
      <c r="A419" s="20" t="s">
        <v>982</v>
      </c>
    </row>
    <row r="420" spans="1:12">
      <c r="A420" s="20" t="s">
        <v>983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984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974</v>
      </c>
      <c r="B422" s="21" t="s">
        <v>726</v>
      </c>
      <c r="C422" s="21" t="s">
        <v>727</v>
      </c>
      <c r="D422" s="21" t="s">
        <v>728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985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721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12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986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987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721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988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989</v>
      </c>
      <c r="B430" s="21" t="s">
        <v>718</v>
      </c>
      <c r="C430" s="21" t="s">
        <v>727</v>
      </c>
      <c r="D430" s="21" t="s">
        <v>728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990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991</v>
      </c>
      <c r="B432" s="21" t="s">
        <v>767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732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/>
    </row>
    <row r="435" spans="1:12">
      <c r="A435" s="20" t="s">
        <v>992</v>
      </c>
    </row>
    <row r="436" spans="1:12">
      <c r="A436" s="20" t="s">
        <v>993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913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914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839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/>
    </row>
    <row r="441" spans="1:12">
      <c r="A441" s="20" t="s">
        <v>994</v>
      </c>
    </row>
    <row r="442" spans="1:12">
      <c r="A442" s="20" t="s">
        <v>136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876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995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721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12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973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974</v>
      </c>
      <c r="B448" s="21" t="s">
        <v>767</v>
      </c>
      <c r="C448" s="21" t="s">
        <v>727</v>
      </c>
      <c r="D448" s="21" t="s">
        <v>728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721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12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996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132</v>
      </c>
      <c r="B452" s="21" t="s">
        <v>718</v>
      </c>
      <c r="C452" s="21" t="s">
        <v>891</v>
      </c>
      <c r="D452" s="21" t="s">
        <v>728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755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997</v>
      </c>
      <c r="B454" s="21" t="s">
        <v>860</v>
      </c>
      <c r="C454" s="21" t="s">
        <v>747</v>
      </c>
      <c r="D454" s="21" t="s">
        <v>728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998</v>
      </c>
      <c r="B455" s="21" t="s">
        <v>796</v>
      </c>
      <c r="C455" s="21" t="s">
        <v>891</v>
      </c>
      <c r="D455" s="21" t="s">
        <v>728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732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/>
    </row>
    <row r="458" spans="1:12">
      <c r="A458" s="20" t="s">
        <v>999</v>
      </c>
    </row>
    <row r="459" spans="1:12">
      <c r="A459" s="20" t="s">
        <v>136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876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916</v>
      </c>
      <c r="B461" s="21" t="s">
        <v>718</v>
      </c>
      <c r="C461" s="21" t="s">
        <v>800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721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1000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732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/>
    </row>
    <row r="466" spans="1:12">
      <c r="A466" s="20" t="s">
        <v>1001</v>
      </c>
    </row>
    <row r="467" spans="1:12">
      <c r="A467" s="20" t="s">
        <v>144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876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916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1002</v>
      </c>
      <c r="B470" s="21" t="s">
        <v>796</v>
      </c>
      <c r="C470" s="21" t="s">
        <v>719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721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1003</v>
      </c>
      <c r="B472" s="21" t="s">
        <v>1004</v>
      </c>
      <c r="C472" s="21" t="s">
        <v>719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780</v>
      </c>
      <c r="B473" s="21" t="s">
        <v>826</v>
      </c>
      <c r="C473" s="21" t="s">
        <v>727</v>
      </c>
      <c r="D473" s="21" t="s">
        <v>728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1005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788</v>
      </c>
      <c r="B475" s="21" t="s">
        <v>1006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839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1007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1008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1009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721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12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821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974</v>
      </c>
      <c r="B483" s="21" t="s">
        <v>967</v>
      </c>
      <c r="C483" s="21" t="s">
        <v>727</v>
      </c>
      <c r="D483" s="21" t="s">
        <v>728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732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/>
    </row>
    <row r="486" spans="1:12">
      <c r="A486" s="20" t="s">
        <v>1010</v>
      </c>
    </row>
    <row r="487" spans="1:12">
      <c r="A487" s="20" t="s">
        <v>148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721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821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725</v>
      </c>
      <c r="B491" s="21" t="s">
        <v>767</v>
      </c>
      <c r="C491" s="21" t="s">
        <v>727</v>
      </c>
      <c r="D491" s="21" t="s">
        <v>728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808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1011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1012</v>
      </c>
      <c r="B494" s="21" t="s">
        <v>789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732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/>
    </row>
    <row r="497" spans="1:12">
      <c r="A497" s="20" t="s">
        <v>1013</v>
      </c>
    </row>
    <row r="498" spans="1:12">
      <c r="A498" s="20" t="s">
        <v>1014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1015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1016</v>
      </c>
      <c r="B500" s="21" t="s">
        <v>718</v>
      </c>
      <c r="C500" s="21" t="s">
        <v>790</v>
      </c>
      <c r="D500" s="21" t="s">
        <v>728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725</v>
      </c>
      <c r="B501" s="21" t="s">
        <v>726</v>
      </c>
      <c r="C501" s="21" t="s">
        <v>727</v>
      </c>
      <c r="D501" s="21" t="s">
        <v>728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1017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755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1018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808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1019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915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/>
    </row>
    <row r="509" spans="1:12">
      <c r="A509" s="20" t="s">
        <v>1020</v>
      </c>
    </row>
    <row r="510" spans="1:12">
      <c r="A510" s="20" t="s">
        <v>717</v>
      </c>
      <c r="B510" s="21" t="s">
        <v>718</v>
      </c>
      <c r="C510" s="21" t="s">
        <v>719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847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766</v>
      </c>
      <c r="B512" s="21" t="s">
        <v>726</v>
      </c>
      <c r="C512" s="21" t="s">
        <v>747</v>
      </c>
      <c r="D512" s="21" t="s">
        <v>728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722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1021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1022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156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839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/>
    </row>
    <row r="519" spans="1:12">
      <c r="A519" s="20" t="s">
        <v>1023</v>
      </c>
    </row>
    <row r="520" spans="1:12">
      <c r="A520" s="20" t="s">
        <v>1024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769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1025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946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721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1026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1027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1028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721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725</v>
      </c>
      <c r="B529" s="21" t="s">
        <v>726</v>
      </c>
      <c r="C529" s="21" t="s">
        <v>727</v>
      </c>
      <c r="D529" s="21" t="s">
        <v>728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805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1029</v>
      </c>
      <c r="B531" s="21" t="s">
        <v>804</v>
      </c>
      <c r="C531" s="21" t="s">
        <v>762</v>
      </c>
      <c r="D531" s="21" t="s">
        <v>728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732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/>
    </row>
    <row r="534" spans="1:12">
      <c r="A534" s="20" t="s">
        <v>1030</v>
      </c>
    </row>
    <row r="535" spans="1:12">
      <c r="A535" s="20" t="s">
        <v>1031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721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1032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721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1033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803</v>
      </c>
      <c r="B541" s="21" t="s">
        <v>784</v>
      </c>
      <c r="C541" s="21" t="s">
        <v>727</v>
      </c>
      <c r="D541" s="21" t="s">
        <v>728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1034</v>
      </c>
      <c r="B542" s="21" t="s">
        <v>784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1035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1036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1037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732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/>
    </row>
    <row r="548" spans="1:12">
      <c r="A548" s="20" t="s">
        <v>1038</v>
      </c>
    </row>
    <row r="549" spans="1:12">
      <c r="A549" s="20" t="s">
        <v>1039</v>
      </c>
      <c r="B549" s="21" t="s">
        <v>726</v>
      </c>
      <c r="C549" s="21" t="s">
        <v>727</v>
      </c>
      <c r="D549" s="21" t="s">
        <v>728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821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721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779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871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1040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732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/>
    </row>
    <row r="557" spans="1:12">
      <c r="A557" s="20" t="s">
        <v>1041</v>
      </c>
    </row>
    <row r="558" spans="1:12">
      <c r="A558" s="20" t="s">
        <v>1039</v>
      </c>
      <c r="B558" s="21" t="s">
        <v>726</v>
      </c>
      <c r="C558" s="21" t="s">
        <v>727</v>
      </c>
      <c r="D558" s="21" t="s">
        <v>728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1042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732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/>
    </row>
    <row r="562" spans="1:12">
      <c r="A562" s="20" t="s">
        <v>1043</v>
      </c>
    </row>
    <row r="563" spans="1:12">
      <c r="A563" s="20" t="s">
        <v>717</v>
      </c>
      <c r="B563" s="21" t="s">
        <v>718</v>
      </c>
      <c r="C563" s="21" t="s">
        <v>719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720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721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725</v>
      </c>
      <c r="B566" s="21" t="s">
        <v>726</v>
      </c>
      <c r="C566" s="21" t="s">
        <v>727</v>
      </c>
      <c r="D566" s="21" t="s">
        <v>728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1044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793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1045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1046</v>
      </c>
      <c r="B570" s="21" t="s">
        <v>718</v>
      </c>
      <c r="C570" s="21" t="s">
        <v>800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807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732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/>
    </row>
    <row r="574" spans="1:12">
      <c r="A574" s="20" t="s">
        <v>1047</v>
      </c>
    </row>
    <row r="575" spans="1:12">
      <c r="A575" s="20" t="s">
        <v>1048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1049</v>
      </c>
      <c r="B576" s="21" t="s">
        <v>726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871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1050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1051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803</v>
      </c>
      <c r="B580" s="21" t="s">
        <v>784</v>
      </c>
      <c r="C580" s="21" t="s">
        <v>727</v>
      </c>
      <c r="D580" s="21" t="s">
        <v>728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1052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1053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732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/>
    </row>
    <row r="585" spans="1:12">
      <c r="A585" s="20" t="s">
        <v>1054</v>
      </c>
    </row>
    <row r="586" spans="1:12">
      <c r="A586" s="20" t="s">
        <v>1055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721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936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721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725</v>
      </c>
      <c r="B590" s="21" t="s">
        <v>726</v>
      </c>
      <c r="C590" s="21" t="s">
        <v>727</v>
      </c>
      <c r="D590" s="21" t="s">
        <v>728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871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1056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793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1057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1058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732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/>
    </row>
    <row r="598" spans="1:12">
      <c r="A598" s="20" t="s">
        <v>1059</v>
      </c>
    </row>
    <row r="599" spans="1:12">
      <c r="A599" s="20" t="s">
        <v>1060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1061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953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932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1062</v>
      </c>
      <c r="B603" s="21" t="s">
        <v>718</v>
      </c>
      <c r="C603" s="21" t="s">
        <v>762</v>
      </c>
      <c r="D603" s="21" t="s">
        <v>728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732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/>
    </row>
    <row r="606" spans="1:12">
      <c r="A606" s="20" t="s">
        <v>1063</v>
      </c>
    </row>
    <row r="607" spans="1:12">
      <c r="A607" s="20" t="s">
        <v>120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721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12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725</v>
      </c>
      <c r="B610" s="21" t="s">
        <v>812</v>
      </c>
      <c r="C610" s="21" t="s">
        <v>727</v>
      </c>
      <c r="D610" s="21" t="s">
        <v>728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955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721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12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1064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803</v>
      </c>
      <c r="B615" s="21" t="s">
        <v>784</v>
      </c>
      <c r="C615" s="21" t="s">
        <v>727</v>
      </c>
      <c r="D615" s="21" t="s">
        <v>728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798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1035</v>
      </c>
      <c r="B617" s="21" t="s">
        <v>796</v>
      </c>
      <c r="C617" s="21" t="s">
        <v>800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1036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1037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732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/>
    </row>
    <row r="622" spans="1:12">
      <c r="A622" s="20" t="s">
        <v>1065</v>
      </c>
    </row>
    <row r="623" spans="1:12">
      <c r="A623" s="20" t="s">
        <v>717</v>
      </c>
      <c r="B623" s="21" t="s">
        <v>718</v>
      </c>
      <c r="C623" s="21" t="s">
        <v>719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720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721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974</v>
      </c>
      <c r="B626" s="21" t="s">
        <v>726</v>
      </c>
      <c r="C626" s="21" t="s">
        <v>727</v>
      </c>
      <c r="D626" s="21" t="s">
        <v>728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1066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1067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1068</v>
      </c>
      <c r="B629" s="21" t="s">
        <v>804</v>
      </c>
      <c r="C629" s="21" t="s">
        <v>1069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721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1070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1071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721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808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984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1072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 t="s">
        <v>1073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1074</v>
      </c>
      <c r="B638" s="21" t="s">
        <v>784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732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/>
    </row>
    <row r="641" spans="1:12">
      <c r="A641" s="20" t="s">
        <v>1075</v>
      </c>
    </row>
    <row r="642" spans="1:12">
      <c r="A642" s="20" t="s">
        <v>940</v>
      </c>
      <c r="B642" s="21" t="s">
        <v>726</v>
      </c>
      <c r="C642" s="21" t="s">
        <v>727</v>
      </c>
      <c r="D642" s="21" t="s">
        <v>728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809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721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12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1076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1074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839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1007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1039</v>
      </c>
      <c r="B650" s="21" t="s">
        <v>812</v>
      </c>
      <c r="C650" s="21" t="s">
        <v>727</v>
      </c>
      <c r="D650" s="21" t="s">
        <v>728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1077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721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12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1078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721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1079</v>
      </c>
      <c r="B656" s="21" t="s">
        <v>826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721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1080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 t="s">
        <v>721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1081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1082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721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1083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721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1084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808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1085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755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1086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732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/>
    </row>
    <row r="672" spans="1:12">
      <c r="A672" s="20" t="s">
        <v>1087</v>
      </c>
    </row>
    <row r="673" spans="1:12">
      <c r="A673" s="20" t="s">
        <v>940</v>
      </c>
      <c r="B673" s="21" t="s">
        <v>726</v>
      </c>
      <c r="C673" s="21" t="s">
        <v>727</v>
      </c>
      <c r="D673" s="21" t="s">
        <v>728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809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721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12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1088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1089</v>
      </c>
      <c r="B678" s="21" t="s">
        <v>767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1090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1091</v>
      </c>
      <c r="B680" s="21" t="s">
        <v>978</v>
      </c>
      <c r="C680" s="21" t="s">
        <v>833</v>
      </c>
      <c r="D680" s="21" t="s">
        <v>728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731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1092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1093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839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1007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721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12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1094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1095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997</v>
      </c>
      <c r="B690" s="21" t="s">
        <v>860</v>
      </c>
      <c r="C690" s="21" t="s">
        <v>747</v>
      </c>
      <c r="D690" s="21" t="s">
        <v>728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721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1096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1097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721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1098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1099</v>
      </c>
      <c r="B696" s="21" t="s">
        <v>796</v>
      </c>
      <c r="C696" s="21" t="s">
        <v>800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737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732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/>
    </row>
    <row r="700" spans="1:12">
      <c r="A700" s="20" t="s">
        <v>1100</v>
      </c>
    </row>
    <row r="701" spans="1:12">
      <c r="A701" s="20" t="s">
        <v>1101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721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1102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127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856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1007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721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12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1077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974</v>
      </c>
      <c r="B710" s="21" t="s">
        <v>767</v>
      </c>
      <c r="C710" s="21" t="s">
        <v>727</v>
      </c>
      <c r="D710" s="21" t="s">
        <v>728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732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/>
    </row>
    <row r="713" spans="1:12">
      <c r="A713" s="20" t="s">
        <v>1103</v>
      </c>
    </row>
    <row r="714" spans="1:12">
      <c r="A714" s="20" t="s">
        <v>940</v>
      </c>
      <c r="B714" s="21" t="s">
        <v>726</v>
      </c>
      <c r="C714" s="21" t="s">
        <v>727</v>
      </c>
      <c r="D714" s="21" t="s">
        <v>728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809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721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12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1032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721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980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755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1104</v>
      </c>
      <c r="B722" s="21" t="s">
        <v>718</v>
      </c>
      <c r="C722" s="21" t="s">
        <v>719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1105</v>
      </c>
      <c r="B723" s="21" t="s">
        <v>767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1090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923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1106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839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1007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930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1107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1108</v>
      </c>
      <c r="B731" s="21" t="s">
        <v>1109</v>
      </c>
      <c r="C731" s="21" t="s">
        <v>790</v>
      </c>
      <c r="D731" s="21" t="s">
        <v>728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1110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1111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1112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1113</v>
      </c>
      <c r="B735" s="21" t="s">
        <v>967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721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808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974</v>
      </c>
      <c r="B738" s="21" t="s">
        <v>1114</v>
      </c>
      <c r="C738" s="21" t="s">
        <v>727</v>
      </c>
      <c r="D738" s="21" t="s">
        <v>728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1077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721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12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1115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721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1116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721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769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1117</v>
      </c>
      <c r="B747" s="21" t="s">
        <v>832</v>
      </c>
      <c r="C747" s="21" t="s">
        <v>762</v>
      </c>
      <c r="D747" s="21" t="s">
        <v>728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1118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730</v>
      </c>
      <c r="B749" s="21" t="s">
        <v>967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1119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732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/>
    </row>
    <row r="753" spans="1:12">
      <c r="A753" s="20" t="s">
        <v>1120</v>
      </c>
    </row>
    <row r="754" spans="1:12">
      <c r="A754" s="20" t="s">
        <v>717</v>
      </c>
      <c r="B754" s="21" t="s">
        <v>718</v>
      </c>
      <c r="C754" s="21" t="s">
        <v>719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720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721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725</v>
      </c>
      <c r="B757" s="21" t="s">
        <v>726</v>
      </c>
      <c r="C757" s="21" t="s">
        <v>727</v>
      </c>
      <c r="D757" s="21" t="s">
        <v>728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1121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787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788</v>
      </c>
      <c r="B760" s="21" t="s">
        <v>804</v>
      </c>
      <c r="C760" s="21" t="s">
        <v>790</v>
      </c>
      <c r="D760" s="21" t="s">
        <v>728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732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/>
    </row>
    <row r="763" spans="1:12">
      <c r="A763" s="20" t="s">
        <v>1122</v>
      </c>
    </row>
    <row r="764" spans="1:12">
      <c r="A764" s="20" t="s">
        <v>1123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721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871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218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721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779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725</v>
      </c>
      <c r="B770" s="21" t="s">
        <v>767</v>
      </c>
      <c r="C770" s="21" t="s">
        <v>727</v>
      </c>
      <c r="D770" s="21" t="s">
        <v>728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1124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721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1125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1126</v>
      </c>
      <c r="B774" s="21" t="s">
        <v>726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732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/>
    </row>
    <row r="777" spans="1:12">
      <c r="A777" s="20" t="s">
        <v>1127</v>
      </c>
    </row>
    <row r="778" spans="1:12">
      <c r="A778" s="20" t="s">
        <v>1128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725</v>
      </c>
      <c r="B779" s="21" t="s">
        <v>726</v>
      </c>
      <c r="C779" s="21" t="s">
        <v>727</v>
      </c>
      <c r="D779" s="21" t="s">
        <v>728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1126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732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/>
    </row>
    <row r="783" spans="1:12">
      <c r="A783" s="20" t="s">
        <v>1129</v>
      </c>
    </row>
    <row r="784" spans="1:12">
      <c r="A784" s="20" t="s">
        <v>1123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721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755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1130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721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 t="s">
        <v>725</v>
      </c>
      <c r="B789" s="21" t="s">
        <v>726</v>
      </c>
      <c r="C789" s="21" t="s">
        <v>727</v>
      </c>
      <c r="D789" s="21" t="s">
        <v>728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1121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787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788</v>
      </c>
      <c r="B792" s="21" t="s">
        <v>804</v>
      </c>
      <c r="C792" s="21" t="s">
        <v>790</v>
      </c>
      <c r="D792" s="21" t="s">
        <v>728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721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218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779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1131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893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1132</v>
      </c>
      <c r="B798" s="21" t="s">
        <v>796</v>
      </c>
      <c r="C798" s="21" t="s">
        <v>790</v>
      </c>
      <c r="D798" s="21" t="s">
        <v>728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721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725</v>
      </c>
      <c r="B800" s="21" t="s">
        <v>767</v>
      </c>
      <c r="C800" s="21" t="s">
        <v>727</v>
      </c>
      <c r="D800" s="21" t="s">
        <v>728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1133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919</v>
      </c>
      <c r="B802" s="21" t="s">
        <v>784</v>
      </c>
      <c r="C802" s="21" t="s">
        <v>727</v>
      </c>
      <c r="D802" s="21" t="s">
        <v>728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721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1134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29</v>
      </c>
      <c r="B805" s="21" t="s">
        <v>812</v>
      </c>
      <c r="C805" s="21" t="s">
        <v>790</v>
      </c>
      <c r="D805" s="21" t="s">
        <v>728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769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931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1135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848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1093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732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/>
    </row>
    <row r="813" spans="1:12">
      <c r="A813" s="20" t="s">
        <v>1136</v>
      </c>
    </row>
    <row r="814" spans="1:12">
      <c r="A814" s="20" t="s">
        <v>1137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29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820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766</v>
      </c>
      <c r="B817" s="21" t="s">
        <v>726</v>
      </c>
      <c r="C817" s="21" t="s">
        <v>747</v>
      </c>
      <c r="D817" s="21" t="s">
        <v>728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1138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229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1139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732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/>
    </row>
    <row r="823" spans="1:12">
      <c r="A823" s="20" t="s">
        <v>1140</v>
      </c>
    </row>
    <row r="824" spans="1:12">
      <c r="A824" s="20" t="s">
        <v>1141</v>
      </c>
      <c r="B824" s="21" t="s">
        <v>718</v>
      </c>
      <c r="C824" s="21" t="s">
        <v>719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742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1142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1143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721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1144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721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1003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1145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780</v>
      </c>
      <c r="B833" s="21" t="s">
        <v>826</v>
      </c>
      <c r="C833" s="21" t="s">
        <v>727</v>
      </c>
      <c r="D833" s="21" t="s">
        <v>728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1146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1147</v>
      </c>
      <c r="B835" s="21" t="s">
        <v>978</v>
      </c>
      <c r="C835" s="21" t="s">
        <v>833</v>
      </c>
      <c r="D835" s="21" t="s">
        <v>728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788</v>
      </c>
      <c r="B836" s="21" t="s">
        <v>1006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721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961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1145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780</v>
      </c>
      <c r="B840" s="21" t="s">
        <v>772</v>
      </c>
      <c r="C840" s="21" t="s">
        <v>727</v>
      </c>
      <c r="D840" s="21" t="s">
        <v>728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1148</v>
      </c>
      <c r="B841" s="21" t="s">
        <v>978</v>
      </c>
      <c r="C841" s="21" t="s">
        <v>727</v>
      </c>
      <c r="D841" s="21" t="s">
        <v>728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1149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732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/>
    </row>
    <row r="845" spans="1:12">
      <c r="A845" s="20" t="s">
        <v>1150</v>
      </c>
    </row>
    <row r="846" spans="1:12">
      <c r="A846" s="20" t="s">
        <v>940</v>
      </c>
      <c r="B846" s="21" t="s">
        <v>726</v>
      </c>
      <c r="C846" s="21" t="s">
        <v>727</v>
      </c>
      <c r="D846" s="21" t="s">
        <v>728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1151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787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788</v>
      </c>
      <c r="B849" s="21" t="s">
        <v>804</v>
      </c>
      <c r="C849" s="21" t="s">
        <v>790</v>
      </c>
      <c r="D849" s="21" t="s">
        <v>728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755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1152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769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1153</v>
      </c>
      <c r="B853" s="21" t="s">
        <v>796</v>
      </c>
      <c r="C853" s="21" t="s">
        <v>891</v>
      </c>
      <c r="D853" s="21" t="s">
        <v>728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1154</v>
      </c>
      <c r="B854" s="21" t="s">
        <v>860</v>
      </c>
      <c r="C854" s="21" t="s">
        <v>762</v>
      </c>
      <c r="D854" s="21" t="s">
        <v>728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732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/>
    </row>
    <row r="857" spans="1:12">
      <c r="A857" s="20" t="s">
        <v>1155</v>
      </c>
    </row>
    <row r="858" spans="1:12">
      <c r="A858" s="20" t="s">
        <v>1156</v>
      </c>
      <c r="B858" s="21" t="s">
        <v>796</v>
      </c>
      <c r="C858" s="21" t="s">
        <v>833</v>
      </c>
      <c r="D858" s="21" t="s">
        <v>728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1157</v>
      </c>
      <c r="B859" s="21" t="s">
        <v>726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1158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1159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803</v>
      </c>
      <c r="B862" s="21" t="s">
        <v>804</v>
      </c>
      <c r="C862" s="21" t="s">
        <v>727</v>
      </c>
      <c r="D862" s="21" t="s">
        <v>728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815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794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1160</v>
      </c>
      <c r="B865" s="21" t="s">
        <v>718</v>
      </c>
      <c r="C865" s="21" t="s">
        <v>790</v>
      </c>
      <c r="D865" s="21" t="s">
        <v>728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730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1161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732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/>
    </row>
    <row r="870" spans="1:12">
      <c r="A870" s="20" t="s">
        <v>1162</v>
      </c>
    </row>
    <row r="871" spans="1:12">
      <c r="A871" s="20" t="s">
        <v>1163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29</v>
      </c>
      <c r="B872" s="21" t="s">
        <v>718</v>
      </c>
      <c r="C872" s="21" t="s">
        <v>790</v>
      </c>
      <c r="D872" s="21" t="s">
        <v>728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 t="s">
        <v>1164</v>
      </c>
      <c r="B873" s="21" t="s">
        <v>718</v>
      </c>
      <c r="C873" s="21" t="s">
        <v>891</v>
      </c>
      <c r="D873" s="21" t="s">
        <v>728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989</v>
      </c>
      <c r="B874" s="21" t="s">
        <v>796</v>
      </c>
      <c r="C874" s="21" t="s">
        <v>727</v>
      </c>
      <c r="D874" s="21" t="s">
        <v>728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732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/>
    </row>
    <row r="877" spans="1:12">
      <c r="A877" s="20" t="s">
        <v>1165</v>
      </c>
    </row>
    <row r="878" spans="1:12">
      <c r="A878" s="20" t="s">
        <v>1166</v>
      </c>
      <c r="B878" s="21" t="s">
        <v>726</v>
      </c>
      <c r="C878" s="21" t="s">
        <v>727</v>
      </c>
      <c r="D878" s="21" t="s">
        <v>728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1167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769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1168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721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1169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721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1170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1171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721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1172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1173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732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/>
    </row>
    <row r="892" spans="1:12">
      <c r="A892" s="20" t="s">
        <v>1174</v>
      </c>
    </row>
    <row r="893" spans="1:12">
      <c r="A893" s="20" t="s">
        <v>1175</v>
      </c>
      <c r="B893" s="21" t="s">
        <v>726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1176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1148</v>
      </c>
      <c r="B895" s="21" t="s">
        <v>804</v>
      </c>
      <c r="C895" s="21" t="s">
        <v>727</v>
      </c>
      <c r="D895" s="21" t="s">
        <v>728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1095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1177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721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1178</v>
      </c>
      <c r="B899" s="21" t="s">
        <v>796</v>
      </c>
      <c r="C899" s="21" t="s">
        <v>800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755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1179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732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/>
    </row>
    <row r="904" spans="1:12">
      <c r="A904" s="20" t="s">
        <v>1180</v>
      </c>
    </row>
    <row r="905" spans="1:12">
      <c r="A905" s="20" t="s">
        <v>1181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721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880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29</v>
      </c>
      <c r="B908" s="21" t="s">
        <v>767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748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 t="s">
        <v>1182</v>
      </c>
      <c r="E910" s="22">
        <f>IF(D910="?OLD","!!!","")</f>
        <v/>
      </c>
      <c r="F910" s="23" t="str">
        <f>IF(OR(E910="",E910="!!!"),"",IF(NOT(ISNA(VLOOKUP(E910,E$1:E909,1,FALSE()))),"OLD",IF(AND(E910&lt;&gt;"",E910&lt;&gt;"!!!"),"NEW","")))</f>
        <v> </v>
      </c>
      <c r="G910" s="24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5" t="str">
        <f>IF(J910&lt;&gt;1,"",IF(I910="SBJ","CB","?"))</f>
        <v> </v>
      </c>
      <c r="I910" s="26" t="str">
        <f>IF(OR(E910="",E910="!!!",F910="NEW"),"",INDEX(B909:B$2,-1+SUMPRODUCT(MAX(ROW(E909:E$2)*(E910=E909:E$2)))))</f>
        <v> </v>
      </c>
      <c r="J910" s="26" t="str">
        <f>IF(OR(E910="",E910="!!!",F910="NEW"),"",COUNTBLANK(OFFSET(A$1,,,SUMPRODUCT(MAX(ROW(E$2:E910)*(E910=E$2:E910)))))-COUNTBLANK(OFFSET(A$1,,,SUMPRODUCT(MAX(ROW(E$1:E909)*(E2=E$1:E909))))))</f>
        <v> </v>
      </c>
      <c r="K910" s="26" t="str">
        <f>IF(OR(E910="",E910="!!!",F910="NEW"),"",INDEX(J$1:J909,SUMPRODUCT(MAX(ROW(E$1:E909)*(E910=E$1:E909)))))</f>
        <v> </v>
      </c>
      <c r="L910" s="27"/>
    </row>
    <row r="911" spans="1:12">
      <c r="A911" s="20" t="s">
        <v>732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/>
    </row>
    <row r="913" spans="1:12">
      <c r="A913" s="20" t="s">
        <v>1183</v>
      </c>
    </row>
    <row r="914" spans="1:12">
      <c r="A914" s="20" t="s">
        <v>1184</v>
      </c>
      <c r="B914" s="21" t="s">
        <v>726</v>
      </c>
      <c r="C914" s="21" t="s">
        <v>719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1185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1186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931</v>
      </c>
      <c r="B917" s="21" t="s">
        <v>812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923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1187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876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1188</v>
      </c>
      <c r="B921" s="21" t="s">
        <v>860</v>
      </c>
      <c r="C921" s="21" t="s">
        <v>891</v>
      </c>
      <c r="D921" s="21" t="s">
        <v>728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1131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1189</v>
      </c>
      <c r="B923" s="21" t="s">
        <v>1004</v>
      </c>
      <c r="C923" s="21" t="s">
        <v>747</v>
      </c>
      <c r="D923" s="21" t="s">
        <v>728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721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848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1148</v>
      </c>
      <c r="B926" s="21" t="s">
        <v>1190</v>
      </c>
      <c r="C926" s="21" t="s">
        <v>727</v>
      </c>
      <c r="D926" s="21" t="s">
        <v>728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1191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839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/>
    </row>
    <row r="930" spans="1:12">
      <c r="A930" s="20" t="s">
        <v>1192</v>
      </c>
    </row>
    <row r="931" spans="1:12">
      <c r="A931" s="20" t="s">
        <v>940</v>
      </c>
      <c r="B931" s="21" t="s">
        <v>726</v>
      </c>
      <c r="C931" s="21" t="s">
        <v>727</v>
      </c>
      <c r="D931" s="21" t="s">
        <v>728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871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1193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721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880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1194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362</v>
      </c>
      <c r="B937" s="21" t="s">
        <v>767</v>
      </c>
      <c r="C937" s="21" t="s">
        <v>790</v>
      </c>
      <c r="D937" s="21" t="s">
        <v>728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1185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732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/>
    </row>
    <row r="941" spans="1:12">
      <c r="A941" s="20" t="s">
        <v>1195</v>
      </c>
    </row>
    <row r="942" spans="1:12">
      <c r="A942" s="20" t="s">
        <v>952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953</v>
      </c>
      <c r="B943" s="21" t="s">
        <v>718</v>
      </c>
      <c r="C943" s="21" t="s">
        <v>727</v>
      </c>
      <c r="D943" s="21" t="s">
        <v>728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267</v>
      </c>
      <c r="B944" s="21" t="s">
        <v>718</v>
      </c>
      <c r="C944" s="21" t="s">
        <v>762</v>
      </c>
      <c r="D944" s="21" t="s">
        <v>728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732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/>
    </row>
    <row r="947" spans="1:12">
      <c r="A947" s="20" t="s">
        <v>1196</v>
      </c>
    </row>
    <row r="948" spans="1:12">
      <c r="A948" s="20" t="s">
        <v>1197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12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825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721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953</v>
      </c>
      <c r="B952" s="21" t="s">
        <v>796</v>
      </c>
      <c r="C952" s="21" t="s">
        <v>833</v>
      </c>
      <c r="D952" s="21" t="s">
        <v>728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1198</v>
      </c>
      <c r="B953" s="21" t="s">
        <v>726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1199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267</v>
      </c>
      <c r="B955" s="21" t="s">
        <v>718</v>
      </c>
      <c r="C955" s="21" t="s">
        <v>762</v>
      </c>
      <c r="D955" s="21" t="s">
        <v>728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732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/>
    </row>
    <row r="958" spans="1:12">
      <c r="A958" s="20" t="s">
        <v>1200</v>
      </c>
    </row>
    <row r="959" spans="1:12">
      <c r="A959" s="20" t="s">
        <v>1123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721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974</v>
      </c>
      <c r="B961" s="21" t="s">
        <v>726</v>
      </c>
      <c r="C961" s="21" t="s">
        <v>727</v>
      </c>
      <c r="D961" s="21" t="s">
        <v>728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871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1201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788</v>
      </c>
      <c r="B964" s="21" t="s">
        <v>804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721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808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974</v>
      </c>
      <c r="B967" s="21" t="s">
        <v>767</v>
      </c>
      <c r="C967" s="21" t="s">
        <v>727</v>
      </c>
      <c r="D967" s="21" t="s">
        <v>728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871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1202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732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/>
    </row>
    <row r="972" spans="1:12">
      <c r="A972" s="20" t="s">
        <v>1203</v>
      </c>
    </row>
    <row r="973" spans="1:12">
      <c r="A973" s="20" t="s">
        <v>1204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1205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902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755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1107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 t="s">
        <v>1206</v>
      </c>
      <c r="B978" s="21" t="s">
        <v>718</v>
      </c>
      <c r="C978" s="21" t="s">
        <v>790</v>
      </c>
      <c r="D978" s="21" t="s">
        <v>728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721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848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780</v>
      </c>
      <c r="B981" s="21" t="s">
        <v>767</v>
      </c>
      <c r="C981" s="21" t="s">
        <v>727</v>
      </c>
      <c r="D981" s="21" t="s">
        <v>728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808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725</v>
      </c>
      <c r="B983" s="21" t="s">
        <v>767</v>
      </c>
      <c r="C983" s="21" t="s">
        <v>727</v>
      </c>
      <c r="D983" s="21" t="s">
        <v>728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766</v>
      </c>
      <c r="B984" s="21" t="s">
        <v>784</v>
      </c>
      <c r="C984" s="21" t="s">
        <v>747</v>
      </c>
      <c r="D984" s="21" t="s">
        <v>728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1207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732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/>
    </row>
    <row r="988" spans="1:12">
      <c r="A988" s="20" t="s">
        <v>1208</v>
      </c>
    </row>
    <row r="989" spans="1:12">
      <c r="A989" s="20" t="s">
        <v>1039</v>
      </c>
      <c r="B989" s="21" t="s">
        <v>767</v>
      </c>
      <c r="C989" s="21" t="s">
        <v>727</v>
      </c>
      <c r="D989" s="21" t="s">
        <v>728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1209</v>
      </c>
      <c r="B990" s="21" t="s">
        <v>804</v>
      </c>
      <c r="C990" s="21" t="s">
        <v>891</v>
      </c>
      <c r="D990" s="21" t="s">
        <v>728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755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1210</v>
      </c>
      <c r="B992" s="21" t="s">
        <v>796</v>
      </c>
      <c r="C992" s="21" t="s">
        <v>762</v>
      </c>
      <c r="D992" s="21" t="s">
        <v>728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1211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1212</v>
      </c>
      <c r="B994" s="21" t="s">
        <v>726</v>
      </c>
      <c r="C994" s="21" t="s">
        <v>762</v>
      </c>
      <c r="D994" s="21" t="s">
        <v>728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732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/>
    </row>
    <row r="997" spans="1:12">
      <c r="A997" s="20" t="s">
        <v>1213</v>
      </c>
    </row>
    <row r="998" spans="1:12">
      <c r="A998" s="20" t="s">
        <v>746</v>
      </c>
      <c r="B998" s="21" t="s">
        <v>726</v>
      </c>
      <c r="C998" s="21" t="s">
        <v>747</v>
      </c>
      <c r="D998" s="21" t="s">
        <v>728</v>
      </c>
      <c r="E998" s="22">
        <f>IF(D998="?OLD","!!!","")</f>
        <v/>
      </c>
      <c r="F998" s="23" t="str">
        <f>IF(OR(E998="",E998="!!!"),"",IF(NOT(ISNA(VLOOKUP(E998,E$1:E997,1,FALSE()))),"OLD",IF(AND(E998&lt;&gt;"",E998&lt;&gt;"!!!"),"NEW","")))</f>
        <v> </v>
      </c>
      <c r="G998" s="24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5" t="str">
        <f>IF(J998&lt;&gt;1,"",IF(I998="SBJ","CB","?"))</f>
        <v> </v>
      </c>
      <c r="I998" s="26" t="str">
        <f>IF(OR(E998="",E998="!!!",F998="NEW"),"",INDEX(B997:B$2,-1+SUMPRODUCT(MAX(ROW(E997:E$2)*(E998=E997:E$2)))))</f>
        <v> </v>
      </c>
      <c r="J998" s="26" t="str">
        <f>IF(OR(E998="",E998="!!!",F998="NEW"),"",COUNTBLANK(OFFSET(A$1,,,SUMPRODUCT(MAX(ROW(E$2:E998)*(E998=E$2:E998)))))-COUNTBLANK(OFFSET(A$1,,,SUMPRODUCT(MAX(ROW(E$1:E997)*(E2=E$1:E997))))))</f>
        <v> </v>
      </c>
      <c r="K998" s="26" t="str">
        <f>IF(OR(E998="",E998="!!!",F998="NEW"),"",INDEX(J$1:J997,SUMPRODUCT(MAX(ROW(E$1:E997)*(E998=E$1:E997)))))</f>
        <v> </v>
      </c>
      <c r="L998" s="27"/>
    </row>
    <row r="999" spans="1:12">
      <c r="A999" s="20" t="s">
        <v>1214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286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769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1215</v>
      </c>
      <c r="B1002" s="21" t="s">
        <v>718</v>
      </c>
      <c r="C1002" s="21" t="s">
        <v>891</v>
      </c>
      <c r="D1002" s="21" t="s">
        <v>728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1154</v>
      </c>
      <c r="B1003" s="21" t="s">
        <v>796</v>
      </c>
      <c r="C1003" s="21" t="s">
        <v>762</v>
      </c>
      <c r="D1003" s="21" t="s">
        <v>728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732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/>
    </row>
    <row r="1006" spans="1:12">
      <c r="A1006" s="20" t="s">
        <v>1216</v>
      </c>
    </row>
    <row r="1007" spans="1:12">
      <c r="A1007" s="20" t="s">
        <v>1217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755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1218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1219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1220</v>
      </c>
      <c r="B1011" s="21" t="s">
        <v>860</v>
      </c>
      <c r="C1011" s="21" t="s">
        <v>762</v>
      </c>
      <c r="D1011" s="21" t="s">
        <v>728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732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/>
    </row>
    <row r="1014" spans="1:12">
      <c r="A1014" s="20" t="s">
        <v>1221</v>
      </c>
    </row>
    <row r="1015" spans="1:12">
      <c r="A1015" s="20" t="s">
        <v>1222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1223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1134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286</v>
      </c>
      <c r="B1018" s="21" t="s">
        <v>726</v>
      </c>
      <c r="C1018" s="21" t="s">
        <v>790</v>
      </c>
      <c r="D1018" s="21" t="s">
        <v>728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748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755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1224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1225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732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/>
    </row>
    <row r="1025" spans="1:12">
      <c r="A1025" s="20" t="s">
        <v>1226</v>
      </c>
    </row>
    <row r="1026" spans="1:12">
      <c r="A1026" s="20" t="s">
        <v>1227</v>
      </c>
      <c r="B1026" s="21" t="s">
        <v>726</v>
      </c>
      <c r="C1026" s="21" t="s">
        <v>727</v>
      </c>
      <c r="D1026" s="21" t="s">
        <v>728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1228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1229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1230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1231</v>
      </c>
      <c r="B1030" s="21" t="s">
        <v>804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769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1232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721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771</v>
      </c>
      <c r="B1034" s="21" t="s">
        <v>812</v>
      </c>
      <c r="C1034" s="21" t="s">
        <v>719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721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 t="s">
        <v>1233</v>
      </c>
      <c r="E1036" s="22">
        <f>IF(D1036="?OLD","!!!","")</f>
        <v/>
      </c>
      <c r="F1036" s="23" t="str">
        <f>IF(OR(E1036="",E1036="!!!"),"",IF(NOT(ISNA(VLOOKUP(E1036,E$1:E1035,1,FALSE()))),"OLD",IF(AND(E1036&lt;&gt;"",E1036&lt;&gt;"!!!"),"NEW","")))</f>
        <v> </v>
      </c>
      <c r="G1036" s="24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5" t="str">
        <f>IF(J1036&lt;&gt;1,"",IF(I1036="SBJ","CB","?"))</f>
        <v> </v>
      </c>
      <c r="I1036" s="26" t="str">
        <f>IF(OR(E1036="",E1036="!!!",F1036="NEW"),"",INDEX(B1035:B$2,-1+SUMPRODUCT(MAX(ROW(E1035:E$2)*(E1036=E1035:E$2)))))</f>
        <v> </v>
      </c>
      <c r="J1036" s="26" t="str">
        <f>IF(OR(E1036="",E1036="!!!",F1036="NEW"),"",COUNTBLANK(OFFSET(A$1,,,SUMPRODUCT(MAX(ROW(E$2:E1036)*(E1036=E$2:E1036)))))-COUNTBLANK(OFFSET(A$1,,,SUMPRODUCT(MAX(ROW(E$1:E1035)*(E2=E$1:E1035))))))</f>
        <v> </v>
      </c>
      <c r="K1036" s="26" t="str">
        <f>IF(OR(E1036="",E1036="!!!",F1036="NEW"),"",INDEX(J$1:J1035,SUMPRODUCT(MAX(ROW(E$1:E1035)*(E1036=E$1:E1035)))))</f>
        <v> </v>
      </c>
      <c r="L1036" s="27"/>
    </row>
    <row r="1037" spans="1:12">
      <c r="A1037" s="20" t="s">
        <v>721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748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1234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732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/>
    </row>
    <row r="1042" spans="1:12">
      <c r="A1042" s="20" t="s">
        <v>1235</v>
      </c>
    </row>
    <row r="1043" spans="1:12">
      <c r="A1043" s="20" t="s">
        <v>1227</v>
      </c>
      <c r="B1043" s="21" t="s">
        <v>726</v>
      </c>
      <c r="C1043" s="21" t="s">
        <v>727</v>
      </c>
      <c r="D1043" s="21" t="s">
        <v>728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1236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1237</v>
      </c>
      <c r="B1045" s="21" t="s">
        <v>718</v>
      </c>
      <c r="C1045" s="21" t="s">
        <v>747</v>
      </c>
      <c r="D1045" s="21" t="s">
        <v>728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721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1238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1239</v>
      </c>
      <c r="B1048" s="21" t="s">
        <v>784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732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/>
    </row>
    <row r="1051" spans="1:12">
      <c r="A1051" s="20" t="s">
        <v>1240</v>
      </c>
    </row>
    <row r="1052" spans="1:12">
      <c r="A1052" s="20" t="s">
        <v>1227</v>
      </c>
      <c r="B1052" s="21" t="s">
        <v>726</v>
      </c>
      <c r="C1052" s="21" t="s">
        <v>727</v>
      </c>
      <c r="D1052" s="21" t="s">
        <v>728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1241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1242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1243</v>
      </c>
      <c r="B1055" s="21" t="s">
        <v>804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1244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721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1245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1246</v>
      </c>
      <c r="B1059" s="21" t="s">
        <v>784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859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1239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808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1247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1148</v>
      </c>
      <c r="B1064" s="21" t="s">
        <v>789</v>
      </c>
      <c r="C1064" s="21" t="s">
        <v>727</v>
      </c>
      <c r="D1064" s="21" t="s">
        <v>728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1248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755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1249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732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/>
    </row>
    <row r="1070" spans="1:12">
      <c r="A1070" s="20" t="s">
        <v>1250</v>
      </c>
    </row>
    <row r="1071" spans="1:12">
      <c r="A1071" s="20" t="s">
        <v>717</v>
      </c>
      <c r="B1071" s="21" t="s">
        <v>718</v>
      </c>
      <c r="C1071" s="21" t="s">
        <v>719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720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721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766</v>
      </c>
      <c r="B1074" s="21" t="s">
        <v>726</v>
      </c>
      <c r="C1074" s="21" t="s">
        <v>747</v>
      </c>
      <c r="D1074" s="21" t="s">
        <v>728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871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1251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721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846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847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808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1252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721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980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1253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1254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766</v>
      </c>
      <c r="B1086" s="21" t="s">
        <v>767</v>
      </c>
      <c r="C1086" s="21" t="s">
        <v>747</v>
      </c>
      <c r="D1086" s="21" t="s">
        <v>728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741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1255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732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/>
    </row>
    <row r="1091" spans="1:12">
      <c r="A1091" s="20" t="s">
        <v>1256</v>
      </c>
    </row>
    <row r="1092" spans="1:12">
      <c r="A1092" s="20" t="s">
        <v>1257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1258</v>
      </c>
      <c r="B1093" s="21" t="s">
        <v>726</v>
      </c>
      <c r="C1093" s="21" t="s">
        <v>790</v>
      </c>
      <c r="D1093" s="21" t="s">
        <v>728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1259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361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856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1260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721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830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893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1261</v>
      </c>
      <c r="B1101" s="21" t="s">
        <v>796</v>
      </c>
      <c r="C1101" s="21" t="s">
        <v>790</v>
      </c>
      <c r="D1101" s="21" t="s">
        <v>728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766</v>
      </c>
      <c r="B1102" s="21" t="s">
        <v>767</v>
      </c>
      <c r="C1102" s="21" t="s">
        <v>747</v>
      </c>
      <c r="D1102" s="21" t="s">
        <v>728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730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1260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732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/>
    </row>
    <row r="1107" spans="1:12">
      <c r="A1107" s="20" t="s">
        <v>1262</v>
      </c>
    </row>
    <row r="1108" spans="1:12">
      <c r="A1108" s="20" t="s">
        <v>934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1263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721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755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1264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1265</v>
      </c>
      <c r="B1113" s="21" t="s">
        <v>796</v>
      </c>
      <c r="C1113" s="21" t="s">
        <v>800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721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1266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105</v>
      </c>
      <c r="B1116" s="21" t="s">
        <v>726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793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816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1267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1268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787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1269</v>
      </c>
      <c r="B1122" s="21" t="s">
        <v>804</v>
      </c>
      <c r="C1122" s="21" t="s">
        <v>790</v>
      </c>
      <c r="D1122" s="21" t="s">
        <v>728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732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/>
    </row>
    <row r="1125" spans="1:12">
      <c r="A1125" s="20" t="s">
        <v>1270</v>
      </c>
    </row>
    <row r="1126" spans="1:12">
      <c r="A1126" s="20" t="s">
        <v>717</v>
      </c>
      <c r="B1126" s="21" t="s">
        <v>804</v>
      </c>
      <c r="C1126" s="21" t="s">
        <v>719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905</v>
      </c>
      <c r="B1127" s="21" t="s">
        <v>726</v>
      </c>
      <c r="C1127" s="21" t="s">
        <v>727</v>
      </c>
      <c r="D1127" s="21" t="s">
        <v>728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1271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839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/>
    </row>
    <row r="1131" spans="1:12">
      <c r="A1131" s="20" t="s">
        <v>1272</v>
      </c>
    </row>
    <row r="1132" spans="1:12">
      <c r="A1132" s="20" t="s">
        <v>1227</v>
      </c>
      <c r="B1132" s="21" t="s">
        <v>726</v>
      </c>
      <c r="C1132" s="21" t="s">
        <v>727</v>
      </c>
      <c r="D1132" s="21" t="s">
        <v>728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1273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1274</v>
      </c>
      <c r="B1134" s="21" t="s">
        <v>804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1275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732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/>
    </row>
    <row r="1138" spans="1:12">
      <c r="A1138" s="20" t="s">
        <v>1276</v>
      </c>
    </row>
    <row r="1139" spans="1:12">
      <c r="A1139" s="20" t="s">
        <v>1277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1278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1279</v>
      </c>
      <c r="B1141" s="21" t="s">
        <v>804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732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/>
    </row>
    <row r="1144" spans="1:12">
      <c r="A1144" s="20" t="s">
        <v>1280</v>
      </c>
    </row>
    <row r="1145" spans="1:12">
      <c r="A1145" s="20" t="s">
        <v>1281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1282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1275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721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905</v>
      </c>
      <c r="B1149" s="21" t="s">
        <v>726</v>
      </c>
      <c r="C1149" s="21" t="s">
        <v>727</v>
      </c>
      <c r="D1149" s="21" t="s">
        <v>728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1283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1284</v>
      </c>
      <c r="B1151" s="21" t="s">
        <v>804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830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1285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1275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769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1286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732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/>
    </row>
    <row r="1159" spans="1:12">
      <c r="A1159" s="20" t="s">
        <v>1287</v>
      </c>
    </row>
    <row r="1160" spans="1:12">
      <c r="A1160" s="20" t="s">
        <v>1227</v>
      </c>
      <c r="B1160" s="21" t="s">
        <v>726</v>
      </c>
      <c r="C1160" s="21" t="s">
        <v>727</v>
      </c>
      <c r="D1160" s="21" t="s">
        <v>728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1288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1284</v>
      </c>
      <c r="B1162" s="21" t="s">
        <v>804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732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/>
    </row>
    <row r="1165" spans="1:12">
      <c r="A1165" s="20" t="s">
        <v>1289</v>
      </c>
    </row>
    <row r="1166" spans="1:12">
      <c r="A1166" s="20" t="s">
        <v>1227</v>
      </c>
      <c r="B1166" s="21" t="s">
        <v>726</v>
      </c>
      <c r="C1166" s="21" t="s">
        <v>727</v>
      </c>
      <c r="D1166" s="21" t="s">
        <v>728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1290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431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1291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732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1292</v>
      </c>
      <c r="B1171" s="21" t="s">
        <v>718</v>
      </c>
      <c r="C1171" s="21" t="s">
        <v>800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1293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1294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820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1295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721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1296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721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1297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721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1298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808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755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997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1299</v>
      </c>
      <c r="B1185" s="21" t="s">
        <v>860</v>
      </c>
      <c r="C1185" s="21" t="s">
        <v>790</v>
      </c>
      <c r="D1185" s="21" t="s">
        <v>728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721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267</v>
      </c>
      <c r="B1187" s="21" t="s">
        <v>860</v>
      </c>
      <c r="C1187" s="21" t="s">
        <v>762</v>
      </c>
      <c r="D1187" s="21" t="s">
        <v>728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808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1134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105</v>
      </c>
      <c r="B1190" s="21" t="s">
        <v>860</v>
      </c>
      <c r="C1190" s="21" t="s">
        <v>790</v>
      </c>
      <c r="D1190" s="21" t="s">
        <v>728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721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1300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1301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1302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854</v>
      </c>
      <c r="B1195" s="21" t="s">
        <v>784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732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/>
    </row>
    <row r="1198" spans="1:12">
      <c r="A1198" s="20" t="s">
        <v>1303</v>
      </c>
    </row>
    <row r="1199" spans="1:12">
      <c r="A1199" s="20" t="s">
        <v>484</v>
      </c>
      <c r="B1199" s="21" t="s">
        <v>726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1304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732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/>
    </row>
    <row r="1203" spans="1:12">
      <c r="A1203" s="20" t="s">
        <v>1305</v>
      </c>
    </row>
    <row r="1204" spans="1:12">
      <c r="A1204" s="20" t="s">
        <v>940</v>
      </c>
      <c r="B1204" s="21" t="s">
        <v>767</v>
      </c>
      <c r="C1204" s="21" t="s">
        <v>727</v>
      </c>
      <c r="D1204" s="21" t="s">
        <v>728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1306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539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721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780</v>
      </c>
      <c r="B1208" s="21" t="s">
        <v>726</v>
      </c>
      <c r="C1208" s="21" t="s">
        <v>727</v>
      </c>
      <c r="D1208" s="21" t="s">
        <v>728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1307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871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1308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869</v>
      </c>
      <c r="B1212" s="21" t="s">
        <v>718</v>
      </c>
      <c r="C1212" s="21" t="s">
        <v>870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1309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732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/>
    </row>
    <row r="1216" spans="1:12">
      <c r="A1216" s="20" t="s">
        <v>1310</v>
      </c>
    </row>
    <row r="1217" spans="1:12">
      <c r="A1217" s="20" t="s">
        <v>1311</v>
      </c>
      <c r="B1217" s="21" t="s">
        <v>726</v>
      </c>
      <c r="C1217" s="21" t="s">
        <v>727</v>
      </c>
      <c r="D1217" s="21" t="s">
        <v>728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1312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755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1313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769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1314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1315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1316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721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808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1317</v>
      </c>
      <c r="B1227" s="21" t="s">
        <v>718</v>
      </c>
      <c r="C1227" s="21" t="s">
        <v>727</v>
      </c>
      <c r="D1227" s="21" t="s">
        <v>728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721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779</v>
      </c>
      <c r="B1229" s="21" t="s">
        <v>789</v>
      </c>
      <c r="C1229" s="21" t="s">
        <v>719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780</v>
      </c>
      <c r="B1230" s="21" t="s">
        <v>812</v>
      </c>
      <c r="C1230" s="21" t="s">
        <v>727</v>
      </c>
      <c r="D1230" s="21" t="s">
        <v>728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1318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721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820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766</v>
      </c>
      <c r="B1234" s="21" t="s">
        <v>812</v>
      </c>
      <c r="C1234" s="21" t="s">
        <v>747</v>
      </c>
      <c r="D1234" s="21" t="s">
        <v>728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1319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 t="s">
        <v>1284</v>
      </c>
      <c r="E1236" s="22">
        <f>IF(D1236="?OLD","!!!","")</f>
        <v/>
      </c>
      <c r="F1236" s="23" t="str">
        <f>IF(OR(E1236="",E1236="!!!"),"",IF(NOT(ISNA(VLOOKUP(E1236,E$1:E1235,1,FALSE()))),"OLD",IF(AND(E1236&lt;&gt;"",E1236&lt;&gt;"!!!"),"NEW","")))</f>
        <v> </v>
      </c>
      <c r="G1236" s="24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5" t="str">
        <f>IF(J1236&lt;&gt;1,"",IF(I1236="SBJ","CB","?"))</f>
        <v> </v>
      </c>
      <c r="I1236" s="26" t="str">
        <f>IF(OR(E1236="",E1236="!!!",F1236="NEW"),"",INDEX(B1235:B$2,-1+SUMPRODUCT(MAX(ROW(E1235:E$2)*(E1236=E1235:E$2)))))</f>
        <v> </v>
      </c>
      <c r="J1236" s="26" t="str">
        <f>IF(OR(E1236="",E1236="!!!",F1236="NEW"),"",COUNTBLANK(OFFSET(A$1,,,SUMPRODUCT(MAX(ROW(E$2:E1236)*(E1236=E$2:E1236)))))-COUNTBLANK(OFFSET(A$1,,,SUMPRODUCT(MAX(ROW(E$1:E1235)*(E2=E$1:E1235))))))</f>
        <v> </v>
      </c>
      <c r="K1236" s="26" t="str">
        <f>IF(OR(E1236="",E1236="!!!",F1236="NEW"),"",INDEX(J$1:J1235,SUMPRODUCT(MAX(ROW(E$1:E1235)*(E1236=E$1:E1235)))))</f>
        <v> </v>
      </c>
      <c r="L1236" s="27"/>
    </row>
    <row r="1237" spans="1:12">
      <c r="A1237" s="20" t="s">
        <v>808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787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1320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721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1321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1322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1323</v>
      </c>
      <c r="B1243" s="21" t="s">
        <v>860</v>
      </c>
      <c r="C1243" s="21" t="s">
        <v>790</v>
      </c>
      <c r="D1243" s="21" t="s">
        <v>728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732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/>
    </row>
    <row r="1246" spans="1:12">
      <c r="A1246" s="20" t="s">
        <v>1324</v>
      </c>
    </row>
    <row r="1247" spans="1:12">
      <c r="A1247" s="20" t="s">
        <v>940</v>
      </c>
      <c r="B1247" s="21" t="s">
        <v>726</v>
      </c>
      <c r="C1247" s="21" t="s">
        <v>727</v>
      </c>
      <c r="D1247" s="21" t="s">
        <v>728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1325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1326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1327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793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1328</v>
      </c>
      <c r="B1252" s="21" t="s">
        <v>718</v>
      </c>
      <c r="C1252" s="21" t="s">
        <v>762</v>
      </c>
      <c r="D1252" s="21" t="s">
        <v>728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732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/>
    </row>
    <row r="1255" spans="1:12">
      <c r="A1255" s="20" t="s">
        <v>1329</v>
      </c>
    </row>
    <row r="1256" spans="1:12">
      <c r="A1256" s="20" t="s">
        <v>1039</v>
      </c>
      <c r="B1256" s="21" t="s">
        <v>726</v>
      </c>
      <c r="C1256" s="21" t="s">
        <v>727</v>
      </c>
      <c r="D1256" s="21" t="s">
        <v>728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1330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362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721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1331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1332</v>
      </c>
      <c r="B1261" s="21" t="s">
        <v>718</v>
      </c>
      <c r="C1261" s="21" t="s">
        <v>891</v>
      </c>
      <c r="D1261" s="21" t="s">
        <v>728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1333</v>
      </c>
      <c r="B1262" s="21" t="s">
        <v>796</v>
      </c>
      <c r="C1262" s="21" t="s">
        <v>762</v>
      </c>
      <c r="D1262" s="21" t="s">
        <v>728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1334</v>
      </c>
      <c r="B1263" s="21" t="s">
        <v>860</v>
      </c>
      <c r="C1263" s="21" t="s">
        <v>762</v>
      </c>
      <c r="D1263" s="21" t="s">
        <v>728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808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1335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1336</v>
      </c>
      <c r="B1266" s="21" t="s">
        <v>796</v>
      </c>
      <c r="C1266" s="21" t="s">
        <v>891</v>
      </c>
      <c r="D1266" s="21" t="s">
        <v>728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1337</v>
      </c>
      <c r="B1267" s="21" t="s">
        <v>860</v>
      </c>
      <c r="C1267" s="21" t="s">
        <v>762</v>
      </c>
      <c r="D1267" s="21" t="s">
        <v>728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732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/>
    </row>
    <row r="1270" spans="1:12">
      <c r="A1270" s="20" t="s">
        <v>1338</v>
      </c>
    </row>
    <row r="1271" spans="1:12">
      <c r="A1271" s="20" t="s">
        <v>1339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839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/>
    </row>
    <row r="1274" spans="1:12">
      <c r="A1274" s="20" t="s">
        <v>1340</v>
      </c>
    </row>
    <row r="1275" spans="1:12">
      <c r="A1275" s="20" t="s">
        <v>1341</v>
      </c>
      <c r="B1275" s="21" t="s">
        <v>726</v>
      </c>
      <c r="C1275" s="21" t="s">
        <v>727</v>
      </c>
      <c r="D1275" s="21" t="s">
        <v>728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1342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900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1343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1344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721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725</v>
      </c>
      <c r="B1281" s="21" t="s">
        <v>767</v>
      </c>
      <c r="C1281" s="21" t="s">
        <v>727</v>
      </c>
      <c r="D1281" s="21" t="s">
        <v>728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1345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 t="s">
        <v>808</v>
      </c>
      <c r="E1283" s="22">
        <f>IF(D1283="?OLD","!!!","")</f>
        <v/>
      </c>
      <c r="F1283" s="23" t="str">
        <f>IF(OR(E1283="",E1283="!!!"),"",IF(NOT(ISNA(VLOOKUP(E1283,E$1:E1282,1,FALSE()))),"OLD",IF(AND(E1283&lt;&gt;"",E1283&lt;&gt;"!!!"),"NEW","")))</f>
        <v> </v>
      </c>
      <c r="G1283" s="24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5" t="str">
        <f>IF(J1283&lt;&gt;1,"",IF(I1283="SBJ","CB","?"))</f>
        <v> </v>
      </c>
      <c r="I1283" s="26" t="str">
        <f>IF(OR(E1283="",E1283="!!!",F1283="NEW"),"",INDEX(B1282:B$2,-1+SUMPRODUCT(MAX(ROW(E1282:E$2)*(E1283=E1282:E$2)))))</f>
        <v> </v>
      </c>
      <c r="J1283" s="26" t="str">
        <f>IF(OR(E1283="",E1283="!!!",F1283="NEW"),"",COUNTBLANK(OFFSET(A$1,,,SUMPRODUCT(MAX(ROW(E$2:E1283)*(E1283=E$2:E1283)))))-COUNTBLANK(OFFSET(A$1,,,SUMPRODUCT(MAX(ROW(E$1:E1282)*(E2=E$1:E1282))))))</f>
        <v> </v>
      </c>
      <c r="K1283" s="26" t="str">
        <f>IF(OR(E1283="",E1283="!!!",F1283="NEW"),"",INDEX(J$1:J1282,SUMPRODUCT(MAX(ROW(E$1:E1282)*(E1283=E$1:E1282)))))</f>
        <v> </v>
      </c>
      <c r="L1283" s="27"/>
    </row>
    <row r="1284" spans="1:12">
      <c r="A1284" s="20" t="s">
        <v>1346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984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721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1347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900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1348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755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1349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721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980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267</v>
      </c>
      <c r="B1294" s="21" t="s">
        <v>767</v>
      </c>
      <c r="C1294" s="21" t="s">
        <v>762</v>
      </c>
      <c r="D1294" s="21" t="s">
        <v>728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1350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1351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1352</v>
      </c>
      <c r="B1297" s="21" t="s">
        <v>784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900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1353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732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/>
    </row>
    <row r="1302" spans="1:12">
      <c r="A1302" s="20" t="s">
        <v>1354</v>
      </c>
    </row>
    <row r="1303" spans="1:12">
      <c r="A1303" s="20" t="s">
        <v>1355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974</v>
      </c>
      <c r="B1304" s="21" t="s">
        <v>726</v>
      </c>
      <c r="C1304" s="21" t="s">
        <v>727</v>
      </c>
      <c r="D1304" s="21" t="s">
        <v>728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1356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1357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1358</v>
      </c>
      <c r="B1307" s="21" t="s">
        <v>804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12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1359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1360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721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984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974</v>
      </c>
      <c r="B1313" s="21" t="s">
        <v>767</v>
      </c>
      <c r="C1313" s="21" t="s">
        <v>727</v>
      </c>
      <c r="D1313" s="21" t="s">
        <v>728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1361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1098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1362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1363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1364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721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980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1325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974</v>
      </c>
      <c r="B1322" s="21" t="s">
        <v>767</v>
      </c>
      <c r="C1322" s="21" t="s">
        <v>727</v>
      </c>
      <c r="D1322" s="21" t="s">
        <v>728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1365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1366</v>
      </c>
      <c r="B1324" s="21" t="s">
        <v>784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1367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721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771</v>
      </c>
      <c r="B1327" s="21" t="s">
        <v>826</v>
      </c>
      <c r="C1327" s="21" t="s">
        <v>719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1368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1369</v>
      </c>
      <c r="B1329" s="21" t="s">
        <v>1006</v>
      </c>
      <c r="C1329" s="21" t="s">
        <v>727</v>
      </c>
      <c r="D1329" s="21" t="s">
        <v>728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1098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1370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1371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732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/>
    </row>
    <row r="1335" spans="1:12">
      <c r="A1335" s="20" t="s">
        <v>1372</v>
      </c>
    </row>
    <row r="1336" spans="1:12">
      <c r="A1336" s="20" t="s">
        <v>1373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721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267</v>
      </c>
      <c r="B1338" s="21" t="s">
        <v>726</v>
      </c>
      <c r="C1338" s="21" t="s">
        <v>762</v>
      </c>
      <c r="D1338" s="21" t="s">
        <v>728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1374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1375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1376</v>
      </c>
      <c r="B1341" s="21" t="s">
        <v>804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1377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1378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755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1379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1380</v>
      </c>
      <c r="B1346" s="21" t="s">
        <v>718</v>
      </c>
      <c r="C1346" s="21" t="s">
        <v>891</v>
      </c>
      <c r="D1346" s="21" t="s">
        <v>728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1381</v>
      </c>
      <c r="B1347" s="21" t="s">
        <v>796</v>
      </c>
      <c r="C1347" s="21" t="s">
        <v>762</v>
      </c>
      <c r="D1347" s="21" t="s">
        <v>728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755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1382</v>
      </c>
      <c r="B1349" s="21" t="s">
        <v>796</v>
      </c>
      <c r="C1349" s="21" t="s">
        <v>762</v>
      </c>
      <c r="D1349" s="21" t="s">
        <v>728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732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/>
    </row>
    <row r="1352" spans="1:12">
      <c r="A1352" s="20" t="s">
        <v>1383</v>
      </c>
    </row>
    <row r="1353" spans="1:12">
      <c r="A1353" s="20" t="s">
        <v>940</v>
      </c>
      <c r="B1353" s="21" t="s">
        <v>726</v>
      </c>
      <c r="C1353" s="21" t="s">
        <v>727</v>
      </c>
      <c r="D1353" s="21" t="s">
        <v>728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809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953</v>
      </c>
      <c r="B1355" s="21" t="s">
        <v>804</v>
      </c>
      <c r="C1355" s="21" t="s">
        <v>727</v>
      </c>
      <c r="D1355" s="21" t="s">
        <v>728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721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848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974</v>
      </c>
      <c r="B1358" s="21" t="s">
        <v>767</v>
      </c>
      <c r="C1358" s="21" t="s">
        <v>727</v>
      </c>
      <c r="D1358" s="21" t="s">
        <v>728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1384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1385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1386</v>
      </c>
      <c r="B1361" s="21" t="s">
        <v>796</v>
      </c>
      <c r="C1361" s="21" t="s">
        <v>747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900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1160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732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/>
    </row>
    <row r="1366" spans="1:12">
      <c r="A1366" s="20" t="s">
        <v>1387</v>
      </c>
    </row>
    <row r="1367" spans="1:12">
      <c r="A1367" s="20" t="s">
        <v>1039</v>
      </c>
      <c r="B1367" s="21" t="s">
        <v>726</v>
      </c>
      <c r="C1367" s="21" t="s">
        <v>727</v>
      </c>
      <c r="D1367" s="21" t="s">
        <v>728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809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721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12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1388</v>
      </c>
      <c r="B1371" s="21" t="s">
        <v>718</v>
      </c>
      <c r="C1371" s="21" t="s">
        <v>762</v>
      </c>
      <c r="D1371" s="21" t="s">
        <v>728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839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/>
    </row>
    <row r="1374" spans="1:12">
      <c r="A1374" s="20" t="s">
        <v>1389</v>
      </c>
    </row>
    <row r="1375" spans="1:12">
      <c r="A1375" s="20" t="s">
        <v>940</v>
      </c>
      <c r="B1375" s="21" t="s">
        <v>726</v>
      </c>
      <c r="C1375" s="21" t="s">
        <v>727</v>
      </c>
      <c r="D1375" s="21" t="s">
        <v>728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871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729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869</v>
      </c>
      <c r="B1378" s="21" t="s">
        <v>718</v>
      </c>
      <c r="C1378" s="21" t="s">
        <v>870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1098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1160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732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/>
    </row>
    <row r="1383" spans="1:12">
      <c r="A1383" s="20" t="s">
        <v>1390</v>
      </c>
    </row>
    <row r="1384" spans="1:12">
      <c r="A1384" s="20" t="s">
        <v>940</v>
      </c>
      <c r="B1384" s="21" t="s">
        <v>726</v>
      </c>
      <c r="C1384" s="21" t="s">
        <v>727</v>
      </c>
      <c r="D1384" s="21" t="s">
        <v>728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391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1391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1392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983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984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974</v>
      </c>
      <c r="B1390" s="21" t="s">
        <v>767</v>
      </c>
      <c r="C1390" s="21" t="s">
        <v>727</v>
      </c>
      <c r="D1390" s="21" t="s">
        <v>728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1393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769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1394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1098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1395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1396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721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1397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808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1398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1399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1400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732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/>
    </row>
    <row r="1405" spans="1:12">
      <c r="A1405" s="20" t="s">
        <v>1401</v>
      </c>
    </row>
    <row r="1406" spans="1:12">
      <c r="A1406" s="20" t="s">
        <v>934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1402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1403</v>
      </c>
      <c r="B1408" s="21" t="s">
        <v>804</v>
      </c>
      <c r="C1408" s="21" t="s">
        <v>727</v>
      </c>
      <c r="D1408" s="21" t="s">
        <v>728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938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721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766</v>
      </c>
      <c r="B1411" s="21" t="s">
        <v>767</v>
      </c>
      <c r="C1411" s="21" t="s">
        <v>747</v>
      </c>
      <c r="D1411" s="21" t="s">
        <v>728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741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1199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1404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721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1096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1097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721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1405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1406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721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1317</v>
      </c>
      <c r="B1422" s="21" t="s">
        <v>718</v>
      </c>
      <c r="C1422" s="21" t="s">
        <v>747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1407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732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/>
    </row>
    <row r="1426" spans="1:12">
      <c r="A1426" s="20" t="s">
        <v>1408</v>
      </c>
    </row>
    <row r="1427" spans="1:12">
      <c r="A1427" s="20" t="s">
        <v>746</v>
      </c>
      <c r="B1427" s="21" t="s">
        <v>726</v>
      </c>
      <c r="C1427" s="21" t="s">
        <v>747</v>
      </c>
      <c r="D1427" s="21" t="s">
        <v>728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1409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721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880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725</v>
      </c>
      <c r="B1431" s="21" t="s">
        <v>767</v>
      </c>
      <c r="C1431" s="21" t="s">
        <v>727</v>
      </c>
      <c r="D1431" s="21" t="s">
        <v>728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1326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1410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732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/>
    </row>
    <row r="1436" spans="1:12">
      <c r="A1436" s="20" t="s">
        <v>1411</v>
      </c>
    </row>
    <row r="1437" spans="1:12">
      <c r="A1437" s="20" t="s">
        <v>940</v>
      </c>
      <c r="B1437" s="21" t="s">
        <v>726</v>
      </c>
      <c r="C1437" s="21" t="s">
        <v>727</v>
      </c>
      <c r="D1437" s="21" t="s">
        <v>728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1412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1413</v>
      </c>
      <c r="B1439" s="21" t="s">
        <v>804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965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1414</v>
      </c>
      <c r="B1441" s="21" t="s">
        <v>718</v>
      </c>
      <c r="C1441" s="21" t="s">
        <v>891</v>
      </c>
      <c r="D1441" s="21" t="s">
        <v>728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1415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1416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1417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923</v>
      </c>
      <c r="B1445" s="21" t="s">
        <v>796</v>
      </c>
      <c r="C1445" s="21" t="s">
        <v>790</v>
      </c>
      <c r="D1445" s="21" t="s">
        <v>728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721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1418</v>
      </c>
      <c r="B1447" s="21" t="s">
        <v>1006</v>
      </c>
      <c r="C1447" s="21" t="s">
        <v>719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725</v>
      </c>
      <c r="B1448" s="21" t="s">
        <v>826</v>
      </c>
      <c r="C1448" s="21" t="s">
        <v>727</v>
      </c>
      <c r="D1448" s="21" t="s">
        <v>728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1151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1419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1420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732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/>
    </row>
    <row r="1454" spans="1:12">
      <c r="A1454" s="20" t="s">
        <v>1421</v>
      </c>
    </row>
    <row r="1455" spans="1:12">
      <c r="A1455" s="20" t="s">
        <v>1024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725</v>
      </c>
      <c r="B1456" s="21" t="s">
        <v>726</v>
      </c>
      <c r="C1456" s="21" t="s">
        <v>727</v>
      </c>
      <c r="D1456" s="21" t="s">
        <v>728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1422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953</v>
      </c>
      <c r="B1458" s="21" t="s">
        <v>804</v>
      </c>
      <c r="C1458" s="21" t="s">
        <v>727</v>
      </c>
      <c r="D1458" s="21" t="s">
        <v>728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808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809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721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12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1423</v>
      </c>
      <c r="B1463" s="21" t="s">
        <v>796</v>
      </c>
      <c r="C1463" s="21" t="s">
        <v>762</v>
      </c>
      <c r="D1463" s="21" t="s">
        <v>728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721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779</v>
      </c>
      <c r="B1465" s="21" t="s">
        <v>826</v>
      </c>
      <c r="C1465" s="21" t="s">
        <v>719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1424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1147</v>
      </c>
      <c r="B1467" s="21" t="s">
        <v>978</v>
      </c>
      <c r="C1467" s="21" t="s">
        <v>833</v>
      </c>
      <c r="D1467" s="21" t="s">
        <v>728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788</v>
      </c>
      <c r="B1468" s="21" t="s">
        <v>1006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1425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1426</v>
      </c>
      <c r="B1470" s="21" t="s">
        <v>1004</v>
      </c>
      <c r="C1470" s="21" t="s">
        <v>747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839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1007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1039</v>
      </c>
      <c r="B1473" s="21" t="s">
        <v>772</v>
      </c>
      <c r="C1473" s="21" t="s">
        <v>727</v>
      </c>
      <c r="D1473" s="21" t="s">
        <v>728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1427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769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1068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732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/>
    </row>
    <row r="1479" spans="1:12">
      <c r="A1479" s="20" t="s">
        <v>1428</v>
      </c>
    </row>
    <row r="1480" spans="1:12">
      <c r="A1480" s="20" t="s">
        <v>1429</v>
      </c>
      <c r="B1480" s="21" t="s">
        <v>726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1430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721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1431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721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820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1068</v>
      </c>
      <c r="B1486" s="21" t="s">
        <v>767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721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1432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721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1433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820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1317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766</v>
      </c>
      <c r="B1493" s="21" t="s">
        <v>826</v>
      </c>
      <c r="C1493" s="21" t="s">
        <v>747</v>
      </c>
      <c r="D1493" s="21" t="s">
        <v>728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1434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721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880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779</v>
      </c>
      <c r="B1497" s="21" t="s">
        <v>772</v>
      </c>
      <c r="C1497" s="21" t="s">
        <v>719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1435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1436</v>
      </c>
      <c r="B1499" s="21" t="s">
        <v>832</v>
      </c>
      <c r="C1499" s="21" t="s">
        <v>833</v>
      </c>
      <c r="D1499" s="21" t="s">
        <v>728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29</v>
      </c>
      <c r="B1500" s="21" t="s">
        <v>772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839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/>
    </row>
    <row r="1503" spans="1:12">
      <c r="A1503" s="20" t="s">
        <v>1437</v>
      </c>
    </row>
    <row r="1504" spans="1:12">
      <c r="A1504" s="20" t="s">
        <v>1438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132</v>
      </c>
      <c r="B1505" s="21" t="s">
        <v>718</v>
      </c>
      <c r="C1505" s="21" t="s">
        <v>1069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913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914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839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1007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717</v>
      </c>
      <c r="B1510" s="21" t="s">
        <v>1004</v>
      </c>
      <c r="C1510" s="21" t="s">
        <v>719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720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721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974</v>
      </c>
      <c r="B1513" s="21" t="s">
        <v>826</v>
      </c>
      <c r="C1513" s="21" t="s">
        <v>727</v>
      </c>
      <c r="D1513" s="21" t="s">
        <v>728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821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803</v>
      </c>
      <c r="B1515" s="21" t="s">
        <v>1006</v>
      </c>
      <c r="C1515" s="21" t="s">
        <v>727</v>
      </c>
      <c r="D1515" s="21" t="s">
        <v>728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721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779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766</v>
      </c>
      <c r="B1518" s="21" t="s">
        <v>772</v>
      </c>
      <c r="C1518" s="21" t="s">
        <v>747</v>
      </c>
      <c r="D1518" s="21" t="s">
        <v>728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1439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1440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1441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721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779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29</v>
      </c>
      <c r="B1524" s="21" t="s">
        <v>1442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1435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825</v>
      </c>
      <c r="B1526" s="21" t="s">
        <v>1190</v>
      </c>
      <c r="C1526" s="21" t="s">
        <v>747</v>
      </c>
      <c r="D1526" s="21" t="s">
        <v>728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721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779</v>
      </c>
      <c r="B1528" s="21" t="s">
        <v>1443</v>
      </c>
      <c r="C1528" s="21" t="s">
        <v>719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811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1444</v>
      </c>
      <c r="B1530" s="21" t="s">
        <v>1114</v>
      </c>
      <c r="C1530" s="21" t="s">
        <v>727</v>
      </c>
      <c r="D1530" s="21" t="s">
        <v>728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1445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755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922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1446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732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/>
    </row>
    <row r="1537" spans="1:12">
      <c r="A1537" s="20" t="s">
        <v>1447</v>
      </c>
    </row>
    <row r="1538" spans="1:12">
      <c r="A1538" s="20" t="s">
        <v>1448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417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721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1432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721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1449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820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766</v>
      </c>
      <c r="B1545" s="21" t="s">
        <v>767</v>
      </c>
      <c r="C1545" s="21" t="s">
        <v>747</v>
      </c>
      <c r="D1545" s="21" t="s">
        <v>728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825</v>
      </c>
      <c r="B1546" s="21" t="s">
        <v>718</v>
      </c>
      <c r="C1546" s="21" t="s">
        <v>747</v>
      </c>
      <c r="D1546" s="21" t="s">
        <v>728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721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1003</v>
      </c>
      <c r="B1548" s="21" t="s">
        <v>860</v>
      </c>
      <c r="C1548" s="21" t="s">
        <v>719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1450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29</v>
      </c>
      <c r="B1550" s="21" t="s">
        <v>812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732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/>
    </row>
    <row r="1553" spans="1:12">
      <c r="A1553" s="20" t="s">
        <v>1451</v>
      </c>
    </row>
    <row r="1554" spans="1:12">
      <c r="A1554" s="20" t="s">
        <v>1452</v>
      </c>
      <c r="B1554" s="21" t="s">
        <v>726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1439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1453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721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1439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1454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721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779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1455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698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1456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1090</v>
      </c>
      <c r="B1565" s="21" t="s">
        <v>826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732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/>
    </row>
    <row r="1568" spans="1:12">
      <c r="A1568" s="20" t="s">
        <v>1457</v>
      </c>
    </row>
    <row r="1569" spans="1:12">
      <c r="A1569" s="20" t="s">
        <v>1458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1459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1098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770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721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771</v>
      </c>
      <c r="B1574" s="21" t="s">
        <v>812</v>
      </c>
      <c r="C1574" s="21" t="s">
        <v>719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871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1460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1461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1462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839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/>
    </row>
    <row r="1581" spans="1:12">
      <c r="A1581" s="20" t="s">
        <v>1463</v>
      </c>
    </row>
    <row r="1582" spans="1:12">
      <c r="A1582" s="20" t="s">
        <v>1464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755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1465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847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946</v>
      </c>
      <c r="B1586" s="21" t="s">
        <v>718</v>
      </c>
      <c r="C1586" s="21" t="s">
        <v>790</v>
      </c>
      <c r="D1586" s="21" t="s">
        <v>728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843</v>
      </c>
      <c r="B1587" s="21" t="s">
        <v>726</v>
      </c>
      <c r="C1587" s="21" t="s">
        <v>727</v>
      </c>
      <c r="D1587" s="21" t="s">
        <v>728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1466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793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1328</v>
      </c>
      <c r="B1590" s="21" t="s">
        <v>718</v>
      </c>
      <c r="C1590" s="21" t="s">
        <v>762</v>
      </c>
      <c r="D1590" s="21" t="s">
        <v>728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942</v>
      </c>
      <c r="B1591" s="21" t="s">
        <v>796</v>
      </c>
      <c r="C1591" s="21" t="s">
        <v>833</v>
      </c>
      <c r="D1591" s="21" t="s">
        <v>728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1467</v>
      </c>
      <c r="B1592" s="21" t="s">
        <v>726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721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808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725</v>
      </c>
      <c r="B1595" s="21" t="s">
        <v>767</v>
      </c>
      <c r="C1595" s="21" t="s">
        <v>727</v>
      </c>
      <c r="D1595" s="21" t="s">
        <v>728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809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953</v>
      </c>
      <c r="B1597" s="21" t="s">
        <v>784</v>
      </c>
      <c r="C1597" s="21" t="s">
        <v>727</v>
      </c>
      <c r="D1597" s="21" t="s">
        <v>728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721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12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1468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1261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721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1469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1470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1471</v>
      </c>
      <c r="B1605" s="21" t="s">
        <v>772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721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12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755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1472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965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1473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1294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721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1144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725</v>
      </c>
      <c r="B1615" s="21" t="s">
        <v>1114</v>
      </c>
      <c r="C1615" s="21" t="s">
        <v>727</v>
      </c>
      <c r="D1615" s="21" t="s">
        <v>728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1326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1474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721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12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1475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780</v>
      </c>
      <c r="B1621" s="21" t="s">
        <v>1476</v>
      </c>
      <c r="C1621" s="21" t="s">
        <v>727</v>
      </c>
      <c r="D1621" s="21" t="s">
        <v>728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1477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1478</v>
      </c>
      <c r="B1623" s="21" t="s">
        <v>1479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839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1007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1014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1194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1480</v>
      </c>
      <c r="B1628" s="21" t="s">
        <v>1481</v>
      </c>
      <c r="C1628" s="21" t="s">
        <v>790</v>
      </c>
      <c r="D1628" s="21" t="s">
        <v>728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721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1482</v>
      </c>
      <c r="B1630" s="21" t="s">
        <v>1483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1484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1485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1486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1487</v>
      </c>
      <c r="B1634" s="21" t="s">
        <v>1488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732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/>
    </row>
    <row r="1637" spans="1:12">
      <c r="A1637" s="20" t="s">
        <v>1489</v>
      </c>
    </row>
    <row r="1638" spans="1:12">
      <c r="A1638" s="20" t="s">
        <v>1341</v>
      </c>
      <c r="B1638" s="21" t="s">
        <v>726</v>
      </c>
      <c r="C1638" s="21" t="s">
        <v>727</v>
      </c>
      <c r="D1638" s="21" t="s">
        <v>728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1490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722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1491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721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808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1492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1493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1494</v>
      </c>
      <c r="B1646" s="21" t="s">
        <v>767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721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1495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808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1495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1496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1497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721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1026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476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1498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721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846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964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721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848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736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780</v>
      </c>
      <c r="B1663" s="21" t="s">
        <v>767</v>
      </c>
      <c r="C1663" s="21" t="s">
        <v>727</v>
      </c>
      <c r="D1663" s="21" t="s">
        <v>728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1499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1500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732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/>
    </row>
    <row r="1668" spans="1:12">
      <c r="A1668" s="20" t="s">
        <v>1501</v>
      </c>
    </row>
    <row r="1669" spans="1:12">
      <c r="A1669" s="20" t="s">
        <v>1502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974</v>
      </c>
      <c r="B1670" s="21" t="s">
        <v>726</v>
      </c>
      <c r="C1670" s="21" t="s">
        <v>727</v>
      </c>
      <c r="D1670" s="21" t="s">
        <v>728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1503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721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12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821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974</v>
      </c>
      <c r="B1675" s="21" t="s">
        <v>826</v>
      </c>
      <c r="C1675" s="21" t="s">
        <v>727</v>
      </c>
      <c r="D1675" s="21" t="s">
        <v>728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721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12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1504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769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942</v>
      </c>
      <c r="B1680" s="21" t="s">
        <v>1004</v>
      </c>
      <c r="C1680" s="21" t="s">
        <v>833</v>
      </c>
      <c r="D1680" s="21" t="s">
        <v>728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1505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721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905</v>
      </c>
      <c r="B1683" s="21" t="s">
        <v>826</v>
      </c>
      <c r="C1683" s="21" t="s">
        <v>727</v>
      </c>
      <c r="D1683" s="21" t="s">
        <v>728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1506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721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905</v>
      </c>
      <c r="B1686" s="21" t="s">
        <v>826</v>
      </c>
      <c r="C1686" s="21" t="s">
        <v>727</v>
      </c>
      <c r="D1686" s="21" t="s">
        <v>728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1507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732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/>
    </row>
    <row r="1690" spans="1:12">
      <c r="A1690" s="20" t="s">
        <v>1508</v>
      </c>
    </row>
    <row r="1691" spans="1:12">
      <c r="A1691" s="20" t="s">
        <v>1509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839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/>
    </row>
    <row r="1694" spans="1:12">
      <c r="A1694" s="20" t="s">
        <v>1510</v>
      </c>
    </row>
    <row r="1695" spans="1:12">
      <c r="A1695" s="20" t="s">
        <v>940</v>
      </c>
      <c r="B1695" s="21" t="s">
        <v>726</v>
      </c>
      <c r="C1695" s="21" t="s">
        <v>727</v>
      </c>
      <c r="D1695" s="21" t="s">
        <v>728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1326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1511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1512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793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1513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732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/>
    </row>
    <row r="1703" spans="1:12">
      <c r="A1703" s="20" t="s">
        <v>1514</v>
      </c>
    </row>
    <row r="1704" spans="1:12">
      <c r="A1704" s="20" t="s">
        <v>940</v>
      </c>
      <c r="B1704" s="21" t="s">
        <v>726</v>
      </c>
      <c r="C1704" s="21" t="s">
        <v>727</v>
      </c>
      <c r="D1704" s="21" t="s">
        <v>728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809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721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12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1423</v>
      </c>
      <c r="B1708" s="21" t="s">
        <v>718</v>
      </c>
      <c r="C1708" s="21" t="s">
        <v>762</v>
      </c>
      <c r="D1708" s="21" t="s">
        <v>728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721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905</v>
      </c>
      <c r="B1710" s="21" t="s">
        <v>767</v>
      </c>
      <c r="C1710" s="21" t="s">
        <v>727</v>
      </c>
      <c r="D1710" s="21" t="s">
        <v>728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1515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1516</v>
      </c>
      <c r="B1712" s="21" t="s">
        <v>860</v>
      </c>
      <c r="C1712" s="21" t="s">
        <v>833</v>
      </c>
      <c r="D1712" s="21" t="s">
        <v>728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1517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839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1007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1518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721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12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1077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974</v>
      </c>
      <c r="B1720" s="21" t="s">
        <v>767</v>
      </c>
      <c r="C1720" s="21" t="s">
        <v>727</v>
      </c>
      <c r="D1720" s="21" t="s">
        <v>728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732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/>
    </row>
    <row r="1723" spans="1:12">
      <c r="A1723" s="20" t="s">
        <v>1519</v>
      </c>
    </row>
    <row r="1724" spans="1:12">
      <c r="A1724" s="20" t="s">
        <v>975</v>
      </c>
      <c r="B1724" s="21" t="s">
        <v>726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1520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1521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1260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88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856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977</v>
      </c>
      <c r="B1730" s="21" t="s">
        <v>860</v>
      </c>
      <c r="C1730" s="21" t="s">
        <v>833</v>
      </c>
      <c r="D1730" s="21" t="s">
        <v>728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923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808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1522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1523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732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/>
    </row>
    <row r="1737" spans="1:12">
      <c r="A1737" s="20" t="s">
        <v>1524</v>
      </c>
    </row>
    <row r="1738" spans="1:12">
      <c r="A1738" s="20" t="s">
        <v>717</v>
      </c>
      <c r="B1738" s="21" t="s">
        <v>718</v>
      </c>
      <c r="C1738" s="21" t="s">
        <v>719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720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721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755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1525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1526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721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769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794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1527</v>
      </c>
      <c r="B1747" s="21" t="s">
        <v>718</v>
      </c>
      <c r="C1747" s="21" t="s">
        <v>790</v>
      </c>
      <c r="D1747" s="21" t="s">
        <v>728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741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1528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1529</v>
      </c>
      <c r="B1750" s="21" t="s">
        <v>726</v>
      </c>
      <c r="C1750" s="21" t="s">
        <v>800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1260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721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1530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1531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1532</v>
      </c>
      <c r="B1755" s="21" t="s">
        <v>796</v>
      </c>
      <c r="C1755" s="21" t="s">
        <v>800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732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/>
    </row>
    <row r="1758" spans="1:12">
      <c r="A1758" s="20" t="s">
        <v>1533</v>
      </c>
    </row>
    <row r="1759" spans="1:12">
      <c r="A1759" s="20" t="s">
        <v>930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1534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946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766</v>
      </c>
      <c r="B1762" s="21" t="s">
        <v>726</v>
      </c>
      <c r="C1762" s="21" t="s">
        <v>747</v>
      </c>
      <c r="D1762" s="21" t="s">
        <v>728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1535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458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808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1049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859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1536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1537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1391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1538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1539</v>
      </c>
      <c r="B1772" s="21" t="s">
        <v>1004</v>
      </c>
      <c r="C1772" s="21" t="s">
        <v>762</v>
      </c>
      <c r="D1772" s="21" t="s">
        <v>728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1540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1541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1542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732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/>
    </row>
    <row r="1778" spans="1:12">
      <c r="A1778" s="20" t="s">
        <v>1543</v>
      </c>
    </row>
    <row r="1779" spans="1:12">
      <c r="A1779" s="20" t="s">
        <v>940</v>
      </c>
      <c r="B1779" s="21" t="s">
        <v>726</v>
      </c>
      <c r="C1779" s="21" t="s">
        <v>727</v>
      </c>
      <c r="D1779" s="21" t="s">
        <v>728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955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721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12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1423</v>
      </c>
      <c r="B1783" s="21" t="s">
        <v>767</v>
      </c>
      <c r="C1783" s="21" t="s">
        <v>762</v>
      </c>
      <c r="D1783" s="21" t="s">
        <v>728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721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1544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721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1545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1260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1254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766</v>
      </c>
      <c r="B1790" s="21" t="s">
        <v>812</v>
      </c>
      <c r="C1790" s="21" t="s">
        <v>747</v>
      </c>
      <c r="D1790" s="21" t="s">
        <v>728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 t="s">
        <v>1546</v>
      </c>
      <c r="E1791" s="22">
        <f>IF(D1791="?OLD","!!!","")</f>
        <v/>
      </c>
      <c r="F1791" s="23" t="str">
        <f>IF(OR(E1791="",E1791="!!!"),"",IF(NOT(ISNA(VLOOKUP(E1791,E$1:E1790,1,FALSE()))),"OLD",IF(AND(E1791&lt;&gt;"",E1791&lt;&gt;"!!!"),"NEW","")))</f>
        <v> </v>
      </c>
      <c r="G1791" s="24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5" t="str">
        <f>IF(J1791&lt;&gt;1,"",IF(I1791="SBJ","CB","?"))</f>
        <v> </v>
      </c>
      <c r="I1791" s="26" t="str">
        <f>IF(OR(E1791="",E1791="!!!",F1791="NEW"),"",INDEX(B1790:B$2,-1+SUMPRODUCT(MAX(ROW(E1790:E$2)*(E1791=E1790:E$2)))))</f>
        <v> </v>
      </c>
      <c r="J1791" s="26" t="str">
        <f>IF(OR(E1791="",E1791="!!!",F1791="NEW"),"",COUNTBLANK(OFFSET(A$1,,,SUMPRODUCT(MAX(ROW(E$2:E1791)*(E1791=E$2:E1791)))))-COUNTBLANK(OFFSET(A$1,,,SUMPRODUCT(MAX(ROW(E$1:E1790)*(E2=E$1:E1790))))))</f>
        <v> </v>
      </c>
      <c r="K1791" s="26" t="str">
        <f>IF(OR(E1791="",E1791="!!!",F1791="NEW"),"",INDEX(J$1:J1790,SUMPRODUCT(MAX(ROW(E$1:E1790)*(E1791=E$1:E1790)))))</f>
        <v> </v>
      </c>
      <c r="L1791" s="27"/>
    </row>
    <row r="1792" spans="1:12">
      <c r="A1792" s="20" t="s">
        <v>721</v>
      </c>
      <c r="E1792" s="22">
        <f>IF(D1792="?OLD","!!!","")</f>
        <v/>
      </c>
      <c r="F1792" s="23" t="str">
        <f>IF(OR(E1792="",E1792="!!!"),"",IF(NOT(ISNA(VLOOKUP(E1792,E$1:E1791,1,FALSE()))),"OLD",IF(AND(E1792&lt;&gt;"",E1792&lt;&gt;"!!!"),"NEW","")))</f>
        <v> </v>
      </c>
      <c r="G1792" s="24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5" t="str">
        <f>IF(J1792&lt;&gt;1,"",IF(I1792="SBJ","CB","?"))</f>
        <v> </v>
      </c>
      <c r="I1792" s="26" t="str">
        <f>IF(OR(E1792="",E1792="!!!",F1792="NEW"),"",INDEX(B1791:B$2,-1+SUMPRODUCT(MAX(ROW(E1791:E$2)*(E1792=E1791:E$2)))))</f>
        <v> </v>
      </c>
      <c r="J1792" s="26" t="str">
        <f>IF(OR(E1792="",E1792="!!!",F1792="NEW"),"",COUNTBLANK(OFFSET(A$1,,,SUMPRODUCT(MAX(ROW(E$2:E1792)*(E1792=E$2:E1792)))))-COUNTBLANK(OFFSET(A$1,,,SUMPRODUCT(MAX(ROW(E$1:E1791)*(E2=E$1:E1791))))))</f>
        <v> </v>
      </c>
      <c r="K1792" s="26" t="str">
        <f>IF(OR(E1792="",E1792="!!!",F1792="NEW"),"",INDEX(J$1:J1791,SUMPRODUCT(MAX(ROW(E$1:E1791)*(E1792=E$1:E1791)))))</f>
        <v> </v>
      </c>
      <c r="L1792" s="27"/>
    </row>
    <row r="1793" spans="1:12">
      <c r="A1793" s="20" t="s">
        <v>1002</v>
      </c>
      <c r="B1793" s="21" t="s">
        <v>978</v>
      </c>
      <c r="C1793" s="21" t="s">
        <v>719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1547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769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1293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1548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839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1007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1039</v>
      </c>
      <c r="B1800" s="21" t="s">
        <v>1442</v>
      </c>
      <c r="C1800" s="21" t="s">
        <v>727</v>
      </c>
      <c r="D1800" s="21" t="s">
        <v>728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1549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1550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721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12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1551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1039</v>
      </c>
      <c r="B1806" s="21" t="s">
        <v>967</v>
      </c>
      <c r="C1806" s="21" t="s">
        <v>727</v>
      </c>
      <c r="D1806" s="21" t="s">
        <v>728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973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721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12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975</v>
      </c>
      <c r="B1810" s="21" t="s">
        <v>967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1552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1553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721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871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1554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732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/>
    </row>
    <row r="1818" spans="1:12">
      <c r="A1818" s="20" t="s">
        <v>1555</v>
      </c>
    </row>
    <row r="1819" spans="1:12">
      <c r="A1819" s="20" t="s">
        <v>746</v>
      </c>
      <c r="B1819" s="21" t="s">
        <v>726</v>
      </c>
      <c r="C1819" s="21" t="s">
        <v>747</v>
      </c>
      <c r="D1819" s="21" t="s">
        <v>728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1556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466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732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/>
    </row>
    <row r="1824" spans="1:12">
      <c r="A1824" s="20" t="s">
        <v>1557</v>
      </c>
    </row>
    <row r="1825" spans="1:12">
      <c r="A1825" s="20" t="s">
        <v>1558</v>
      </c>
      <c r="B1825" s="21" t="s">
        <v>726</v>
      </c>
      <c r="C1825" s="21" t="s">
        <v>762</v>
      </c>
      <c r="D1825" s="21" t="s">
        <v>728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1559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1560</v>
      </c>
      <c r="B1827" s="21" t="s">
        <v>804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732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/>
    </row>
    <row r="1830" spans="1:12">
      <c r="A1830" s="20" t="s">
        <v>1561</v>
      </c>
    </row>
    <row r="1831" spans="1:12">
      <c r="A1831" s="20" t="s">
        <v>1562</v>
      </c>
      <c r="B1831" s="21" t="s">
        <v>726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1559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1432</v>
      </c>
      <c r="B1833" s="21" t="s">
        <v>804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732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/>
    </row>
    <row r="1836" spans="1:12">
      <c r="A1836" s="20" t="s">
        <v>1563</v>
      </c>
    </row>
    <row r="1837" spans="1:12">
      <c r="A1837" s="20" t="s">
        <v>1564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1565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1566</v>
      </c>
      <c r="B1839" s="21" t="s">
        <v>726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721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961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765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1567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732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/>
    </row>
    <row r="1846" spans="1:12">
      <c r="A1846" s="20" t="s">
        <v>1568</v>
      </c>
    </row>
    <row r="1847" spans="1:12">
      <c r="A1847" s="20" t="s">
        <v>717</v>
      </c>
      <c r="B1847" s="21" t="s">
        <v>718</v>
      </c>
      <c r="C1847" s="21" t="s">
        <v>719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720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721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1569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1570</v>
      </c>
      <c r="B1851" s="21" t="s">
        <v>804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732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/>
    </row>
    <row r="1854" spans="1:12">
      <c r="A1854" s="20" t="s">
        <v>1571</v>
      </c>
    </row>
    <row r="1855" spans="1:12">
      <c r="A1855" s="20" t="s">
        <v>484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721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771</v>
      </c>
      <c r="B1857" s="21" t="s">
        <v>767</v>
      </c>
      <c r="C1857" s="21" t="s">
        <v>719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871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1460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1461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1462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721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286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721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771</v>
      </c>
      <c r="B1865" s="21" t="s">
        <v>826</v>
      </c>
      <c r="C1865" s="21" t="s">
        <v>719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1572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990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1478</v>
      </c>
      <c r="B1868" s="21" t="s">
        <v>1006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1573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1461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1574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732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/>
    </row>
    <row r="1874" spans="1:12">
      <c r="A1874" s="20" t="s">
        <v>1575</v>
      </c>
    </row>
    <row r="1875" spans="1:12">
      <c r="A1875" s="20" t="s">
        <v>1576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286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721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808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755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825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847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1577</v>
      </c>
      <c r="B1882" s="21" t="s">
        <v>796</v>
      </c>
      <c r="C1882" s="21" t="s">
        <v>790</v>
      </c>
      <c r="D1882" s="21" t="s">
        <v>728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1541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1578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732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/>
    </row>
    <row r="1887" spans="1:12">
      <c r="A1887" s="20" t="s">
        <v>1579</v>
      </c>
    </row>
    <row r="1888" spans="1:12">
      <c r="A1888" s="20" t="s">
        <v>1580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721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808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 t="s">
        <v>1581</v>
      </c>
      <c r="E1891" s="22">
        <f>IF(D1891="?OLD","!!!","")</f>
        <v/>
      </c>
      <c r="F1891" s="23" t="str">
        <f>IF(OR(E1891="",E1891="!!!"),"",IF(NOT(ISNA(VLOOKUP(E1891,E$1:E1890,1,FALSE()))),"OLD",IF(AND(E1891&lt;&gt;"",E1891&lt;&gt;"!!!"),"NEW","")))</f>
        <v> </v>
      </c>
      <c r="G1891" s="24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5" t="str">
        <f>IF(J1891&lt;&gt;1,"",IF(I1891="SBJ","CB","?"))</f>
        <v> </v>
      </c>
      <c r="I1891" s="26" t="str">
        <f>IF(OR(E1891="",E1891="!!!",F1891="NEW"),"",INDEX(B1890:B$2,-1+SUMPRODUCT(MAX(ROW(E1890:E$2)*(E1891=E1890:E$2)))))</f>
        <v> </v>
      </c>
      <c r="J1891" s="26" t="str">
        <f>IF(OR(E1891="",E1891="!!!",F1891="NEW"),"",COUNTBLANK(OFFSET(A$1,,,SUMPRODUCT(MAX(ROW(E$2:E1891)*(E1891=E$2:E1891)))))-COUNTBLANK(OFFSET(A$1,,,SUMPRODUCT(MAX(ROW(E$1:E1890)*(E2=E$1:E1890))))))</f>
        <v> </v>
      </c>
      <c r="K1891" s="26" t="str">
        <f>IF(OR(E1891="",E1891="!!!",F1891="NEW"),"",INDEX(J$1:J1890,SUMPRODUCT(MAX(ROW(E$1:E1890)*(E1891=E$1:E1890)))))</f>
        <v> </v>
      </c>
      <c r="L1891" s="27"/>
    </row>
    <row r="1892" spans="1:12">
      <c r="A1892" s="20" t="s">
        <v>721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1582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1583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1497</v>
      </c>
      <c r="B1895" s="21" t="s">
        <v>718</v>
      </c>
      <c r="C1895" s="21" t="s">
        <v>762</v>
      </c>
      <c r="D1895" s="21" t="s">
        <v>728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721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942</v>
      </c>
      <c r="B1897" s="21" t="s">
        <v>726</v>
      </c>
      <c r="C1897" s="21" t="s">
        <v>727</v>
      </c>
      <c r="D1897" s="21" t="s">
        <v>728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871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1584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21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1455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732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/>
    </row>
    <row r="1904" spans="1:12">
      <c r="A1904" s="20" t="s">
        <v>1585</v>
      </c>
    </row>
    <row r="1905" spans="1:12">
      <c r="A1905" s="20" t="s">
        <v>1227</v>
      </c>
      <c r="B1905" s="21" t="s">
        <v>726</v>
      </c>
      <c r="C1905" s="21" t="s">
        <v>727</v>
      </c>
      <c r="D1905" s="21" t="s">
        <v>728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1586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1587</v>
      </c>
      <c r="B1907" s="21" t="s">
        <v>804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755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1588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1292</v>
      </c>
      <c r="B1910" s="21" t="s">
        <v>718</v>
      </c>
      <c r="C1910" s="21" t="s">
        <v>891</v>
      </c>
      <c r="D1910" s="21" t="s">
        <v>728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965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893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1261</v>
      </c>
      <c r="B1913" s="21" t="s">
        <v>796</v>
      </c>
      <c r="C1913" s="21" t="s">
        <v>790</v>
      </c>
      <c r="D1913" s="21" t="s">
        <v>728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721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1144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1589</v>
      </c>
      <c r="B1916" s="21" t="s">
        <v>812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1590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765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830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1591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1592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732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/>
    </row>
    <row r="1924" spans="1:12">
      <c r="A1924" s="20" t="s">
        <v>1593</v>
      </c>
    </row>
    <row r="1925" spans="1:12">
      <c r="A1925" s="20" t="s">
        <v>1594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1595</v>
      </c>
      <c r="B1926" s="21" t="s">
        <v>718</v>
      </c>
      <c r="C1926" s="21" t="s">
        <v>800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905</v>
      </c>
      <c r="B1927" s="21" t="s">
        <v>726</v>
      </c>
      <c r="C1927" s="21" t="s">
        <v>727</v>
      </c>
      <c r="D1927" s="21" t="s">
        <v>728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1596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1588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1292</v>
      </c>
      <c r="B1930" s="21" t="s">
        <v>718</v>
      </c>
      <c r="C1930" s="21" t="s">
        <v>800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876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770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808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1597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1598</v>
      </c>
      <c r="B1935" s="21" t="s">
        <v>789</v>
      </c>
      <c r="C1935" s="21" t="s">
        <v>800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905</v>
      </c>
      <c r="B1936" s="21" t="s">
        <v>812</v>
      </c>
      <c r="C1936" s="21" t="s">
        <v>727</v>
      </c>
      <c r="D1936" s="21" t="s">
        <v>728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1596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1588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1292</v>
      </c>
      <c r="B1939" s="21" t="s">
        <v>860</v>
      </c>
      <c r="C1939" s="21" t="s">
        <v>800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1599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732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/>
    </row>
    <row r="1943" spans="1:12">
      <c r="A1943" s="20" t="s">
        <v>1600</v>
      </c>
    </row>
    <row r="1944" spans="1:12">
      <c r="A1944" s="20" t="s">
        <v>1227</v>
      </c>
      <c r="B1944" s="21" t="s">
        <v>726</v>
      </c>
      <c r="C1944" s="21" t="s">
        <v>727</v>
      </c>
      <c r="D1944" s="21" t="s">
        <v>728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1601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766</v>
      </c>
      <c r="B1946" s="21" t="s">
        <v>804</v>
      </c>
      <c r="C1946" s="21" t="s">
        <v>747</v>
      </c>
      <c r="D1946" s="21" t="s">
        <v>728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721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218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779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1602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1603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1604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1605</v>
      </c>
      <c r="B1953" s="21" t="s">
        <v>789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1606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1607</v>
      </c>
      <c r="B1955" s="21" t="s">
        <v>978</v>
      </c>
      <c r="C1955" s="21" t="s">
        <v>762</v>
      </c>
      <c r="D1955" s="21" t="s">
        <v>728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732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/>
    </row>
    <row r="1958" spans="1:12">
      <c r="A1958" s="20" t="s">
        <v>1608</v>
      </c>
    </row>
    <row r="1959" spans="1:12">
      <c r="A1959" s="20" t="s">
        <v>506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732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/>
    </row>
    <row r="1962" spans="1:12">
      <c r="A1962" s="20" t="s">
        <v>1609</v>
      </c>
    </row>
    <row r="1963" spans="1:12">
      <c r="A1963" s="20" t="s">
        <v>940</v>
      </c>
      <c r="B1963" s="21" t="s">
        <v>726</v>
      </c>
      <c r="C1963" s="21" t="s">
        <v>727</v>
      </c>
      <c r="D1963" s="21" t="s">
        <v>728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1610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1611</v>
      </c>
      <c r="B1965" s="21" t="s">
        <v>804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233</v>
      </c>
      <c r="B1966" s="21" t="s">
        <v>804</v>
      </c>
      <c r="C1966" s="21" t="s">
        <v>719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1612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1613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1614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721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1263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725</v>
      </c>
      <c r="B1972" s="21" t="s">
        <v>767</v>
      </c>
      <c r="C1972" s="21" t="s">
        <v>727</v>
      </c>
      <c r="D1972" s="21" t="s">
        <v>728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1615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769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1616</v>
      </c>
      <c r="B1975" s="21" t="s">
        <v>796</v>
      </c>
      <c r="C1975" s="21" t="s">
        <v>762</v>
      </c>
      <c r="D1975" s="21" t="s">
        <v>728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809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721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12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1423</v>
      </c>
      <c r="B1979" s="21" t="s">
        <v>1004</v>
      </c>
      <c r="C1979" s="21" t="s">
        <v>762</v>
      </c>
      <c r="D1979" s="21" t="s">
        <v>728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721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905</v>
      </c>
      <c r="B1981" s="21" t="s">
        <v>826</v>
      </c>
      <c r="C1981" s="21" t="s">
        <v>727</v>
      </c>
      <c r="D1981" s="21" t="s">
        <v>728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1199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1596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1588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1292</v>
      </c>
      <c r="B1985" s="21" t="s">
        <v>1004</v>
      </c>
      <c r="C1985" s="21" t="s">
        <v>800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769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1617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808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1588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1292</v>
      </c>
      <c r="B1990" s="21" t="s">
        <v>978</v>
      </c>
      <c r="C1990" s="21" t="s">
        <v>800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1618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769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1619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839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/>
    </row>
    <row r="1996" spans="1:12">
      <c r="A1996" s="20" t="s">
        <v>1620</v>
      </c>
    </row>
    <row r="1997" spans="1:12">
      <c r="A1997" s="20" t="s">
        <v>1227</v>
      </c>
      <c r="B1997" s="21" t="s">
        <v>726</v>
      </c>
      <c r="C1997" s="21" t="s">
        <v>727</v>
      </c>
      <c r="D1997" s="21" t="s">
        <v>728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1601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766</v>
      </c>
      <c r="B1999" s="21" t="s">
        <v>804</v>
      </c>
      <c r="C1999" s="21" t="s">
        <v>747</v>
      </c>
      <c r="D1999" s="21" t="s">
        <v>728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830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1621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1622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839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1007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1039</v>
      </c>
      <c r="B2005" s="21" t="s">
        <v>767</v>
      </c>
      <c r="C2005" s="21" t="s">
        <v>727</v>
      </c>
      <c r="D2005" s="21" t="s">
        <v>728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1615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769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1403</v>
      </c>
      <c r="B2008" s="21" t="s">
        <v>796</v>
      </c>
      <c r="C2008" s="21" t="s">
        <v>727</v>
      </c>
      <c r="D2008" s="21" t="s">
        <v>728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721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1484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725</v>
      </c>
      <c r="B2011" s="21" t="s">
        <v>812</v>
      </c>
      <c r="C2011" s="21" t="s">
        <v>727</v>
      </c>
      <c r="D2011" s="21" t="s">
        <v>728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736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779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1623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1624</v>
      </c>
      <c r="B2015" s="21" t="s">
        <v>789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1625</v>
      </c>
      <c r="B2016" s="21" t="s">
        <v>812</v>
      </c>
      <c r="C2016" s="21" t="s">
        <v>762</v>
      </c>
      <c r="D2016" s="21" t="s">
        <v>728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1626</v>
      </c>
      <c r="B2017" s="21" t="s">
        <v>1004</v>
      </c>
      <c r="C2017" s="21" t="s">
        <v>762</v>
      </c>
      <c r="D2017" s="21" t="s">
        <v>728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732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/>
    </row>
    <row r="2020" spans="1:12">
      <c r="A2020" s="20" t="s">
        <v>1627</v>
      </c>
    </row>
    <row r="2021" spans="1:12">
      <c r="A2021" s="20" t="s">
        <v>934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973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721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12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1628</v>
      </c>
      <c r="B2025" s="21" t="s">
        <v>718</v>
      </c>
      <c r="C2025" s="21" t="s">
        <v>762</v>
      </c>
      <c r="D2025" s="21" t="s">
        <v>728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721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905</v>
      </c>
      <c r="B2027" s="21" t="s">
        <v>767</v>
      </c>
      <c r="C2027" s="21" t="s">
        <v>727</v>
      </c>
      <c r="D2027" s="21" t="s">
        <v>728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1629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721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218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779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1455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1630</v>
      </c>
      <c r="B2033" s="21" t="s">
        <v>812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1631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940</v>
      </c>
      <c r="B2035" s="21" t="s">
        <v>812</v>
      </c>
      <c r="C2035" s="21" t="s">
        <v>727</v>
      </c>
      <c r="D2035" s="21" t="s">
        <v>728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871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1361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1632</v>
      </c>
      <c r="B2038" s="21" t="s">
        <v>789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1633</v>
      </c>
      <c r="B2039" s="21" t="s">
        <v>978</v>
      </c>
      <c r="C2039" s="21" t="s">
        <v>833</v>
      </c>
      <c r="D2039" s="21" t="s">
        <v>728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1634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923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721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771</v>
      </c>
      <c r="B2043" s="21" t="s">
        <v>772</v>
      </c>
      <c r="C2043" s="21" t="s">
        <v>719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748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1182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721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1635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1636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725</v>
      </c>
      <c r="B2049" s="21" t="s">
        <v>1442</v>
      </c>
      <c r="C2049" s="21" t="s">
        <v>727</v>
      </c>
      <c r="D2049" s="21" t="s">
        <v>728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871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1637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1638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1632</v>
      </c>
      <c r="B2053" s="21" t="s">
        <v>1190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732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/>
    </row>
    <row r="2056" spans="1:12">
      <c r="A2056" s="20" t="s">
        <v>1639</v>
      </c>
    </row>
    <row r="2057" spans="1:12">
      <c r="A2057" s="20" t="s">
        <v>1640</v>
      </c>
      <c r="B2057" s="21" t="s">
        <v>804</v>
      </c>
      <c r="C2057" s="21" t="s">
        <v>727</v>
      </c>
      <c r="D2057" s="21" t="s">
        <v>728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871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1641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721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848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1642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1643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1080</v>
      </c>
      <c r="B2064" s="21" t="s">
        <v>767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721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725</v>
      </c>
      <c r="B2066" s="21" t="s">
        <v>767</v>
      </c>
      <c r="C2066" s="21" t="s">
        <v>727</v>
      </c>
      <c r="D2066" s="21" t="s">
        <v>728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871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1637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721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848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1080</v>
      </c>
      <c r="B2071" s="21" t="s">
        <v>812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1644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721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769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931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101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1645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 t="s">
        <v>721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848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1646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732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/>
    </row>
    <row r="2083" spans="1:12">
      <c r="A2083" s="20" t="s">
        <v>1647</v>
      </c>
    </row>
    <row r="2084" spans="1:12">
      <c r="A2084" s="20" t="s">
        <v>940</v>
      </c>
      <c r="B2084" s="21" t="s">
        <v>726</v>
      </c>
      <c r="C2084" s="21" t="s">
        <v>727</v>
      </c>
      <c r="D2084" s="21" t="s">
        <v>728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1170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1648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1649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1650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1651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732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/>
    </row>
    <row r="2092" spans="1:12">
      <c r="A2092" s="20" t="s">
        <v>1652</v>
      </c>
    </row>
    <row r="2093" spans="1:12">
      <c r="A2093" s="20" t="s">
        <v>734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1653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725</v>
      </c>
      <c r="B2095" s="21" t="s">
        <v>767</v>
      </c>
      <c r="C2095" s="21" t="s">
        <v>727</v>
      </c>
      <c r="D2095" s="21" t="s">
        <v>728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1654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1632</v>
      </c>
      <c r="B2097" s="21" t="s">
        <v>784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923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755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1107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1152</v>
      </c>
      <c r="B2101" s="21" t="s">
        <v>796</v>
      </c>
      <c r="C2101" s="21" t="s">
        <v>790</v>
      </c>
      <c r="D2101" s="21" t="s">
        <v>728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769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1153</v>
      </c>
      <c r="B2103" s="21" t="s">
        <v>860</v>
      </c>
      <c r="C2103" s="21" t="s">
        <v>891</v>
      </c>
      <c r="D2103" s="21" t="s">
        <v>728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1154</v>
      </c>
      <c r="B2104" s="21" t="s">
        <v>1004</v>
      </c>
      <c r="C2104" s="21" t="s">
        <v>762</v>
      </c>
      <c r="D2104" s="21" t="s">
        <v>728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721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769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931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1444</v>
      </c>
      <c r="B2108" s="21" t="s">
        <v>726</v>
      </c>
      <c r="C2108" s="21" t="s">
        <v>727</v>
      </c>
      <c r="D2108" s="21" t="s">
        <v>728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748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1511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 t="s">
        <v>871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1655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769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1638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1632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732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/>
    </row>
    <row r="2118" spans="1:12">
      <c r="A2118" s="20" t="s">
        <v>1656</v>
      </c>
    </row>
    <row r="2119" spans="1:12">
      <c r="A2119" s="20" t="s">
        <v>1166</v>
      </c>
      <c r="B2119" s="21" t="s">
        <v>726</v>
      </c>
      <c r="C2119" s="21" t="s">
        <v>727</v>
      </c>
      <c r="D2119" s="21" t="s">
        <v>728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748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1657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808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1658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721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1484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780</v>
      </c>
      <c r="B2126" s="21" t="s">
        <v>767</v>
      </c>
      <c r="C2126" s="21" t="s">
        <v>727</v>
      </c>
      <c r="D2126" s="21" t="s">
        <v>728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1659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755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1660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1661</v>
      </c>
      <c r="B2130" s="21" t="s">
        <v>784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1662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732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/>
    </row>
    <row r="2134" spans="1:12">
      <c r="A2134" s="20" t="s">
        <v>1663</v>
      </c>
    </row>
    <row r="2135" spans="1:12">
      <c r="A2135" s="20" t="s">
        <v>940</v>
      </c>
      <c r="B2135" s="21" t="s">
        <v>726</v>
      </c>
      <c r="C2135" s="21" t="s">
        <v>727</v>
      </c>
      <c r="D2135" s="21" t="s">
        <v>728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821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815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997</v>
      </c>
      <c r="B2138" s="21" t="s">
        <v>718</v>
      </c>
      <c r="C2138" s="21" t="s">
        <v>747</v>
      </c>
      <c r="D2138" s="21" t="s">
        <v>728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1664</v>
      </c>
      <c r="B2139" s="21" t="s">
        <v>804</v>
      </c>
      <c r="C2139" s="21" t="s">
        <v>762</v>
      </c>
      <c r="D2139" s="21" t="s">
        <v>728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808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974</v>
      </c>
      <c r="B2141" s="21" t="s">
        <v>767</v>
      </c>
      <c r="C2141" s="21" t="s">
        <v>727</v>
      </c>
      <c r="D2141" s="21" t="s">
        <v>728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1665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732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/>
    </row>
    <row r="2145" spans="1:12">
      <c r="A2145" s="20" t="s">
        <v>1666</v>
      </c>
    </row>
    <row r="2146" spans="1:12">
      <c r="A2146" s="20" t="s">
        <v>1039</v>
      </c>
      <c r="B2146" s="21" t="s">
        <v>726</v>
      </c>
      <c r="C2146" s="21" t="s">
        <v>727</v>
      </c>
      <c r="D2146" s="21" t="s">
        <v>728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821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721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12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1667</v>
      </c>
      <c r="B2150" s="21" t="s">
        <v>767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1668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848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1669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732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/>
    </row>
    <row r="2156" spans="1:12">
      <c r="A2156" s="20" t="s">
        <v>1670</v>
      </c>
    </row>
    <row r="2157" spans="1:12">
      <c r="A2157" s="20" t="s">
        <v>746</v>
      </c>
      <c r="B2157" s="21" t="s">
        <v>726</v>
      </c>
      <c r="C2157" s="21" t="s">
        <v>747</v>
      </c>
      <c r="D2157" s="21" t="s">
        <v>728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1671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543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721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1672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1003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1673</v>
      </c>
      <c r="B2163" s="21" t="s">
        <v>784</v>
      </c>
      <c r="C2163" s="21" t="s">
        <v>719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1674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755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1675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732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/>
    </row>
    <row r="2169" spans="1:12">
      <c r="A2169" s="20" t="s">
        <v>1676</v>
      </c>
    </row>
    <row r="2170" spans="1:12">
      <c r="A2170" s="20" t="s">
        <v>1166</v>
      </c>
      <c r="B2170" s="21" t="s">
        <v>726</v>
      </c>
      <c r="C2170" s="21" t="s">
        <v>727</v>
      </c>
      <c r="D2170" s="21" t="s">
        <v>728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1677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721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924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1678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1679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732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/>
    </row>
    <row r="2178" spans="1:12">
      <c r="A2178" s="20" t="s">
        <v>1680</v>
      </c>
    </row>
    <row r="2179" spans="1:12">
      <c r="A2179" s="20" t="s">
        <v>983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984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974</v>
      </c>
      <c r="B2181" s="21" t="s">
        <v>726</v>
      </c>
      <c r="C2181" s="21" t="s">
        <v>727</v>
      </c>
      <c r="D2181" s="21" t="s">
        <v>728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985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721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12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1681</v>
      </c>
      <c r="B2185" s="21" t="s">
        <v>767</v>
      </c>
      <c r="C2185" s="21" t="s">
        <v>762</v>
      </c>
      <c r="D2185" s="21" t="s">
        <v>728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755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977</v>
      </c>
      <c r="B2187" s="21" t="s">
        <v>860</v>
      </c>
      <c r="C2187" s="21" t="s">
        <v>833</v>
      </c>
      <c r="D2187" s="21" t="s">
        <v>728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1682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698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1683</v>
      </c>
      <c r="B2190" s="21" t="s">
        <v>767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732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/>
    </row>
    <row r="2193" spans="1:12">
      <c r="A2193" s="20" t="s">
        <v>1684</v>
      </c>
    </row>
    <row r="2194" spans="1:12">
      <c r="A2194" s="20" t="s">
        <v>1685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721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286</v>
      </c>
      <c r="B2196" s="21" t="s">
        <v>726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721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771</v>
      </c>
      <c r="B2198" s="21" t="s">
        <v>812</v>
      </c>
      <c r="C2198" s="21" t="s">
        <v>719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871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1460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723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788</v>
      </c>
      <c r="B2202" s="21" t="s">
        <v>789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732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/>
    </row>
    <row r="2205" spans="1:12">
      <c r="A2205" s="20" t="s">
        <v>1686</v>
      </c>
    </row>
    <row r="2206" spans="1:12">
      <c r="A2206" s="20" t="s">
        <v>484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721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771</v>
      </c>
      <c r="B2208" s="21" t="s">
        <v>767</v>
      </c>
      <c r="C2208" s="21" t="s">
        <v>719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1572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990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1478</v>
      </c>
      <c r="B2211" s="21" t="s">
        <v>784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1687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1461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1574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732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/>
    </row>
    <row r="2217" spans="1:12">
      <c r="A2217" s="20" t="s">
        <v>1688</v>
      </c>
    </row>
    <row r="2218" spans="1:12">
      <c r="A2218" s="20" t="s">
        <v>934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1689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725</v>
      </c>
      <c r="B2220" s="21" t="s">
        <v>726</v>
      </c>
      <c r="C2220" s="21" t="s">
        <v>727</v>
      </c>
      <c r="D2220" s="21" t="s">
        <v>728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1690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721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1653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974</v>
      </c>
      <c r="B2224" s="21" t="s">
        <v>767</v>
      </c>
      <c r="C2224" s="21" t="s">
        <v>727</v>
      </c>
      <c r="D2224" s="21" t="s">
        <v>728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821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721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779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1134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 t="s">
        <v>286</v>
      </c>
      <c r="B2229" s="21" t="s">
        <v>812</v>
      </c>
      <c r="C2229" s="21" t="s">
        <v>790</v>
      </c>
      <c r="D2229" s="21" t="s">
        <v>728</v>
      </c>
      <c r="E2229" s="22">
        <f>IF(D2229="?OLD","!!!","")</f>
        <v/>
      </c>
      <c r="F2229" s="23" t="str">
        <f>IF(OR(E2229="",E2229="!!!"),"",IF(NOT(ISNA(VLOOKUP(E2229,E$1:E2228,1,FALSE()))),"OLD",IF(AND(E2229&lt;&gt;"",E2229&lt;&gt;"!!!"),"NEW","")))</f>
        <v> </v>
      </c>
      <c r="G2229" s="24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5" t="str">
        <f>IF(J2229&lt;&gt;1,"",IF(I2229="SBJ","CB","?"))</f>
        <v> </v>
      </c>
      <c r="I2229" s="26" t="str">
        <f>IF(OR(E2229="",E2229="!!!",F2229="NEW"),"",INDEX(B2228:B$2,-1+SUMPRODUCT(MAX(ROW(E2228:E$2)*(E2229=E2228:E$2)))))</f>
        <v> </v>
      </c>
      <c r="J2229" s="26" t="str">
        <f>IF(OR(E2229="",E2229="!!!",F2229="NEW"),"",COUNTBLANK(OFFSET(A$1,,,SUMPRODUCT(MAX(ROW(E$2:E2229)*(E2229=E$2:E2229)))))-COUNTBLANK(OFFSET(A$1,,,SUMPRODUCT(MAX(ROW(E$1:E2228)*(E2=E$1:E2228))))))</f>
        <v> </v>
      </c>
      <c r="K2229" s="26" t="str">
        <f>IF(OR(E2229="",E2229="!!!",F2229="NEW"),"",INDEX(J$1:J2228,SUMPRODUCT(MAX(ROW(E$1:E2228)*(E2229=E$1:E2228)))))</f>
        <v> </v>
      </c>
      <c r="L2229" s="27"/>
    </row>
    <row r="2230" spans="1:12">
      <c r="A2230" s="20" t="s">
        <v>871</v>
      </c>
      <c r="E2230" s="22">
        <f>IF(D2230="?OLD","!!!","")</f>
        <v/>
      </c>
      <c r="F2230" s="23" t="str">
        <f>IF(OR(E2230="",E2230="!!!"),"",IF(NOT(ISNA(VLOOKUP(E2230,E$1:E2229,1,FALSE()))),"OLD",IF(AND(E2230&lt;&gt;"",E2230&lt;&gt;"!!!"),"NEW","")))</f>
        <v> </v>
      </c>
      <c r="G2230" s="24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5" t="str">
        <f>IF(J2230&lt;&gt;1,"",IF(I2230="SBJ","CB","?"))</f>
        <v> </v>
      </c>
      <c r="I2230" s="26" t="str">
        <f>IF(OR(E2230="",E2230="!!!",F2230="NEW"),"",INDEX(B2229:B$2,-1+SUMPRODUCT(MAX(ROW(E2229:E$2)*(E2230=E2229:E$2)))))</f>
        <v> </v>
      </c>
      <c r="J2230" s="26" t="str">
        <f>IF(OR(E2230="",E2230="!!!",F2230="NEW"),"",COUNTBLANK(OFFSET(A$1,,,SUMPRODUCT(MAX(ROW(E$2:E2230)*(E2230=E$2:E2230)))))-COUNTBLANK(OFFSET(A$1,,,SUMPRODUCT(MAX(ROW(E$1:E2229)*(E2=E$1:E2229))))))</f>
        <v> </v>
      </c>
      <c r="K2230" s="26" t="str">
        <f>IF(OR(E2230="",E2230="!!!",F2230="NEW"),"",INDEX(J$1:J2229,SUMPRODUCT(MAX(ROW(E$1:E2229)*(E2230=E$1:E2229)))))</f>
        <v> </v>
      </c>
      <c r="L2230" s="27"/>
    </row>
    <row r="2231" spans="1:12">
      <c r="A2231" s="20" t="s">
        <v>1691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1692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721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779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974</v>
      </c>
      <c r="B2235" s="21" t="s">
        <v>826</v>
      </c>
      <c r="C2235" s="21" t="s">
        <v>727</v>
      </c>
      <c r="D2235" s="21" t="s">
        <v>728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233</v>
      </c>
      <c r="B2236" s="21" t="s">
        <v>1006</v>
      </c>
      <c r="C2236" s="21" t="s">
        <v>719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1693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721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218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779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1694</v>
      </c>
      <c r="B2241" s="21" t="s">
        <v>772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 t="s">
        <v>721</v>
      </c>
      <c r="E2242" s="22">
        <f>IF(D2242="?OLD","!!!","")</f>
        <v/>
      </c>
      <c r="F2242" s="23" t="str">
        <f>IF(OR(E2242="",E2242="!!!"),"",IF(NOT(ISNA(VLOOKUP(E2242,E$1:E2241,1,FALSE()))),"OLD",IF(AND(E2242&lt;&gt;"",E2242&lt;&gt;"!!!"),"NEW","")))</f>
        <v> </v>
      </c>
      <c r="G2242" s="24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5" t="str">
        <f>IF(J2242&lt;&gt;1,"",IF(I2242="SBJ","CB","?"))</f>
        <v> </v>
      </c>
      <c r="I2242" s="26" t="str">
        <f>IF(OR(E2242="",E2242="!!!",F2242="NEW"),"",INDEX(B2241:B$2,-1+SUMPRODUCT(MAX(ROW(E2241:E$2)*(E2242=E2241:E$2)))))</f>
        <v> </v>
      </c>
      <c r="J2242" s="26" t="str">
        <f>IF(OR(E2242="",E2242="!!!",F2242="NEW"),"",COUNTBLANK(OFFSET(A$1,,,SUMPRODUCT(MAX(ROW(E$2:E2242)*(E2242=E$2:E2242)))))-COUNTBLANK(OFFSET(A$1,,,SUMPRODUCT(MAX(ROW(E$1:E2241)*(E2=E$1:E2241))))))</f>
        <v> </v>
      </c>
      <c r="K2242" s="26" t="str">
        <f>IF(OR(E2242="",E2242="!!!",F2242="NEW"),"",INDEX(J$1:J2241,SUMPRODUCT(MAX(ROW(E$1:E2241)*(E2242=E$1:E2241)))))</f>
        <v> </v>
      </c>
      <c r="L2242" s="27"/>
    </row>
    <row r="2243" spans="1:12">
      <c r="A2243" s="20" t="s">
        <v>771</v>
      </c>
      <c r="B2243" s="21" t="s">
        <v>967</v>
      </c>
      <c r="C2243" s="21" t="s">
        <v>719</v>
      </c>
      <c r="E2243" s="22">
        <f>IF(D2243="?OLD","!!!","")</f>
        <v/>
      </c>
      <c r="F2243" s="23" t="str">
        <f>IF(OR(E2243="",E2243="!!!"),"",IF(NOT(ISNA(VLOOKUP(E2243,E$1:E2242,1,FALSE()))),"OLD",IF(AND(E2243&lt;&gt;"",E2243&lt;&gt;"!!!"),"NEW","")))</f>
        <v> </v>
      </c>
      <c r="G2243" s="24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5" t="str">
        <f>IF(J2243&lt;&gt;1,"",IF(I2243="SBJ","CB","?"))</f>
        <v> </v>
      </c>
      <c r="I2243" s="26" t="str">
        <f>IF(OR(E2243="",E2243="!!!",F2243="NEW"),"",INDEX(B2242:B$2,-1+SUMPRODUCT(MAX(ROW(E2242:E$2)*(E2243=E2242:E$2)))))</f>
        <v> </v>
      </c>
      <c r="J2243" s="26" t="str">
        <f>IF(OR(E2243="",E2243="!!!",F2243="NEW"),"",COUNTBLANK(OFFSET(A$1,,,SUMPRODUCT(MAX(ROW(E$2:E2243)*(E2243=E$2:E2243)))))-COUNTBLANK(OFFSET(A$1,,,SUMPRODUCT(MAX(ROW(E$1:E2242)*(E2=E$1:E2242))))))</f>
        <v> </v>
      </c>
      <c r="K2243" s="26" t="str">
        <f>IF(OR(E2243="",E2243="!!!",F2243="NEW"),"",INDEX(J$1:J2242,SUMPRODUCT(MAX(ROW(E$1:E2242)*(E2243=E$1:E2242)))))</f>
        <v> </v>
      </c>
      <c r="L2243" s="27"/>
    </row>
    <row r="2244" spans="1:12">
      <c r="A2244" s="20" t="s">
        <v>1695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1696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1617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721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1697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859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1219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1220</v>
      </c>
      <c r="B2251" s="21" t="s">
        <v>832</v>
      </c>
      <c r="C2251" s="21" t="s">
        <v>762</v>
      </c>
      <c r="D2251" s="21" t="s">
        <v>728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732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/>
    </row>
    <row r="2254" spans="1:12">
      <c r="A2254" s="20" t="s">
        <v>1698</v>
      </c>
    </row>
    <row r="2255" spans="1:12">
      <c r="A2255" s="20" t="s">
        <v>1163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1699</v>
      </c>
      <c r="B2256" s="21" t="s">
        <v>726</v>
      </c>
      <c r="C2256" s="21" t="s">
        <v>790</v>
      </c>
      <c r="D2256" s="21" t="s">
        <v>728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1700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1317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 t="s">
        <v>825</v>
      </c>
      <c r="B2259" s="21" t="s">
        <v>804</v>
      </c>
      <c r="C2259" s="21" t="s">
        <v>747</v>
      </c>
      <c r="D2259" s="21" t="s">
        <v>728</v>
      </c>
      <c r="E2259" s="22">
        <f>IF(D2259="?OLD","!!!","")</f>
        <v/>
      </c>
      <c r="F2259" s="23" t="str">
        <f>IF(OR(E2259="",E2259="!!!"),"",IF(NOT(ISNA(VLOOKUP(E2259,E$1:E2258,1,FALSE()))),"OLD",IF(AND(E2259&lt;&gt;"",E2259&lt;&gt;"!!!"),"NEW","")))</f>
        <v> </v>
      </c>
      <c r="G2259" s="24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5" t="str">
        <f>IF(J2259&lt;&gt;1,"",IF(I2259="SBJ","CB","?"))</f>
        <v> </v>
      </c>
      <c r="I2259" s="26" t="str">
        <f>IF(OR(E2259="",E2259="!!!",F2259="NEW"),"",INDEX(B2258:B$2,-1+SUMPRODUCT(MAX(ROW(E2258:E$2)*(E2259=E2258:E$2)))))</f>
        <v> </v>
      </c>
      <c r="J2259" s="26" t="str">
        <f>IF(OR(E2259="",E2259="!!!",F2259="NEW"),"",COUNTBLANK(OFFSET(A$1,,,SUMPRODUCT(MAX(ROW(E$2:E2259)*(E2259=E$2:E2259)))))-COUNTBLANK(OFFSET(A$1,,,SUMPRODUCT(MAX(ROW(E$1:E2258)*(E2=E$1:E2258))))))</f>
        <v> </v>
      </c>
      <c r="K2259" s="26" t="str">
        <f>IF(OR(E2259="",E2259="!!!",F2259="NEW"),"",INDEX(J$1:J2258,SUMPRODUCT(MAX(ROW(E$1:E2258)*(E2259=E$1:E2258)))))</f>
        <v> </v>
      </c>
      <c r="L2259" s="27"/>
    </row>
    <row r="2260" spans="1:12">
      <c r="A2260" s="20" t="s">
        <v>721</v>
      </c>
      <c r="E2260" s="22">
        <f>IF(D2260="?OLD","!!!","")</f>
        <v/>
      </c>
      <c r="F2260" s="23" t="str">
        <f>IF(OR(E2260="",E2260="!!!"),"",IF(NOT(ISNA(VLOOKUP(E2260,E$1:E2259,1,FALSE()))),"OLD",IF(AND(E2260&lt;&gt;"",E2260&lt;&gt;"!!!"),"NEW","")))</f>
        <v> </v>
      </c>
      <c r="G2260" s="24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5" t="str">
        <f>IF(J2260&lt;&gt;1,"",IF(I2260="SBJ","CB","?"))</f>
        <v> </v>
      </c>
      <c r="I2260" s="26" t="str">
        <f>IF(OR(E2260="",E2260="!!!",F2260="NEW"),"",INDEX(B2259:B$2,-1+SUMPRODUCT(MAX(ROW(E2259:E$2)*(E2260=E2259:E$2)))))</f>
        <v> </v>
      </c>
      <c r="J2260" s="26" t="str">
        <f>IF(OR(E2260="",E2260="!!!",F2260="NEW"),"",COUNTBLANK(OFFSET(A$1,,,SUMPRODUCT(MAX(ROW(E$2:E2260)*(E2260=E$2:E2260)))))-COUNTBLANK(OFFSET(A$1,,,SUMPRODUCT(MAX(ROW(E$1:E2259)*(E2=E$1:E2259))))))</f>
        <v> </v>
      </c>
      <c r="K2260" s="26" t="str">
        <f>IF(OR(E2260="",E2260="!!!",F2260="NEW"),"",INDEX(J$1:J2259,SUMPRODUCT(MAX(ROW(E$1:E2259)*(E2260=E$1:E2259)))))</f>
        <v> </v>
      </c>
      <c r="L2260" s="27"/>
    </row>
    <row r="2261" spans="1:12">
      <c r="A2261" s="20" t="s">
        <v>859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1002</v>
      </c>
      <c r="B2262" s="21" t="s">
        <v>860</v>
      </c>
      <c r="C2262" s="21" t="s">
        <v>719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1219</v>
      </c>
      <c r="B2263" s="21" t="s">
        <v>812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721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848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1701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721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1702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755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1703</v>
      </c>
      <c r="B2270" s="21" t="s">
        <v>1004</v>
      </c>
      <c r="C2270" s="21" t="s">
        <v>833</v>
      </c>
      <c r="D2270" s="21" t="s">
        <v>728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1704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12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1705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1706</v>
      </c>
      <c r="B2274" s="21" t="s">
        <v>812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721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1707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732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/>
    </row>
    <row r="2279" spans="1:12">
      <c r="A2279" s="20" t="s">
        <v>1708</v>
      </c>
    </row>
    <row r="2280" spans="1:12">
      <c r="A2280" s="20" t="s">
        <v>734</v>
      </c>
      <c r="E2280" s="22">
        <f>IF(D2280="?OLD","!!!","")</f>
        <v/>
      </c>
      <c r="F2280" s="23" t="str">
        <f>IF(OR(E2280="",E2280="!!!"),"",IF(NOT(ISNA(VLOOKUP(E2280,E$1:E2279,1,FALSE()))),"OLD",IF(AND(E2280&lt;&gt;"",E2280&lt;&gt;"!!!"),"NEW","")))</f>
        <v> </v>
      </c>
      <c r="G2280" s="24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5" t="str">
        <f>IF(J2280&lt;&gt;1,"",IF(I2280="SBJ","CB","?"))</f>
        <v> </v>
      </c>
      <c r="I2280" s="26" t="str">
        <f>IF(OR(E2280="",E2280="!!!",F2280="NEW"),"",INDEX(B2279:B$2,-1+SUMPRODUCT(MAX(ROW(E2279:E$2)*(E2280=E2279:E$2)))))</f>
        <v> </v>
      </c>
      <c r="J2280" s="26" t="str">
        <f>IF(OR(E2280="",E2280="!!!",F2280="NEW"),"",COUNTBLANK(OFFSET(A$1,,,SUMPRODUCT(MAX(ROW(E$2:E2280)*(E2280=E$2:E2280)))))-COUNTBLANK(OFFSET(A$1,,,SUMPRODUCT(MAX(ROW(E$1:E2279)*(E2=E$1:E2279))))))</f>
        <v> </v>
      </c>
      <c r="K2280" s="26" t="str">
        <f>IF(OR(E2280="",E2280="!!!",F2280="NEW"),"",INDEX(J$1:J2279,SUMPRODUCT(MAX(ROW(E$1:E2279)*(E2280=E$1:E2279)))))</f>
        <v> </v>
      </c>
      <c r="L2280" s="27"/>
    </row>
    <row r="2281" spans="1:12">
      <c r="A2281" s="20" t="s">
        <v>1653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1694</v>
      </c>
      <c r="B2282" s="21" t="s">
        <v>767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1709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1696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1710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1711</v>
      </c>
      <c r="B2286" s="21" t="s">
        <v>796</v>
      </c>
      <c r="C2286" s="21" t="s">
        <v>800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808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 t="s">
        <v>1712</v>
      </c>
      <c r="E2288" s="22">
        <f>IF(D2288="?OLD","!!!","")</f>
        <v/>
      </c>
      <c r="F2288" s="23" t="str">
        <f>IF(OR(E2288="",E2288="!!!"),"",IF(NOT(ISNA(VLOOKUP(E2288,E$1:E2287,1,FALSE()))),"OLD",IF(AND(E2288&lt;&gt;"",E2288&lt;&gt;"!!!"),"NEW","")))</f>
        <v> </v>
      </c>
      <c r="G2288" s="24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5" t="str">
        <f>IF(J2288&lt;&gt;1,"",IF(I2288="SBJ","CB","?"))</f>
        <v> </v>
      </c>
      <c r="I2288" s="26" t="str">
        <f>IF(OR(E2288="",E2288="!!!",F2288="NEW"),"",INDEX(B2287:B$2,-1+SUMPRODUCT(MAX(ROW(E2287:E$2)*(E2288=E2287:E$2)))))</f>
        <v> </v>
      </c>
      <c r="J2288" s="26" t="str">
        <f>IF(OR(E2288="",E2288="!!!",F2288="NEW"),"",COUNTBLANK(OFFSET(A$1,,,SUMPRODUCT(MAX(ROW(E$2:E2288)*(E2288=E$2:E2288)))))-COUNTBLANK(OFFSET(A$1,,,SUMPRODUCT(MAX(ROW(E$1:E2287)*(E2=E$1:E2287))))))</f>
        <v> </v>
      </c>
      <c r="K2288" s="26" t="str">
        <f>IF(OR(E2288="",E2288="!!!",F2288="NEW"),"",INDEX(J$1:J2287,SUMPRODUCT(MAX(ROW(E$1:E2287)*(E2288=E$1:E2287)))))</f>
        <v> </v>
      </c>
      <c r="L2288" s="27"/>
    </row>
    <row r="2289" spans="1:12">
      <c r="A2289" s="20" t="s">
        <v>721</v>
      </c>
      <c r="E2289" s="22">
        <f>IF(D2289="?OLD","!!!","")</f>
        <v/>
      </c>
      <c r="F2289" s="23" t="str">
        <f>IF(OR(E2289="",E2289="!!!"),"",IF(NOT(ISNA(VLOOKUP(E2289,E$1:E2288,1,FALSE()))),"OLD",IF(AND(E2289&lt;&gt;"",E2289&lt;&gt;"!!!"),"NEW","")))</f>
        <v> </v>
      </c>
      <c r="G2289" s="24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5" t="str">
        <f>IF(J2289&lt;&gt;1,"",IF(I2289="SBJ","CB","?"))</f>
        <v> </v>
      </c>
      <c r="I2289" s="26" t="str">
        <f>IF(OR(E2289="",E2289="!!!",F2289="NEW"),"",INDEX(B2288:B$2,-1+SUMPRODUCT(MAX(ROW(E2288:E$2)*(E2289=E2288:E$2)))))</f>
        <v> </v>
      </c>
      <c r="J2289" s="26" t="str">
        <f>IF(OR(E2289="",E2289="!!!",F2289="NEW"),"",COUNTBLANK(OFFSET(A$1,,,SUMPRODUCT(MAX(ROW(E$2:E2289)*(E2289=E$2:E2289)))))-COUNTBLANK(OFFSET(A$1,,,SUMPRODUCT(MAX(ROW(E$1:E2288)*(E2=E$1:E2288))))))</f>
        <v> </v>
      </c>
      <c r="K2289" s="26" t="str">
        <f>IF(OR(E2289="",E2289="!!!",F2289="NEW"),"",INDEX(J$1:J2288,SUMPRODUCT(MAX(ROW(E$1:E2288)*(E2289=E$1:E2288)))))</f>
        <v> </v>
      </c>
      <c r="L2289" s="27"/>
    </row>
    <row r="2290" spans="1:12">
      <c r="A2290" s="20" t="s">
        <v>1444</v>
      </c>
      <c r="B2290" s="21" t="s">
        <v>726</v>
      </c>
      <c r="C2290" s="21" t="s">
        <v>727</v>
      </c>
      <c r="D2290" s="21" t="s">
        <v>728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1713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1714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732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/>
    </row>
    <row r="2295" spans="1:12">
      <c r="A2295" s="20" t="s">
        <v>1715</v>
      </c>
    </row>
    <row r="2296" spans="1:12">
      <c r="A2296" s="20" t="s">
        <v>1163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1441</v>
      </c>
      <c r="B2297" s="21" t="s">
        <v>726</v>
      </c>
      <c r="C2297" s="21" t="s">
        <v>790</v>
      </c>
      <c r="D2297" s="21" t="s">
        <v>728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1439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1716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721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779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1717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1246</v>
      </c>
      <c r="B2303" s="21" t="s">
        <v>789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732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/>
    </row>
    <row r="2306" spans="1:12">
      <c r="A2306" s="20" t="s">
        <v>1718</v>
      </c>
    </row>
    <row r="2307" spans="1:12">
      <c r="A2307" s="20" t="s">
        <v>778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779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721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766</v>
      </c>
      <c r="B2310" s="21" t="s">
        <v>726</v>
      </c>
      <c r="C2310" s="21" t="s">
        <v>747</v>
      </c>
      <c r="D2310" s="21" t="s">
        <v>728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 t="s">
        <v>871</v>
      </c>
      <c r="E2311" s="22">
        <f>IF(D2311="?OLD","!!!","")</f>
        <v/>
      </c>
      <c r="F2311" s="23" t="str">
        <f>IF(OR(E2311="",E2311="!!!"),"",IF(NOT(ISNA(VLOOKUP(E2311,E$1:E2310,1,FALSE()))),"OLD",IF(AND(E2311&lt;&gt;"",E2311&lt;&gt;"!!!"),"NEW","")))</f>
        <v> </v>
      </c>
      <c r="G2311" s="24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5" t="str">
        <f>IF(J2311&lt;&gt;1,"",IF(I2311="SBJ","CB","?"))</f>
        <v> </v>
      </c>
      <c r="I2311" s="26" t="str">
        <f>IF(OR(E2311="",E2311="!!!",F2311="NEW"),"",INDEX(B2310:B$2,-1+SUMPRODUCT(MAX(ROW(E2310:E$2)*(E2311=E2310:E$2)))))</f>
        <v> </v>
      </c>
      <c r="J2311" s="26" t="str">
        <f>IF(OR(E2311="",E2311="!!!",F2311="NEW"),"",COUNTBLANK(OFFSET(A$1,,,SUMPRODUCT(MAX(ROW(E$2:E2311)*(E2311=E$2:E2311)))))-COUNTBLANK(OFFSET(A$1,,,SUMPRODUCT(MAX(ROW(E$1:E2310)*(E2=E$1:E2310))))))</f>
        <v> </v>
      </c>
      <c r="K2311" s="26" t="str">
        <f>IF(OR(E2311="",E2311="!!!",F2311="NEW"),"",INDEX(J$1:J2310,SUMPRODUCT(MAX(ROW(E$1:E2310)*(E2311=E$1:E2310)))))</f>
        <v> </v>
      </c>
      <c r="L2311" s="27"/>
    </row>
    <row r="2312" spans="1:12">
      <c r="A2312" s="20" t="s">
        <v>736</v>
      </c>
      <c r="E2312" s="22">
        <f>IF(D2312="?OLD","!!!","")</f>
        <v/>
      </c>
      <c r="F2312" s="23" t="str">
        <f>IF(OR(E2312="",E2312="!!!"),"",IF(NOT(ISNA(VLOOKUP(E2312,E$1:E2311,1,FALSE()))),"OLD",IF(AND(E2312&lt;&gt;"",E2312&lt;&gt;"!!!"),"NEW","")))</f>
        <v> </v>
      </c>
      <c r="G2312" s="24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5" t="str">
        <f>IF(J2312&lt;&gt;1,"",IF(I2312="SBJ","CB","?"))</f>
        <v> </v>
      </c>
      <c r="I2312" s="26" t="str">
        <f>IF(OR(E2312="",E2312="!!!",F2312="NEW"),"",INDEX(B2311:B$2,-1+SUMPRODUCT(MAX(ROW(E2311:E$2)*(E2312=E2311:E$2)))))</f>
        <v> </v>
      </c>
      <c r="J2312" s="26" t="str">
        <f>IF(OR(E2312="",E2312="!!!",F2312="NEW"),"",COUNTBLANK(OFFSET(A$1,,,SUMPRODUCT(MAX(ROW(E$2:E2312)*(E2312=E$2:E2312)))))-COUNTBLANK(OFFSET(A$1,,,SUMPRODUCT(MAX(ROW(E$1:E2311)*(E2=E$1:E2311))))))</f>
        <v> </v>
      </c>
      <c r="K2312" s="26" t="str">
        <f>IF(OR(E2312="",E2312="!!!",F2312="NEW"),"",INDEX(J$1:J2311,SUMPRODUCT(MAX(ROW(E$1:E2311)*(E2312=E$1:E2311)))))</f>
        <v> </v>
      </c>
      <c r="L2312" s="27"/>
    </row>
    <row r="2313" spans="1:12">
      <c r="A2313" s="20" t="s">
        <v>286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721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771</v>
      </c>
      <c r="B2315" s="21" t="s">
        <v>767</v>
      </c>
      <c r="C2315" s="21" t="s">
        <v>719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871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1460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 t="s">
        <v>1461</v>
      </c>
      <c r="E2318" s="22">
        <f>IF(D2318="?OLD","!!!","")</f>
        <v/>
      </c>
      <c r="F2318" s="23" t="str">
        <f>IF(OR(E2318="",E2318="!!!"),"",IF(NOT(ISNA(VLOOKUP(E2318,E$1:E2317,1,FALSE()))),"OLD",IF(AND(E2318&lt;&gt;"",E2318&lt;&gt;"!!!"),"NEW","")))</f>
        <v> </v>
      </c>
      <c r="G2318" s="24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5" t="str">
        <f>IF(J2318&lt;&gt;1,"",IF(I2318="SBJ","CB","?"))</f>
        <v> </v>
      </c>
      <c r="I2318" s="26" t="str">
        <f>IF(OR(E2318="",E2318="!!!",F2318="NEW"),"",INDEX(B2317:B$2,-1+SUMPRODUCT(MAX(ROW(E2317:E$2)*(E2318=E2317:E$2)))))</f>
        <v> </v>
      </c>
      <c r="J2318" s="26" t="str">
        <f>IF(OR(E2318="",E2318="!!!",F2318="NEW"),"",COUNTBLANK(OFFSET(A$1,,,SUMPRODUCT(MAX(ROW(E$2:E2318)*(E2318=E$2:E2318)))))-COUNTBLANK(OFFSET(A$1,,,SUMPRODUCT(MAX(ROW(E$1:E2317)*(E2=E$1:E2317))))))</f>
        <v> </v>
      </c>
      <c r="K2318" s="26" t="str">
        <f>IF(OR(E2318="",E2318="!!!",F2318="NEW"),"",INDEX(J$1:J2317,SUMPRODUCT(MAX(ROW(E$1:E2317)*(E2318=E$1:E2317)))))</f>
        <v> </v>
      </c>
      <c r="L2318" s="27"/>
    </row>
    <row r="2319" spans="1:12">
      <c r="A2319" s="20" t="s">
        <v>1462</v>
      </c>
      <c r="E2319" s="22">
        <f>IF(D2319="?OLD","!!!","")</f>
        <v/>
      </c>
      <c r="F2319" s="23" t="str">
        <f>IF(OR(E2319="",E2319="!!!"),"",IF(NOT(ISNA(VLOOKUP(E2319,E$1:E2318,1,FALSE()))),"OLD",IF(AND(E2319&lt;&gt;"",E2319&lt;&gt;"!!!"),"NEW","")))</f>
        <v> </v>
      </c>
      <c r="G2319" s="24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5" t="str">
        <f>IF(J2319&lt;&gt;1,"",IF(I2319="SBJ","CB","?"))</f>
        <v> </v>
      </c>
      <c r="I2319" s="26" t="str">
        <f>IF(OR(E2319="",E2319="!!!",F2319="NEW"),"",INDEX(B2318:B$2,-1+SUMPRODUCT(MAX(ROW(E2318:E$2)*(E2319=E2318:E$2)))))</f>
        <v> </v>
      </c>
      <c r="J2319" s="26" t="str">
        <f>IF(OR(E2319="",E2319="!!!",F2319="NEW"),"",COUNTBLANK(OFFSET(A$1,,,SUMPRODUCT(MAX(ROW(E$2:E2319)*(E2319=E$2:E2319)))))-COUNTBLANK(OFFSET(A$1,,,SUMPRODUCT(MAX(ROW(E$1:E2318)*(E2=E$1:E2318))))))</f>
        <v> </v>
      </c>
      <c r="K2319" s="26" t="str">
        <f>IF(OR(E2319="",E2319="!!!",F2319="NEW"),"",INDEX(J$1:J2318,SUMPRODUCT(MAX(ROW(E$1:E2318)*(E2319=E$1:E2318)))))</f>
        <v> </v>
      </c>
      <c r="L2319" s="27"/>
    </row>
    <row r="2320" spans="1:12">
      <c r="A2320" s="20" t="s">
        <v>721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980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846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847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1572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990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1478</v>
      </c>
      <c r="B2326" s="21" t="s">
        <v>789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1573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1461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1574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 t="s">
        <v>721</v>
      </c>
      <c r="E2330" s="22">
        <f>IF(D2330="?OLD","!!!","")</f>
        <v/>
      </c>
      <c r="F2330" s="23" t="str">
        <f>IF(OR(E2330="",E2330="!!!"),"",IF(NOT(ISNA(VLOOKUP(E2330,E$1:E2329,1,FALSE()))),"OLD",IF(AND(E2330&lt;&gt;"",E2330&lt;&gt;"!!!"),"NEW","")))</f>
        <v> </v>
      </c>
      <c r="G2330" s="24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5" t="str">
        <f>IF(J2330&lt;&gt;1,"",IF(I2330="SBJ","CB","?"))</f>
        <v> </v>
      </c>
      <c r="I2330" s="26" t="str">
        <f>IF(OR(E2330="",E2330="!!!",F2330="NEW"),"",INDEX(B2329:B$2,-1+SUMPRODUCT(MAX(ROW(E2329:E$2)*(E2330=E2329:E$2)))))</f>
        <v> </v>
      </c>
      <c r="J2330" s="26" t="str">
        <f>IF(OR(E2330="",E2330="!!!",F2330="NEW"),"",COUNTBLANK(OFFSET(A$1,,,SUMPRODUCT(MAX(ROW(E$2:E2330)*(E2330=E$2:E2330)))))-COUNTBLANK(OFFSET(A$1,,,SUMPRODUCT(MAX(ROW(E$1:E2329)*(E2=E$1:E2329))))))</f>
        <v> </v>
      </c>
      <c r="K2330" s="26" t="str">
        <f>IF(OR(E2330="",E2330="!!!",F2330="NEW"),"",INDEX(J$1:J2329,SUMPRODUCT(MAX(ROW(E$1:E2329)*(E2330=E$1:E2329)))))</f>
        <v> </v>
      </c>
      <c r="L2330" s="27"/>
    </row>
    <row r="2331" spans="1:12">
      <c r="A2331" s="20" t="s">
        <v>880</v>
      </c>
      <c r="E2331" s="22">
        <f>IF(D2331="?OLD","!!!","")</f>
        <v/>
      </c>
      <c r="F2331" s="23" t="str">
        <f>IF(OR(E2331="",E2331="!!!"),"",IF(NOT(ISNA(VLOOKUP(E2331,E$1:E2330,1,FALSE()))),"OLD",IF(AND(E2331&lt;&gt;"",E2331&lt;&gt;"!!!"),"NEW","")))</f>
        <v> </v>
      </c>
      <c r="G2331" s="24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5" t="str">
        <f>IF(J2331&lt;&gt;1,"",IF(I2331="SBJ","CB","?"))</f>
        <v> </v>
      </c>
      <c r="I2331" s="26" t="str">
        <f>IF(OR(E2331="",E2331="!!!",F2331="NEW"),"",INDEX(B2330:B$2,-1+SUMPRODUCT(MAX(ROW(E2330:E$2)*(E2331=E2330:E$2)))))</f>
        <v> </v>
      </c>
      <c r="J2331" s="26" t="str">
        <f>IF(OR(E2331="",E2331="!!!",F2331="NEW"),"",COUNTBLANK(OFFSET(A$1,,,SUMPRODUCT(MAX(ROW(E$2:E2331)*(E2331=E$2:E2331)))))-COUNTBLANK(OFFSET(A$1,,,SUMPRODUCT(MAX(ROW(E$1:E2330)*(E2=E$1:E2330))))))</f>
        <v> </v>
      </c>
      <c r="K2331" s="26" t="str">
        <f>IF(OR(E2331="",E2331="!!!",F2331="NEW"),"",INDEX(J$1:J2330,SUMPRODUCT(MAX(ROW(E$1:E2330)*(E2331=E$1:E2330)))))</f>
        <v> </v>
      </c>
      <c r="L2331" s="27"/>
    </row>
    <row r="2332" spans="1:12">
      <c r="A2332" s="20" t="s">
        <v>766</v>
      </c>
      <c r="B2332" s="21" t="s">
        <v>812</v>
      </c>
      <c r="C2332" s="21" t="s">
        <v>747</v>
      </c>
      <c r="D2332" s="21" t="s">
        <v>728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286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1719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721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755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1720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1206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721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1721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900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1722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1275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 t="s">
        <v>721</v>
      </c>
      <c r="E2344" s="22">
        <f>IF(D2344="?OLD","!!!","")</f>
        <v/>
      </c>
      <c r="F2344" s="23" t="str">
        <f>IF(OR(E2344="",E2344="!!!"),"",IF(NOT(ISNA(VLOOKUP(E2344,E$1:E2343,1,FALSE()))),"OLD",IF(AND(E2344&lt;&gt;"",E2344&lt;&gt;"!!!"),"NEW","")))</f>
        <v> </v>
      </c>
      <c r="G2344" s="24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5" t="str">
        <f>IF(J2344&lt;&gt;1,"",IF(I2344="SBJ","CB","?"))</f>
        <v> </v>
      </c>
      <c r="I2344" s="26" t="str">
        <f>IF(OR(E2344="",E2344="!!!",F2344="NEW"),"",INDEX(B2343:B$2,-1+SUMPRODUCT(MAX(ROW(E2343:E$2)*(E2344=E2343:E$2)))))</f>
        <v> </v>
      </c>
      <c r="J2344" s="26" t="str">
        <f>IF(OR(E2344="",E2344="!!!",F2344="NEW"),"",COUNTBLANK(OFFSET(A$1,,,SUMPRODUCT(MAX(ROW(E$2:E2344)*(E2344=E$2:E2344)))))-COUNTBLANK(OFFSET(A$1,,,SUMPRODUCT(MAX(ROW(E$1:E2343)*(E2=E$1:E2343))))))</f>
        <v> </v>
      </c>
      <c r="K2344" s="26" t="str">
        <f>IF(OR(E2344="",E2344="!!!",F2344="NEW"),"",INDEX(J$1:J2343,SUMPRODUCT(MAX(ROW(E$1:E2343)*(E2344=E$1:E2343)))))</f>
        <v> </v>
      </c>
      <c r="L2344" s="27"/>
    </row>
    <row r="2345" spans="1:12">
      <c r="A2345" s="20" t="s">
        <v>808</v>
      </c>
      <c r="E2345" s="22">
        <f>IF(D2345="?OLD","!!!","")</f>
        <v/>
      </c>
      <c r="F2345" s="23" t="str">
        <f>IF(OR(E2345="",E2345="!!!"),"",IF(NOT(ISNA(VLOOKUP(E2345,E$1:E2344,1,FALSE()))),"OLD",IF(AND(E2345&lt;&gt;"",E2345&lt;&gt;"!!!"),"NEW","")))</f>
        <v> </v>
      </c>
      <c r="G2345" s="24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5" t="str">
        <f>IF(J2345&lt;&gt;1,"",IF(I2345="SBJ","CB","?"))</f>
        <v> </v>
      </c>
      <c r="I2345" s="26" t="str">
        <f>IF(OR(E2345="",E2345="!!!",F2345="NEW"),"",INDEX(B2344:B$2,-1+SUMPRODUCT(MAX(ROW(E2344:E$2)*(E2345=E2344:E$2)))))</f>
        <v> </v>
      </c>
      <c r="J2345" s="26" t="str">
        <f>IF(OR(E2345="",E2345="!!!",F2345="NEW"),"",COUNTBLANK(OFFSET(A$1,,,SUMPRODUCT(MAX(ROW(E$2:E2345)*(E2345=E$2:E2345)))))-COUNTBLANK(OFFSET(A$1,,,SUMPRODUCT(MAX(ROW(E$1:E2344)*(E2=E$1:E2344))))))</f>
        <v> </v>
      </c>
      <c r="K2345" s="26" t="str">
        <f>IF(OR(E2345="",E2345="!!!",F2345="NEW"),"",INDEX(J$1:J2344,SUMPRODUCT(MAX(ROW(E$1:E2344)*(E2345=E$1:E2344)))))</f>
        <v> </v>
      </c>
      <c r="L2345" s="27"/>
    </row>
    <row r="2346" spans="1:12">
      <c r="A2346" s="20" t="s">
        <v>871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736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830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731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721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880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846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 t="s">
        <v>847</v>
      </c>
      <c r="E2353" s="22">
        <f>IF(D2353="?OLD","!!!","")</f>
        <v/>
      </c>
      <c r="F2353" s="23" t="str">
        <f>IF(OR(E2353="",E2353="!!!"),"",IF(NOT(ISNA(VLOOKUP(E2353,E$1:E2352,1,FALSE()))),"OLD",IF(AND(E2353&lt;&gt;"",E2353&lt;&gt;"!!!"),"NEW","")))</f>
        <v> </v>
      </c>
      <c r="G2353" s="24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5" t="str">
        <f>IF(J2353&lt;&gt;1,"",IF(I2353="SBJ","CB","?"))</f>
        <v> </v>
      </c>
      <c r="I2353" s="26" t="str">
        <f>IF(OR(E2353="",E2353="!!!",F2353="NEW"),"",INDEX(B2352:B$2,-1+SUMPRODUCT(MAX(ROW(E2352:E$2)*(E2353=E2352:E$2)))))</f>
        <v> </v>
      </c>
      <c r="J2353" s="26" t="str">
        <f>IF(OR(E2353="",E2353="!!!",F2353="NEW"),"",COUNTBLANK(OFFSET(A$1,,,SUMPRODUCT(MAX(ROW(E$2:E2353)*(E2353=E$2:E2353)))))-COUNTBLANK(OFFSET(A$1,,,SUMPRODUCT(MAX(ROW(E$1:E2352)*(E2=E$1:E2352))))))</f>
        <v> </v>
      </c>
      <c r="K2353" s="26" t="str">
        <f>IF(OR(E2353="",E2353="!!!",F2353="NEW"),"",INDEX(J$1:J2352,SUMPRODUCT(MAX(ROW(E$1:E2352)*(E2353=E$1:E2352)))))</f>
        <v> </v>
      </c>
      <c r="L2353" s="27"/>
    </row>
    <row r="2354" spans="1:12">
      <c r="A2354" s="20" t="s">
        <v>830</v>
      </c>
      <c r="E2354" s="22">
        <f>IF(D2354="?OLD","!!!","")</f>
        <v/>
      </c>
      <c r="F2354" s="23" t="str">
        <f>IF(OR(E2354="",E2354="!!!"),"",IF(NOT(ISNA(VLOOKUP(E2354,E$1:E2353,1,FALSE()))),"OLD",IF(AND(E2354&lt;&gt;"",E2354&lt;&gt;"!!!"),"NEW","")))</f>
        <v> </v>
      </c>
      <c r="G2354" s="24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5" t="str">
        <f>IF(J2354&lt;&gt;1,"",IF(I2354="SBJ","CB","?"))</f>
        <v> </v>
      </c>
      <c r="I2354" s="26" t="str">
        <f>IF(OR(E2354="",E2354="!!!",F2354="NEW"),"",INDEX(B2353:B$2,-1+SUMPRODUCT(MAX(ROW(E2353:E$2)*(E2354=E2353:E$2)))))</f>
        <v> </v>
      </c>
      <c r="J2354" s="26" t="str">
        <f>IF(OR(E2354="",E2354="!!!",F2354="NEW"),"",COUNTBLANK(OFFSET(A$1,,,SUMPRODUCT(MAX(ROW(E$2:E2354)*(E2354=E$2:E2354)))))-COUNTBLANK(OFFSET(A$1,,,SUMPRODUCT(MAX(ROW(E$1:E2353)*(E2=E$1:E2353))))))</f>
        <v> </v>
      </c>
      <c r="K2354" s="26" t="str">
        <f>IF(OR(E2354="",E2354="!!!",F2354="NEW"),"",INDEX(J$1:J2353,SUMPRODUCT(MAX(ROW(E$1:E2353)*(E2354=E$1:E2353)))))</f>
        <v> </v>
      </c>
      <c r="L2354" s="27"/>
    </row>
    <row r="2355" spans="1:12">
      <c r="A2355" s="20" t="s">
        <v>1723</v>
      </c>
      <c r="B2355" s="21" t="s">
        <v>978</v>
      </c>
      <c r="C2355" s="21" t="s">
        <v>727</v>
      </c>
      <c r="D2355" s="21" t="s">
        <v>728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808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1403</v>
      </c>
      <c r="B2357" s="21" t="s">
        <v>978</v>
      </c>
      <c r="C2357" s="21" t="s">
        <v>727</v>
      </c>
      <c r="D2357" s="21" t="s">
        <v>728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732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/>
    </row>
    <row r="2360" spans="1:12">
      <c r="A2360" s="20" t="s">
        <v>1724</v>
      </c>
    </row>
    <row r="2361" spans="1:12">
      <c r="A2361" s="20" t="s">
        <v>1725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779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721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1653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1694</v>
      </c>
      <c r="B2365" s="21" t="s">
        <v>767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1726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721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1444</v>
      </c>
      <c r="B2368" s="21" t="s">
        <v>726</v>
      </c>
      <c r="C2368" s="21" t="s">
        <v>727</v>
      </c>
      <c r="D2368" s="21" t="s">
        <v>728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 t="s">
        <v>1727</v>
      </c>
      <c r="E2369" s="22">
        <f>IF(D2369="?OLD","!!!","")</f>
        <v/>
      </c>
      <c r="F2369" s="23" t="str">
        <f>IF(OR(E2369="",E2369="!!!"),"",IF(NOT(ISNA(VLOOKUP(E2369,E$1:E2368,1,FALSE()))),"OLD",IF(AND(E2369&lt;&gt;"",E2369&lt;&gt;"!!!"),"NEW","")))</f>
        <v> </v>
      </c>
      <c r="G2369" s="24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5" t="str">
        <f>IF(J2369&lt;&gt;1,"",IF(I2369="SBJ","CB","?"))</f>
        <v> </v>
      </c>
      <c r="I2369" s="26" t="str">
        <f>IF(OR(E2369="",E2369="!!!",F2369="NEW"),"",INDEX(B2368:B$2,-1+SUMPRODUCT(MAX(ROW(E2368:E$2)*(E2369=E2368:E$2)))))</f>
        <v> </v>
      </c>
      <c r="J2369" s="26" t="str">
        <f>IF(OR(E2369="",E2369="!!!",F2369="NEW"),"",COUNTBLANK(OFFSET(A$1,,,SUMPRODUCT(MAX(ROW(E$2:E2369)*(E2369=E$2:E2369)))))-COUNTBLANK(OFFSET(A$1,,,SUMPRODUCT(MAX(ROW(E$1:E2368)*(E2=E$1:E2368))))))</f>
        <v> </v>
      </c>
      <c r="K2369" s="26" t="str">
        <f>IF(OR(E2369="",E2369="!!!",F2369="NEW"),"",INDEX(J$1:J2368,SUMPRODUCT(MAX(ROW(E$1:E2368)*(E2369=E$1:E2368)))))</f>
        <v> </v>
      </c>
      <c r="L2369" s="27"/>
    </row>
    <row r="2370" spans="1:12">
      <c r="A2370" s="20" t="s">
        <v>755</v>
      </c>
      <c r="E2370" s="22">
        <f>IF(D2370="?OLD","!!!","")</f>
        <v/>
      </c>
      <c r="F2370" s="23" t="str">
        <f>IF(OR(E2370="",E2370="!!!"),"",IF(NOT(ISNA(VLOOKUP(E2370,E$1:E2369,1,FALSE()))),"OLD",IF(AND(E2370&lt;&gt;"",E2370&lt;&gt;"!!!"),"NEW","")))</f>
        <v> </v>
      </c>
      <c r="G2370" s="24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5" t="str">
        <f>IF(J2370&lt;&gt;1,"",IF(I2370="SBJ","CB","?"))</f>
        <v> </v>
      </c>
      <c r="I2370" s="26" t="str">
        <f>IF(OR(E2370="",E2370="!!!",F2370="NEW"),"",INDEX(B2369:B$2,-1+SUMPRODUCT(MAX(ROW(E2369:E$2)*(E2370=E2369:E$2)))))</f>
        <v> </v>
      </c>
      <c r="J2370" s="26" t="str">
        <f>IF(OR(E2370="",E2370="!!!",F2370="NEW"),"",COUNTBLANK(OFFSET(A$1,,,SUMPRODUCT(MAX(ROW(E$2:E2370)*(E2370=E$2:E2370)))))-COUNTBLANK(OFFSET(A$1,,,SUMPRODUCT(MAX(ROW(E$1:E2369)*(E2=E$1:E2369))))))</f>
        <v> </v>
      </c>
      <c r="K2370" s="26" t="str">
        <f>IF(OR(E2370="",E2370="!!!",F2370="NEW"),"",INDEX(J$1:J2369,SUMPRODUCT(MAX(ROW(E$1:E2369)*(E2370=E$1:E2369)))))</f>
        <v> </v>
      </c>
      <c r="L2370" s="27"/>
    </row>
    <row r="2371" spans="1:12">
      <c r="A2371" s="20" t="s">
        <v>1728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1729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732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/>
    </row>
    <row r="2375" spans="1:12">
      <c r="A2375" s="20" t="s">
        <v>1730</v>
      </c>
    </row>
    <row r="2376" spans="1:12">
      <c r="A2376" s="20" t="s">
        <v>1731</v>
      </c>
      <c r="B2376" s="21" t="s">
        <v>804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755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1732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721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725</v>
      </c>
      <c r="B2380" s="21" t="s">
        <v>726</v>
      </c>
      <c r="C2380" s="21" t="s">
        <v>727</v>
      </c>
      <c r="D2380" s="21" t="s">
        <v>728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1430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721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880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725</v>
      </c>
      <c r="B2384" s="21" t="s">
        <v>767</v>
      </c>
      <c r="C2384" s="21" t="s">
        <v>727</v>
      </c>
      <c r="D2384" s="21" t="s">
        <v>728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1733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1734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942</v>
      </c>
      <c r="B2387" s="21" t="s">
        <v>784</v>
      </c>
      <c r="C2387" s="21" t="s">
        <v>727</v>
      </c>
      <c r="D2387" s="21" t="s">
        <v>728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721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808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780</v>
      </c>
      <c r="B2390" s="21" t="s">
        <v>767</v>
      </c>
      <c r="C2390" s="21" t="s">
        <v>727</v>
      </c>
      <c r="D2390" s="21" t="s">
        <v>728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 t="s">
        <v>1584</v>
      </c>
      <c r="E2391" s="22">
        <f>IF(D2391="?OLD","!!!","")</f>
        <v/>
      </c>
      <c r="F2391" s="23" t="str">
        <f>IF(OR(E2391="",E2391="!!!"),"",IF(NOT(ISNA(VLOOKUP(E2391,E$1:E2390,1,FALSE()))),"OLD",IF(AND(E2391&lt;&gt;"",E2391&lt;&gt;"!!!"),"NEW","")))</f>
        <v> </v>
      </c>
      <c r="G2391" s="24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5" t="str">
        <f>IF(J2391&lt;&gt;1,"",IF(I2391="SBJ","CB","?"))</f>
        <v> </v>
      </c>
      <c r="I2391" s="26" t="str">
        <f>IF(OR(E2391="",E2391="!!!",F2391="NEW"),"",INDEX(B2390:B$2,-1+SUMPRODUCT(MAX(ROW(E2390:E$2)*(E2391=E2390:E$2)))))</f>
        <v> </v>
      </c>
      <c r="J2391" s="26" t="str">
        <f>IF(OR(E2391="",E2391="!!!",F2391="NEW"),"",COUNTBLANK(OFFSET(A$1,,,SUMPRODUCT(MAX(ROW(E$2:E2391)*(E2391=E$2:E2391)))))-COUNTBLANK(OFFSET(A$1,,,SUMPRODUCT(MAX(ROW(E$1:E2390)*(E2=E$1:E2390))))))</f>
        <v> </v>
      </c>
      <c r="K2391" s="26" t="str">
        <f>IF(OR(E2391="",E2391="!!!",F2391="NEW"),"",INDEX(J$1:J2390,SUMPRODUCT(MAX(ROW(E$1:E2390)*(E2391=E$1:E2390)))))</f>
        <v> </v>
      </c>
      <c r="L2391" s="27"/>
    </row>
    <row r="2392" spans="1:12">
      <c r="A2392" s="20" t="s">
        <v>721</v>
      </c>
      <c r="E2392" s="22">
        <f>IF(D2392="?OLD","!!!","")</f>
        <v/>
      </c>
      <c r="F2392" s="23" t="str">
        <f>IF(OR(E2392="",E2392="!!!"),"",IF(NOT(ISNA(VLOOKUP(E2392,E$1:E2391,1,FALSE()))),"OLD",IF(AND(E2392&lt;&gt;"",E2392&lt;&gt;"!!!"),"NEW","")))</f>
        <v> </v>
      </c>
      <c r="G2392" s="24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5" t="str">
        <f>IF(J2392&lt;&gt;1,"",IF(I2392="SBJ","CB","?"))</f>
        <v> </v>
      </c>
      <c r="I2392" s="26" t="str">
        <f>IF(OR(E2392="",E2392="!!!",F2392="NEW"),"",INDEX(B2391:B$2,-1+SUMPRODUCT(MAX(ROW(E2391:E$2)*(E2392=E2391:E$2)))))</f>
        <v> </v>
      </c>
      <c r="J2392" s="26" t="str">
        <f>IF(OR(E2392="",E2392="!!!",F2392="NEW"),"",COUNTBLANK(OFFSET(A$1,,,SUMPRODUCT(MAX(ROW(E$2:E2392)*(E2392=E$2:E2392)))))-COUNTBLANK(OFFSET(A$1,,,SUMPRODUCT(MAX(ROW(E$1:E2391)*(E2=E$1:E2391))))))</f>
        <v> </v>
      </c>
      <c r="K2392" s="26" t="str">
        <f>IF(OR(E2392="",E2392="!!!",F2392="NEW"),"",INDEX(J$1:J2391,SUMPRODUCT(MAX(ROW(E$1:E2391)*(E2392=E$1:E2391)))))</f>
        <v> </v>
      </c>
      <c r="L2392" s="27"/>
    </row>
    <row r="2393" spans="1:12">
      <c r="A2393" s="20" t="s">
        <v>218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779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766</v>
      </c>
      <c r="B2395" s="21" t="s">
        <v>812</v>
      </c>
      <c r="C2395" s="21" t="s">
        <v>747</v>
      </c>
      <c r="D2395" s="21" t="s">
        <v>728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229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1139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721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871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736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1735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721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 t="s">
        <v>880</v>
      </c>
      <c r="E2403" s="22">
        <f>IF(D2403="?OLD","!!!","")</f>
        <v/>
      </c>
      <c r="F2403" s="23" t="str">
        <f>IF(OR(E2403="",E2403="!!!"),"",IF(NOT(ISNA(VLOOKUP(E2403,E$1:E2402,1,FALSE()))),"OLD",IF(AND(E2403&lt;&gt;"",E2403&lt;&gt;"!!!"),"NEW","")))</f>
        <v> </v>
      </c>
      <c r="G2403" s="24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5" t="str">
        <f>IF(J2403&lt;&gt;1,"",IF(I2403="SBJ","CB","?"))</f>
        <v> </v>
      </c>
      <c r="I2403" s="26" t="str">
        <f>IF(OR(E2403="",E2403="!!!",F2403="NEW"),"",INDEX(B2402:B$2,-1+SUMPRODUCT(MAX(ROW(E2402:E$2)*(E2403=E2402:E$2)))))</f>
        <v> </v>
      </c>
      <c r="J2403" s="26" t="str">
        <f>IF(OR(E2403="",E2403="!!!",F2403="NEW"),"",COUNTBLANK(OFFSET(A$1,,,SUMPRODUCT(MAX(ROW(E$2:E2403)*(E2403=E$2:E2403)))))-COUNTBLANK(OFFSET(A$1,,,SUMPRODUCT(MAX(ROW(E$1:E2402)*(E2=E$1:E2402))))))</f>
        <v> </v>
      </c>
      <c r="K2403" s="26" t="str">
        <f>IF(OR(E2403="",E2403="!!!",F2403="NEW"),"",INDEX(J$1:J2402,SUMPRODUCT(MAX(ROW(E$1:E2402)*(E2403=E$1:E2402)))))</f>
        <v> </v>
      </c>
      <c r="L2403" s="27"/>
    </row>
    <row r="2404" spans="1:12">
      <c r="A2404" s="20" t="s">
        <v>808</v>
      </c>
      <c r="E2404" s="22">
        <f>IF(D2404="?OLD","!!!","")</f>
        <v/>
      </c>
      <c r="F2404" s="23" t="str">
        <f>IF(OR(E2404="",E2404="!!!"),"",IF(NOT(ISNA(VLOOKUP(E2404,E$1:E2403,1,FALSE()))),"OLD",IF(AND(E2404&lt;&gt;"",E2404&lt;&gt;"!!!"),"NEW","")))</f>
        <v> </v>
      </c>
      <c r="G2404" s="24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5" t="str">
        <f>IF(J2404&lt;&gt;1,"",IF(I2404="SBJ","CB","?"))</f>
        <v> </v>
      </c>
      <c r="I2404" s="26" t="str">
        <f>IF(OR(E2404="",E2404="!!!",F2404="NEW"),"",INDEX(B2403:B$2,-1+SUMPRODUCT(MAX(ROW(E2403:E$2)*(E2404=E2403:E$2)))))</f>
        <v> </v>
      </c>
      <c r="J2404" s="26" t="str">
        <f>IF(OR(E2404="",E2404="!!!",F2404="NEW"),"",COUNTBLANK(OFFSET(A$1,,,SUMPRODUCT(MAX(ROW(E$2:E2404)*(E2404=E$2:E2404)))))-COUNTBLANK(OFFSET(A$1,,,SUMPRODUCT(MAX(ROW(E$1:E2403)*(E2=E$1:E2403))))))</f>
        <v> </v>
      </c>
      <c r="K2404" s="26" t="str">
        <f>IF(OR(E2404="",E2404="!!!",F2404="NEW"),"",INDEX(J$1:J2403,SUMPRODUCT(MAX(ROW(E$1:E2403)*(E2404=E$1:E2403)))))</f>
        <v> </v>
      </c>
      <c r="L2404" s="27"/>
    </row>
    <row r="2405" spans="1:12">
      <c r="A2405" s="20" t="s">
        <v>1736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732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/>
    </row>
    <row r="2408" spans="1:12">
      <c r="A2408" s="20" t="s">
        <v>1737</v>
      </c>
    </row>
    <row r="2409" spans="1:12">
      <c r="A2409" s="20" t="s">
        <v>1738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539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721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 t="s">
        <v>779</v>
      </c>
      <c r="E2412" s="22">
        <f>IF(D2412="?OLD","!!!","")</f>
        <v/>
      </c>
      <c r="F2412" s="23" t="str">
        <f>IF(OR(E2412="",E2412="!!!"),"",IF(NOT(ISNA(VLOOKUP(E2412,E$1:E2411,1,FALSE()))),"OLD",IF(AND(E2412&lt;&gt;"",E2412&lt;&gt;"!!!"),"NEW","")))</f>
        <v> </v>
      </c>
      <c r="G2412" s="24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5" t="str">
        <f>IF(J2412&lt;&gt;1,"",IF(I2412="SBJ","CB","?"))</f>
        <v> </v>
      </c>
      <c r="I2412" s="26" t="str">
        <f>IF(OR(E2412="",E2412="!!!",F2412="NEW"),"",INDEX(B2411:B$2,-1+SUMPRODUCT(MAX(ROW(E2411:E$2)*(E2412=E2411:E$2)))))</f>
        <v> </v>
      </c>
      <c r="J2412" s="26" t="str">
        <f>IF(OR(E2412="",E2412="!!!",F2412="NEW"),"",COUNTBLANK(OFFSET(A$1,,,SUMPRODUCT(MAX(ROW(E$2:E2412)*(E2412=E$2:E2412)))))-COUNTBLANK(OFFSET(A$1,,,SUMPRODUCT(MAX(ROW(E$1:E2411)*(E2=E$1:E2411))))))</f>
        <v> </v>
      </c>
      <c r="K2412" s="26" t="str">
        <f>IF(OR(E2412="",E2412="!!!",F2412="NEW"),"",INDEX(J$1:J2411,SUMPRODUCT(MAX(ROW(E$1:E2411)*(E2412=E$1:E2411)))))</f>
        <v> </v>
      </c>
      <c r="L2412" s="27"/>
    </row>
    <row r="2413" spans="1:12">
      <c r="A2413" s="20" t="s">
        <v>766</v>
      </c>
      <c r="B2413" s="21" t="s">
        <v>812</v>
      </c>
      <c r="C2413" s="21" t="s">
        <v>747</v>
      </c>
      <c r="D2413" s="21" t="s">
        <v>728</v>
      </c>
      <c r="E2413" s="22">
        <f>IF(D2413="?OLD","!!!","")</f>
        <v/>
      </c>
      <c r="F2413" s="23" t="str">
        <f>IF(OR(E2413="",E2413="!!!"),"",IF(NOT(ISNA(VLOOKUP(E2413,E$1:E2412,1,FALSE()))),"OLD",IF(AND(E2413&lt;&gt;"",E2413&lt;&gt;"!!!"),"NEW","")))</f>
        <v> </v>
      </c>
      <c r="G2413" s="24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5" t="str">
        <f>IF(J2413&lt;&gt;1,"",IF(I2413="SBJ","CB","?"))</f>
        <v> </v>
      </c>
      <c r="I2413" s="26" t="str">
        <f>IF(OR(E2413="",E2413="!!!",F2413="NEW"),"",INDEX(B2412:B$2,-1+SUMPRODUCT(MAX(ROW(E2412:E$2)*(E2413=E2412:E$2)))))</f>
        <v> </v>
      </c>
      <c r="J2413" s="26" t="str">
        <f>IF(OR(E2413="",E2413="!!!",F2413="NEW"),"",COUNTBLANK(OFFSET(A$1,,,SUMPRODUCT(MAX(ROW(E$2:E2413)*(E2413=E$2:E2413)))))-COUNTBLANK(OFFSET(A$1,,,SUMPRODUCT(MAX(ROW(E$1:E2412)*(E2=E$1:E2412))))))</f>
        <v> </v>
      </c>
      <c r="K2413" s="26" t="str">
        <f>IF(OR(E2413="",E2413="!!!",F2413="NEW"),"",INDEX(J$1:J2412,SUMPRODUCT(MAX(ROW(E$1:E2412)*(E2413=E$1:E2412)))))</f>
        <v> </v>
      </c>
      <c r="L2413" s="27"/>
    </row>
    <row r="2414" spans="1:12">
      <c r="A2414" s="20" t="s">
        <v>1739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887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1740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1741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 t="s">
        <v>721</v>
      </c>
      <c r="E2418" s="22">
        <f>IF(D2418="?OLD","!!!","")</f>
        <v/>
      </c>
      <c r="F2418" s="23" t="str">
        <f>IF(OR(E2418="",E2418="!!!"),"",IF(NOT(ISNA(VLOOKUP(E2418,E$1:E2417,1,FALSE()))),"OLD",IF(AND(E2418&lt;&gt;"",E2418&lt;&gt;"!!!"),"NEW","")))</f>
        <v> </v>
      </c>
      <c r="G2418" s="24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5" t="str">
        <f>IF(J2418&lt;&gt;1,"",IF(I2418="SBJ","CB","?"))</f>
        <v> </v>
      </c>
      <c r="I2418" s="26" t="str">
        <f>IF(OR(E2418="",E2418="!!!",F2418="NEW"),"",INDEX(B2417:B$2,-1+SUMPRODUCT(MAX(ROW(E2417:E$2)*(E2418=E2417:E$2)))))</f>
        <v> </v>
      </c>
      <c r="J2418" s="26" t="str">
        <f>IF(OR(E2418="",E2418="!!!",F2418="NEW"),"",COUNTBLANK(OFFSET(A$1,,,SUMPRODUCT(MAX(ROW(E$2:E2418)*(E2418=E$2:E2418)))))-COUNTBLANK(OFFSET(A$1,,,SUMPRODUCT(MAX(ROW(E$1:E2417)*(E2=E$1:E2417))))))</f>
        <v> </v>
      </c>
      <c r="K2418" s="26" t="str">
        <f>IF(OR(E2418="",E2418="!!!",F2418="NEW"),"",INDEX(J$1:J2417,SUMPRODUCT(MAX(ROW(E$1:E2417)*(E2418=E$1:E2417)))))</f>
        <v> </v>
      </c>
      <c r="L2418" s="27"/>
    </row>
    <row r="2419" spans="1:12">
      <c r="A2419" s="20" t="s">
        <v>1742</v>
      </c>
      <c r="E2419" s="22">
        <f>IF(D2419="?OLD","!!!","")</f>
        <v/>
      </c>
      <c r="F2419" s="23" t="str">
        <f>IF(OR(E2419="",E2419="!!!"),"",IF(NOT(ISNA(VLOOKUP(E2419,E$1:E2418,1,FALSE()))),"OLD",IF(AND(E2419&lt;&gt;"",E2419&lt;&gt;"!!!"),"NEW","")))</f>
        <v> </v>
      </c>
      <c r="G2419" s="24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5" t="str">
        <f>IF(J2419&lt;&gt;1,"",IF(I2419="SBJ","CB","?"))</f>
        <v> </v>
      </c>
      <c r="I2419" s="26" t="str">
        <f>IF(OR(E2419="",E2419="!!!",F2419="NEW"),"",INDEX(B2418:B$2,-1+SUMPRODUCT(MAX(ROW(E2418:E$2)*(E2419=E2418:E$2)))))</f>
        <v> </v>
      </c>
      <c r="J2419" s="26" t="str">
        <f>IF(OR(E2419="",E2419="!!!",F2419="NEW"),"",COUNTBLANK(OFFSET(A$1,,,SUMPRODUCT(MAX(ROW(E$2:E2419)*(E2419=E$2:E2419)))))-COUNTBLANK(OFFSET(A$1,,,SUMPRODUCT(MAX(ROW(E$1:E2418)*(E2=E$1:E2418))))))</f>
        <v> </v>
      </c>
      <c r="K2419" s="26" t="str">
        <f>IF(OR(E2419="",E2419="!!!",F2419="NEW"),"",INDEX(J$1:J2418,SUMPRODUCT(MAX(ROW(E$1:E2418)*(E2419=E$1:E2418)))))</f>
        <v> </v>
      </c>
      <c r="L2419" s="27"/>
    </row>
    <row r="2420" spans="1:12">
      <c r="A2420" s="20" t="s">
        <v>1097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843</v>
      </c>
      <c r="B2421" s="21" t="s">
        <v>826</v>
      </c>
      <c r="C2421" s="21" t="s">
        <v>727</v>
      </c>
      <c r="D2421" s="21" t="s">
        <v>728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815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1743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878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1744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732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/>
    </row>
    <row r="2428" spans="1:12">
      <c r="A2428" s="20" t="s">
        <v>1745</v>
      </c>
    </row>
    <row r="2429" spans="1:12">
      <c r="A2429" s="20" t="s">
        <v>717</v>
      </c>
      <c r="B2429" s="21" t="s">
        <v>726</v>
      </c>
      <c r="C2429" s="21" t="s">
        <v>719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1746</v>
      </c>
      <c r="B2430" s="21" t="s">
        <v>804</v>
      </c>
      <c r="C2430" s="21" t="s">
        <v>727</v>
      </c>
      <c r="D2430" s="21" t="s">
        <v>728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1747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1748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820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766</v>
      </c>
      <c r="B2434" s="21" t="s">
        <v>767</v>
      </c>
      <c r="C2434" s="21" t="s">
        <v>747</v>
      </c>
      <c r="D2434" s="21" t="s">
        <v>728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1749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1750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1751</v>
      </c>
      <c r="B2437" s="21" t="s">
        <v>726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 t="s">
        <v>1752</v>
      </c>
      <c r="E2438" s="22">
        <f>IF(D2438="?OLD","!!!","")</f>
        <v/>
      </c>
      <c r="F2438" s="23" t="str">
        <f>IF(OR(E2438="",E2438="!!!"),"",IF(NOT(ISNA(VLOOKUP(E2438,E$1:E2437,1,FALSE()))),"OLD",IF(AND(E2438&lt;&gt;"",E2438&lt;&gt;"!!!"),"NEW","")))</f>
        <v> </v>
      </c>
      <c r="G2438" s="24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5" t="str">
        <f>IF(J2438&lt;&gt;1,"",IF(I2438="SBJ","CB","?"))</f>
        <v> </v>
      </c>
      <c r="I2438" s="26" t="str">
        <f>IF(OR(E2438="",E2438="!!!",F2438="NEW"),"",INDEX(B2437:B$2,-1+SUMPRODUCT(MAX(ROW(E2437:E$2)*(E2438=E2437:E$2)))))</f>
        <v> </v>
      </c>
      <c r="J2438" s="26" t="str">
        <f>IF(OR(E2438="",E2438="!!!",F2438="NEW"),"",COUNTBLANK(OFFSET(A$1,,,SUMPRODUCT(MAX(ROW(E$2:E2438)*(E2438=E$2:E2438)))))-COUNTBLANK(OFFSET(A$1,,,SUMPRODUCT(MAX(ROW(E$1:E2437)*(E2=E$1:E2437))))))</f>
        <v> </v>
      </c>
      <c r="K2438" s="26" t="str">
        <f>IF(OR(E2438="",E2438="!!!",F2438="NEW"),"",INDEX(J$1:J2437,SUMPRODUCT(MAX(ROW(E$1:E2437)*(E2438=E$1:E2437)))))</f>
        <v> </v>
      </c>
      <c r="L2438" s="27"/>
    </row>
    <row r="2439" spans="1:12">
      <c r="A2439" s="20" t="s">
        <v>1753</v>
      </c>
      <c r="E2439" s="22">
        <f>IF(D2439="?OLD","!!!","")</f>
        <v/>
      </c>
      <c r="F2439" s="23" t="str">
        <f>IF(OR(E2439="",E2439="!!!"),"",IF(NOT(ISNA(VLOOKUP(E2439,E$1:E2438,1,FALSE()))),"OLD",IF(AND(E2439&lt;&gt;"",E2439&lt;&gt;"!!!"),"NEW","")))</f>
        <v> </v>
      </c>
      <c r="G2439" s="24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5" t="str">
        <f>IF(J2439&lt;&gt;1,"",IF(I2439="SBJ","CB","?"))</f>
        <v> </v>
      </c>
      <c r="I2439" s="26" t="str">
        <f>IF(OR(E2439="",E2439="!!!",F2439="NEW"),"",INDEX(B2438:B$2,-1+SUMPRODUCT(MAX(ROW(E2438:E$2)*(E2439=E2438:E$2)))))</f>
        <v> </v>
      </c>
      <c r="J2439" s="26" t="str">
        <f>IF(OR(E2439="",E2439="!!!",F2439="NEW"),"",COUNTBLANK(OFFSET(A$1,,,SUMPRODUCT(MAX(ROW(E$2:E2439)*(E2439=E$2:E2439)))))-COUNTBLANK(OFFSET(A$1,,,SUMPRODUCT(MAX(ROW(E$1:E2438)*(E2=E$1:E2438))))))</f>
        <v> </v>
      </c>
      <c r="K2439" s="26" t="str">
        <f>IF(OR(E2439="",E2439="!!!",F2439="NEW"),"",INDEX(J$1:J2438,SUMPRODUCT(MAX(ROW(E$1:E2438)*(E2439=E$1:E2438)))))</f>
        <v> </v>
      </c>
      <c r="L2439" s="27"/>
    </row>
    <row r="2440" spans="1:12">
      <c r="A2440" s="20" t="s">
        <v>721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755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1754</v>
      </c>
      <c r="B2442" s="21" t="s">
        <v>860</v>
      </c>
      <c r="C2442" s="21" t="s">
        <v>719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1630</v>
      </c>
      <c r="B2443" s="21" t="s">
        <v>812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1755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21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1426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732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/>
    </row>
    <row r="2449" spans="1:12">
      <c r="A2449" s="20" t="s">
        <v>1756</v>
      </c>
    </row>
    <row r="2450" spans="1:12">
      <c r="A2450" s="20" t="s">
        <v>760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1757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763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734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 t="s">
        <v>830</v>
      </c>
      <c r="E2454" s="22">
        <f>IF(D2454="?OLD","!!!","")</f>
        <v/>
      </c>
      <c r="F2454" s="23" t="str">
        <f>IF(OR(E2454="",E2454="!!!"),"",IF(NOT(ISNA(VLOOKUP(E2454,E$1:E2453,1,FALSE()))),"OLD",IF(AND(E2454&lt;&gt;"",E2454&lt;&gt;"!!!"),"NEW","")))</f>
        <v> </v>
      </c>
      <c r="G2454" s="24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5" t="str">
        <f>IF(J2454&lt;&gt;1,"",IF(I2454="SBJ","CB","?"))</f>
        <v> </v>
      </c>
      <c r="I2454" s="26" t="str">
        <f>IF(OR(E2454="",E2454="!!!",F2454="NEW"),"",INDEX(B2453:B$2,-1+SUMPRODUCT(MAX(ROW(E2453:E$2)*(E2454=E2453:E$2)))))</f>
        <v> </v>
      </c>
      <c r="J2454" s="26" t="str">
        <f>IF(OR(E2454="",E2454="!!!",F2454="NEW"),"",COUNTBLANK(OFFSET(A$1,,,SUMPRODUCT(MAX(ROW(E$2:E2454)*(E2454=E$2:E2454)))))-COUNTBLANK(OFFSET(A$1,,,SUMPRODUCT(MAX(ROW(E$1:E2453)*(E2=E$1:E2453))))))</f>
        <v> </v>
      </c>
      <c r="K2454" s="26" t="str">
        <f>IF(OR(E2454="",E2454="!!!",F2454="NEW"),"",INDEX(J$1:J2453,SUMPRODUCT(MAX(ROW(E$1:E2453)*(E2454=E$1:E2453)))))</f>
        <v> </v>
      </c>
      <c r="L2454" s="27"/>
    </row>
    <row r="2455" spans="1:12">
      <c r="A2455" s="20" t="s">
        <v>1758</v>
      </c>
      <c r="E2455" s="22">
        <f>IF(D2455="?OLD","!!!","")</f>
        <v/>
      </c>
      <c r="F2455" s="23" t="str">
        <f>IF(OR(E2455="",E2455="!!!"),"",IF(NOT(ISNA(VLOOKUP(E2455,E$1:E2454,1,FALSE()))),"OLD",IF(AND(E2455&lt;&gt;"",E2455&lt;&gt;"!!!"),"NEW","")))</f>
        <v> </v>
      </c>
      <c r="G2455" s="24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5" t="str">
        <f>IF(J2455&lt;&gt;1,"",IF(I2455="SBJ","CB","?"))</f>
        <v> </v>
      </c>
      <c r="I2455" s="26" t="str">
        <f>IF(OR(E2455="",E2455="!!!",F2455="NEW"),"",INDEX(B2454:B$2,-1+SUMPRODUCT(MAX(ROW(E2454:E$2)*(E2455=E2454:E$2)))))</f>
        <v> </v>
      </c>
      <c r="J2455" s="26" t="str">
        <f>IF(OR(E2455="",E2455="!!!",F2455="NEW"),"",COUNTBLANK(OFFSET(A$1,,,SUMPRODUCT(MAX(ROW(E$2:E2455)*(E2455=E$2:E2455)))))-COUNTBLANK(OFFSET(A$1,,,SUMPRODUCT(MAX(ROW(E$1:E2454)*(E2=E$1:E2454))))))</f>
        <v> </v>
      </c>
      <c r="K2455" s="26" t="str">
        <f>IF(OR(E2455="",E2455="!!!",F2455="NEW"),"",INDEX(J$1:J2454,SUMPRODUCT(MAX(ROW(E$1:E2454)*(E2455=E$1:E2454)))))</f>
        <v> </v>
      </c>
      <c r="L2455" s="27"/>
    </row>
    <row r="2456" spans="1:12">
      <c r="A2456" s="20" t="s">
        <v>1759</v>
      </c>
      <c r="B2456" s="21" t="s">
        <v>718</v>
      </c>
      <c r="C2456" s="21" t="s">
        <v>800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766</v>
      </c>
      <c r="B2457" s="21" t="s">
        <v>726</v>
      </c>
      <c r="C2457" s="21" t="s">
        <v>747</v>
      </c>
      <c r="D2457" s="21" t="s">
        <v>728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1185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21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1118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1749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 t="s">
        <v>732</v>
      </c>
      <c r="E2462" s="22">
        <f>IF(D2462="?OLD","!!!","")</f>
        <v/>
      </c>
      <c r="F2462" s="23" t="str">
        <f>IF(OR(E2462="",E2462="!!!"),"",IF(NOT(ISNA(VLOOKUP(E2462,E$1:E2461,1,FALSE()))),"OLD",IF(AND(E2462&lt;&gt;"",E2462&lt;&gt;"!!!"),"NEW","")))</f>
        <v> </v>
      </c>
      <c r="G2462" s="24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5" t="str">
        <f>IF(J2462&lt;&gt;1,"",IF(I2462="SBJ","CB","?"))</f>
        <v> </v>
      </c>
      <c r="I2462" s="26" t="str">
        <f>IF(OR(E2462="",E2462="!!!",F2462="NEW"),"",INDEX(B2461:B$2,-1+SUMPRODUCT(MAX(ROW(E2461:E$2)*(E2462=E2461:E$2)))))</f>
        <v> </v>
      </c>
      <c r="J2462" s="26" t="str">
        <f>IF(OR(E2462="",E2462="!!!",F2462="NEW"),"",COUNTBLANK(OFFSET(A$1,,,SUMPRODUCT(MAX(ROW(E$2:E2462)*(E2462=E$2:E2462)))))-COUNTBLANK(OFFSET(A$1,,,SUMPRODUCT(MAX(ROW(E$1:E2461)*(E2=E$1:E2461))))))</f>
        <v> </v>
      </c>
      <c r="K2462" s="26" t="str">
        <f>IF(OR(E2462="",E2462="!!!",F2462="NEW"),"",INDEX(J$1:J2461,SUMPRODUCT(MAX(ROW(E$1:E2461)*(E2462=E$1:E2461)))))</f>
        <v> </v>
      </c>
      <c r="L2462" s="27"/>
    </row>
    <row r="2463" spans="1:12">
      <c r="A2463" s="20"/>
    </row>
    <row r="2464" spans="1:12">
      <c r="A2464" s="20" t="s">
        <v>1760</v>
      </c>
    </row>
    <row r="2465" spans="1:12">
      <c r="A2465" s="20" t="s">
        <v>1341</v>
      </c>
      <c r="B2465" s="21" t="s">
        <v>726</v>
      </c>
      <c r="C2465" s="21" t="s">
        <v>727</v>
      </c>
      <c r="D2465" s="21" t="s">
        <v>728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721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1761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721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871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 t="s">
        <v>1762</v>
      </c>
      <c r="E2470" s="22">
        <f>IF(D2470="?OLD","!!!","")</f>
        <v/>
      </c>
      <c r="F2470" s="23" t="str">
        <f>IF(OR(E2470="",E2470="!!!"),"",IF(NOT(ISNA(VLOOKUP(E2470,E$1:E2469,1,FALSE()))),"OLD",IF(AND(E2470&lt;&gt;"",E2470&lt;&gt;"!!!"),"NEW","")))</f>
        <v> </v>
      </c>
      <c r="G2470" s="24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5" t="str">
        <f>IF(J2470&lt;&gt;1,"",IF(I2470="SBJ","CB","?"))</f>
        <v> </v>
      </c>
      <c r="I2470" s="26" t="str">
        <f>IF(OR(E2470="",E2470="!!!",F2470="NEW"),"",INDEX(B2469:B$2,-1+SUMPRODUCT(MAX(ROW(E2469:E$2)*(E2470=E2469:E$2)))))</f>
        <v> </v>
      </c>
      <c r="J2470" s="26" t="str">
        <f>IF(OR(E2470="",E2470="!!!",F2470="NEW"),"",COUNTBLANK(OFFSET(A$1,,,SUMPRODUCT(MAX(ROW(E$2:E2470)*(E2470=E$2:E2470)))))-COUNTBLANK(OFFSET(A$1,,,SUMPRODUCT(MAX(ROW(E$1:E2469)*(E2=E$1:E2469))))))</f>
        <v> </v>
      </c>
      <c r="K2470" s="26" t="str">
        <f>IF(OR(E2470="",E2470="!!!",F2470="NEW"),"",INDEX(J$1:J2469,SUMPRODUCT(MAX(ROW(E$1:E2469)*(E2470=E$1:E2469)))))</f>
        <v> </v>
      </c>
      <c r="L2470" s="27"/>
    </row>
    <row r="2471" spans="1:12">
      <c r="A2471" s="20" t="s">
        <v>732</v>
      </c>
      <c r="E2471" s="22">
        <f>IF(D2471="?OLD","!!!","")</f>
        <v/>
      </c>
      <c r="F2471" s="23" t="str">
        <f>IF(OR(E2471="",E2471="!!!"),"",IF(NOT(ISNA(VLOOKUP(E2471,E$1:E2470,1,FALSE()))),"OLD",IF(AND(E2471&lt;&gt;"",E2471&lt;&gt;"!!!"),"NEW","")))</f>
        <v> </v>
      </c>
      <c r="G2471" s="24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5" t="str">
        <f>IF(J2471&lt;&gt;1,"",IF(I2471="SBJ","CB","?"))</f>
        <v> </v>
      </c>
      <c r="I2471" s="26" t="str">
        <f>IF(OR(E2471="",E2471="!!!",F2471="NEW"),"",INDEX(B2470:B$2,-1+SUMPRODUCT(MAX(ROW(E2470:E$2)*(E2471=E2470:E$2)))))</f>
        <v> </v>
      </c>
      <c r="J2471" s="26" t="str">
        <f>IF(OR(E2471="",E2471="!!!",F2471="NEW"),"",COUNTBLANK(OFFSET(A$1,,,SUMPRODUCT(MAX(ROW(E$2:E2471)*(E2471=E$2:E2471)))))-COUNTBLANK(OFFSET(A$1,,,SUMPRODUCT(MAX(ROW(E$1:E2470)*(E2=E$1:E2470))))))</f>
        <v> </v>
      </c>
      <c r="K2471" s="26" t="str">
        <f>IF(OR(E2471="",E2471="!!!",F2471="NEW"),"",INDEX(J$1:J2470,SUMPRODUCT(MAX(ROW(E$1:E2470)*(E2471=E$1:E2470)))))</f>
        <v> </v>
      </c>
      <c r="L2471" s="27"/>
    </row>
    <row r="2472" spans="1:12">
      <c r="A2472" s="20"/>
    </row>
    <row r="2473" spans="1:12">
      <c r="A2473" s="20" t="s">
        <v>1763</v>
      </c>
    </row>
    <row r="2474" spans="1:12">
      <c r="A2474" s="20" t="s">
        <v>1341</v>
      </c>
      <c r="B2474" s="21" t="s">
        <v>726</v>
      </c>
      <c r="C2474" s="21" t="s">
        <v>727</v>
      </c>
      <c r="D2474" s="21" t="s">
        <v>728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1764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732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/>
    </row>
    <row r="2478" spans="1:12">
      <c r="A2478" s="20" t="s">
        <v>1765</v>
      </c>
    </row>
    <row r="2479" spans="1:12">
      <c r="A2479" s="20" t="s">
        <v>1341</v>
      </c>
      <c r="B2479" s="21" t="s">
        <v>726</v>
      </c>
      <c r="C2479" s="21" t="s">
        <v>727</v>
      </c>
      <c r="D2479" s="21" t="s">
        <v>728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1766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1767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1768</v>
      </c>
      <c r="B2482" s="21" t="s">
        <v>804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732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/>
    </row>
    <row r="2485" spans="1:12">
      <c r="A2485" s="20" t="s">
        <v>1769</v>
      </c>
    </row>
    <row r="2486" spans="1:12">
      <c r="A2486" s="20" t="s">
        <v>1341</v>
      </c>
      <c r="B2486" s="21" t="s">
        <v>726</v>
      </c>
      <c r="C2486" s="21" t="s">
        <v>727</v>
      </c>
      <c r="D2486" s="21" t="s">
        <v>728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1766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 t="s">
        <v>1770</v>
      </c>
      <c r="E2488" s="22">
        <f>IF(D2488="?OLD","!!!","")</f>
        <v/>
      </c>
      <c r="F2488" s="23" t="str">
        <f>IF(OR(E2488="",E2488="!!!"),"",IF(NOT(ISNA(VLOOKUP(E2488,E$1:E2487,1,FALSE()))),"OLD",IF(AND(E2488&lt;&gt;"",E2488&lt;&gt;"!!!"),"NEW","")))</f>
        <v> </v>
      </c>
      <c r="G2488" s="24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5" t="str">
        <f>IF(J2488&lt;&gt;1,"",IF(I2488="SBJ","CB","?"))</f>
        <v> </v>
      </c>
      <c r="I2488" s="26" t="str">
        <f>IF(OR(E2488="",E2488="!!!",F2488="NEW"),"",INDEX(B2487:B$2,-1+SUMPRODUCT(MAX(ROW(E2487:E$2)*(E2488=E2487:E$2)))))</f>
        <v> </v>
      </c>
      <c r="J2488" s="26" t="str">
        <f>IF(OR(E2488="",E2488="!!!",F2488="NEW"),"",COUNTBLANK(OFFSET(A$1,,,SUMPRODUCT(MAX(ROW(E$2:E2488)*(E2488=E$2:E2488)))))-COUNTBLANK(OFFSET(A$1,,,SUMPRODUCT(MAX(ROW(E$1:E2487)*(E2=E$1:E2487))))))</f>
        <v> </v>
      </c>
      <c r="K2488" s="26" t="str">
        <f>IF(OR(E2488="",E2488="!!!",F2488="NEW"),"",INDEX(J$1:J2487,SUMPRODUCT(MAX(ROW(E$1:E2487)*(E2488=E$1:E2487)))))</f>
        <v> </v>
      </c>
      <c r="L2488" s="27"/>
    </row>
    <row r="2489" spans="1:12">
      <c r="A2489" s="20" t="s">
        <v>1771</v>
      </c>
      <c r="E2489" s="22">
        <f>IF(D2489="?OLD","!!!","")</f>
        <v/>
      </c>
      <c r="F2489" s="23" t="str">
        <f>IF(OR(E2489="",E2489="!!!"),"",IF(NOT(ISNA(VLOOKUP(E2489,E$1:E2488,1,FALSE()))),"OLD",IF(AND(E2489&lt;&gt;"",E2489&lt;&gt;"!!!"),"NEW","")))</f>
        <v> </v>
      </c>
      <c r="G2489" s="24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5" t="str">
        <f>IF(J2489&lt;&gt;1,"",IF(I2489="SBJ","CB","?"))</f>
        <v> </v>
      </c>
      <c r="I2489" s="26" t="str">
        <f>IF(OR(E2489="",E2489="!!!",F2489="NEW"),"",INDEX(B2488:B$2,-1+SUMPRODUCT(MAX(ROW(E2488:E$2)*(E2489=E2488:E$2)))))</f>
        <v> </v>
      </c>
      <c r="J2489" s="26" t="str">
        <f>IF(OR(E2489="",E2489="!!!",F2489="NEW"),"",COUNTBLANK(OFFSET(A$1,,,SUMPRODUCT(MAX(ROW(E$2:E2489)*(E2489=E$2:E2489)))))-COUNTBLANK(OFFSET(A$1,,,SUMPRODUCT(MAX(ROW(E$1:E2488)*(E2=E$1:E2488))))))</f>
        <v> </v>
      </c>
      <c r="K2489" s="26" t="str">
        <f>IF(OR(E2489="",E2489="!!!",F2489="NEW"),"",INDEX(J$1:J2488,SUMPRODUCT(MAX(ROW(E$1:E2488)*(E2489=E$1:E2488)))))</f>
        <v> </v>
      </c>
      <c r="L2489" s="27"/>
    </row>
    <row r="2490" spans="1:12">
      <c r="A2490" s="20" t="s">
        <v>818</v>
      </c>
      <c r="B2490" s="21" t="s">
        <v>804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732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/>
    </row>
    <row r="2493" spans="1:12">
      <c r="A2493" s="20" t="s">
        <v>1772</v>
      </c>
    </row>
    <row r="2494" spans="1:12">
      <c r="A2494" s="20" t="s">
        <v>1341</v>
      </c>
      <c r="B2494" s="21" t="s">
        <v>726</v>
      </c>
      <c r="C2494" s="21" t="s">
        <v>727</v>
      </c>
      <c r="D2494" s="21" t="s">
        <v>728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1742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1098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1773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1188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732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/>
    </row>
    <row r="2501" spans="1:12">
      <c r="A2501" s="20" t="s">
        <v>1774</v>
      </c>
    </row>
    <row r="2502" spans="1:12">
      <c r="A2502" s="20" t="s">
        <v>1341</v>
      </c>
      <c r="B2502" s="21" t="s">
        <v>726</v>
      </c>
      <c r="C2502" s="21" t="s">
        <v>727</v>
      </c>
      <c r="D2502" s="21" t="s">
        <v>728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1775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1253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1776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1777</v>
      </c>
      <c r="B2506" s="21" t="s">
        <v>804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732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/>
    </row>
    <row r="2509" spans="1:12">
      <c r="A2509" s="20" t="s">
        <v>1778</v>
      </c>
    </row>
    <row r="2510" spans="1:12">
      <c r="A2510" s="20" t="s">
        <v>934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1653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780</v>
      </c>
      <c r="B2512" s="21" t="s">
        <v>767</v>
      </c>
      <c r="C2512" s="21" t="s">
        <v>727</v>
      </c>
      <c r="D2512" s="21" t="s">
        <v>728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1779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721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779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766</v>
      </c>
      <c r="B2516" s="21" t="s">
        <v>812</v>
      </c>
      <c r="C2516" s="21" t="s">
        <v>747</v>
      </c>
      <c r="D2516" s="21" t="s">
        <v>728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825</v>
      </c>
      <c r="B2517" s="21" t="s">
        <v>796</v>
      </c>
      <c r="C2517" s="21" t="s">
        <v>747</v>
      </c>
      <c r="D2517" s="21" t="s">
        <v>728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721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779</v>
      </c>
      <c r="B2519" s="21" t="s">
        <v>826</v>
      </c>
      <c r="C2519" s="21" t="s">
        <v>719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1185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1780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755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1781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1782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1783</v>
      </c>
      <c r="B2525" s="21" t="s">
        <v>963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721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 t="s">
        <v>1784</v>
      </c>
      <c r="B2527" s="21" t="s">
        <v>726</v>
      </c>
      <c r="C2527" s="21" t="s">
        <v>719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1785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808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 t="s">
        <v>1786</v>
      </c>
      <c r="E2530" s="22">
        <f>IF(D2530="?OLD","!!!","")</f>
        <v/>
      </c>
      <c r="F2530" s="23" t="str">
        <f>IF(OR(E2530="",E2530="!!!"),"",IF(NOT(ISNA(VLOOKUP(E2530,E$1:E2529,1,FALSE()))),"OLD",IF(AND(E2530&lt;&gt;"",E2530&lt;&gt;"!!!"),"NEW","")))</f>
        <v> </v>
      </c>
      <c r="G2530" s="24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5" t="str">
        <f>IF(J2530&lt;&gt;1,"",IF(I2530="SBJ","CB","?"))</f>
        <v> </v>
      </c>
      <c r="I2530" s="26" t="str">
        <f>IF(OR(E2530="",E2530="!!!",F2530="NEW"),"",INDEX(B2529:B$2,-1+SUMPRODUCT(MAX(ROW(E2529:E$2)*(E2530=E2529:E$2)))))</f>
        <v> </v>
      </c>
      <c r="J2530" s="26" t="str">
        <f>IF(OR(E2530="",E2530="!!!",F2530="NEW"),"",COUNTBLANK(OFFSET(A$1,,,SUMPRODUCT(MAX(ROW(E$2:E2530)*(E2530=E$2:E2530)))))-COUNTBLANK(OFFSET(A$1,,,SUMPRODUCT(MAX(ROW(E$1:E2529)*(E2=E$1:E2529))))))</f>
        <v> </v>
      </c>
      <c r="K2530" s="26" t="str">
        <f>IF(OR(E2530="",E2530="!!!",F2530="NEW"),"",INDEX(J$1:J2529,SUMPRODUCT(MAX(ROW(E$1:E2529)*(E2530=E$1:E2529)))))</f>
        <v> </v>
      </c>
      <c r="L2530" s="27"/>
    </row>
    <row r="2531" spans="1:12">
      <c r="A2531" s="20" t="s">
        <v>721</v>
      </c>
      <c r="E2531" s="22">
        <f>IF(D2531="?OLD","!!!","")</f>
        <v/>
      </c>
      <c r="F2531" s="23" t="str">
        <f>IF(OR(E2531="",E2531="!!!"),"",IF(NOT(ISNA(VLOOKUP(E2531,E$1:E2530,1,FALSE()))),"OLD",IF(AND(E2531&lt;&gt;"",E2531&lt;&gt;"!!!"),"NEW","")))</f>
        <v> </v>
      </c>
      <c r="G2531" s="24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5" t="str">
        <f>IF(J2531&lt;&gt;1,"",IF(I2531="SBJ","CB","?"))</f>
        <v> </v>
      </c>
      <c r="I2531" s="26" t="str">
        <f>IF(OR(E2531="",E2531="!!!",F2531="NEW"),"",INDEX(B2530:B$2,-1+SUMPRODUCT(MAX(ROW(E2530:E$2)*(E2531=E2530:E$2)))))</f>
        <v> </v>
      </c>
      <c r="J2531" s="26" t="str">
        <f>IF(OR(E2531="",E2531="!!!",F2531="NEW"),"",COUNTBLANK(OFFSET(A$1,,,SUMPRODUCT(MAX(ROW(E$2:E2531)*(E2531=E$2:E2531)))))-COUNTBLANK(OFFSET(A$1,,,SUMPRODUCT(MAX(ROW(E$1:E2530)*(E2=E$1:E2530))))))</f>
        <v> </v>
      </c>
      <c r="K2531" s="26" t="str">
        <f>IF(OR(E2531="",E2531="!!!",F2531="NEW"),"",INDEX(J$1:J2530,SUMPRODUCT(MAX(ROW(E$1:E2530)*(E2531=E$1:E2530)))))</f>
        <v> </v>
      </c>
      <c r="L2531" s="27"/>
    </row>
    <row r="2532" spans="1:12">
      <c r="A2532" s="20" t="s">
        <v>12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1787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721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362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721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803</v>
      </c>
      <c r="B2537" s="21" t="s">
        <v>789</v>
      </c>
      <c r="C2537" s="21" t="s">
        <v>727</v>
      </c>
      <c r="D2537" s="21" t="s">
        <v>728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1788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1506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1497</v>
      </c>
      <c r="B2540" s="21" t="s">
        <v>812</v>
      </c>
      <c r="C2540" s="21" t="s">
        <v>762</v>
      </c>
      <c r="D2540" s="21" t="s">
        <v>728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721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880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848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780</v>
      </c>
      <c r="B2544" s="21" t="s">
        <v>826</v>
      </c>
      <c r="C2544" s="21" t="s">
        <v>727</v>
      </c>
      <c r="D2544" s="21" t="s">
        <v>728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1789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1790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991</v>
      </c>
      <c r="B2547" s="21" t="s">
        <v>963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839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1007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 t="s">
        <v>837</v>
      </c>
      <c r="E2550" s="22">
        <f>IF(D2550="?OLD","!!!","")</f>
        <v/>
      </c>
      <c r="F2550" s="23" t="str">
        <f>IF(OR(E2550="",E2550="!!!"),"",IF(NOT(ISNA(VLOOKUP(E2550,E$1:E2549,1,FALSE()))),"OLD",IF(AND(E2550&lt;&gt;"",E2550&lt;&gt;"!!!"),"NEW","")))</f>
        <v> </v>
      </c>
      <c r="G2550" s="24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5" t="str">
        <f>IF(J2550&lt;&gt;1,"",IF(I2550="SBJ","CB","?"))</f>
        <v> </v>
      </c>
      <c r="I2550" s="26" t="str">
        <f>IF(OR(E2550="",E2550="!!!",F2550="NEW"),"",INDEX(B2549:B$2,-1+SUMPRODUCT(MAX(ROW(E2549:E$2)*(E2550=E2549:E$2)))))</f>
        <v> </v>
      </c>
      <c r="J2550" s="26" t="str">
        <f>IF(OR(E2550="",E2550="!!!",F2550="NEW"),"",COUNTBLANK(OFFSET(A$1,,,SUMPRODUCT(MAX(ROW(E$2:E2550)*(E2550=E$2:E2550)))))-COUNTBLANK(OFFSET(A$1,,,SUMPRODUCT(MAX(ROW(E$1:E2549)*(E2=E$1:E2549))))))</f>
        <v> </v>
      </c>
      <c r="K2550" s="26" t="str">
        <f>IF(OR(E2550="",E2550="!!!",F2550="NEW"),"",INDEX(J$1:J2549,SUMPRODUCT(MAX(ROW(E$1:E2549)*(E2550=E$1:E2549)))))</f>
        <v> </v>
      </c>
      <c r="L2550" s="27"/>
    </row>
    <row r="2551" spans="1:12">
      <c r="A2551" s="20" t="s">
        <v>780</v>
      </c>
      <c r="B2551" s="21" t="s">
        <v>1442</v>
      </c>
      <c r="C2551" s="21" t="s">
        <v>727</v>
      </c>
      <c r="D2551" s="21" t="s">
        <v>728</v>
      </c>
      <c r="E2551" s="22">
        <f>IF(D2551="?OLD","!!!","")</f>
        <v/>
      </c>
      <c r="F2551" s="23" t="str">
        <f>IF(OR(E2551="",E2551="!!!"),"",IF(NOT(ISNA(VLOOKUP(E2551,E$1:E2550,1,FALSE()))),"OLD",IF(AND(E2551&lt;&gt;"",E2551&lt;&gt;"!!!"),"NEW","")))</f>
        <v> </v>
      </c>
      <c r="G2551" s="24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5" t="str">
        <f>IF(J2551&lt;&gt;1,"",IF(I2551="SBJ","CB","?"))</f>
        <v> </v>
      </c>
      <c r="I2551" s="26" t="str">
        <f>IF(OR(E2551="",E2551="!!!",F2551="NEW"),"",INDEX(B2550:B$2,-1+SUMPRODUCT(MAX(ROW(E2550:E$2)*(E2551=E2550:E$2)))))</f>
        <v> </v>
      </c>
      <c r="J2551" s="26" t="str">
        <f>IF(OR(E2551="",E2551="!!!",F2551="NEW"),"",COUNTBLANK(OFFSET(A$1,,,SUMPRODUCT(MAX(ROW(E$2:E2551)*(E2551=E$2:E2551)))))-COUNTBLANK(OFFSET(A$1,,,SUMPRODUCT(MAX(ROW(E$1:E2550)*(E2=E$1:E2550))))))</f>
        <v> </v>
      </c>
      <c r="K2551" s="26" t="str">
        <f>IF(OR(E2551="",E2551="!!!",F2551="NEW"),"",INDEX(J$1:J2550,SUMPRODUCT(MAX(ROW(E$1:E2550)*(E2551=E$1:E2550)))))</f>
        <v> </v>
      </c>
      <c r="L2551" s="27"/>
    </row>
    <row r="2552" spans="1:12">
      <c r="A2552" s="20" t="s">
        <v>1789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1790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991</v>
      </c>
      <c r="B2554" s="21" t="s">
        <v>1791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839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1007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1792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725</v>
      </c>
      <c r="B2558" s="21" t="s">
        <v>967</v>
      </c>
      <c r="C2558" s="21" t="s">
        <v>727</v>
      </c>
      <c r="D2558" s="21" t="s">
        <v>728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21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1793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839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/>
    </row>
    <row r="2563" spans="1:12">
      <c r="A2563" s="20" t="s">
        <v>1794</v>
      </c>
    </row>
    <row r="2564" spans="1:12">
      <c r="A2564" s="20" t="s">
        <v>940</v>
      </c>
      <c r="B2564" s="21" t="s">
        <v>726</v>
      </c>
      <c r="C2564" s="21" t="s">
        <v>727</v>
      </c>
      <c r="D2564" s="21" t="s">
        <v>728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871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1637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1194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1795</v>
      </c>
      <c r="B2568" s="21" t="s">
        <v>804</v>
      </c>
      <c r="C2568" s="21" t="s">
        <v>790</v>
      </c>
      <c r="D2568" s="21" t="s">
        <v>728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732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/>
    </row>
    <row r="2571" spans="1:12">
      <c r="A2571" s="20" t="s">
        <v>1796</v>
      </c>
    </row>
    <row r="2572" spans="1:12">
      <c r="A2572" s="20" t="s">
        <v>1123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 t="s">
        <v>721</v>
      </c>
      <c r="E2573" s="22">
        <f>IF(D2573="?OLD","!!!","")</f>
        <v/>
      </c>
      <c r="F2573" s="23" t="str">
        <f>IF(OR(E2573="",E2573="!!!"),"",IF(NOT(ISNA(VLOOKUP(E2573,E$1:E2572,1,FALSE()))),"OLD",IF(AND(E2573&lt;&gt;"",E2573&lt;&gt;"!!!"),"NEW","")))</f>
        <v> </v>
      </c>
      <c r="G2573" s="24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5" t="str">
        <f>IF(J2573&lt;&gt;1,"",IF(I2573="SBJ","CB","?"))</f>
        <v> </v>
      </c>
      <c r="I2573" s="26" t="str">
        <f>IF(OR(E2573="",E2573="!!!",F2573="NEW"),"",INDEX(B2572:B$2,-1+SUMPRODUCT(MAX(ROW(E2572:E$2)*(E2573=E2572:E$2)))))</f>
        <v> </v>
      </c>
      <c r="J2573" s="26" t="str">
        <f>IF(OR(E2573="",E2573="!!!",F2573="NEW"),"",COUNTBLANK(OFFSET(A$1,,,SUMPRODUCT(MAX(ROW(E$2:E2573)*(E2573=E$2:E2573)))))-COUNTBLANK(OFFSET(A$1,,,SUMPRODUCT(MAX(ROW(E$1:E2572)*(E2=E$1:E2572))))))</f>
        <v> </v>
      </c>
      <c r="K2573" s="26" t="str">
        <f>IF(OR(E2573="",E2573="!!!",F2573="NEW"),"",INDEX(J$1:J2572,SUMPRODUCT(MAX(ROW(E$1:E2572)*(E2573=E$1:E2572)))))</f>
        <v> </v>
      </c>
      <c r="L2573" s="27"/>
    </row>
    <row r="2574" spans="1:12">
      <c r="A2574" s="20" t="s">
        <v>871</v>
      </c>
      <c r="E2574" s="22">
        <f>IF(D2574="?OLD","!!!","")</f>
        <v/>
      </c>
      <c r="F2574" s="23" t="str">
        <f>IF(OR(E2574="",E2574="!!!"),"",IF(NOT(ISNA(VLOOKUP(E2574,E$1:E2573,1,FALSE()))),"OLD",IF(AND(E2574&lt;&gt;"",E2574&lt;&gt;"!!!"),"NEW","")))</f>
        <v> </v>
      </c>
      <c r="G2574" s="24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5" t="str">
        <f>IF(J2574&lt;&gt;1,"",IF(I2574="SBJ","CB","?"))</f>
        <v> </v>
      </c>
      <c r="I2574" s="26" t="str">
        <f>IF(OR(E2574="",E2574="!!!",F2574="NEW"),"",INDEX(B2573:B$2,-1+SUMPRODUCT(MAX(ROW(E2573:E$2)*(E2574=E2573:E$2)))))</f>
        <v> </v>
      </c>
      <c r="J2574" s="26" t="str">
        <f>IF(OR(E2574="",E2574="!!!",F2574="NEW"),"",COUNTBLANK(OFFSET(A$1,,,SUMPRODUCT(MAX(ROW(E$2:E2574)*(E2574=E$2:E2574)))))-COUNTBLANK(OFFSET(A$1,,,SUMPRODUCT(MAX(ROW(E$1:E2573)*(E2=E$1:E2573))))))</f>
        <v> </v>
      </c>
      <c r="K2574" s="26" t="str">
        <f>IF(OR(E2574="",E2574="!!!",F2574="NEW"),"",INDEX(J$1:J2573,SUMPRODUCT(MAX(ROW(E$1:E2573)*(E2574=E$1:E2573)))))</f>
        <v> </v>
      </c>
      <c r="L2574" s="27"/>
    </row>
    <row r="2575" spans="1:12">
      <c r="A2575" s="20" t="s">
        <v>218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721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779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843</v>
      </c>
      <c r="B2578" s="21" t="s">
        <v>767</v>
      </c>
      <c r="C2578" s="21" t="s">
        <v>727</v>
      </c>
      <c r="D2578" s="21" t="s">
        <v>728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1797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1798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1799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1800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721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 t="s">
        <v>924</v>
      </c>
      <c r="E2584" s="22">
        <f>IF(D2584="?OLD","!!!","")</f>
        <v/>
      </c>
      <c r="F2584" s="23" t="str">
        <f>IF(OR(E2584="",E2584="!!!"),"",IF(NOT(ISNA(VLOOKUP(E2584,E$1:E2583,1,FALSE()))),"OLD",IF(AND(E2584&lt;&gt;"",E2584&lt;&gt;"!!!"),"NEW","")))</f>
        <v> </v>
      </c>
      <c r="G2584" s="24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5" t="str">
        <f>IF(J2584&lt;&gt;1,"",IF(I2584="SBJ","CB","?"))</f>
        <v> </v>
      </c>
      <c r="I2584" s="26" t="str">
        <f>IF(OR(E2584="",E2584="!!!",F2584="NEW"),"",INDEX(B2583:B$2,-1+SUMPRODUCT(MAX(ROW(E2583:E$2)*(E2584=E2583:E$2)))))</f>
        <v> </v>
      </c>
      <c r="J2584" s="26" t="str">
        <f>IF(OR(E2584="",E2584="!!!",F2584="NEW"),"",COUNTBLANK(OFFSET(A$1,,,SUMPRODUCT(MAX(ROW(E$2:E2584)*(E2584=E$2:E2584)))))-COUNTBLANK(OFFSET(A$1,,,SUMPRODUCT(MAX(ROW(E$1:E2583)*(E2=E$1:E2583))))))</f>
        <v> </v>
      </c>
      <c r="K2584" s="26" t="str">
        <f>IF(OR(E2584="",E2584="!!!",F2584="NEW"),"",INDEX(J$1:J2583,SUMPRODUCT(MAX(ROW(E$1:E2583)*(E2584=E$1:E2583)))))</f>
        <v> </v>
      </c>
      <c r="L2584" s="27"/>
    </row>
    <row r="2585" spans="1:12">
      <c r="A2585" s="20" t="s">
        <v>1801</v>
      </c>
      <c r="E2585" s="22">
        <f>IF(D2585="?OLD","!!!","")</f>
        <v/>
      </c>
      <c r="F2585" s="23" t="str">
        <f>IF(OR(E2585="",E2585="!!!"),"",IF(NOT(ISNA(VLOOKUP(E2585,E$1:E2584,1,FALSE()))),"OLD",IF(AND(E2585&lt;&gt;"",E2585&lt;&gt;"!!!"),"NEW","")))</f>
        <v> </v>
      </c>
      <c r="G2585" s="24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5" t="str">
        <f>IF(J2585&lt;&gt;1,"",IF(I2585="SBJ","CB","?"))</f>
        <v> </v>
      </c>
      <c r="I2585" s="26" t="str">
        <f>IF(OR(E2585="",E2585="!!!",F2585="NEW"),"",INDEX(B2584:B$2,-1+SUMPRODUCT(MAX(ROW(E2584:E$2)*(E2585=E2584:E$2)))))</f>
        <v> </v>
      </c>
      <c r="J2585" s="26" t="str">
        <f>IF(OR(E2585="",E2585="!!!",F2585="NEW"),"",COUNTBLANK(OFFSET(A$1,,,SUMPRODUCT(MAX(ROW(E$2:E2585)*(E2585=E$2:E2585)))))-COUNTBLANK(OFFSET(A$1,,,SUMPRODUCT(MAX(ROW(E$1:E2584)*(E2=E$1:E2584))))))</f>
        <v> </v>
      </c>
      <c r="K2585" s="26" t="str">
        <f>IF(OR(E2585="",E2585="!!!",F2585="NEW"),"",INDEX(J$1:J2584,SUMPRODUCT(MAX(ROW(E$1:E2584)*(E2585=E$1:E2584)))))</f>
        <v> </v>
      </c>
      <c r="L2585" s="27"/>
    </row>
    <row r="2586" spans="1:12">
      <c r="A2586" s="20" t="s">
        <v>991</v>
      </c>
      <c r="B2586" s="21" t="s">
        <v>789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721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1802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1530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1003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1748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732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/>
    </row>
    <row r="2594" spans="1:12">
      <c r="A2594" s="20" t="s">
        <v>1803</v>
      </c>
    </row>
    <row r="2595" spans="1:12">
      <c r="A2595" s="20" t="s">
        <v>734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1049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 t="s">
        <v>1804</v>
      </c>
      <c r="B2597" s="21" t="s">
        <v>726</v>
      </c>
      <c r="C2597" s="21" t="s">
        <v>800</v>
      </c>
      <c r="E2597" s="22">
        <f>IF(D2597="?OLD","!!!","")</f>
        <v/>
      </c>
      <c r="F2597" s="23" t="str">
        <f>IF(OR(E2597="",E2597="!!!"),"",IF(NOT(ISNA(VLOOKUP(E2597,E$1:E2596,1,FALSE()))),"OLD",IF(AND(E2597&lt;&gt;"",E2597&lt;&gt;"!!!"),"NEW","")))</f>
        <v> </v>
      </c>
      <c r="G2597" s="24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5" t="str">
        <f>IF(J2597&lt;&gt;1,"",IF(I2597="SBJ","CB","?"))</f>
        <v> </v>
      </c>
      <c r="I2597" s="26" t="str">
        <f>IF(OR(E2597="",E2597="!!!",F2597="NEW"),"",INDEX(B2596:B$2,-1+SUMPRODUCT(MAX(ROW(E2596:E$2)*(E2597=E2596:E$2)))))</f>
        <v> </v>
      </c>
      <c r="J2597" s="26" t="str">
        <f>IF(OR(E2597="",E2597="!!!",F2597="NEW"),"",COUNTBLANK(OFFSET(A$1,,,SUMPRODUCT(MAX(ROW(E$2:E2597)*(E2597=E$2:E2597)))))-COUNTBLANK(OFFSET(A$1,,,SUMPRODUCT(MAX(ROW(E$1:E2596)*(E2=E$1:E2596))))))</f>
        <v> </v>
      </c>
      <c r="K2597" s="26" t="str">
        <f>IF(OR(E2597="",E2597="!!!",F2597="NEW"),"",INDEX(J$1:J2596,SUMPRODUCT(MAX(ROW(E$1:E2596)*(E2597=E$1:E2596)))))</f>
        <v> </v>
      </c>
      <c r="L2597" s="27"/>
    </row>
    <row r="2598" spans="1:12">
      <c r="A2598" s="20" t="s">
        <v>1759</v>
      </c>
      <c r="E2598" s="22">
        <f>IF(D2598="?OLD","!!!","")</f>
        <v/>
      </c>
      <c r="F2598" s="23" t="str">
        <f>IF(OR(E2598="",E2598="!!!"),"",IF(NOT(ISNA(VLOOKUP(E2598,E$1:E2597,1,FALSE()))),"OLD",IF(AND(E2598&lt;&gt;"",E2598&lt;&gt;"!!!"),"NEW","")))</f>
        <v> </v>
      </c>
      <c r="G2598" s="24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5" t="str">
        <f>IF(J2598&lt;&gt;1,"",IF(I2598="SBJ","CB","?"))</f>
        <v> </v>
      </c>
      <c r="I2598" s="26" t="str">
        <f>IF(OR(E2598="",E2598="!!!",F2598="NEW"),"",INDEX(B2597:B$2,-1+SUMPRODUCT(MAX(ROW(E2597:E$2)*(E2598=E2597:E$2)))))</f>
        <v> </v>
      </c>
      <c r="J2598" s="26" t="str">
        <f>IF(OR(E2598="",E2598="!!!",F2598="NEW"),"",COUNTBLANK(OFFSET(A$1,,,SUMPRODUCT(MAX(ROW(E$2:E2598)*(E2598=E$2:E2598)))))-COUNTBLANK(OFFSET(A$1,,,SUMPRODUCT(MAX(ROW(E$1:E2597)*(E2=E$1:E2597))))))</f>
        <v> </v>
      </c>
      <c r="K2598" s="26" t="str">
        <f>IF(OR(E2598="",E2598="!!!",F2598="NEW"),"",INDEX(J$1:J2597,SUMPRODUCT(MAX(ROW(E$1:E2597)*(E2598=E$1:E2597)))))</f>
        <v> </v>
      </c>
      <c r="L2598" s="27"/>
    </row>
    <row r="2599" spans="1:12">
      <c r="A2599" s="20" t="s">
        <v>1805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1806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 t="s">
        <v>732</v>
      </c>
      <c r="E2601" s="22">
        <f>IF(D2601="?OLD","!!!","")</f>
        <v/>
      </c>
      <c r="F2601" s="23" t="str">
        <f>IF(OR(E2601="",E2601="!!!"),"",IF(NOT(ISNA(VLOOKUP(E2601,E$1:E2600,1,FALSE()))),"OLD",IF(AND(E2601&lt;&gt;"",E2601&lt;&gt;"!!!"),"NEW","")))</f>
        <v> </v>
      </c>
      <c r="G2601" s="24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5" t="str">
        <f>IF(J2601&lt;&gt;1,"",IF(I2601="SBJ","CB","?"))</f>
        <v> </v>
      </c>
      <c r="I2601" s="26" t="str">
        <f>IF(OR(E2601="",E2601="!!!",F2601="NEW"),"",INDEX(B2600:B$2,-1+SUMPRODUCT(MAX(ROW(E2600:E$2)*(E2601=E2600:E$2)))))</f>
        <v> </v>
      </c>
      <c r="J2601" s="26" t="str">
        <f>IF(OR(E2601="",E2601="!!!",F2601="NEW"),"",COUNTBLANK(OFFSET(A$1,,,SUMPRODUCT(MAX(ROW(E$2:E2601)*(E2601=E$2:E2601)))))-COUNTBLANK(OFFSET(A$1,,,SUMPRODUCT(MAX(ROW(E$1:E2600)*(E2=E$1:E2600))))))</f>
        <v> </v>
      </c>
      <c r="K2601" s="26" t="str">
        <f>IF(OR(E2601="",E2601="!!!",F2601="NEW"),"",INDEX(J$1:J2600,SUMPRODUCT(MAX(ROW(E$1:E2600)*(E2601=E$1:E2600)))))</f>
        <v> </v>
      </c>
      <c r="L2601" s="27"/>
    </row>
    <row r="2602" spans="1:12">
      <c r="A2602" s="20"/>
    </row>
    <row r="2603" spans="1:12">
      <c r="A2603" s="20" t="s">
        <v>1807</v>
      </c>
    </row>
    <row r="2604" spans="1:12">
      <c r="A2604" s="20" t="s">
        <v>1808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1804</v>
      </c>
      <c r="B2605" s="21" t="s">
        <v>726</v>
      </c>
      <c r="C2605" s="21" t="s">
        <v>800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1254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766</v>
      </c>
      <c r="B2607" s="21" t="s">
        <v>718</v>
      </c>
      <c r="C2607" s="21" t="s">
        <v>747</v>
      </c>
      <c r="D2607" s="21" t="s">
        <v>728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1145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721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1003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 t="s">
        <v>1809</v>
      </c>
      <c r="E2611" s="22">
        <f>IF(D2611="?OLD","!!!","")</f>
        <v/>
      </c>
      <c r="F2611" s="23" t="str">
        <f>IF(OR(E2611="",E2611="!!!"),"",IF(NOT(ISNA(VLOOKUP(E2611,E$1:E2610,1,FALSE()))),"OLD",IF(AND(E2611&lt;&gt;"",E2611&lt;&gt;"!!!"),"NEW","")))</f>
        <v> </v>
      </c>
      <c r="G2611" s="24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5" t="str">
        <f>IF(J2611&lt;&gt;1,"",IF(I2611="SBJ","CB","?"))</f>
        <v> </v>
      </c>
      <c r="I2611" s="26" t="str">
        <f>IF(OR(E2611="",E2611="!!!",F2611="NEW"),"",INDEX(B2610:B$2,-1+SUMPRODUCT(MAX(ROW(E2610:E$2)*(E2611=E2610:E$2)))))</f>
        <v> </v>
      </c>
      <c r="J2611" s="26" t="str">
        <f>IF(OR(E2611="",E2611="!!!",F2611="NEW"),"",COUNTBLANK(OFFSET(A$1,,,SUMPRODUCT(MAX(ROW(E$2:E2611)*(E2611=E$2:E2611)))))-COUNTBLANK(OFFSET(A$1,,,SUMPRODUCT(MAX(ROW(E$1:E2610)*(E2=E$1:E2610))))))</f>
        <v> </v>
      </c>
      <c r="K2611" s="26" t="str">
        <f>IF(OR(E2611="",E2611="!!!",F2611="NEW"),"",INDEX(J$1:J2610,SUMPRODUCT(MAX(ROW(E$1:E2610)*(E2611=E$1:E2610)))))</f>
        <v> </v>
      </c>
      <c r="L2611" s="27"/>
    </row>
    <row r="2612" spans="1:12">
      <c r="A2612" s="20" t="s">
        <v>721</v>
      </c>
      <c r="E2612" s="22">
        <f>IF(D2612="?OLD","!!!","")</f>
        <v/>
      </c>
      <c r="F2612" s="23" t="str">
        <f>IF(OR(E2612="",E2612="!!!"),"",IF(NOT(ISNA(VLOOKUP(E2612,E$1:E2611,1,FALSE()))),"OLD",IF(AND(E2612&lt;&gt;"",E2612&lt;&gt;"!!!"),"NEW","")))</f>
        <v> </v>
      </c>
      <c r="G2612" s="24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5" t="str">
        <f>IF(J2612&lt;&gt;1,"",IF(I2612="SBJ","CB","?"))</f>
        <v> </v>
      </c>
      <c r="I2612" s="26" t="str">
        <f>IF(OR(E2612="",E2612="!!!",F2612="NEW"),"",INDEX(B2611:B$2,-1+SUMPRODUCT(MAX(ROW(E2611:E$2)*(E2612=E2611:E$2)))))</f>
        <v> </v>
      </c>
      <c r="J2612" s="26" t="str">
        <f>IF(OR(E2612="",E2612="!!!",F2612="NEW"),"",COUNTBLANK(OFFSET(A$1,,,SUMPRODUCT(MAX(ROW(E$2:E2612)*(E2612=E$2:E2612)))))-COUNTBLANK(OFFSET(A$1,,,SUMPRODUCT(MAX(ROW(E$1:E2611)*(E2=E$1:E2611))))))</f>
        <v> </v>
      </c>
      <c r="K2612" s="26" t="str">
        <f>IF(OR(E2612="",E2612="!!!",F2612="NEW"),"",INDEX(J$1:J2611,SUMPRODUCT(MAX(ROW(E$1:E2611)*(E2612=E$1:E2611)))))</f>
        <v> </v>
      </c>
      <c r="L2612" s="27"/>
    </row>
    <row r="2613" spans="1:12">
      <c r="A2613" s="20" t="s">
        <v>900</v>
      </c>
      <c r="E2613" s="22">
        <f>IF(D2613="?OLD","!!!","")</f>
        <v/>
      </c>
      <c r="F2613" s="23" t="str">
        <f>IF(OR(E2613="",E2613="!!!"),"",IF(NOT(ISNA(VLOOKUP(E2613,E$1:E2612,1,FALSE()))),"OLD",IF(AND(E2613&lt;&gt;"",E2613&lt;&gt;"!!!"),"NEW","")))</f>
        <v> </v>
      </c>
      <c r="G2613" s="24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5" t="str">
        <f>IF(J2613&lt;&gt;1,"",IF(I2613="SBJ","CB","?"))</f>
        <v> </v>
      </c>
      <c r="I2613" s="26" t="str">
        <f>IF(OR(E2613="",E2613="!!!",F2613="NEW"),"",INDEX(B2612:B$2,-1+SUMPRODUCT(MAX(ROW(E2612:E$2)*(E2613=E2612:E$2)))))</f>
        <v> </v>
      </c>
      <c r="J2613" s="26" t="str">
        <f>IF(OR(E2613="",E2613="!!!",F2613="NEW"),"",COUNTBLANK(OFFSET(A$1,,,SUMPRODUCT(MAX(ROW(E$2:E2613)*(E2613=E$2:E2613)))))-COUNTBLANK(OFFSET(A$1,,,SUMPRODUCT(MAX(ROW(E$1:E2612)*(E2=E$1:E2612))))))</f>
        <v> </v>
      </c>
      <c r="K2613" s="26" t="str">
        <f>IF(OR(E2613="",E2613="!!!",F2613="NEW"),"",INDEX(J$1:J2612,SUMPRODUCT(MAX(ROW(E$1:E2612)*(E2613=E$1:E2612)))))</f>
        <v> </v>
      </c>
      <c r="L2613" s="27"/>
    </row>
    <row r="2614" spans="1:12">
      <c r="A2614" s="20" t="s">
        <v>1810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1811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1812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755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1813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721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 t="s">
        <v>980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871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755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1814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1815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1816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732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/>
    </row>
    <row r="2628" spans="1:12">
      <c r="A2628" s="20" t="s">
        <v>1817</v>
      </c>
    </row>
    <row r="2629" spans="1:12">
      <c r="A2629" s="20" t="s">
        <v>1818</v>
      </c>
      <c r="E2629" s="22">
        <f>IF(D2629="?OLD","!!!","")</f>
        <v/>
      </c>
      <c r="F2629" s="23" t="str">
        <f>IF(OR(E2629="",E2629="!!!"),"",IF(NOT(ISNA(VLOOKUP(E2629,E$1:E2628,1,FALSE()))),"OLD",IF(AND(E2629&lt;&gt;"",E2629&lt;&gt;"!!!"),"NEW","")))</f>
        <v> </v>
      </c>
      <c r="G2629" s="24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5" t="str">
        <f>IF(J2629&lt;&gt;1,"",IF(I2629="SBJ","CB","?"))</f>
        <v> </v>
      </c>
      <c r="I2629" s="26" t="str">
        <f>IF(OR(E2629="",E2629="!!!",F2629="NEW"),"",INDEX(B2628:B$2,-1+SUMPRODUCT(MAX(ROW(E2628:E$2)*(E2629=E2628:E$2)))))</f>
        <v> </v>
      </c>
      <c r="J2629" s="26" t="str">
        <f>IF(OR(E2629="",E2629="!!!",F2629="NEW"),"",COUNTBLANK(OFFSET(A$1,,,SUMPRODUCT(MAX(ROW(E$2:E2629)*(E2629=E$2:E2629)))))-COUNTBLANK(OFFSET(A$1,,,SUMPRODUCT(MAX(ROW(E$1:E2628)*(E2=E$1:E2628))))))</f>
        <v> </v>
      </c>
      <c r="K2629" s="26" t="str">
        <f>IF(OR(E2629="",E2629="!!!",F2629="NEW"),"",INDEX(J$1:J2628,SUMPRODUCT(MAX(ROW(E$1:E2628)*(E2629=E$1:E2628)))))</f>
        <v> </v>
      </c>
      <c r="L2629" s="27"/>
    </row>
    <row r="2630" spans="1:12">
      <c r="A2630" s="20" t="s">
        <v>721</v>
      </c>
      <c r="E2630" s="22">
        <f>IF(D2630="?OLD","!!!","")</f>
        <v/>
      </c>
      <c r="F2630" s="23" t="str">
        <f>IF(OR(E2630="",E2630="!!!"),"",IF(NOT(ISNA(VLOOKUP(E2630,E$1:E2629,1,FALSE()))),"OLD",IF(AND(E2630&lt;&gt;"",E2630&lt;&gt;"!!!"),"NEW","")))</f>
        <v> </v>
      </c>
      <c r="G2630" s="24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5" t="str">
        <f>IF(J2630&lt;&gt;1,"",IF(I2630="SBJ","CB","?"))</f>
        <v> </v>
      </c>
      <c r="I2630" s="26" t="str">
        <f>IF(OR(E2630="",E2630="!!!",F2630="NEW"),"",INDEX(B2629:B$2,-1+SUMPRODUCT(MAX(ROW(E2629:E$2)*(E2630=E2629:E$2)))))</f>
        <v> </v>
      </c>
      <c r="J2630" s="26" t="str">
        <f>IF(OR(E2630="",E2630="!!!",F2630="NEW"),"",COUNTBLANK(OFFSET(A$1,,,SUMPRODUCT(MAX(ROW(E$2:E2630)*(E2630=E$2:E2630)))))-COUNTBLANK(OFFSET(A$1,,,SUMPRODUCT(MAX(ROW(E$1:E2629)*(E2=E$1:E2629))))))</f>
        <v> </v>
      </c>
      <c r="K2630" s="26" t="str">
        <f>IF(OR(E2630="",E2630="!!!",F2630="NEW"),"",INDEX(J$1:J2629,SUMPRODUCT(MAX(ROW(E$1:E2629)*(E2630=E$1:E2629)))))</f>
        <v> </v>
      </c>
      <c r="L2630" s="27"/>
    </row>
    <row r="2631" spans="1:12">
      <c r="A2631" s="20" t="s">
        <v>725</v>
      </c>
      <c r="B2631" s="21" t="s">
        <v>726</v>
      </c>
      <c r="C2631" s="21" t="s">
        <v>727</v>
      </c>
      <c r="D2631" s="21" t="s">
        <v>728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871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1637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1194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1795</v>
      </c>
      <c r="B2635" s="21" t="s">
        <v>804</v>
      </c>
      <c r="C2635" s="21" t="s">
        <v>790</v>
      </c>
      <c r="D2635" s="21" t="s">
        <v>728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721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218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779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974</v>
      </c>
      <c r="B2639" s="21" t="s">
        <v>767</v>
      </c>
      <c r="C2639" s="21" t="s">
        <v>727</v>
      </c>
      <c r="D2639" s="21" t="s">
        <v>728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1819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 t="s">
        <v>1820</v>
      </c>
      <c r="E2641" s="22">
        <f>IF(D2641="?OLD","!!!","")</f>
        <v/>
      </c>
      <c r="F2641" s="23" t="str">
        <f>IF(OR(E2641="",E2641="!!!"),"",IF(NOT(ISNA(VLOOKUP(E2641,E$1:E2640,1,FALSE()))),"OLD",IF(AND(E2641&lt;&gt;"",E2641&lt;&gt;"!!!"),"NEW","")))</f>
        <v> </v>
      </c>
      <c r="G2641" s="24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5" t="str">
        <f>IF(J2641&lt;&gt;1,"",IF(I2641="SBJ","CB","?"))</f>
        <v> </v>
      </c>
      <c r="I2641" s="26" t="str">
        <f>IF(OR(E2641="",E2641="!!!",F2641="NEW"),"",INDEX(B2640:B$2,-1+SUMPRODUCT(MAX(ROW(E2640:E$2)*(E2641=E2640:E$2)))))</f>
        <v> </v>
      </c>
      <c r="J2641" s="26" t="str">
        <f>IF(OR(E2641="",E2641="!!!",F2641="NEW"),"",COUNTBLANK(OFFSET(A$1,,,SUMPRODUCT(MAX(ROW(E$2:E2641)*(E2641=E$2:E2641)))))-COUNTBLANK(OFFSET(A$1,,,SUMPRODUCT(MAX(ROW(E$1:E2640)*(E2=E$1:E2640))))))</f>
        <v> </v>
      </c>
      <c r="K2641" s="26" t="str">
        <f>IF(OR(E2641="",E2641="!!!",F2641="NEW"),"",INDEX(J$1:J2640,SUMPRODUCT(MAX(ROW(E$1:E2640)*(E2641=E$1:E2640)))))</f>
        <v> </v>
      </c>
      <c r="L2641" s="27"/>
    </row>
    <row r="2642" spans="1:12">
      <c r="A2642" s="20" t="s">
        <v>977</v>
      </c>
      <c r="B2642" s="21" t="s">
        <v>1004</v>
      </c>
      <c r="C2642" s="21" t="s">
        <v>833</v>
      </c>
      <c r="D2642" s="21" t="s">
        <v>728</v>
      </c>
      <c r="E2642" s="22">
        <f>IF(D2642="?OLD","!!!","")</f>
        <v/>
      </c>
      <c r="F2642" s="23" t="str">
        <f>IF(OR(E2642="",E2642="!!!"),"",IF(NOT(ISNA(VLOOKUP(E2642,E$1:E2641,1,FALSE()))),"OLD",IF(AND(E2642&lt;&gt;"",E2642&lt;&gt;"!!!"),"NEW","")))</f>
        <v> </v>
      </c>
      <c r="G2642" s="24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5" t="str">
        <f>IF(J2642&lt;&gt;1,"",IF(I2642="SBJ","CB","?"))</f>
        <v> </v>
      </c>
      <c r="I2642" s="26" t="str">
        <f>IF(OR(E2642="",E2642="!!!",F2642="NEW"),"",INDEX(B2641:B$2,-1+SUMPRODUCT(MAX(ROW(E2641:E$2)*(E2642=E2641:E$2)))))</f>
        <v> </v>
      </c>
      <c r="J2642" s="26" t="str">
        <f>IF(OR(E2642="",E2642="!!!",F2642="NEW"),"",COUNTBLANK(OFFSET(A$1,,,SUMPRODUCT(MAX(ROW(E$2:E2642)*(E2642=E$2:E2642)))))-COUNTBLANK(OFFSET(A$1,,,SUMPRODUCT(MAX(ROW(E$1:E2641)*(E2=E$1:E2641))))))</f>
        <v> </v>
      </c>
      <c r="K2642" s="26" t="str">
        <f>IF(OR(E2642="",E2642="!!!",F2642="NEW"),"",INDEX(J$1:J2641,SUMPRODUCT(MAX(ROW(E$1:E2641)*(E2642=E$1:E2641)))))</f>
        <v> </v>
      </c>
      <c r="L2642" s="27"/>
    </row>
    <row r="2643" spans="1:12">
      <c r="A2643" s="20" t="s">
        <v>1821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1822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755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1823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1824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205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842</v>
      </c>
      <c r="B2649" s="21" t="s">
        <v>860</v>
      </c>
      <c r="C2649" s="21" t="s">
        <v>800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732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/>
    </row>
    <row r="2652" spans="1:12">
      <c r="A2652" s="20" t="s">
        <v>1825</v>
      </c>
    </row>
    <row r="2653" spans="1:12">
      <c r="A2653" s="20" t="s">
        <v>1826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1827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12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1828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 t="s">
        <v>1829</v>
      </c>
      <c r="E2657" s="22">
        <f>IF(D2657="?OLD","!!!","")</f>
        <v/>
      </c>
      <c r="F2657" s="23" t="str">
        <f>IF(OR(E2657="",E2657="!!!"),"",IF(NOT(ISNA(VLOOKUP(E2657,E$1:E2656,1,FALSE()))),"OLD",IF(AND(E2657&lt;&gt;"",E2657&lt;&gt;"!!!"),"NEW","")))</f>
        <v> </v>
      </c>
      <c r="G2657" s="24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5" t="str">
        <f>IF(J2657&lt;&gt;1,"",IF(I2657="SBJ","CB","?"))</f>
        <v> </v>
      </c>
      <c r="I2657" s="26" t="str">
        <f>IF(OR(E2657="",E2657="!!!",F2657="NEW"),"",INDEX(B2656:B$2,-1+SUMPRODUCT(MAX(ROW(E2656:E$2)*(E2657=E2656:E$2)))))</f>
        <v> </v>
      </c>
      <c r="J2657" s="26" t="str">
        <f>IF(OR(E2657="",E2657="!!!",F2657="NEW"),"",COUNTBLANK(OFFSET(A$1,,,SUMPRODUCT(MAX(ROW(E$2:E2657)*(E2657=E$2:E2657)))))-COUNTBLANK(OFFSET(A$1,,,SUMPRODUCT(MAX(ROW(E$1:E2656)*(E2=E$1:E2656))))))</f>
        <v> </v>
      </c>
      <c r="K2657" s="26" t="str">
        <f>IF(OR(E2657="",E2657="!!!",F2657="NEW"),"",INDEX(J$1:J2656,SUMPRODUCT(MAX(ROW(E$1:E2656)*(E2657=E$1:E2656)))))</f>
        <v> </v>
      </c>
      <c r="L2657" s="27"/>
    </row>
    <row r="2658" spans="1:12">
      <c r="A2658" s="20" t="s">
        <v>721</v>
      </c>
      <c r="E2658" s="22">
        <f>IF(D2658="?OLD","!!!","")</f>
        <v/>
      </c>
      <c r="F2658" s="23" t="str">
        <f>IF(OR(E2658="",E2658="!!!"),"",IF(NOT(ISNA(VLOOKUP(E2658,E$1:E2657,1,FALSE()))),"OLD",IF(AND(E2658&lt;&gt;"",E2658&lt;&gt;"!!!"),"NEW","")))</f>
        <v> </v>
      </c>
      <c r="G2658" s="24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5" t="str">
        <f>IF(J2658&lt;&gt;1,"",IF(I2658="SBJ","CB","?"))</f>
        <v> </v>
      </c>
      <c r="I2658" s="26" t="str">
        <f>IF(OR(E2658="",E2658="!!!",F2658="NEW"),"",INDEX(B2657:B$2,-1+SUMPRODUCT(MAX(ROW(E2657:E$2)*(E2658=E2657:E$2)))))</f>
        <v> </v>
      </c>
      <c r="J2658" s="26" t="str">
        <f>IF(OR(E2658="",E2658="!!!",F2658="NEW"),"",COUNTBLANK(OFFSET(A$1,,,SUMPRODUCT(MAX(ROW(E$2:E2658)*(E2658=E$2:E2658)))))-COUNTBLANK(OFFSET(A$1,,,SUMPRODUCT(MAX(ROW(E$1:E2657)*(E2=E$1:E2657))))))</f>
        <v> </v>
      </c>
      <c r="K2658" s="26" t="str">
        <f>IF(OR(E2658="",E2658="!!!",F2658="NEW"),"",INDEX(J$1:J2657,SUMPRODUCT(MAX(ROW(E$1:E2657)*(E2658=E$1:E2657)))))</f>
        <v> </v>
      </c>
      <c r="L2658" s="27"/>
    </row>
    <row r="2659" spans="1:12">
      <c r="A2659" s="20" t="s">
        <v>1830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12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1831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721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1832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12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755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1833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721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1093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 t="s">
        <v>1254</v>
      </c>
      <c r="E2669" s="22">
        <f>IF(D2669="?OLD","!!!","")</f>
        <v/>
      </c>
      <c r="F2669" s="23" t="str">
        <f>IF(OR(E2669="",E2669="!!!"),"",IF(NOT(ISNA(VLOOKUP(E2669,E$1:E2668,1,FALSE()))),"OLD",IF(AND(E2669&lt;&gt;"",E2669&lt;&gt;"!!!"),"NEW","")))</f>
        <v> </v>
      </c>
      <c r="G2669" s="24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5" t="str">
        <f>IF(J2669&lt;&gt;1,"",IF(I2669="SBJ","CB","?"))</f>
        <v> </v>
      </c>
      <c r="I2669" s="26" t="str">
        <f>IF(OR(E2669="",E2669="!!!",F2669="NEW"),"",INDEX(B2668:B$2,-1+SUMPRODUCT(MAX(ROW(E2668:E$2)*(E2669=E2668:E$2)))))</f>
        <v> </v>
      </c>
      <c r="J2669" s="26" t="str">
        <f>IF(OR(E2669="",E2669="!!!",F2669="NEW"),"",COUNTBLANK(OFFSET(A$1,,,SUMPRODUCT(MAX(ROW(E$2:E2669)*(E2669=E$2:E2669)))))-COUNTBLANK(OFFSET(A$1,,,SUMPRODUCT(MAX(ROW(E$1:E2668)*(E2=E$1:E2668))))))</f>
        <v> </v>
      </c>
      <c r="K2669" s="26" t="str">
        <f>IF(OR(E2669="",E2669="!!!",F2669="NEW"),"",INDEX(J$1:J2668,SUMPRODUCT(MAX(ROW(E$1:E2668)*(E2669=E$1:E2668)))))</f>
        <v> </v>
      </c>
      <c r="L2669" s="27"/>
    </row>
    <row r="2670" spans="1:12">
      <c r="A2670" s="20" t="s">
        <v>1160</v>
      </c>
      <c r="E2670" s="22">
        <f>IF(D2670="?OLD","!!!","")</f>
        <v/>
      </c>
      <c r="F2670" s="23" t="str">
        <f>IF(OR(E2670="",E2670="!!!"),"",IF(NOT(ISNA(VLOOKUP(E2670,E$1:E2669,1,FALSE()))),"OLD",IF(AND(E2670&lt;&gt;"",E2670&lt;&gt;"!!!"),"NEW","")))</f>
        <v> </v>
      </c>
      <c r="G2670" s="24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5" t="str">
        <f>IF(J2670&lt;&gt;1,"",IF(I2670="SBJ","CB","?"))</f>
        <v> </v>
      </c>
      <c r="I2670" s="26" t="str">
        <f>IF(OR(E2670="",E2670="!!!",F2670="NEW"),"",INDEX(B2669:B$2,-1+SUMPRODUCT(MAX(ROW(E2669:E$2)*(E2670=E2669:E$2)))))</f>
        <v> </v>
      </c>
      <c r="J2670" s="26" t="str">
        <f>IF(OR(E2670="",E2670="!!!",F2670="NEW"),"",COUNTBLANK(OFFSET(A$1,,,SUMPRODUCT(MAX(ROW(E$2:E2670)*(E2670=E$2:E2670)))))-COUNTBLANK(OFFSET(A$1,,,SUMPRODUCT(MAX(ROW(E$1:E2669)*(E2=E$1:E2669))))))</f>
        <v> </v>
      </c>
      <c r="K2670" s="26" t="str">
        <f>IF(OR(E2670="",E2670="!!!",F2670="NEW"),"",INDEX(J$1:J2669,SUMPRODUCT(MAX(ROW(E$1:E2669)*(E2670=E$1:E2669)))))</f>
        <v> </v>
      </c>
      <c r="L2670" s="27"/>
    </row>
    <row r="2671" spans="1:12">
      <c r="A2671" s="20" t="s">
        <v>721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808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1317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766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1577</v>
      </c>
      <c r="B2675" s="21" t="s">
        <v>832</v>
      </c>
      <c r="C2675" s="21" t="s">
        <v>790</v>
      </c>
      <c r="D2675" s="21" t="s">
        <v>728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1834</v>
      </c>
      <c r="B2676" s="21" t="s">
        <v>1442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1835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1836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915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1837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843</v>
      </c>
      <c r="B2681" s="21" t="s">
        <v>967</v>
      </c>
      <c r="C2681" s="21" t="s">
        <v>727</v>
      </c>
      <c r="D2681" s="21" t="s">
        <v>728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1838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1317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1145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1759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721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1317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1530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 t="s">
        <v>1839</v>
      </c>
      <c r="E2689" s="22">
        <f>IF(D2689="?OLD","!!!","")</f>
        <v/>
      </c>
      <c r="F2689" s="23" t="str">
        <f>IF(OR(E2689="",E2689="!!!"),"",IF(NOT(ISNA(VLOOKUP(E2689,E$1:E2688,1,FALSE()))),"OLD",IF(AND(E2689&lt;&gt;"",E2689&lt;&gt;"!!!"),"NEW","")))</f>
        <v> </v>
      </c>
      <c r="G2689" s="24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5" t="str">
        <f>IF(J2689&lt;&gt;1,"",IF(I2689="SBJ","CB","?"))</f>
        <v> </v>
      </c>
      <c r="I2689" s="26" t="str">
        <f>IF(OR(E2689="",E2689="!!!",F2689="NEW"),"",INDEX(B2688:B$2,-1+SUMPRODUCT(MAX(ROW(E2688:E$2)*(E2689=E2688:E$2)))))</f>
        <v> </v>
      </c>
      <c r="J2689" s="26" t="str">
        <f>IF(OR(E2689="",E2689="!!!",F2689="NEW"),"",COUNTBLANK(OFFSET(A$1,,,SUMPRODUCT(MAX(ROW(E$2:E2689)*(E2689=E$2:E2689)))))-COUNTBLANK(OFFSET(A$1,,,SUMPRODUCT(MAX(ROW(E$1:E2688)*(E2=E$1:E2688))))))</f>
        <v> </v>
      </c>
      <c r="K2689" s="26" t="str">
        <f>IF(OR(E2689="",E2689="!!!",F2689="NEW"),"",INDEX(J$1:J2688,SUMPRODUCT(MAX(ROW(E$1:E2688)*(E2689=E$1:E2688)))))</f>
        <v> </v>
      </c>
      <c r="L2689" s="27"/>
    </row>
    <row r="2690" spans="1:12">
      <c r="A2690" s="20" t="s">
        <v>1840</v>
      </c>
      <c r="E2690" s="22">
        <f>IF(D2690="?OLD","!!!","")</f>
        <v/>
      </c>
      <c r="F2690" s="23" t="str">
        <f>IF(OR(E2690="",E2690="!!!"),"",IF(NOT(ISNA(VLOOKUP(E2690,E$1:E2689,1,FALSE()))),"OLD",IF(AND(E2690&lt;&gt;"",E2690&lt;&gt;"!!!"),"NEW","")))</f>
        <v> </v>
      </c>
      <c r="G2690" s="24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5" t="str">
        <f>IF(J2690&lt;&gt;1,"",IF(I2690="SBJ","CB","?"))</f>
        <v> </v>
      </c>
      <c r="I2690" s="26" t="str">
        <f>IF(OR(E2690="",E2690="!!!",F2690="NEW"),"",INDEX(B2689:B$2,-1+SUMPRODUCT(MAX(ROW(E2689:E$2)*(E2690=E2689:E$2)))))</f>
        <v> </v>
      </c>
      <c r="J2690" s="26" t="str">
        <f>IF(OR(E2690="",E2690="!!!",F2690="NEW"),"",COUNTBLANK(OFFSET(A$1,,,SUMPRODUCT(MAX(ROW(E$2:E2690)*(E2690=E$2:E2690)))))-COUNTBLANK(OFFSET(A$1,,,SUMPRODUCT(MAX(ROW(E$1:E2689)*(E2=E$1:E2689))))))</f>
        <v> </v>
      </c>
      <c r="K2690" s="26" t="str">
        <f>IF(OR(E2690="",E2690="!!!",F2690="NEW"),"",INDEX(J$1:J2689,SUMPRODUCT(MAX(ROW(E$1:E2689)*(E2690=E$1:E2689)))))</f>
        <v> </v>
      </c>
      <c r="L2690" s="27"/>
    </row>
    <row r="2691" spans="1:12">
      <c r="A2691" s="20" t="s">
        <v>721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779</v>
      </c>
      <c r="B2692" s="21" t="s">
        <v>1114</v>
      </c>
      <c r="C2692" s="21" t="s">
        <v>719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847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755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997</v>
      </c>
      <c r="B2695" s="21" t="s">
        <v>1841</v>
      </c>
      <c r="C2695" s="21" t="s">
        <v>747</v>
      </c>
      <c r="D2695" s="21" t="s">
        <v>728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1842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839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1007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746</v>
      </c>
      <c r="B2699" s="21" t="s">
        <v>1114</v>
      </c>
      <c r="C2699" s="21" t="s">
        <v>747</v>
      </c>
      <c r="D2699" s="21" t="s">
        <v>728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748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1843</v>
      </c>
      <c r="B2701" s="21" t="s">
        <v>1109</v>
      </c>
      <c r="C2701" s="21" t="s">
        <v>891</v>
      </c>
      <c r="D2701" s="21" t="s">
        <v>728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 t="s">
        <v>732</v>
      </c>
      <c r="E2702" s="22">
        <f>IF(D2702="?OLD","!!!","")</f>
        <v/>
      </c>
      <c r="F2702" s="23" t="str">
        <f>IF(OR(E2702="",E2702="!!!"),"",IF(NOT(ISNA(VLOOKUP(E2702,E$1:E2701,1,FALSE()))),"OLD",IF(AND(E2702&lt;&gt;"",E2702&lt;&gt;"!!!"),"NEW","")))</f>
        <v> </v>
      </c>
      <c r="G2702" s="24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5" t="str">
        <f>IF(J2702&lt;&gt;1,"",IF(I2702="SBJ","CB","?"))</f>
        <v> </v>
      </c>
      <c r="I2702" s="26" t="str">
        <f>IF(OR(E2702="",E2702="!!!",F2702="NEW"),"",INDEX(B2701:B$2,-1+SUMPRODUCT(MAX(ROW(E2701:E$2)*(E2702=E2701:E$2)))))</f>
        <v> </v>
      </c>
      <c r="J2702" s="26" t="str">
        <f>IF(OR(E2702="",E2702="!!!",F2702="NEW"),"",COUNTBLANK(OFFSET(A$1,,,SUMPRODUCT(MAX(ROW(E$2:E2702)*(E2702=E$2:E2702)))))-COUNTBLANK(OFFSET(A$1,,,SUMPRODUCT(MAX(ROW(E$1:E2701)*(E2=E$1:E2701))))))</f>
        <v> </v>
      </c>
      <c r="K2702" s="26" t="str">
        <f>IF(OR(E2702="",E2702="!!!",F2702="NEW"),"",INDEX(J$1:J2701,SUMPRODUCT(MAX(ROW(E$1:E2701)*(E2702=E$1:E2701)))))</f>
        <v> </v>
      </c>
      <c r="L2702" s="27"/>
    </row>
    <row r="2703" spans="1:12">
      <c r="A2703" s="20"/>
    </row>
    <row r="2704" spans="1:12">
      <c r="A2704" s="20" t="s">
        <v>1844</v>
      </c>
    </row>
    <row r="2705" spans="1:12">
      <c r="A2705" s="20" t="s">
        <v>746</v>
      </c>
      <c r="B2705" s="21" t="s">
        <v>726</v>
      </c>
      <c r="C2705" s="21" t="s">
        <v>747</v>
      </c>
      <c r="D2705" s="21" t="s">
        <v>728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741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1845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732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/>
    </row>
    <row r="2710" spans="1:12">
      <c r="A2710" s="20" t="s">
        <v>1846</v>
      </c>
    </row>
    <row r="2711" spans="1:12">
      <c r="A2711" s="20" t="s">
        <v>746</v>
      </c>
      <c r="B2711" s="21" t="s">
        <v>726</v>
      </c>
      <c r="C2711" s="21" t="s">
        <v>747</v>
      </c>
      <c r="D2711" s="21" t="s">
        <v>728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1326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654</v>
      </c>
      <c r="B2713" s="21" t="s">
        <v>726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12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1847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1848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1752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1753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732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/>
    </row>
    <row r="2721" spans="1:12">
      <c r="A2721" s="20" t="s">
        <v>1849</v>
      </c>
    </row>
    <row r="2722" spans="1:12">
      <c r="A2722" s="20" t="s">
        <v>1341</v>
      </c>
      <c r="B2722" s="21" t="s">
        <v>726</v>
      </c>
      <c r="C2722" s="21" t="s">
        <v>727</v>
      </c>
      <c r="D2722" s="21" t="s">
        <v>728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1584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1850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 t="s">
        <v>1851</v>
      </c>
      <c r="B2725" s="21" t="s">
        <v>784</v>
      </c>
      <c r="E2725" s="22">
        <f>IF(D2725="?OLD","!!!","")</f>
        <v/>
      </c>
      <c r="F2725" s="23" t="str">
        <f>IF(OR(E2725="",E2725="!!!"),"",IF(NOT(ISNA(VLOOKUP(E2725,E$1:E2724,1,FALSE()))),"OLD",IF(AND(E2725&lt;&gt;"",E2725&lt;&gt;"!!!"),"NEW","")))</f>
        <v> </v>
      </c>
      <c r="G2725" s="24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5" t="str">
        <f>IF(J2725&lt;&gt;1,"",IF(I2725="SBJ","CB","?"))</f>
        <v> </v>
      </c>
      <c r="I2725" s="26" t="str">
        <f>IF(OR(E2725="",E2725="!!!",F2725="NEW"),"",INDEX(B2724:B$2,-1+SUMPRODUCT(MAX(ROW(E2724:E$2)*(E2725=E2724:E$2)))))</f>
        <v> </v>
      </c>
      <c r="J2725" s="26" t="str">
        <f>IF(OR(E2725="",E2725="!!!",F2725="NEW"),"",COUNTBLANK(OFFSET(A$1,,,SUMPRODUCT(MAX(ROW(E$2:E2725)*(E2725=E$2:E2725)))))-COUNTBLANK(OFFSET(A$1,,,SUMPRODUCT(MAX(ROW(E$1:E2724)*(E2=E$1:E2724))))))</f>
        <v> </v>
      </c>
      <c r="K2725" s="26" t="str">
        <f>IF(OR(E2725="",E2725="!!!",F2725="NEW"),"",INDEX(J$1:J2724,SUMPRODUCT(MAX(ROW(E$1:E2724)*(E2725=E$1:E2724)))))</f>
        <v> </v>
      </c>
      <c r="L2725" s="27"/>
    </row>
    <row r="2726" spans="1:12">
      <c r="A2726" s="20" t="s">
        <v>1852</v>
      </c>
      <c r="E2726" s="22">
        <f>IF(D2726="?OLD","!!!","")</f>
        <v/>
      </c>
      <c r="F2726" s="23" t="str">
        <f>IF(OR(E2726="",E2726="!!!"),"",IF(NOT(ISNA(VLOOKUP(E2726,E$1:E2725,1,FALSE()))),"OLD",IF(AND(E2726&lt;&gt;"",E2726&lt;&gt;"!!!"),"NEW","")))</f>
        <v> </v>
      </c>
      <c r="G2726" s="24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5" t="str">
        <f>IF(J2726&lt;&gt;1,"",IF(I2726="SBJ","CB","?"))</f>
        <v> </v>
      </c>
      <c r="I2726" s="26" t="str">
        <f>IF(OR(E2726="",E2726="!!!",F2726="NEW"),"",INDEX(B2725:B$2,-1+SUMPRODUCT(MAX(ROW(E2725:E$2)*(E2726=E2725:E$2)))))</f>
        <v> </v>
      </c>
      <c r="J2726" s="26" t="str">
        <f>IF(OR(E2726="",E2726="!!!",F2726="NEW"),"",COUNTBLANK(OFFSET(A$1,,,SUMPRODUCT(MAX(ROW(E$2:E2726)*(E2726=E$2:E2726)))))-COUNTBLANK(OFFSET(A$1,,,SUMPRODUCT(MAX(ROW(E$1:E2725)*(E2=E$1:E2725))))))</f>
        <v> </v>
      </c>
      <c r="K2726" s="26" t="str">
        <f>IF(OR(E2726="",E2726="!!!",F2726="NEW"),"",INDEX(J$1:J2725,SUMPRODUCT(MAX(ROW(E$1:E2725)*(E2726=E$1:E2725)))))</f>
        <v> </v>
      </c>
      <c r="L2726" s="27"/>
    </row>
    <row r="2727" spans="1:12">
      <c r="A2727" s="20" t="s">
        <v>1853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721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654</v>
      </c>
      <c r="B2729" s="21" t="s">
        <v>767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1854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721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654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721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1855</v>
      </c>
      <c r="B2734" s="21" t="s">
        <v>812</v>
      </c>
      <c r="C2734" s="21" t="s">
        <v>719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1856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1857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1465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1535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1858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1859</v>
      </c>
      <c r="B2740" s="21" t="s">
        <v>789</v>
      </c>
      <c r="C2740" s="21" t="s">
        <v>790</v>
      </c>
      <c r="D2740" s="21" t="s">
        <v>728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721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1855</v>
      </c>
      <c r="B2742" s="21" t="s">
        <v>963</v>
      </c>
      <c r="C2742" s="21" t="s">
        <v>719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1424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1860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 t="s">
        <v>1861</v>
      </c>
      <c r="B2745" s="21" t="s">
        <v>772</v>
      </c>
      <c r="E2745" s="22">
        <f>IF(D2745="?OLD","!!!","")</f>
        <v/>
      </c>
      <c r="F2745" s="23" t="str">
        <f>IF(OR(E2745="",E2745="!!!"),"",IF(NOT(ISNA(VLOOKUP(E2745,E$1:E2744,1,FALSE()))),"OLD",IF(AND(E2745&lt;&gt;"",E2745&lt;&gt;"!!!"),"NEW","")))</f>
        <v> </v>
      </c>
      <c r="G2745" s="24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5" t="str">
        <f>IF(J2745&lt;&gt;1,"",IF(I2745="SBJ","CB","?"))</f>
        <v> </v>
      </c>
      <c r="I2745" s="26" t="str">
        <f>IF(OR(E2745="",E2745="!!!",F2745="NEW"),"",INDEX(B2744:B$2,-1+SUMPRODUCT(MAX(ROW(E2744:E$2)*(E2745=E2744:E$2)))))</f>
        <v> </v>
      </c>
      <c r="J2745" s="26" t="str">
        <f>IF(OR(E2745="",E2745="!!!",F2745="NEW"),"",COUNTBLANK(OFFSET(A$1,,,SUMPRODUCT(MAX(ROW(E$2:E2745)*(E2745=E$2:E2745)))))-COUNTBLANK(OFFSET(A$1,,,SUMPRODUCT(MAX(ROW(E$1:E2744)*(E2=E$1:E2744))))))</f>
        <v> </v>
      </c>
      <c r="K2745" s="26" t="str">
        <f>IF(OR(E2745="",E2745="!!!",F2745="NEW"),"",INDEX(J$1:J2744,SUMPRODUCT(MAX(ROW(E$1:E2744)*(E2745=E$1:E2744)))))</f>
        <v> </v>
      </c>
      <c r="L2745" s="27"/>
    </row>
    <row r="2746" spans="1:12">
      <c r="A2746" s="20" t="s">
        <v>1862</v>
      </c>
      <c r="E2746" s="22">
        <f>IF(D2746="?OLD","!!!","")</f>
        <v/>
      </c>
      <c r="F2746" s="23" t="str">
        <f>IF(OR(E2746="",E2746="!!!"),"",IF(NOT(ISNA(VLOOKUP(E2746,E$1:E2745,1,FALSE()))),"OLD",IF(AND(E2746&lt;&gt;"",E2746&lt;&gt;"!!!"),"NEW","")))</f>
        <v> </v>
      </c>
      <c r="G2746" s="24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5" t="str">
        <f>IF(J2746&lt;&gt;1,"",IF(I2746="SBJ","CB","?"))</f>
        <v> </v>
      </c>
      <c r="I2746" s="26" t="str">
        <f>IF(OR(E2746="",E2746="!!!",F2746="NEW"),"",INDEX(B2745:B$2,-1+SUMPRODUCT(MAX(ROW(E2745:E$2)*(E2746=E2745:E$2)))))</f>
        <v> </v>
      </c>
      <c r="J2746" s="26" t="str">
        <f>IF(OR(E2746="",E2746="!!!",F2746="NEW"),"",COUNTBLANK(OFFSET(A$1,,,SUMPRODUCT(MAX(ROW(E$2:E2746)*(E2746=E$2:E2746)))))-COUNTBLANK(OFFSET(A$1,,,SUMPRODUCT(MAX(ROW(E$1:E2745)*(E2=E$1:E2745))))))</f>
        <v> </v>
      </c>
      <c r="K2746" s="26" t="str">
        <f>IF(OR(E2746="",E2746="!!!",F2746="NEW"),"",INDEX(J$1:J2745,SUMPRODUCT(MAX(ROW(E$1:E2745)*(E2746=E$1:E2745)))))</f>
        <v> </v>
      </c>
      <c r="L2746" s="27"/>
    </row>
    <row r="2747" spans="1:12">
      <c r="A2747" s="20" t="s">
        <v>732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/>
    </row>
    <row r="2749" spans="1:12">
      <c r="A2749" s="20" t="s">
        <v>1863</v>
      </c>
    </row>
    <row r="2750" spans="1:12">
      <c r="A2750" s="20" t="s">
        <v>746</v>
      </c>
      <c r="B2750" s="21" t="s">
        <v>726</v>
      </c>
      <c r="C2750" s="21" t="s">
        <v>747</v>
      </c>
      <c r="D2750" s="21" t="s">
        <v>728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871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654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 t="s">
        <v>808</v>
      </c>
      <c r="E2753" s="22">
        <f>IF(D2753="?OLD","!!!","")</f>
        <v/>
      </c>
      <c r="F2753" s="23" t="str">
        <f>IF(OR(E2753="",E2753="!!!"),"",IF(NOT(ISNA(VLOOKUP(E2753,E$1:E2752,1,FALSE()))),"OLD",IF(AND(E2753&lt;&gt;"",E2753&lt;&gt;"!!!"),"NEW","")))</f>
        <v> </v>
      </c>
      <c r="G2753" s="24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5" t="str">
        <f>IF(J2753&lt;&gt;1,"",IF(I2753="SBJ","CB","?"))</f>
        <v> </v>
      </c>
      <c r="I2753" s="26" t="str">
        <f>IF(OR(E2753="",E2753="!!!",F2753="NEW"),"",INDEX(B2752:B$2,-1+SUMPRODUCT(MAX(ROW(E2752:E$2)*(E2753=E2752:E$2)))))</f>
        <v> </v>
      </c>
      <c r="J2753" s="26" t="str">
        <f>IF(OR(E2753="",E2753="!!!",F2753="NEW"),"",COUNTBLANK(OFFSET(A$1,,,SUMPRODUCT(MAX(ROW(E$2:E2753)*(E2753=E$2:E2753)))))-COUNTBLANK(OFFSET(A$1,,,SUMPRODUCT(MAX(ROW(E$1:E2752)*(E2=E$1:E2752))))))</f>
        <v> </v>
      </c>
      <c r="K2753" s="26" t="str">
        <f>IF(OR(E2753="",E2753="!!!",F2753="NEW"),"",INDEX(J$1:J2752,SUMPRODUCT(MAX(ROW(E$1:E2752)*(E2753=E$1:E2752)))))</f>
        <v> </v>
      </c>
      <c r="L2753" s="27"/>
    </row>
    <row r="2754" spans="1:12">
      <c r="A2754" s="20" t="s">
        <v>871</v>
      </c>
      <c r="E2754" s="22">
        <f>IF(D2754="?OLD","!!!","")</f>
        <v/>
      </c>
      <c r="F2754" s="23" t="str">
        <f>IF(OR(E2754="",E2754="!!!"),"",IF(NOT(ISNA(VLOOKUP(E2754,E$1:E2753,1,FALSE()))),"OLD",IF(AND(E2754&lt;&gt;"",E2754&lt;&gt;"!!!"),"NEW","")))</f>
        <v> </v>
      </c>
      <c r="G2754" s="24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5" t="str">
        <f>IF(J2754&lt;&gt;1,"",IF(I2754="SBJ","CB","?"))</f>
        <v> </v>
      </c>
      <c r="I2754" s="26" t="str">
        <f>IF(OR(E2754="",E2754="!!!",F2754="NEW"),"",INDEX(B2753:B$2,-1+SUMPRODUCT(MAX(ROW(E2753:E$2)*(E2754=E2753:E$2)))))</f>
        <v> </v>
      </c>
      <c r="J2754" s="26" t="str">
        <f>IF(OR(E2754="",E2754="!!!",F2754="NEW"),"",COUNTBLANK(OFFSET(A$1,,,SUMPRODUCT(MAX(ROW(E$2:E2754)*(E2754=E$2:E2754)))))-COUNTBLANK(OFFSET(A$1,,,SUMPRODUCT(MAX(ROW(E$1:E2753)*(E2=E$1:E2753))))))</f>
        <v> </v>
      </c>
      <c r="K2754" s="26" t="str">
        <f>IF(OR(E2754="",E2754="!!!",F2754="NEW"),"",INDEX(J$1:J2753,SUMPRODUCT(MAX(ROW(E$1:E2753)*(E2754=E$1:E2753)))))</f>
        <v> </v>
      </c>
      <c r="L2754" s="27"/>
    </row>
    <row r="2755" spans="1:12">
      <c r="A2755" s="20" t="s">
        <v>1864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1467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732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/>
    </row>
    <row r="2759" spans="1:12">
      <c r="A2759" s="20" t="s">
        <v>1865</v>
      </c>
    </row>
    <row r="2760" spans="1:12">
      <c r="A2760" s="20" t="s">
        <v>1866</v>
      </c>
      <c r="E2760" s="22">
        <f>IF(D2760="?OLD","!!!","")</f>
        <v/>
      </c>
      <c r="F2760" s="23" t="str">
        <f>IF(OR(E2760="",E2760="!!!"),"",IF(NOT(ISNA(VLOOKUP(E2760,E$1:E2759,1,FALSE()))),"OLD",IF(AND(E2760&lt;&gt;"",E2760&lt;&gt;"!!!"),"NEW","")))</f>
        <v> </v>
      </c>
      <c r="G2760" s="24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5" t="str">
        <f>IF(J2760&lt;&gt;1,"",IF(I2760="SBJ","CB","?"))</f>
        <v> </v>
      </c>
      <c r="I2760" s="26" t="str">
        <f>IF(OR(E2760="",E2760="!!!",F2760="NEW"),"",INDEX(B2759:B$2,-1+SUMPRODUCT(MAX(ROW(E2759:E$2)*(E2760=E2759:E$2)))))</f>
        <v> </v>
      </c>
      <c r="J2760" s="26" t="str">
        <f>IF(OR(E2760="",E2760="!!!",F2760="NEW"),"",COUNTBLANK(OFFSET(A$1,,,SUMPRODUCT(MAX(ROW(E$2:E2760)*(E2760=E$2:E2760)))))-COUNTBLANK(OFFSET(A$1,,,SUMPRODUCT(MAX(ROW(E$1:E2759)*(E2=E$1:E2759))))))</f>
        <v> </v>
      </c>
      <c r="K2760" s="26" t="str">
        <f>IF(OR(E2760="",E2760="!!!",F2760="NEW"),"",INDEX(J$1:J2759,SUMPRODUCT(MAX(ROW(E$1:E2759)*(E2760=E$1:E2759)))))</f>
        <v> </v>
      </c>
      <c r="L2760" s="27"/>
    </row>
    <row r="2761" spans="1:12">
      <c r="A2761" s="20" t="s">
        <v>1867</v>
      </c>
      <c r="B2761" s="21" t="s">
        <v>796</v>
      </c>
      <c r="C2761" s="21" t="s">
        <v>833</v>
      </c>
      <c r="D2761" s="21" t="s">
        <v>728</v>
      </c>
      <c r="E2761" s="22">
        <f>IF(D2761="?OLD","!!!","")</f>
        <v/>
      </c>
      <c r="F2761" s="23" t="str">
        <f>IF(OR(E2761="",E2761="!!!"),"",IF(NOT(ISNA(VLOOKUP(E2761,E$1:E2760,1,FALSE()))),"OLD",IF(AND(E2761&lt;&gt;"",E2761&lt;&gt;"!!!"),"NEW","")))</f>
        <v> </v>
      </c>
      <c r="G2761" s="24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5" t="str">
        <f>IF(J2761&lt;&gt;1,"",IF(I2761="SBJ","CB","?"))</f>
        <v> </v>
      </c>
      <c r="I2761" s="26" t="str">
        <f>IF(OR(E2761="",E2761="!!!",F2761="NEW"),"",INDEX(B2760:B$2,-1+SUMPRODUCT(MAX(ROW(E2760:E$2)*(E2761=E2760:E$2)))))</f>
        <v> </v>
      </c>
      <c r="J2761" s="26" t="str">
        <f>IF(OR(E2761="",E2761="!!!",F2761="NEW"),"",COUNTBLANK(OFFSET(A$1,,,SUMPRODUCT(MAX(ROW(E$2:E2761)*(E2761=E$2:E2761)))))-COUNTBLANK(OFFSET(A$1,,,SUMPRODUCT(MAX(ROW(E$1:E2760)*(E2=E$1:E2760))))))</f>
        <v> </v>
      </c>
      <c r="K2761" s="26" t="str">
        <f>IF(OR(E2761="",E2761="!!!",F2761="NEW"),"",INDEX(J$1:J2760,SUMPRODUCT(MAX(ROW(E$1:E2760)*(E2761=E$1:E2760)))))</f>
        <v> </v>
      </c>
      <c r="L2761" s="27"/>
    </row>
    <row r="2762" spans="1:12">
      <c r="A2762" s="20" t="s">
        <v>1868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1869</v>
      </c>
      <c r="B2763" s="21" t="s">
        <v>726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1870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1871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871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1521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 t="s">
        <v>1872</v>
      </c>
      <c r="E2768" s="22">
        <f>IF(D2768="?OLD","!!!","")</f>
        <v/>
      </c>
      <c r="F2768" s="23" t="str">
        <f>IF(OR(E2768="",E2768="!!!"),"",IF(NOT(ISNA(VLOOKUP(E2768,E$1:E2767,1,FALSE()))),"OLD",IF(AND(E2768&lt;&gt;"",E2768&lt;&gt;"!!!"),"NEW","")))</f>
        <v> </v>
      </c>
      <c r="G2768" s="24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5" t="str">
        <f>IF(J2768&lt;&gt;1,"",IF(I2768="SBJ","CB","?"))</f>
        <v> </v>
      </c>
      <c r="I2768" s="26" t="str">
        <f>IF(OR(E2768="",E2768="!!!",F2768="NEW"),"",INDEX(B2767:B$2,-1+SUMPRODUCT(MAX(ROW(E2767:E$2)*(E2768=E2767:E$2)))))</f>
        <v> </v>
      </c>
      <c r="J2768" s="26" t="str">
        <f>IF(OR(E2768="",E2768="!!!",F2768="NEW"),"",COUNTBLANK(OFFSET(A$1,,,SUMPRODUCT(MAX(ROW(E$2:E2768)*(E2768=E$2:E2768)))))-COUNTBLANK(OFFSET(A$1,,,SUMPRODUCT(MAX(ROW(E$1:E2767)*(E2=E$1:E2767))))))</f>
        <v> </v>
      </c>
      <c r="K2768" s="26" t="str">
        <f>IF(OR(E2768="",E2768="!!!",F2768="NEW"),"",INDEX(J$1:J2767,SUMPRODUCT(MAX(ROW(E$1:E2767)*(E2768=E$1:E2767)))))</f>
        <v> </v>
      </c>
      <c r="L2768" s="27"/>
    </row>
    <row r="2769" spans="1:12">
      <c r="A2769" s="20" t="s">
        <v>1873</v>
      </c>
      <c r="E2769" s="22">
        <f>IF(D2769="?OLD","!!!","")</f>
        <v/>
      </c>
      <c r="F2769" s="23" t="str">
        <f>IF(OR(E2769="",E2769="!!!"),"",IF(NOT(ISNA(VLOOKUP(E2769,E$1:E2768,1,FALSE()))),"OLD",IF(AND(E2769&lt;&gt;"",E2769&lt;&gt;"!!!"),"NEW","")))</f>
        <v> </v>
      </c>
      <c r="G2769" s="24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5" t="str">
        <f>IF(J2769&lt;&gt;1,"",IF(I2769="SBJ","CB","?"))</f>
        <v> </v>
      </c>
      <c r="I2769" s="26" t="str">
        <f>IF(OR(E2769="",E2769="!!!",F2769="NEW"),"",INDEX(B2768:B$2,-1+SUMPRODUCT(MAX(ROW(E2768:E$2)*(E2769=E2768:E$2)))))</f>
        <v> </v>
      </c>
      <c r="J2769" s="26" t="str">
        <f>IF(OR(E2769="",E2769="!!!",F2769="NEW"),"",COUNTBLANK(OFFSET(A$1,,,SUMPRODUCT(MAX(ROW(E$2:E2769)*(E2769=E$2:E2769)))))-COUNTBLANK(OFFSET(A$1,,,SUMPRODUCT(MAX(ROW(E$1:E2768)*(E2=E$1:E2768))))))</f>
        <v> </v>
      </c>
      <c r="K2769" s="26" t="str">
        <f>IF(OR(E2769="",E2769="!!!",F2769="NEW"),"",INDEX(J$1:J2768,SUMPRODUCT(MAX(ROW(E$1:E2768)*(E2769=E$1:E2768)))))</f>
        <v> </v>
      </c>
      <c r="L2769" s="27"/>
    </row>
    <row r="2770" spans="1:12">
      <c r="A2770" s="20" t="s">
        <v>721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980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1521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1872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1874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1875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721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871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1521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1876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808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1877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721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980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 t="s">
        <v>1521</v>
      </c>
      <c r="E2784" s="22">
        <f>IF(D2784="?OLD","!!!","")</f>
        <v/>
      </c>
      <c r="F2784" s="23" t="str">
        <f>IF(OR(E2784="",E2784="!!!"),"",IF(NOT(ISNA(VLOOKUP(E2784,E$1:E2783,1,FALSE()))),"OLD",IF(AND(E2784&lt;&gt;"",E2784&lt;&gt;"!!!"),"NEW","")))</f>
        <v> </v>
      </c>
      <c r="G2784" s="24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5" t="str">
        <f>IF(J2784&lt;&gt;1,"",IF(I2784="SBJ","CB","?"))</f>
        <v> </v>
      </c>
      <c r="I2784" s="26" t="str">
        <f>IF(OR(E2784="",E2784="!!!",F2784="NEW"),"",INDEX(B2783:B$2,-1+SUMPRODUCT(MAX(ROW(E2783:E$2)*(E2784=E2783:E$2)))))</f>
        <v> </v>
      </c>
      <c r="J2784" s="26" t="str">
        <f>IF(OR(E2784="",E2784="!!!",F2784="NEW"),"",COUNTBLANK(OFFSET(A$1,,,SUMPRODUCT(MAX(ROW(E$2:E2784)*(E2784=E$2:E2784)))))-COUNTBLANK(OFFSET(A$1,,,SUMPRODUCT(MAX(ROW(E$1:E2783)*(E2=E$1:E2783))))))</f>
        <v> </v>
      </c>
      <c r="K2784" s="26" t="str">
        <f>IF(OR(E2784="",E2784="!!!",F2784="NEW"),"",INDEX(J$1:J2783,SUMPRODUCT(MAX(ROW(E$1:E2783)*(E2784=E$1:E2783)))))</f>
        <v> </v>
      </c>
      <c r="L2784" s="27"/>
    </row>
    <row r="2785" spans="1:12">
      <c r="A2785" s="20" t="s">
        <v>1878</v>
      </c>
      <c r="E2785" s="22">
        <f>IF(D2785="?OLD","!!!","")</f>
        <v/>
      </c>
      <c r="F2785" s="23" t="str">
        <f>IF(OR(E2785="",E2785="!!!"),"",IF(NOT(ISNA(VLOOKUP(E2785,E$1:E2784,1,FALSE()))),"OLD",IF(AND(E2785&lt;&gt;"",E2785&lt;&gt;"!!!"),"NEW","")))</f>
        <v> </v>
      </c>
      <c r="G2785" s="24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5" t="str">
        <f>IF(J2785&lt;&gt;1,"",IF(I2785="SBJ","CB","?"))</f>
        <v> </v>
      </c>
      <c r="I2785" s="26" t="str">
        <f>IF(OR(E2785="",E2785="!!!",F2785="NEW"),"",INDEX(B2784:B$2,-1+SUMPRODUCT(MAX(ROW(E2784:E$2)*(E2785=E2784:E$2)))))</f>
        <v> </v>
      </c>
      <c r="J2785" s="26" t="str">
        <f>IF(OR(E2785="",E2785="!!!",F2785="NEW"),"",COUNTBLANK(OFFSET(A$1,,,SUMPRODUCT(MAX(ROW(E$2:E2785)*(E2785=E$2:E2785)))))-COUNTBLANK(OFFSET(A$1,,,SUMPRODUCT(MAX(ROW(E$1:E2784)*(E2=E$1:E2784))))))</f>
        <v> </v>
      </c>
      <c r="K2785" s="26" t="str">
        <f>IF(OR(E2785="",E2785="!!!",F2785="NEW"),"",INDEX(J$1:J2784,SUMPRODUCT(MAX(ROW(E$1:E2784)*(E2785=E$1:E2784)))))</f>
        <v> </v>
      </c>
      <c r="L2785" s="27"/>
    </row>
    <row r="2786" spans="1:12">
      <c r="A2786" s="20" t="s">
        <v>1239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721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871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1521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1399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 t="s">
        <v>1879</v>
      </c>
      <c r="E2791" s="22">
        <f>IF(D2791="?OLD","!!!","")</f>
        <v/>
      </c>
      <c r="F2791" s="23" t="str">
        <f>IF(OR(E2791="",E2791="!!!"),"",IF(NOT(ISNA(VLOOKUP(E2791,E$1:E2790,1,FALSE()))),"OLD",IF(AND(E2791&lt;&gt;"",E2791&lt;&gt;"!!!"),"NEW","")))</f>
        <v> </v>
      </c>
      <c r="G2791" s="24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5" t="str">
        <f>IF(J2791&lt;&gt;1,"",IF(I2791="SBJ","CB","?"))</f>
        <v> </v>
      </c>
      <c r="I2791" s="26" t="str">
        <f>IF(OR(E2791="",E2791="!!!",F2791="NEW"),"",INDEX(B2790:B$2,-1+SUMPRODUCT(MAX(ROW(E2790:E$2)*(E2791=E2790:E$2)))))</f>
        <v> </v>
      </c>
      <c r="J2791" s="26" t="str">
        <f>IF(OR(E2791="",E2791="!!!",F2791="NEW"),"",COUNTBLANK(OFFSET(A$1,,,SUMPRODUCT(MAX(ROW(E$2:E2791)*(E2791=E$2:E2791)))))-COUNTBLANK(OFFSET(A$1,,,SUMPRODUCT(MAX(ROW(E$1:E2790)*(E2=E$1:E2790))))))</f>
        <v> </v>
      </c>
      <c r="K2791" s="26" t="str">
        <f>IF(OR(E2791="",E2791="!!!",F2791="NEW"),"",INDEX(J$1:J2790,SUMPRODUCT(MAX(ROW(E$1:E2790)*(E2791=E$1:E2790)))))</f>
        <v> </v>
      </c>
      <c r="L2791" s="27"/>
    </row>
    <row r="2792" spans="1:12">
      <c r="A2792" s="20" t="s">
        <v>721</v>
      </c>
      <c r="E2792" s="22">
        <f>IF(D2792="?OLD","!!!","")</f>
        <v/>
      </c>
      <c r="F2792" s="23" t="str">
        <f>IF(OR(E2792="",E2792="!!!"),"",IF(NOT(ISNA(VLOOKUP(E2792,E$1:E2791,1,FALSE()))),"OLD",IF(AND(E2792&lt;&gt;"",E2792&lt;&gt;"!!!"),"NEW","")))</f>
        <v> </v>
      </c>
      <c r="G2792" s="24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5" t="str">
        <f>IF(J2792&lt;&gt;1,"",IF(I2792="SBJ","CB","?"))</f>
        <v> </v>
      </c>
      <c r="I2792" s="26" t="str">
        <f>IF(OR(E2792="",E2792="!!!",F2792="NEW"),"",INDEX(B2791:B$2,-1+SUMPRODUCT(MAX(ROW(E2791:E$2)*(E2792=E2791:E$2)))))</f>
        <v> </v>
      </c>
      <c r="J2792" s="26" t="str">
        <f>IF(OR(E2792="",E2792="!!!",F2792="NEW"),"",COUNTBLANK(OFFSET(A$1,,,SUMPRODUCT(MAX(ROW(E$2:E2792)*(E2792=E$2:E2792)))))-COUNTBLANK(OFFSET(A$1,,,SUMPRODUCT(MAX(ROW(E$1:E2791)*(E2=E$1:E2791))))))</f>
        <v> </v>
      </c>
      <c r="K2792" s="26" t="str">
        <f>IF(OR(E2792="",E2792="!!!",F2792="NEW"),"",INDEX(J$1:J2791,SUMPRODUCT(MAX(ROW(E$1:E2791)*(E2792=E$1:E2791)))))</f>
        <v> </v>
      </c>
      <c r="L2792" s="27"/>
    </row>
    <row r="2793" spans="1:12">
      <c r="A2793" s="20" t="s">
        <v>980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1521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1880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 t="s">
        <v>1275</v>
      </c>
      <c r="E2796" s="22">
        <f>IF(D2796="?OLD","!!!","")</f>
        <v/>
      </c>
      <c r="F2796" s="23" t="str">
        <f>IF(OR(E2796="",E2796="!!!"),"",IF(NOT(ISNA(VLOOKUP(E2796,E$1:E2795,1,FALSE()))),"OLD",IF(AND(E2796&lt;&gt;"",E2796&lt;&gt;"!!!"),"NEW","")))</f>
        <v> </v>
      </c>
      <c r="G2796" s="24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5" t="str">
        <f>IF(J2796&lt;&gt;1,"",IF(I2796="SBJ","CB","?"))</f>
        <v> </v>
      </c>
      <c r="I2796" s="26" t="str">
        <f>IF(OR(E2796="",E2796="!!!",F2796="NEW"),"",INDEX(B2795:B$2,-1+SUMPRODUCT(MAX(ROW(E2795:E$2)*(E2796=E2795:E$2)))))</f>
        <v> </v>
      </c>
      <c r="J2796" s="26" t="str">
        <f>IF(OR(E2796="",E2796="!!!",F2796="NEW"),"",COUNTBLANK(OFFSET(A$1,,,SUMPRODUCT(MAX(ROW(E$2:E2796)*(E2796=E$2:E2796)))))-COUNTBLANK(OFFSET(A$1,,,SUMPRODUCT(MAX(ROW(E$1:E2795)*(E2=E$1:E2795))))))</f>
        <v> </v>
      </c>
      <c r="K2796" s="26" t="str">
        <f>IF(OR(E2796="",E2796="!!!",F2796="NEW"),"",INDEX(J$1:J2795,SUMPRODUCT(MAX(ROW(E$1:E2795)*(E2796=E$1:E2795)))))</f>
        <v> </v>
      </c>
      <c r="L2796" s="27"/>
    </row>
    <row r="2797" spans="1:12">
      <c r="A2797" s="20" t="s">
        <v>721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871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1521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1881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721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980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1521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 t="s">
        <v>850</v>
      </c>
      <c r="E2804" s="22">
        <f>IF(D2804="?OLD","!!!","")</f>
        <v/>
      </c>
      <c r="F2804" s="23" t="str">
        <f>IF(OR(E2804="",E2804="!!!"),"",IF(NOT(ISNA(VLOOKUP(E2804,E$1:E2803,1,FALSE()))),"OLD",IF(AND(E2804&lt;&gt;"",E2804&lt;&gt;"!!!"),"NEW","")))</f>
        <v> </v>
      </c>
      <c r="G2804" s="24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5" t="str">
        <f>IF(J2804&lt;&gt;1,"",IF(I2804="SBJ","CB","?"))</f>
        <v> </v>
      </c>
      <c r="I2804" s="26" t="str">
        <f>IF(OR(E2804="",E2804="!!!",F2804="NEW"),"",INDEX(B2803:B$2,-1+SUMPRODUCT(MAX(ROW(E2803:E$2)*(E2804=E2803:E$2)))))</f>
        <v> </v>
      </c>
      <c r="J2804" s="26" t="str">
        <f>IF(OR(E2804="",E2804="!!!",F2804="NEW"),"",COUNTBLANK(OFFSET(A$1,,,SUMPRODUCT(MAX(ROW(E$2:E2804)*(E2804=E$2:E2804)))))-COUNTBLANK(OFFSET(A$1,,,SUMPRODUCT(MAX(ROW(E$1:E2803)*(E2=E$1:E2803))))))</f>
        <v> </v>
      </c>
      <c r="K2804" s="26" t="str">
        <f>IF(OR(E2804="",E2804="!!!",F2804="NEW"),"",INDEX(J$1:J2803,SUMPRODUCT(MAX(ROW(E$1:E2803)*(E2804=E$1:E2803)))))</f>
        <v> </v>
      </c>
      <c r="L2804" s="27"/>
    </row>
    <row r="2805" spans="1:12">
      <c r="A2805" s="20" t="s">
        <v>721</v>
      </c>
      <c r="E2805" s="22">
        <f>IF(D2805="?OLD","!!!","")</f>
        <v/>
      </c>
      <c r="F2805" s="23" t="str">
        <f>IF(OR(E2805="",E2805="!!!"),"",IF(NOT(ISNA(VLOOKUP(E2805,E$1:E2804,1,FALSE()))),"OLD",IF(AND(E2805&lt;&gt;"",E2805&lt;&gt;"!!!"),"NEW","")))</f>
        <v> </v>
      </c>
      <c r="G2805" s="24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5" t="str">
        <f>IF(J2805&lt;&gt;1,"",IF(I2805="SBJ","CB","?"))</f>
        <v> </v>
      </c>
      <c r="I2805" s="26" t="str">
        <f>IF(OR(E2805="",E2805="!!!",F2805="NEW"),"",INDEX(B2804:B$2,-1+SUMPRODUCT(MAX(ROW(E2804:E$2)*(E2805=E2804:E$2)))))</f>
        <v> </v>
      </c>
      <c r="J2805" s="26" t="str">
        <f>IF(OR(E2805="",E2805="!!!",F2805="NEW"),"",COUNTBLANK(OFFSET(A$1,,,SUMPRODUCT(MAX(ROW(E$2:E2805)*(E2805=E$2:E2805)))))-COUNTBLANK(OFFSET(A$1,,,SUMPRODUCT(MAX(ROW(E$1:E2804)*(E2=E$1:E2804))))))</f>
        <v> </v>
      </c>
      <c r="K2805" s="26" t="str">
        <f>IF(OR(E2805="",E2805="!!!",F2805="NEW"),"",INDEX(J$1:J2804,SUMPRODUCT(MAX(ROW(E$1:E2804)*(E2805=E$1:E2804)))))</f>
        <v> </v>
      </c>
      <c r="L2805" s="27"/>
    </row>
    <row r="2806" spans="1:12">
      <c r="A2806" s="20" t="s">
        <v>871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1521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1882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1883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808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1884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721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980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1521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923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 t="s">
        <v>755</v>
      </c>
      <c r="E2816" s="22">
        <f>IF(D2816="?OLD","!!!","")</f>
        <v/>
      </c>
      <c r="F2816" s="23" t="str">
        <f>IF(OR(E2816="",E2816="!!!"),"",IF(NOT(ISNA(VLOOKUP(E2816,E$1:E2815,1,FALSE()))),"OLD",IF(AND(E2816&lt;&gt;"",E2816&lt;&gt;"!!!"),"NEW","")))</f>
        <v> </v>
      </c>
      <c r="G2816" s="24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5" t="str">
        <f>IF(J2816&lt;&gt;1,"",IF(I2816="SBJ","CB","?"))</f>
        <v> </v>
      </c>
      <c r="I2816" s="26" t="str">
        <f>IF(OR(E2816="",E2816="!!!",F2816="NEW"),"",INDEX(B2815:B$2,-1+SUMPRODUCT(MAX(ROW(E2815:E$2)*(E2816=E2815:E$2)))))</f>
        <v> </v>
      </c>
      <c r="J2816" s="26" t="str">
        <f>IF(OR(E2816="",E2816="!!!",F2816="NEW"),"",COUNTBLANK(OFFSET(A$1,,,SUMPRODUCT(MAX(ROW(E$2:E2816)*(E2816=E$2:E2816)))))-COUNTBLANK(OFFSET(A$1,,,SUMPRODUCT(MAX(ROW(E$1:E2815)*(E2=E$1:E2815))))))</f>
        <v> </v>
      </c>
      <c r="K2816" s="26" t="str">
        <f>IF(OR(E2816="",E2816="!!!",F2816="NEW"),"",INDEX(J$1:J2815,SUMPRODUCT(MAX(ROW(E$1:E2815)*(E2816=E$1:E2815)))))</f>
        <v> </v>
      </c>
      <c r="L2816" s="27"/>
    </row>
    <row r="2817" spans="1:12">
      <c r="A2817" s="20" t="s">
        <v>1732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732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/>
    </row>
    <row r="2820" spans="1:12">
      <c r="A2820" s="20" t="s">
        <v>1885</v>
      </c>
    </row>
    <row r="2821" spans="1:12">
      <c r="A2821" s="20" t="s">
        <v>1886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1801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1887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991</v>
      </c>
      <c r="B2824" s="21" t="s">
        <v>784</v>
      </c>
      <c r="C2824" s="21" t="s">
        <v>800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839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/>
    </row>
    <row r="2827" spans="1:12">
      <c r="A2827" s="20" t="s">
        <v>1888</v>
      </c>
    </row>
    <row r="2828" spans="1:12">
      <c r="A2828" s="20" t="s">
        <v>1889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793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1890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915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848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843</v>
      </c>
      <c r="B2833" s="21" t="s">
        <v>812</v>
      </c>
      <c r="C2833" s="21" t="s">
        <v>727</v>
      </c>
      <c r="D2833" s="21" t="s">
        <v>728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1891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 t="s">
        <v>1790</v>
      </c>
      <c r="E2835" s="22">
        <f>IF(D2835="?OLD","!!!","")</f>
        <v/>
      </c>
      <c r="F2835" s="23" t="str">
        <f>IF(OR(E2835="",E2835="!!!"),"",IF(NOT(ISNA(VLOOKUP(E2835,E$1:E2834,1,FALSE()))),"OLD",IF(AND(E2835&lt;&gt;"",E2835&lt;&gt;"!!!"),"NEW","")))</f>
        <v> </v>
      </c>
      <c r="G2835" s="24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5" t="str">
        <f>IF(J2835&lt;&gt;1,"",IF(I2835="SBJ","CB","?"))</f>
        <v> </v>
      </c>
      <c r="I2835" s="26" t="str">
        <f>IF(OR(E2835="",E2835="!!!",F2835="NEW"),"",INDEX(B2834:B$2,-1+SUMPRODUCT(MAX(ROW(E2834:E$2)*(E2835=E2834:E$2)))))</f>
        <v> </v>
      </c>
      <c r="J2835" s="26" t="str">
        <f>IF(OR(E2835="",E2835="!!!",F2835="NEW"),"",COUNTBLANK(OFFSET(A$1,,,SUMPRODUCT(MAX(ROW(E$2:E2835)*(E2835=E$2:E2835)))))-COUNTBLANK(OFFSET(A$1,,,SUMPRODUCT(MAX(ROW(E$1:E2834)*(E2=E$1:E2834))))))</f>
        <v> </v>
      </c>
      <c r="K2835" s="26" t="str">
        <f>IF(OR(E2835="",E2835="!!!",F2835="NEW"),"",INDEX(J$1:J2834,SUMPRODUCT(MAX(ROW(E$1:E2834)*(E2835=E$1:E2834)))))</f>
        <v> </v>
      </c>
      <c r="L2835" s="27"/>
    </row>
    <row r="2836" spans="1:12">
      <c r="A2836" s="20" t="s">
        <v>783</v>
      </c>
      <c r="B2836" s="21" t="s">
        <v>789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839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/>
    </row>
    <row r="2839" spans="1:12">
      <c r="A2839" s="20" t="s">
        <v>1892</v>
      </c>
    </row>
    <row r="2840" spans="1:12">
      <c r="A2840" s="20" t="s">
        <v>1893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764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765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721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 t="s">
        <v>848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1746</v>
      </c>
      <c r="B2845" s="21" t="s">
        <v>784</v>
      </c>
      <c r="C2845" s="21" t="s">
        <v>727</v>
      </c>
      <c r="D2845" s="21" t="s">
        <v>728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342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1894</v>
      </c>
      <c r="B2847" s="21" t="s">
        <v>784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721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1895</v>
      </c>
      <c r="B2849" s="21" t="s">
        <v>826</v>
      </c>
      <c r="C2849" s="21" t="s">
        <v>719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1896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1897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1898</v>
      </c>
      <c r="B2852" s="21" t="s">
        <v>1006</v>
      </c>
      <c r="C2852" s="21" t="s">
        <v>800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 t="s">
        <v>1899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 t="s">
        <v>783</v>
      </c>
      <c r="B2854" s="21" t="s">
        <v>963</v>
      </c>
      <c r="E2854" s="22">
        <f>IF(D2854="?OLD","!!!","")</f>
        <v/>
      </c>
      <c r="F2854" s="23" t="str">
        <f>IF(OR(E2854="",E2854="!!!"),"",IF(NOT(ISNA(VLOOKUP(E2854,E$1:E2853,1,FALSE()))),"OLD",IF(AND(E2854&lt;&gt;"",E2854&lt;&gt;"!!!"),"NEW","")))</f>
        <v> </v>
      </c>
      <c r="G2854" s="24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5" t="str">
        <f>IF(J2854&lt;&gt;1,"",IF(I2854="SBJ","CB","?"))</f>
        <v> </v>
      </c>
      <c r="I2854" s="26" t="str">
        <f>IF(OR(E2854="",E2854="!!!",F2854="NEW"),"",INDEX(B2853:B$2,-1+SUMPRODUCT(MAX(ROW(E2853:E$2)*(E2854=E2853:E$2)))))</f>
        <v> </v>
      </c>
      <c r="J2854" s="26" t="str">
        <f>IF(OR(E2854="",E2854="!!!",F2854="NEW"),"",COUNTBLANK(OFFSET(A$1,,,SUMPRODUCT(MAX(ROW(E$2:E2854)*(E2854=E$2:E2854)))))-COUNTBLANK(OFFSET(A$1,,,SUMPRODUCT(MAX(ROW(E$1:E2853)*(E2=E$1:E2853))))))</f>
        <v> </v>
      </c>
      <c r="K2854" s="26" t="str">
        <f>IF(OR(E2854="",E2854="!!!",F2854="NEW"),"",INDEX(J$1:J2853,SUMPRODUCT(MAX(ROW(E$1:E2853)*(E2854=E$1:E2853)))))</f>
        <v> </v>
      </c>
      <c r="L2854" s="27"/>
    </row>
    <row r="2855" spans="1:12">
      <c r="A2855" s="20" t="s">
        <v>732</v>
      </c>
      <c r="E2855" s="22">
        <f>IF(D2855="?OLD","!!!","")</f>
        <v/>
      </c>
      <c r="F2855" s="23" t="str">
        <f>IF(OR(E2855="",E2855="!!!"),"",IF(NOT(ISNA(VLOOKUP(E2855,E$1:E2854,1,FALSE()))),"OLD",IF(AND(E2855&lt;&gt;"",E2855&lt;&gt;"!!!"),"NEW","")))</f>
        <v> </v>
      </c>
      <c r="G2855" s="24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5" t="str">
        <f>IF(J2855&lt;&gt;1,"",IF(I2855="SBJ","CB","?"))</f>
        <v> </v>
      </c>
      <c r="I2855" s="26" t="str">
        <f>IF(OR(E2855="",E2855="!!!",F2855="NEW"),"",INDEX(B2854:B$2,-1+SUMPRODUCT(MAX(ROW(E2854:E$2)*(E2855=E2854:E$2)))))</f>
        <v> </v>
      </c>
      <c r="J2855" s="26" t="str">
        <f>IF(OR(E2855="",E2855="!!!",F2855="NEW"),"",COUNTBLANK(OFFSET(A$1,,,SUMPRODUCT(MAX(ROW(E$2:E2855)*(E2855=E$2:E2855)))))-COUNTBLANK(OFFSET(A$1,,,SUMPRODUCT(MAX(ROW(E$1:E2854)*(E2=E$1:E2854))))))</f>
        <v> </v>
      </c>
      <c r="K2855" s="26" t="str">
        <f>IF(OR(E2855="",E2855="!!!",F2855="NEW"),"",INDEX(J$1:J2854,SUMPRODUCT(MAX(ROW(E$1:E2854)*(E2855=E$1:E2854)))))</f>
        <v> </v>
      </c>
      <c r="L2855" s="27"/>
    </row>
    <row r="2856" spans="1:12">
      <c r="A2856" s="20"/>
    </row>
    <row r="2857" spans="1:12">
      <c r="A2857" s="20" t="s">
        <v>1900</v>
      </c>
    </row>
    <row r="2858" spans="1:12">
      <c r="A2858" s="20" t="s">
        <v>1901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 t="s">
        <v>1186</v>
      </c>
      <c r="E2859" s="22">
        <f>IF(D2859="?OLD","!!!","")</f>
        <v/>
      </c>
      <c r="F2859" s="23" t="str">
        <f>IF(OR(E2859="",E2859="!!!"),"",IF(NOT(ISNA(VLOOKUP(E2859,E$1:E2858,1,FALSE()))),"OLD",IF(AND(E2859&lt;&gt;"",E2859&lt;&gt;"!!!"),"NEW","")))</f>
        <v> </v>
      </c>
      <c r="G2859" s="24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5" t="str">
        <f>IF(J2859&lt;&gt;1,"",IF(I2859="SBJ","CB","?"))</f>
        <v> </v>
      </c>
      <c r="I2859" s="26" t="str">
        <f>IF(OR(E2859="",E2859="!!!",F2859="NEW"),"",INDEX(B2858:B$2,-1+SUMPRODUCT(MAX(ROW(E2858:E$2)*(E2859=E2858:E$2)))))</f>
        <v> </v>
      </c>
      <c r="J2859" s="26" t="str">
        <f>IF(OR(E2859="",E2859="!!!",F2859="NEW"),"",COUNTBLANK(OFFSET(A$1,,,SUMPRODUCT(MAX(ROW(E$2:E2859)*(E2859=E$2:E2859)))))-COUNTBLANK(OFFSET(A$1,,,SUMPRODUCT(MAX(ROW(E$1:E2858)*(E2=E$1:E2858))))))</f>
        <v> </v>
      </c>
      <c r="K2859" s="26" t="str">
        <f>IF(OR(E2859="",E2859="!!!",F2859="NEW"),"",INDEX(J$1:J2858,SUMPRODUCT(MAX(ROW(E$1:E2858)*(E2859=E$1:E2858)))))</f>
        <v> </v>
      </c>
      <c r="L2859" s="27"/>
    </row>
    <row r="2860" spans="1:12">
      <c r="A2860" s="20" t="s">
        <v>766</v>
      </c>
      <c r="B2860" s="21" t="s">
        <v>784</v>
      </c>
      <c r="C2860" s="21" t="s">
        <v>747</v>
      </c>
      <c r="D2860" s="21" t="s">
        <v>728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721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830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887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871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1902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 t="s">
        <v>769</v>
      </c>
      <c r="E2866" s="22">
        <f>IF(D2866="?OLD","!!!","")</f>
        <v/>
      </c>
      <c r="F2866" s="23" t="str">
        <f>IF(OR(E2866="",E2866="!!!"),"",IF(NOT(ISNA(VLOOKUP(E2866,E$1:E2865,1,FALSE()))),"OLD",IF(AND(E2866&lt;&gt;"",E2866&lt;&gt;"!!!"),"NEW","")))</f>
        <v> </v>
      </c>
      <c r="G2866" s="24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5" t="str">
        <f>IF(J2866&lt;&gt;1,"",IF(I2866="SBJ","CB","?"))</f>
        <v> </v>
      </c>
      <c r="I2866" s="26" t="str">
        <f>IF(OR(E2866="",E2866="!!!",F2866="NEW"),"",INDEX(B2865:B$2,-1+SUMPRODUCT(MAX(ROW(E2865:E$2)*(E2866=E2865:E$2)))))</f>
        <v> </v>
      </c>
      <c r="J2866" s="26" t="str">
        <f>IF(OR(E2866="",E2866="!!!",F2866="NEW"),"",COUNTBLANK(OFFSET(A$1,,,SUMPRODUCT(MAX(ROW(E$2:E2866)*(E2866=E$2:E2866)))))-COUNTBLANK(OFFSET(A$1,,,SUMPRODUCT(MAX(ROW(E$1:E2865)*(E2=E$1:E2865))))))</f>
        <v> </v>
      </c>
      <c r="K2866" s="26" t="str">
        <f>IF(OR(E2866="",E2866="!!!",F2866="NEW"),"",INDEX(J$1:J2865,SUMPRODUCT(MAX(ROW(E$1:E2865)*(E2866=E$1:E2865)))))</f>
        <v> </v>
      </c>
      <c r="L2866" s="27"/>
    </row>
    <row r="2867" spans="1:12">
      <c r="A2867" s="20" t="s">
        <v>1903</v>
      </c>
      <c r="E2867" s="22">
        <f>IF(D2867="?OLD","!!!","")</f>
        <v/>
      </c>
      <c r="F2867" s="23" t="str">
        <f>IF(OR(E2867="",E2867="!!!"),"",IF(NOT(ISNA(VLOOKUP(E2867,E$1:E2866,1,FALSE()))),"OLD",IF(AND(E2867&lt;&gt;"",E2867&lt;&gt;"!!!"),"NEW","")))</f>
        <v> </v>
      </c>
      <c r="G2867" s="24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5" t="str">
        <f>IF(J2867&lt;&gt;1,"",IF(I2867="SBJ","CB","?"))</f>
        <v> </v>
      </c>
      <c r="I2867" s="26" t="str">
        <f>IF(OR(E2867="",E2867="!!!",F2867="NEW"),"",INDEX(B2866:B$2,-1+SUMPRODUCT(MAX(ROW(E2866:E$2)*(E2867=E2866:E$2)))))</f>
        <v> </v>
      </c>
      <c r="J2867" s="26" t="str">
        <f>IF(OR(E2867="",E2867="!!!",F2867="NEW"),"",COUNTBLANK(OFFSET(A$1,,,SUMPRODUCT(MAX(ROW(E$2:E2867)*(E2867=E$2:E2867)))))-COUNTBLANK(OFFSET(A$1,,,SUMPRODUCT(MAX(ROW(E$1:E2866)*(E2=E$1:E2866))))))</f>
        <v> </v>
      </c>
      <c r="K2867" s="26" t="str">
        <f>IF(OR(E2867="",E2867="!!!",F2867="NEW"),"",INDEX(J$1:J2866,SUMPRODUCT(MAX(ROW(E$1:E2866)*(E2867=E$1:E2866)))))</f>
        <v> </v>
      </c>
      <c r="L2867" s="27"/>
    </row>
    <row r="2868" spans="1:12">
      <c r="A2868" s="20" t="s">
        <v>676</v>
      </c>
      <c r="E2868" s="22">
        <f>IF(D2868="?OLD","!!!","")</f>
        <v/>
      </c>
      <c r="F2868" s="23" t="str">
        <f>IF(OR(E2868="",E2868="!!!"),"",IF(NOT(ISNA(VLOOKUP(E2868,E$1:E2867,1,FALSE()))),"OLD",IF(AND(E2868&lt;&gt;"",E2868&lt;&gt;"!!!"),"NEW","")))</f>
        <v> </v>
      </c>
      <c r="G2868" s="24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5" t="str">
        <f>IF(J2868&lt;&gt;1,"",IF(I2868="SBJ","CB","?"))</f>
        <v> </v>
      </c>
      <c r="I2868" s="26" t="str">
        <f>IF(OR(E2868="",E2868="!!!",F2868="NEW"),"",INDEX(B2867:B$2,-1+SUMPRODUCT(MAX(ROW(E2867:E$2)*(E2868=E2867:E$2)))))</f>
        <v> </v>
      </c>
      <c r="J2868" s="26" t="str">
        <f>IF(OR(E2868="",E2868="!!!",F2868="NEW"),"",COUNTBLANK(OFFSET(A$1,,,SUMPRODUCT(MAX(ROW(E$2:E2868)*(E2868=E$2:E2868)))))-COUNTBLANK(OFFSET(A$1,,,SUMPRODUCT(MAX(ROW(E$1:E2867)*(E2=E$1:E2867))))))</f>
        <v> </v>
      </c>
      <c r="K2868" s="26" t="str">
        <f>IF(OR(E2868="",E2868="!!!",F2868="NEW"),"",INDEX(J$1:J2867,SUMPRODUCT(MAX(ROW(E$1:E2867)*(E2868=E$1:E2867)))))</f>
        <v> </v>
      </c>
      <c r="L2868" s="27"/>
    </row>
    <row r="2869" spans="1:12">
      <c r="A2869" s="20" t="s">
        <v>1904</v>
      </c>
      <c r="E2869" s="22">
        <f>IF(D2869="?OLD","!!!","")</f>
        <v/>
      </c>
      <c r="F2869" s="23" t="str">
        <f>IF(OR(E2869="",E2869="!!!"),"",IF(NOT(ISNA(VLOOKUP(E2869,E$1:E2868,1,FALSE()))),"OLD",IF(AND(E2869&lt;&gt;"",E2869&lt;&gt;"!!!"),"NEW","")))</f>
        <v> </v>
      </c>
      <c r="G2869" s="24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5" t="str">
        <f>IF(J2869&lt;&gt;1,"",IF(I2869="SBJ","CB","?"))</f>
        <v> </v>
      </c>
      <c r="I2869" s="26" t="str">
        <f>IF(OR(E2869="",E2869="!!!",F2869="NEW"),"",INDEX(B2868:B$2,-1+SUMPRODUCT(MAX(ROW(E2868:E$2)*(E2869=E2868:E$2)))))</f>
        <v> </v>
      </c>
      <c r="J2869" s="26" t="str">
        <f>IF(OR(E2869="",E2869="!!!",F2869="NEW"),"",COUNTBLANK(OFFSET(A$1,,,SUMPRODUCT(MAX(ROW(E$2:E2869)*(E2869=E$2:E2869)))))-COUNTBLANK(OFFSET(A$1,,,SUMPRODUCT(MAX(ROW(E$1:E2868)*(E2=E$1:E2868))))))</f>
        <v> </v>
      </c>
      <c r="K2869" s="26" t="str">
        <f>IF(OR(E2869="",E2869="!!!",F2869="NEW"),"",INDEX(J$1:J2868,SUMPRODUCT(MAX(ROW(E$1:E2868)*(E2869=E$1:E2868)))))</f>
        <v> </v>
      </c>
      <c r="L2869" s="27"/>
    </row>
    <row r="2870" spans="1:12">
      <c r="A2870" s="20" t="s">
        <v>732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/>
    </row>
    <row r="2872" spans="1:12">
      <c r="A2872" s="20" t="s">
        <v>1905</v>
      </c>
    </row>
    <row r="2873" spans="1:12">
      <c r="A2873" s="20" t="s">
        <v>746</v>
      </c>
      <c r="B2873" s="21" t="s">
        <v>726</v>
      </c>
      <c r="C2873" s="21" t="s">
        <v>747</v>
      </c>
      <c r="D2873" s="21" t="s">
        <v>728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1118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1906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676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721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1907</v>
      </c>
      <c r="B2878" s="21" t="s">
        <v>784</v>
      </c>
      <c r="C2878" s="21" t="s">
        <v>727</v>
      </c>
      <c r="D2878" s="21" t="s">
        <v>728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1908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 t="s">
        <v>769</v>
      </c>
      <c r="E2880" s="22">
        <f>IF(D2880="?OLD","!!!","")</f>
        <v/>
      </c>
      <c r="F2880" s="23" t="str">
        <f>IF(OR(E2880="",E2880="!!!"),"",IF(NOT(ISNA(VLOOKUP(E2880,E$1:E2879,1,FALSE()))),"OLD",IF(AND(E2880&lt;&gt;"",E2880&lt;&gt;"!!!"),"NEW","")))</f>
        <v> </v>
      </c>
      <c r="G2880" s="24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5" t="str">
        <f>IF(J2880&lt;&gt;1,"",IF(I2880="SBJ","CB","?"))</f>
        <v> </v>
      </c>
      <c r="I2880" s="26" t="str">
        <f>IF(OR(E2880="",E2880="!!!",F2880="NEW"),"",INDEX(B2879:B$2,-1+SUMPRODUCT(MAX(ROW(E2879:E$2)*(E2880=E2879:E$2)))))</f>
        <v> </v>
      </c>
      <c r="J2880" s="26" t="str">
        <f>IF(OR(E2880="",E2880="!!!",F2880="NEW"),"",COUNTBLANK(OFFSET(A$1,,,SUMPRODUCT(MAX(ROW(E$2:E2880)*(E2880=E$2:E2880)))))-COUNTBLANK(OFFSET(A$1,,,SUMPRODUCT(MAX(ROW(E$1:E2879)*(E2=E$1:E2879))))))</f>
        <v> </v>
      </c>
      <c r="K2880" s="26" t="str">
        <f>IF(OR(E2880="",E2880="!!!",F2880="NEW"),"",INDEX(J$1:J2879,SUMPRODUCT(MAX(ROW(E$1:E2879)*(E2880=E$1:E2879)))))</f>
        <v> </v>
      </c>
      <c r="L2880" s="27"/>
    </row>
    <row r="2881" spans="1:12">
      <c r="A2881" s="20" t="s">
        <v>1909</v>
      </c>
      <c r="E2881" s="22">
        <f>IF(D2881="?OLD","!!!","")</f>
        <v/>
      </c>
      <c r="F2881" s="23" t="str">
        <f>IF(OR(E2881="",E2881="!!!"),"",IF(NOT(ISNA(VLOOKUP(E2881,E$1:E2880,1,FALSE()))),"OLD",IF(AND(E2881&lt;&gt;"",E2881&lt;&gt;"!!!"),"NEW","")))</f>
        <v> </v>
      </c>
      <c r="G2881" s="24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5" t="str">
        <f>IF(J2881&lt;&gt;1,"",IF(I2881="SBJ","CB","?"))</f>
        <v> </v>
      </c>
      <c r="I2881" s="26" t="str">
        <f>IF(OR(E2881="",E2881="!!!",F2881="NEW"),"",INDEX(B2880:B$2,-1+SUMPRODUCT(MAX(ROW(E2880:E$2)*(E2881=E2880:E$2)))))</f>
        <v> </v>
      </c>
      <c r="J2881" s="26" t="str">
        <f>IF(OR(E2881="",E2881="!!!",F2881="NEW"),"",COUNTBLANK(OFFSET(A$1,,,SUMPRODUCT(MAX(ROW(E$2:E2881)*(E2881=E$2:E2881)))))-COUNTBLANK(OFFSET(A$1,,,SUMPRODUCT(MAX(ROW(E$1:E2880)*(E2=E$1:E2880))))))</f>
        <v> </v>
      </c>
      <c r="K2881" s="26" t="str">
        <f>IF(OR(E2881="",E2881="!!!",F2881="NEW"),"",INDEX(J$1:J2880,SUMPRODUCT(MAX(ROW(E$1:E2880)*(E2881=E$1:E2880)))))</f>
        <v> </v>
      </c>
      <c r="L2881" s="27"/>
    </row>
    <row r="2882" spans="1:12">
      <c r="A2882" s="20" t="s">
        <v>732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/>
    </row>
    <row r="2884" spans="1:12">
      <c r="A2884" s="20" t="s">
        <v>1910</v>
      </c>
    </row>
    <row r="2885" spans="1:12">
      <c r="A2885" s="20" t="s">
        <v>1163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676</v>
      </c>
      <c r="B2886" s="21" t="s">
        <v>726</v>
      </c>
      <c r="C2886" s="21" t="s">
        <v>790</v>
      </c>
      <c r="D2886" s="21" t="s">
        <v>728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1911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 t="s">
        <v>1912</v>
      </c>
      <c r="E2888" s="22">
        <f>IF(D2888="?OLD","!!!","")</f>
        <v/>
      </c>
      <c r="F2888" s="23" t="str">
        <f>IF(OR(E2888="",E2888="!!!"),"",IF(NOT(ISNA(VLOOKUP(E2888,E$1:E2887,1,FALSE()))),"OLD",IF(AND(E2888&lt;&gt;"",E2888&lt;&gt;"!!!"),"NEW","")))</f>
        <v> </v>
      </c>
      <c r="G2888" s="24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5" t="str">
        <f>IF(J2888&lt;&gt;1,"",IF(I2888="SBJ","CB","?"))</f>
        <v> </v>
      </c>
      <c r="I2888" s="26" t="str">
        <f>IF(OR(E2888="",E2888="!!!",F2888="NEW"),"",INDEX(B2887:B$2,-1+SUMPRODUCT(MAX(ROW(E2887:E$2)*(E2888=E2887:E$2)))))</f>
        <v> </v>
      </c>
      <c r="J2888" s="26" t="str">
        <f>IF(OR(E2888="",E2888="!!!",F2888="NEW"),"",COUNTBLANK(OFFSET(A$1,,,SUMPRODUCT(MAX(ROW(E$2:E2888)*(E2888=E$2:E2888)))))-COUNTBLANK(OFFSET(A$1,,,SUMPRODUCT(MAX(ROW(E$1:E2887)*(E2=E$1:E2887))))))</f>
        <v> </v>
      </c>
      <c r="K2888" s="26" t="str">
        <f>IF(OR(E2888="",E2888="!!!",F2888="NEW"),"",INDEX(J$1:J2887,SUMPRODUCT(MAX(ROW(E$1:E2887)*(E2888=E$1:E2887)))))</f>
        <v> </v>
      </c>
      <c r="L2888" s="27"/>
    </row>
    <row r="2889" spans="1:12">
      <c r="A2889" s="20" t="s">
        <v>1913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721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1914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721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1911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1915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1916</v>
      </c>
      <c r="B2895" s="21" t="s">
        <v>784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 t="s">
        <v>721</v>
      </c>
      <c r="E2896" s="22">
        <f>IF(D2896="?OLD","!!!","")</f>
        <v/>
      </c>
      <c r="F2896" s="23" t="str">
        <f>IF(OR(E2896="",E2896="!!!"),"",IF(NOT(ISNA(VLOOKUP(E2896,E$1:E2895,1,FALSE()))),"OLD",IF(AND(E2896&lt;&gt;"",E2896&lt;&gt;"!!!"),"NEW","")))</f>
        <v> </v>
      </c>
      <c r="G2896" s="24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5" t="str">
        <f>IF(J2896&lt;&gt;1,"",IF(I2896="SBJ","CB","?"))</f>
        <v> </v>
      </c>
      <c r="I2896" s="26" t="str">
        <f>IF(OR(E2896="",E2896="!!!",F2896="NEW"),"",INDEX(B2895:B$2,-1+SUMPRODUCT(MAX(ROW(E2895:E$2)*(E2896=E2895:E$2)))))</f>
        <v> </v>
      </c>
      <c r="J2896" s="26" t="str">
        <f>IF(OR(E2896="",E2896="!!!",F2896="NEW"),"",COUNTBLANK(OFFSET(A$1,,,SUMPRODUCT(MAX(ROW(E$2:E2896)*(E2896=E$2:E2896)))))-COUNTBLANK(OFFSET(A$1,,,SUMPRODUCT(MAX(ROW(E$1:E2895)*(E2=E$1:E2895))))))</f>
        <v> </v>
      </c>
      <c r="K2896" s="26" t="str">
        <f>IF(OR(E2896="",E2896="!!!",F2896="NEW"),"",INDEX(J$1:J2895,SUMPRODUCT(MAX(ROW(E$1:E2895)*(E2896=E$1:E2895)))))</f>
        <v> </v>
      </c>
      <c r="L2896" s="27"/>
    </row>
    <row r="2897" spans="1:12">
      <c r="A2897" s="20" t="s">
        <v>808</v>
      </c>
      <c r="E2897" s="22">
        <f>IF(D2897="?OLD","!!!","")</f>
        <v/>
      </c>
      <c r="F2897" s="23" t="str">
        <f>IF(OR(E2897="",E2897="!!!"),"",IF(NOT(ISNA(VLOOKUP(E2897,E$1:E2896,1,FALSE()))),"OLD",IF(AND(E2897&lt;&gt;"",E2897&lt;&gt;"!!!"),"NEW","")))</f>
        <v> </v>
      </c>
      <c r="G2897" s="24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5" t="str">
        <f>IF(J2897&lt;&gt;1,"",IF(I2897="SBJ","CB","?"))</f>
        <v> </v>
      </c>
      <c r="I2897" s="26" t="str">
        <f>IF(OR(E2897="",E2897="!!!",F2897="NEW"),"",INDEX(B2896:B$2,-1+SUMPRODUCT(MAX(ROW(E2896:E$2)*(E2897=E2896:E$2)))))</f>
        <v> </v>
      </c>
      <c r="J2897" s="26" t="str">
        <f>IF(OR(E2897="",E2897="!!!",F2897="NEW"),"",COUNTBLANK(OFFSET(A$1,,,SUMPRODUCT(MAX(ROW(E$2:E2897)*(E2897=E$2:E2897)))))-COUNTBLANK(OFFSET(A$1,,,SUMPRODUCT(MAX(ROW(E$1:E2896)*(E2=E$1:E2896))))))</f>
        <v> </v>
      </c>
      <c r="K2897" s="26" t="str">
        <f>IF(OR(E2897="",E2897="!!!",F2897="NEW"),"",INDEX(J$1:J2896,SUMPRODUCT(MAX(ROW(E$1:E2896)*(E2897=E$1:E2896)))))</f>
        <v> </v>
      </c>
      <c r="L2897" s="27"/>
    </row>
    <row r="2898" spans="1:12">
      <c r="A2898" s="20" t="s">
        <v>721</v>
      </c>
      <c r="E2898" s="22">
        <f>IF(D2898="?OLD","!!!","")</f>
        <v/>
      </c>
      <c r="F2898" s="23" t="str">
        <f>IF(OR(E2898="",E2898="!!!"),"",IF(NOT(ISNA(VLOOKUP(E2898,E$1:E2897,1,FALSE()))),"OLD",IF(AND(E2898&lt;&gt;"",E2898&lt;&gt;"!!!"),"NEW","")))</f>
        <v> </v>
      </c>
      <c r="G2898" s="24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5" t="str">
        <f>IF(J2898&lt;&gt;1,"",IF(I2898="SBJ","CB","?"))</f>
        <v> </v>
      </c>
      <c r="I2898" s="26" t="str">
        <f>IF(OR(E2898="",E2898="!!!",F2898="NEW"),"",INDEX(B2897:B$2,-1+SUMPRODUCT(MAX(ROW(E2897:E$2)*(E2898=E2897:E$2)))))</f>
        <v> </v>
      </c>
      <c r="J2898" s="26" t="str">
        <f>IF(OR(E2898="",E2898="!!!",F2898="NEW"),"",COUNTBLANK(OFFSET(A$1,,,SUMPRODUCT(MAX(ROW(E$2:E2898)*(E2898=E$2:E2898)))))-COUNTBLANK(OFFSET(A$1,,,SUMPRODUCT(MAX(ROW(E$1:E2897)*(E2=E$1:E2897))))))</f>
        <v> </v>
      </c>
      <c r="K2898" s="26" t="str">
        <f>IF(OR(E2898="",E2898="!!!",F2898="NEW"),"",INDEX(J$1:J2897,SUMPRODUCT(MAX(ROW(E$1:E2897)*(E2898=E$1:E2897)))))</f>
        <v> </v>
      </c>
      <c r="L2898" s="27"/>
    </row>
    <row r="2899" spans="1:12">
      <c r="A2899" s="20" t="s">
        <v>900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1917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721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1307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871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 t="s">
        <v>1918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233</v>
      </c>
      <c r="B2905" s="21" t="s">
        <v>767</v>
      </c>
      <c r="C2905" s="21" t="s">
        <v>719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1919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830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1816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732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/>
    </row>
    <row r="2911" spans="1:12">
      <c r="A2911" s="20" t="s">
        <v>1920</v>
      </c>
    </row>
    <row r="2912" spans="1:12">
      <c r="A2912" s="20" t="s">
        <v>1281</v>
      </c>
      <c r="E2912" s="22">
        <f>IF(D2912="?OLD","!!!","")</f>
        <v/>
      </c>
      <c r="F2912" s="23" t="str">
        <f>IF(OR(E2912="",E2912="!!!"),"",IF(NOT(ISNA(VLOOKUP(E2912,E$1:E2911,1,FALSE()))),"OLD",IF(AND(E2912&lt;&gt;"",E2912&lt;&gt;"!!!"),"NEW","")))</f>
        <v> </v>
      </c>
      <c r="G2912" s="24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5" t="str">
        <f>IF(J2912&lt;&gt;1,"",IF(I2912="SBJ","CB","?"))</f>
        <v> </v>
      </c>
      <c r="I2912" s="26" t="str">
        <f>IF(OR(E2912="",E2912="!!!",F2912="NEW"),"",INDEX(B2911:B$2,-1+SUMPRODUCT(MAX(ROW(E2911:E$2)*(E2912=E2911:E$2)))))</f>
        <v> </v>
      </c>
      <c r="J2912" s="26" t="str">
        <f>IF(OR(E2912="",E2912="!!!",F2912="NEW"),"",COUNTBLANK(OFFSET(A$1,,,SUMPRODUCT(MAX(ROW(E$2:E2912)*(E2912=E$2:E2912)))))-COUNTBLANK(OFFSET(A$1,,,SUMPRODUCT(MAX(ROW(E$1:E2911)*(E2=E$1:E2911))))))</f>
        <v> </v>
      </c>
      <c r="K2912" s="26" t="str">
        <f>IF(OR(E2912="",E2912="!!!",F2912="NEW"),"",INDEX(J$1:J2911,SUMPRODUCT(MAX(ROW(E$1:E2911)*(E2912=E$1:E2911)))))</f>
        <v> </v>
      </c>
      <c r="L2912" s="27"/>
    </row>
    <row r="2913" spans="1:12">
      <c r="A2913" s="20" t="s">
        <v>893</v>
      </c>
      <c r="B2913" s="21" t="s">
        <v>718</v>
      </c>
      <c r="C2913" s="21" t="s">
        <v>747</v>
      </c>
      <c r="D2913" s="21" t="s">
        <v>728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1921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1922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769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1923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676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732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/>
    </row>
    <row r="2921" spans="1:12">
      <c r="A2921" s="20" t="s">
        <v>1924</v>
      </c>
    </row>
    <row r="2922" spans="1:12">
      <c r="A2922" s="20" t="s">
        <v>746</v>
      </c>
      <c r="B2922" s="21" t="s">
        <v>726</v>
      </c>
      <c r="C2922" s="21" t="s">
        <v>747</v>
      </c>
      <c r="D2922" s="21" t="s">
        <v>728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1925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 t="s">
        <v>676</v>
      </c>
      <c r="E2924" s="22">
        <f>IF(D2924="?OLD","!!!","")</f>
        <v/>
      </c>
      <c r="F2924" s="23" t="str">
        <f>IF(OR(E2924="",E2924="!!!"),"",IF(NOT(ISNA(VLOOKUP(E2924,E$1:E2923,1,FALSE()))),"OLD",IF(AND(E2924&lt;&gt;"",E2924&lt;&gt;"!!!"),"NEW","")))</f>
        <v> </v>
      </c>
      <c r="G2924" s="24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5" t="str">
        <f>IF(J2924&lt;&gt;1,"",IF(I2924="SBJ","CB","?"))</f>
        <v> </v>
      </c>
      <c r="I2924" s="26" t="str">
        <f>IF(OR(E2924="",E2924="!!!",F2924="NEW"),"",INDEX(B2923:B$2,-1+SUMPRODUCT(MAX(ROW(E2923:E$2)*(E2924=E2923:E$2)))))</f>
        <v> </v>
      </c>
      <c r="J2924" s="26" t="str">
        <f>IF(OR(E2924="",E2924="!!!",F2924="NEW"),"",COUNTBLANK(OFFSET(A$1,,,SUMPRODUCT(MAX(ROW(E$2:E2924)*(E2924=E$2:E2924)))))-COUNTBLANK(OFFSET(A$1,,,SUMPRODUCT(MAX(ROW(E$1:E2923)*(E2=E$1:E2923))))))</f>
        <v> </v>
      </c>
      <c r="K2924" s="26" t="str">
        <f>IF(OR(E2924="",E2924="!!!",F2924="NEW"),"",INDEX(J$1:J2923,SUMPRODUCT(MAX(ROW(E$1:E2923)*(E2924=E$1:E2923)))))</f>
        <v> </v>
      </c>
      <c r="L2924" s="27"/>
    </row>
    <row r="2925" spans="1:12">
      <c r="A2925" s="20" t="s">
        <v>721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771</v>
      </c>
      <c r="B2926" s="21" t="s">
        <v>767</v>
      </c>
      <c r="C2926" s="21" t="s">
        <v>719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1926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769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737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1927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1928</v>
      </c>
      <c r="B2931" s="21" t="s">
        <v>796</v>
      </c>
      <c r="C2931" s="21" t="s">
        <v>800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1929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732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/>
    </row>
    <row r="2935" spans="1:12">
      <c r="A2935" s="20" t="s">
        <v>1930</v>
      </c>
    </row>
    <row r="2936" spans="1:12">
      <c r="A2936" s="20" t="s">
        <v>1931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769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1616</v>
      </c>
      <c r="B2938" s="21" t="s">
        <v>718</v>
      </c>
      <c r="C2938" s="21" t="s">
        <v>762</v>
      </c>
      <c r="D2938" s="21" t="s">
        <v>728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721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1834</v>
      </c>
      <c r="B2940" s="21" t="s">
        <v>726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848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267</v>
      </c>
      <c r="B2942" s="21" t="s">
        <v>796</v>
      </c>
      <c r="C2942" s="21" t="s">
        <v>762</v>
      </c>
      <c r="D2942" s="21" t="s">
        <v>728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721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818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 t="s">
        <v>721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1895</v>
      </c>
      <c r="B2946" s="21" t="s">
        <v>826</v>
      </c>
      <c r="C2946" s="21" t="s">
        <v>719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871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1932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 t="s">
        <v>769</v>
      </c>
      <c r="E2949" s="22">
        <f>IF(D2949="?OLD","!!!","")</f>
        <v/>
      </c>
      <c r="F2949" s="23" t="str">
        <f>IF(OR(E2949="",E2949="!!!"),"",IF(NOT(ISNA(VLOOKUP(E2949,E$1:E2948,1,FALSE()))),"OLD",IF(AND(E2949&lt;&gt;"",E2949&lt;&gt;"!!!"),"NEW","")))</f>
        <v> </v>
      </c>
      <c r="G2949" s="24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5" t="str">
        <f>IF(J2949&lt;&gt;1,"",IF(I2949="SBJ","CB","?"))</f>
        <v> </v>
      </c>
      <c r="I2949" s="26" t="str">
        <f>IF(OR(E2949="",E2949="!!!",F2949="NEW"),"",INDEX(B2948:B$2,-1+SUMPRODUCT(MAX(ROW(E2948:E$2)*(E2949=E2948:E$2)))))</f>
        <v> </v>
      </c>
      <c r="J2949" s="26" t="str">
        <f>IF(OR(E2949="",E2949="!!!",F2949="NEW"),"",COUNTBLANK(OFFSET(A$1,,,SUMPRODUCT(MAX(ROW(E$2:E2949)*(E2949=E$2:E2949)))))-COUNTBLANK(OFFSET(A$1,,,SUMPRODUCT(MAX(ROW(E$1:E2948)*(E2=E$1:E2948))))))</f>
        <v> </v>
      </c>
      <c r="K2949" s="26" t="str">
        <f>IF(OR(E2949="",E2949="!!!",F2949="NEW"),"",INDEX(J$1:J2948,SUMPRODUCT(MAX(ROW(E$1:E2948)*(E2949=E$1:E2948)))))</f>
        <v> </v>
      </c>
      <c r="L2949" s="27"/>
    </row>
    <row r="2950" spans="1:12">
      <c r="A2950" s="20" t="s">
        <v>1933</v>
      </c>
      <c r="E2950" s="22">
        <f>IF(D2950="?OLD","!!!","")</f>
        <v/>
      </c>
      <c r="F2950" s="23" t="str">
        <f>IF(OR(E2950="",E2950="!!!"),"",IF(NOT(ISNA(VLOOKUP(E2950,E$1:E2949,1,FALSE()))),"OLD",IF(AND(E2950&lt;&gt;"",E2950&lt;&gt;"!!!"),"NEW","")))</f>
        <v> </v>
      </c>
      <c r="G2950" s="24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5" t="str">
        <f>IF(J2950&lt;&gt;1,"",IF(I2950="SBJ","CB","?"))</f>
        <v> </v>
      </c>
      <c r="I2950" s="26" t="str">
        <f>IF(OR(E2950="",E2950="!!!",F2950="NEW"),"",INDEX(B2949:B$2,-1+SUMPRODUCT(MAX(ROW(E2949:E$2)*(E2950=E2949:E$2)))))</f>
        <v> </v>
      </c>
      <c r="J2950" s="26" t="str">
        <f>IF(OR(E2950="",E2950="!!!",F2950="NEW"),"",COUNTBLANK(OFFSET(A$1,,,SUMPRODUCT(MAX(ROW(E$2:E2950)*(E2950=E$2:E2950)))))-COUNTBLANK(OFFSET(A$1,,,SUMPRODUCT(MAX(ROW(E$1:E2949)*(E2=E$1:E2949))))))</f>
        <v> </v>
      </c>
      <c r="K2950" s="26" t="str">
        <f>IF(OR(E2950="",E2950="!!!",F2950="NEW"),"",INDEX(J$1:J2949,SUMPRODUCT(MAX(ROW(E$1:E2949)*(E2950=E$1:E2949)))))</f>
        <v> </v>
      </c>
      <c r="L2950" s="27"/>
    </row>
    <row r="2951" spans="1:12">
      <c r="A2951" s="20" t="s">
        <v>1611</v>
      </c>
      <c r="E2951" s="22">
        <f>IF(D2951="?OLD","!!!","")</f>
        <v/>
      </c>
      <c r="F2951" s="23" t="str">
        <f>IF(OR(E2951="",E2951="!!!"),"",IF(NOT(ISNA(VLOOKUP(E2951,E$1:E2950,1,FALSE()))),"OLD",IF(AND(E2951&lt;&gt;"",E2951&lt;&gt;"!!!"),"NEW","")))</f>
        <v> </v>
      </c>
      <c r="G2951" s="24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5" t="str">
        <f>IF(J2951&lt;&gt;1,"",IF(I2951="SBJ","CB","?"))</f>
        <v> </v>
      </c>
      <c r="I2951" s="26" t="str">
        <f>IF(OR(E2951="",E2951="!!!",F2951="NEW"),"",INDEX(B2950:B$2,-1+SUMPRODUCT(MAX(ROW(E2950:E$2)*(E2951=E2950:E$2)))))</f>
        <v> </v>
      </c>
      <c r="J2951" s="26" t="str">
        <f>IF(OR(E2951="",E2951="!!!",F2951="NEW"),"",COUNTBLANK(OFFSET(A$1,,,SUMPRODUCT(MAX(ROW(E$2:E2951)*(E2951=E$2:E2951)))))-COUNTBLANK(OFFSET(A$1,,,SUMPRODUCT(MAX(ROW(E$1:E2950)*(E2=E$1:E2950))))))</f>
        <v> </v>
      </c>
      <c r="K2951" s="26" t="str">
        <f>IF(OR(E2951="",E2951="!!!",F2951="NEW"),"",INDEX(J$1:J2950,SUMPRODUCT(MAX(ROW(E$1:E2950)*(E2951=E$1:E2950)))))</f>
        <v> </v>
      </c>
      <c r="L2951" s="27"/>
    </row>
    <row r="2952" spans="1:12">
      <c r="A2952" s="20" t="s">
        <v>721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818</v>
      </c>
      <c r="B2953" s="21" t="s">
        <v>826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721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1895</v>
      </c>
      <c r="B2955" s="21" t="s">
        <v>1442</v>
      </c>
      <c r="C2955" s="21" t="s">
        <v>719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 t="s">
        <v>1934</v>
      </c>
      <c r="E2956" s="22">
        <f>IF(D2956="?OLD","!!!","")</f>
        <v/>
      </c>
      <c r="F2956" s="23" t="str">
        <f>IF(OR(E2956="",E2956="!!!"),"",IF(NOT(ISNA(VLOOKUP(E2956,E$1:E2955,1,FALSE()))),"OLD",IF(AND(E2956&lt;&gt;"",E2956&lt;&gt;"!!!"),"NEW","")))</f>
        <v> </v>
      </c>
      <c r="G2956" s="24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5" t="str">
        <f>IF(J2956&lt;&gt;1,"",IF(I2956="SBJ","CB","?"))</f>
        <v> </v>
      </c>
      <c r="I2956" s="26" t="str">
        <f>IF(OR(E2956="",E2956="!!!",F2956="NEW"),"",INDEX(B2955:B$2,-1+SUMPRODUCT(MAX(ROW(E2955:E$2)*(E2956=E2955:E$2)))))</f>
        <v> </v>
      </c>
      <c r="J2956" s="26" t="str">
        <f>IF(OR(E2956="",E2956="!!!",F2956="NEW"),"",COUNTBLANK(OFFSET(A$1,,,SUMPRODUCT(MAX(ROW(E$2:E2956)*(E2956=E$2:E2956)))))-COUNTBLANK(OFFSET(A$1,,,SUMPRODUCT(MAX(ROW(E$1:E2955)*(E2=E$1:E2955))))))</f>
        <v> </v>
      </c>
      <c r="K2956" s="26" t="str">
        <f>IF(OR(E2956="",E2956="!!!",F2956="NEW"),"",INDEX(J$1:J2955,SUMPRODUCT(MAX(ROW(E$1:E2955)*(E2956=E$1:E2955)))))</f>
        <v> </v>
      </c>
      <c r="L2956" s="27"/>
    </row>
    <row r="2957" spans="1:12">
      <c r="A2957" s="20" t="s">
        <v>721</v>
      </c>
      <c r="E2957" s="22">
        <f>IF(D2957="?OLD","!!!","")</f>
        <v/>
      </c>
      <c r="F2957" s="23" t="str">
        <f>IF(OR(E2957="",E2957="!!!"),"",IF(NOT(ISNA(VLOOKUP(E2957,E$1:E2956,1,FALSE()))),"OLD",IF(AND(E2957&lt;&gt;"",E2957&lt;&gt;"!!!"),"NEW","")))</f>
        <v> </v>
      </c>
      <c r="G2957" s="24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5" t="str">
        <f>IF(J2957&lt;&gt;1,"",IF(I2957="SBJ","CB","?"))</f>
        <v> </v>
      </c>
      <c r="I2957" s="26" t="str">
        <f>IF(OR(E2957="",E2957="!!!",F2957="NEW"),"",INDEX(B2956:B$2,-1+SUMPRODUCT(MAX(ROW(E2956:E$2)*(E2957=E2956:E$2)))))</f>
        <v> </v>
      </c>
      <c r="J2957" s="26" t="str">
        <f>IF(OR(E2957="",E2957="!!!",F2957="NEW"),"",COUNTBLANK(OFFSET(A$1,,,SUMPRODUCT(MAX(ROW(E$2:E2957)*(E2957=E$2:E2957)))))-COUNTBLANK(OFFSET(A$1,,,SUMPRODUCT(MAX(ROW(E$1:E2956)*(E2=E$1:E2956))))))</f>
        <v> </v>
      </c>
      <c r="K2957" s="26" t="str">
        <f>IF(OR(E2957="",E2957="!!!",F2957="NEW"),"",INDEX(J$1:J2956,SUMPRODUCT(MAX(ROW(E$1:E2956)*(E2957=E$1:E2956)))))</f>
        <v> </v>
      </c>
      <c r="L2957" s="27"/>
    </row>
    <row r="2958" spans="1:12">
      <c r="A2958" s="20" t="s">
        <v>980</v>
      </c>
      <c r="E2958" s="22">
        <f>IF(D2958="?OLD","!!!","")</f>
        <v/>
      </c>
      <c r="F2958" s="23" t="str">
        <f>IF(OR(E2958="",E2958="!!!"),"",IF(NOT(ISNA(VLOOKUP(E2958,E$1:E2957,1,FALSE()))),"OLD",IF(AND(E2958&lt;&gt;"",E2958&lt;&gt;"!!!"),"NEW","")))</f>
        <v> </v>
      </c>
      <c r="G2958" s="24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5" t="str">
        <f>IF(J2958&lt;&gt;1,"",IF(I2958="SBJ","CB","?"))</f>
        <v> </v>
      </c>
      <c r="I2958" s="26" t="str">
        <f>IF(OR(E2958="",E2958="!!!",F2958="NEW"),"",INDEX(B2957:B$2,-1+SUMPRODUCT(MAX(ROW(E2957:E$2)*(E2958=E2957:E$2)))))</f>
        <v> </v>
      </c>
      <c r="J2958" s="26" t="str">
        <f>IF(OR(E2958="",E2958="!!!",F2958="NEW"),"",COUNTBLANK(OFFSET(A$1,,,SUMPRODUCT(MAX(ROW(E$2:E2958)*(E2958=E$2:E2958)))))-COUNTBLANK(OFFSET(A$1,,,SUMPRODUCT(MAX(ROW(E$1:E2957)*(E2=E$1:E2957))))))</f>
        <v> </v>
      </c>
      <c r="K2958" s="26" t="str">
        <f>IF(OR(E2958="",E2958="!!!",F2958="NEW"),"",INDEX(J$1:J2957,SUMPRODUCT(MAX(ROW(E$1:E2957)*(E2958=E$1:E2957)))))</f>
        <v> </v>
      </c>
      <c r="L2958" s="27"/>
    </row>
    <row r="2959" spans="1:12">
      <c r="A2959" s="20" t="s">
        <v>871</v>
      </c>
      <c r="E2959" s="22">
        <f>IF(D2959="?OLD","!!!","")</f>
        <v/>
      </c>
      <c r="F2959" s="23" t="str">
        <f>IF(OR(E2959="",E2959="!!!"),"",IF(NOT(ISNA(VLOOKUP(E2959,E$1:E2958,1,FALSE()))),"OLD",IF(AND(E2959&lt;&gt;"",E2959&lt;&gt;"!!!"),"NEW","")))</f>
        <v> </v>
      </c>
      <c r="G2959" s="24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5" t="str">
        <f>IF(J2959&lt;&gt;1,"",IF(I2959="SBJ","CB","?"))</f>
        <v> </v>
      </c>
      <c r="I2959" s="26" t="str">
        <f>IF(OR(E2959="",E2959="!!!",F2959="NEW"),"",INDEX(B2958:B$2,-1+SUMPRODUCT(MAX(ROW(E2958:E$2)*(E2959=E2958:E$2)))))</f>
        <v> </v>
      </c>
      <c r="J2959" s="26" t="str">
        <f>IF(OR(E2959="",E2959="!!!",F2959="NEW"),"",COUNTBLANK(OFFSET(A$1,,,SUMPRODUCT(MAX(ROW(E$2:E2959)*(E2959=E$2:E2959)))))-COUNTBLANK(OFFSET(A$1,,,SUMPRODUCT(MAX(ROW(E$1:E2958)*(E2=E$1:E2958))))))</f>
        <v> </v>
      </c>
      <c r="K2959" s="26" t="str">
        <f>IF(OR(E2959="",E2959="!!!",F2959="NEW"),"",INDEX(J$1:J2958,SUMPRODUCT(MAX(ROW(E$1:E2958)*(E2959=E$1:E2958)))))</f>
        <v> </v>
      </c>
      <c r="L2959" s="27"/>
    </row>
    <row r="2960" spans="1:12">
      <c r="A2960" s="20" t="s">
        <v>1935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721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818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721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 t="s">
        <v>1895</v>
      </c>
      <c r="B2964" s="21" t="s">
        <v>1114</v>
      </c>
      <c r="C2964" s="21" t="s">
        <v>719</v>
      </c>
      <c r="E2964" s="22">
        <f>IF(D2964="?OLD","!!!","")</f>
        <v/>
      </c>
      <c r="F2964" s="23" t="str">
        <f>IF(OR(E2964="",E2964="!!!"),"",IF(NOT(ISNA(VLOOKUP(E2964,E$1:E2963,1,FALSE()))),"OLD",IF(AND(E2964&lt;&gt;"",E2964&lt;&gt;"!!!"),"NEW","")))</f>
        <v> </v>
      </c>
      <c r="G2964" s="24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5" t="str">
        <f>IF(J2964&lt;&gt;1,"",IF(I2964="SBJ","CB","?"))</f>
        <v> </v>
      </c>
      <c r="I2964" s="26" t="str">
        <f>IF(OR(E2964="",E2964="!!!",F2964="NEW"),"",INDEX(B2963:B$2,-1+SUMPRODUCT(MAX(ROW(E2963:E$2)*(E2964=E2963:E$2)))))</f>
        <v> </v>
      </c>
      <c r="J2964" s="26" t="str">
        <f>IF(OR(E2964="",E2964="!!!",F2964="NEW"),"",COUNTBLANK(OFFSET(A$1,,,SUMPRODUCT(MAX(ROW(E$2:E2964)*(E2964=E$2:E2964)))))-COUNTBLANK(OFFSET(A$1,,,SUMPRODUCT(MAX(ROW(E$1:E2963)*(E2=E$1:E2963))))))</f>
        <v> </v>
      </c>
      <c r="K2964" s="26" t="str">
        <f>IF(OR(E2964="",E2964="!!!",F2964="NEW"),"",INDEX(J$1:J2963,SUMPRODUCT(MAX(ROW(E$1:E2963)*(E2964=E$1:E2963)))))</f>
        <v> </v>
      </c>
      <c r="L2964" s="27"/>
    </row>
    <row r="2965" spans="1:12">
      <c r="A2965" s="20" t="s">
        <v>1936</v>
      </c>
      <c r="E2965" s="22">
        <f>IF(D2965="?OLD","!!!","")</f>
        <v/>
      </c>
      <c r="F2965" s="23" t="str">
        <f>IF(OR(E2965="",E2965="!!!"),"",IF(NOT(ISNA(VLOOKUP(E2965,E$1:E2964,1,FALSE()))),"OLD",IF(AND(E2965&lt;&gt;"",E2965&lt;&gt;"!!!"),"NEW","")))</f>
        <v> </v>
      </c>
      <c r="G2965" s="24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5" t="str">
        <f>IF(J2965&lt;&gt;1,"",IF(I2965="SBJ","CB","?"))</f>
        <v> </v>
      </c>
      <c r="I2965" s="26" t="str">
        <f>IF(OR(E2965="",E2965="!!!",F2965="NEW"),"",INDEX(B2964:B$2,-1+SUMPRODUCT(MAX(ROW(E2964:E$2)*(E2965=E2964:E$2)))))</f>
        <v> </v>
      </c>
      <c r="J2965" s="26" t="str">
        <f>IF(OR(E2965="",E2965="!!!",F2965="NEW"),"",COUNTBLANK(OFFSET(A$1,,,SUMPRODUCT(MAX(ROW(E$2:E2965)*(E2965=E$2:E2965)))))-COUNTBLANK(OFFSET(A$1,,,SUMPRODUCT(MAX(ROW(E$1:E2964)*(E2=E$1:E2964))))))</f>
        <v> </v>
      </c>
      <c r="K2965" s="26" t="str">
        <f>IF(OR(E2965="",E2965="!!!",F2965="NEW"),"",INDEX(J$1:J2964,SUMPRODUCT(MAX(ROW(E$1:E2964)*(E2965=E$1:E2964)))))</f>
        <v> </v>
      </c>
      <c r="L2965" s="27"/>
    </row>
    <row r="2966" spans="1:12">
      <c r="A2966" s="20" t="s">
        <v>1553</v>
      </c>
      <c r="E2966" s="22">
        <f>IF(D2966="?OLD","!!!","")</f>
        <v/>
      </c>
      <c r="F2966" s="23" t="str">
        <f>IF(OR(E2966="",E2966="!!!"),"",IF(NOT(ISNA(VLOOKUP(E2966,E$1:E2965,1,FALSE()))),"OLD",IF(AND(E2966&lt;&gt;"",E2966&lt;&gt;"!!!"),"NEW","")))</f>
        <v> </v>
      </c>
      <c r="G2966" s="24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5" t="str">
        <f>IF(J2966&lt;&gt;1,"",IF(I2966="SBJ","CB","?"))</f>
        <v> </v>
      </c>
      <c r="I2966" s="26" t="str">
        <f>IF(OR(E2966="",E2966="!!!",F2966="NEW"),"",INDEX(B2965:B$2,-1+SUMPRODUCT(MAX(ROW(E2965:E$2)*(E2966=E2965:E$2)))))</f>
        <v> </v>
      </c>
      <c r="J2966" s="26" t="str">
        <f>IF(OR(E2966="",E2966="!!!",F2966="NEW"),"",COUNTBLANK(OFFSET(A$1,,,SUMPRODUCT(MAX(ROW(E$2:E2966)*(E2966=E$2:E2966)))))-COUNTBLANK(OFFSET(A$1,,,SUMPRODUCT(MAX(ROW(E$1:E2965)*(E2=E$1:E2965))))))</f>
        <v> </v>
      </c>
      <c r="K2966" s="26" t="str">
        <f>IF(OR(E2966="",E2966="!!!",F2966="NEW"),"",INDEX(J$1:J2965,SUMPRODUCT(MAX(ROW(E$1:E2965)*(E2966=E$1:E2965)))))</f>
        <v> </v>
      </c>
      <c r="L2966" s="27"/>
    </row>
    <row r="2967" spans="1:12">
      <c r="A2967" s="20" t="s">
        <v>721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980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 t="s">
        <v>871</v>
      </c>
      <c r="E2969" s="22">
        <f>IF(D2969="?OLD","!!!","")</f>
        <v/>
      </c>
      <c r="F2969" s="23" t="str">
        <f>IF(OR(E2969="",E2969="!!!"),"",IF(NOT(ISNA(VLOOKUP(E2969,E$1:E2968,1,FALSE()))),"OLD",IF(AND(E2969&lt;&gt;"",E2969&lt;&gt;"!!!"),"NEW","")))</f>
        <v> </v>
      </c>
      <c r="G2969" s="24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5" t="str">
        <f>IF(J2969&lt;&gt;1,"",IF(I2969="SBJ","CB","?"))</f>
        <v> </v>
      </c>
      <c r="I2969" s="26" t="str">
        <f>IF(OR(E2969="",E2969="!!!",F2969="NEW"),"",INDEX(B2968:B$2,-1+SUMPRODUCT(MAX(ROW(E2968:E$2)*(E2969=E2968:E$2)))))</f>
        <v> </v>
      </c>
      <c r="J2969" s="26" t="str">
        <f>IF(OR(E2969="",E2969="!!!",F2969="NEW"),"",COUNTBLANK(OFFSET(A$1,,,SUMPRODUCT(MAX(ROW(E$2:E2969)*(E2969=E$2:E2969)))))-COUNTBLANK(OFFSET(A$1,,,SUMPRODUCT(MAX(ROW(E$1:E2968)*(E2=E$1:E2968))))))</f>
        <v> </v>
      </c>
      <c r="K2969" s="26" t="str">
        <f>IF(OR(E2969="",E2969="!!!",F2969="NEW"),"",INDEX(J$1:J2968,SUMPRODUCT(MAX(ROW(E$1:E2968)*(E2969=E$1:E2968)))))</f>
        <v> </v>
      </c>
      <c r="L2969" s="27"/>
    </row>
    <row r="2970" spans="1:12">
      <c r="A2970" s="20" t="s">
        <v>1554</v>
      </c>
      <c r="E2970" s="22">
        <f>IF(D2970="?OLD","!!!","")</f>
        <v/>
      </c>
      <c r="F2970" s="23" t="str">
        <f>IF(OR(E2970="",E2970="!!!"),"",IF(NOT(ISNA(VLOOKUP(E2970,E$1:E2969,1,FALSE()))),"OLD",IF(AND(E2970&lt;&gt;"",E2970&lt;&gt;"!!!"),"NEW","")))</f>
        <v> </v>
      </c>
      <c r="G2970" s="24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5" t="str">
        <f>IF(J2970&lt;&gt;1,"",IF(I2970="SBJ","CB","?"))</f>
        <v> </v>
      </c>
      <c r="I2970" s="26" t="str">
        <f>IF(OR(E2970="",E2970="!!!",F2970="NEW"),"",INDEX(B2969:B$2,-1+SUMPRODUCT(MAX(ROW(E2969:E$2)*(E2970=E2969:E$2)))))</f>
        <v> </v>
      </c>
      <c r="J2970" s="26" t="str">
        <f>IF(OR(E2970="",E2970="!!!",F2970="NEW"),"",COUNTBLANK(OFFSET(A$1,,,SUMPRODUCT(MAX(ROW(E$2:E2970)*(E2970=E$2:E2970)))))-COUNTBLANK(OFFSET(A$1,,,SUMPRODUCT(MAX(ROW(E$1:E2969)*(E2=E$1:E2969))))))</f>
        <v> </v>
      </c>
      <c r="K2970" s="26" t="str">
        <f>IF(OR(E2970="",E2970="!!!",F2970="NEW"),"",INDEX(J$1:J2969,SUMPRODUCT(MAX(ROW(E$1:E2969)*(E2970=E$1:E2969)))))</f>
        <v> </v>
      </c>
      <c r="L2970" s="27"/>
    </row>
    <row r="2971" spans="1:12">
      <c r="A2971" s="20" t="s">
        <v>721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1834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721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1895</v>
      </c>
      <c r="B2974" s="21" t="s">
        <v>1483</v>
      </c>
      <c r="C2974" s="21" t="s">
        <v>719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871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736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1937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721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880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808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1938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1391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1939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721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 t="s">
        <v>980</v>
      </c>
      <c r="E2985" s="22">
        <f>IF(D2985="?OLD","!!!","")</f>
        <v/>
      </c>
      <c r="F2985" s="23" t="str">
        <f>IF(OR(E2985="",E2985="!!!"),"",IF(NOT(ISNA(VLOOKUP(E2985,E$1:E2984,1,FALSE()))),"OLD",IF(AND(E2985&lt;&gt;"",E2985&lt;&gt;"!!!"),"NEW","")))</f>
        <v> </v>
      </c>
      <c r="G2985" s="24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5" t="str">
        <f>IF(J2985&lt;&gt;1,"",IF(I2985="SBJ","CB","?"))</f>
        <v> </v>
      </c>
      <c r="I2985" s="26" t="str">
        <f>IF(OR(E2985="",E2985="!!!",F2985="NEW"),"",INDEX(B2984:B$2,-1+SUMPRODUCT(MAX(ROW(E2984:E$2)*(E2985=E2984:E$2)))))</f>
        <v> </v>
      </c>
      <c r="J2985" s="26" t="str">
        <f>IF(OR(E2985="",E2985="!!!",F2985="NEW"),"",COUNTBLANK(OFFSET(A$1,,,SUMPRODUCT(MAX(ROW(E$2:E2985)*(E2985=E$2:E2985)))))-COUNTBLANK(OFFSET(A$1,,,SUMPRODUCT(MAX(ROW(E$1:E2984)*(E2=E$1:E2984))))))</f>
        <v> </v>
      </c>
      <c r="K2985" s="26" t="str">
        <f>IF(OR(E2985="",E2985="!!!",F2985="NEW"),"",INDEX(J$1:J2984,SUMPRODUCT(MAX(ROW(E$1:E2984)*(E2985=E$1:E2984)))))</f>
        <v> </v>
      </c>
      <c r="L2985" s="27"/>
    </row>
    <row r="2986" spans="1:12">
      <c r="A2986" s="20" t="s">
        <v>1940</v>
      </c>
      <c r="E2986" s="22">
        <f>IF(D2986="?OLD","!!!","")</f>
        <v/>
      </c>
      <c r="F2986" s="23" t="str">
        <f>IF(OR(E2986="",E2986="!!!"),"",IF(NOT(ISNA(VLOOKUP(E2986,E$1:E2985,1,FALSE()))),"OLD",IF(AND(E2986&lt;&gt;"",E2986&lt;&gt;"!!!"),"NEW","")))</f>
        <v> </v>
      </c>
      <c r="G2986" s="24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5" t="str">
        <f>IF(J2986&lt;&gt;1,"",IF(I2986="SBJ","CB","?"))</f>
        <v> </v>
      </c>
      <c r="I2986" s="26" t="str">
        <f>IF(OR(E2986="",E2986="!!!",F2986="NEW"),"",INDEX(B2985:B$2,-1+SUMPRODUCT(MAX(ROW(E2985:E$2)*(E2986=E2985:E$2)))))</f>
        <v> </v>
      </c>
      <c r="J2986" s="26" t="str">
        <f>IF(OR(E2986="",E2986="!!!",F2986="NEW"),"",COUNTBLANK(OFFSET(A$1,,,SUMPRODUCT(MAX(ROW(E$2:E2986)*(E2986=E$2:E2986)))))-COUNTBLANK(OFFSET(A$1,,,SUMPRODUCT(MAX(ROW(E$1:E2985)*(E2=E$1:E2985))))))</f>
        <v> </v>
      </c>
      <c r="K2986" s="26" t="str">
        <f>IF(OR(E2986="",E2986="!!!",F2986="NEW"),"",INDEX(J$1:J2985,SUMPRODUCT(MAX(ROW(E$1:E2985)*(E2986=E$1:E2985)))))</f>
        <v> </v>
      </c>
      <c r="L2986" s="27"/>
    </row>
    <row r="2987" spans="1:12">
      <c r="A2987" s="20" t="s">
        <v>1941</v>
      </c>
      <c r="E2987" s="22">
        <f>IF(D2987="?OLD","!!!","")</f>
        <v/>
      </c>
      <c r="F2987" s="23" t="str">
        <f>IF(OR(E2987="",E2987="!!!"),"",IF(NOT(ISNA(VLOOKUP(E2987,E$1:E2986,1,FALSE()))),"OLD",IF(AND(E2987&lt;&gt;"",E2987&lt;&gt;"!!!"),"NEW","")))</f>
        <v> </v>
      </c>
      <c r="G2987" s="24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5" t="str">
        <f>IF(J2987&lt;&gt;1,"",IF(I2987="SBJ","CB","?"))</f>
        <v> </v>
      </c>
      <c r="I2987" s="26" t="str">
        <f>IF(OR(E2987="",E2987="!!!",F2987="NEW"),"",INDEX(B2986:B$2,-1+SUMPRODUCT(MAX(ROW(E2986:E$2)*(E2987=E2986:E$2)))))</f>
        <v> </v>
      </c>
      <c r="J2987" s="26" t="str">
        <f>IF(OR(E2987="",E2987="!!!",F2987="NEW"),"",COUNTBLANK(OFFSET(A$1,,,SUMPRODUCT(MAX(ROW(E$2:E2987)*(E2987=E$2:E2987)))))-COUNTBLANK(OFFSET(A$1,,,SUMPRODUCT(MAX(ROW(E$1:E2986)*(E2=E$1:E2986))))))</f>
        <v> </v>
      </c>
      <c r="K2987" s="26" t="str">
        <f>IF(OR(E2987="",E2987="!!!",F2987="NEW"),"",INDEX(J$1:J2986,SUMPRODUCT(MAX(ROW(E$1:E2986)*(E2987=E$1:E2986)))))</f>
        <v> </v>
      </c>
      <c r="L2987" s="27"/>
    </row>
    <row r="2988" spans="1:12">
      <c r="A2988" s="20" t="s">
        <v>1938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755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 t="s">
        <v>1942</v>
      </c>
      <c r="E2990" s="22">
        <f>IF(D2990="?OLD","!!!","")</f>
        <v/>
      </c>
      <c r="F2990" s="23" t="str">
        <f>IF(OR(E2990="",E2990="!!!"),"",IF(NOT(ISNA(VLOOKUP(E2990,E$1:E2989,1,FALSE()))),"OLD",IF(AND(E2990&lt;&gt;"",E2990&lt;&gt;"!!!"),"NEW","")))</f>
        <v> </v>
      </c>
      <c r="G2990" s="24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5" t="str">
        <f>IF(J2990&lt;&gt;1,"",IF(I2990="SBJ","CB","?"))</f>
        <v> </v>
      </c>
      <c r="I2990" s="26" t="str">
        <f>IF(OR(E2990="",E2990="!!!",F2990="NEW"),"",INDEX(B2989:B$2,-1+SUMPRODUCT(MAX(ROW(E2989:E$2)*(E2990=E2989:E$2)))))</f>
        <v> </v>
      </c>
      <c r="J2990" s="26" t="str">
        <f>IF(OR(E2990="",E2990="!!!",F2990="NEW"),"",COUNTBLANK(OFFSET(A$1,,,SUMPRODUCT(MAX(ROW(E$2:E2990)*(E2990=E$2:E2990)))))-COUNTBLANK(OFFSET(A$1,,,SUMPRODUCT(MAX(ROW(E$1:E2989)*(E2=E$1:E2989))))))</f>
        <v> </v>
      </c>
      <c r="K2990" s="26" t="str">
        <f>IF(OR(E2990="",E2990="!!!",F2990="NEW"),"",INDEX(J$1:J2989,SUMPRODUCT(MAX(ROW(E$1:E2989)*(E2990=E$1:E2989)))))</f>
        <v> </v>
      </c>
      <c r="L2990" s="27"/>
    </row>
    <row r="2991" spans="1:12">
      <c r="A2991" s="20" t="s">
        <v>1188</v>
      </c>
      <c r="E2991" s="22">
        <f>IF(D2991="?OLD","!!!","")</f>
        <v/>
      </c>
      <c r="F2991" s="23" t="str">
        <f>IF(OR(E2991="",E2991="!!!"),"",IF(NOT(ISNA(VLOOKUP(E2991,E$1:E2990,1,FALSE()))),"OLD",IF(AND(E2991&lt;&gt;"",E2991&lt;&gt;"!!!"),"NEW","")))</f>
        <v> </v>
      </c>
      <c r="G2991" s="24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5" t="str">
        <f>IF(J2991&lt;&gt;1,"",IF(I2991="SBJ","CB","?"))</f>
        <v> </v>
      </c>
      <c r="I2991" s="26" t="str">
        <f>IF(OR(E2991="",E2991="!!!",F2991="NEW"),"",INDEX(B2990:B$2,-1+SUMPRODUCT(MAX(ROW(E2990:E$2)*(E2991=E2990:E$2)))))</f>
        <v> </v>
      </c>
      <c r="J2991" s="26" t="str">
        <f>IF(OR(E2991="",E2991="!!!",F2991="NEW"),"",COUNTBLANK(OFFSET(A$1,,,SUMPRODUCT(MAX(ROW(E$2:E2991)*(E2991=E$2:E2991)))))-COUNTBLANK(OFFSET(A$1,,,SUMPRODUCT(MAX(ROW(E$1:E2990)*(E2=E$1:E2990))))))</f>
        <v> </v>
      </c>
      <c r="K2991" s="26" t="str">
        <f>IF(OR(E2991="",E2991="!!!",F2991="NEW"),"",INDEX(J$1:J2990,SUMPRODUCT(MAX(ROW(E$1:E2990)*(E2991=E$1:E2990)))))</f>
        <v> </v>
      </c>
      <c r="L2991" s="27"/>
    </row>
    <row r="2992" spans="1:12">
      <c r="A2992" s="20" t="s">
        <v>732</v>
      </c>
      <c r="E2992" s="22">
        <f>IF(D2992="?OLD","!!!","")</f>
        <v/>
      </c>
      <c r="F2992" s="23" t="str">
        <f>IF(OR(E2992="",E2992="!!!"),"",IF(NOT(ISNA(VLOOKUP(E2992,E$1:E2991,1,FALSE()))),"OLD",IF(AND(E2992&lt;&gt;"",E2992&lt;&gt;"!!!"),"NEW","")))</f>
        <v> </v>
      </c>
      <c r="G2992" s="24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5" t="str">
        <f>IF(J2992&lt;&gt;1,"",IF(I2992="SBJ","CB","?"))</f>
        <v> </v>
      </c>
      <c r="I2992" s="26" t="str">
        <f>IF(OR(E2992="",E2992="!!!",F2992="NEW"),"",INDEX(B2991:B$2,-1+SUMPRODUCT(MAX(ROW(E2991:E$2)*(E2992=E2991:E$2)))))</f>
        <v> </v>
      </c>
      <c r="J2992" s="26" t="str">
        <f>IF(OR(E2992="",E2992="!!!",F2992="NEW"),"",COUNTBLANK(OFFSET(A$1,,,SUMPRODUCT(MAX(ROW(E$2:E2992)*(E2992=E$2:E2992)))))-COUNTBLANK(OFFSET(A$1,,,SUMPRODUCT(MAX(ROW(E$1:E2991)*(E2=E$1:E2991))))))</f>
        <v> </v>
      </c>
      <c r="K2992" s="26" t="str">
        <f>IF(OR(E2992="",E2992="!!!",F2992="NEW"),"",INDEX(J$1:J2991,SUMPRODUCT(MAX(ROW(E$1:E2991)*(E2992=E$1:E2991)))))</f>
        <v> </v>
      </c>
      <c r="L2992" s="27"/>
    </row>
    <row r="2993" spans="1:12">
      <c r="A2993" s="20"/>
    </row>
    <row r="2994" spans="1:12">
      <c r="A2994" s="20" t="s">
        <v>1943</v>
      </c>
    </row>
    <row r="2995" spans="1:12">
      <c r="A2995" s="20" t="s">
        <v>934</v>
      </c>
      <c r="E2995" s="22">
        <f>IF(D2995="?OLD","!!!","")</f>
        <v/>
      </c>
      <c r="F2995" s="23" t="str">
        <f>IF(OR(E2995="",E2995="!!!"),"",IF(NOT(ISNA(VLOOKUP(E2995,E$1:E2994,1,FALSE()))),"OLD",IF(AND(E2995&lt;&gt;"",E2995&lt;&gt;"!!!"),"NEW","")))</f>
        <v> </v>
      </c>
      <c r="G2995" s="24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5" t="str">
        <f>IF(J2995&lt;&gt;1,"",IF(I2995="SBJ","CB","?"))</f>
        <v> </v>
      </c>
      <c r="I2995" s="26" t="str">
        <f>IF(OR(E2995="",E2995="!!!",F2995="NEW"),"",INDEX(B2994:B$2,-1+SUMPRODUCT(MAX(ROW(E2994:E$2)*(E2995=E2994:E$2)))))</f>
        <v> </v>
      </c>
      <c r="J2995" s="26" t="str">
        <f>IF(OR(E2995="",E2995="!!!",F2995="NEW"),"",COUNTBLANK(OFFSET(A$1,,,SUMPRODUCT(MAX(ROW(E$2:E2995)*(E2995=E$2:E2995)))))-COUNTBLANK(OFFSET(A$1,,,SUMPRODUCT(MAX(ROW(E$1:E2994)*(E2=E$1:E2994))))))</f>
        <v> </v>
      </c>
      <c r="K2995" s="26" t="str">
        <f>IF(OR(E2995="",E2995="!!!",F2995="NEW"),"",INDEX(J$1:J2994,SUMPRODUCT(MAX(ROW(E$1:E2994)*(E2995=E$1:E2994)))))</f>
        <v> </v>
      </c>
      <c r="L2995" s="27"/>
    </row>
    <row r="2996" spans="1:12">
      <c r="A2996" s="20" t="s">
        <v>1944</v>
      </c>
      <c r="E2996" s="22">
        <f>IF(D2996="?OLD","!!!","")</f>
        <v/>
      </c>
      <c r="F2996" s="23" t="str">
        <f>IF(OR(E2996="",E2996="!!!"),"",IF(NOT(ISNA(VLOOKUP(E2996,E$1:E2995,1,FALSE()))),"OLD",IF(AND(E2996&lt;&gt;"",E2996&lt;&gt;"!!!"),"NEW","")))</f>
        <v> </v>
      </c>
      <c r="G2996" s="24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5" t="str">
        <f>IF(J2996&lt;&gt;1,"",IF(I2996="SBJ","CB","?"))</f>
        <v> </v>
      </c>
      <c r="I2996" s="26" t="str">
        <f>IF(OR(E2996="",E2996="!!!",F2996="NEW"),"",INDEX(B2995:B$2,-1+SUMPRODUCT(MAX(ROW(E2995:E$2)*(E2996=E2995:E$2)))))</f>
        <v> </v>
      </c>
      <c r="J2996" s="26" t="str">
        <f>IF(OR(E2996="",E2996="!!!",F2996="NEW"),"",COUNTBLANK(OFFSET(A$1,,,SUMPRODUCT(MAX(ROW(E$2:E2996)*(E2996=E$2:E2996)))))-COUNTBLANK(OFFSET(A$1,,,SUMPRODUCT(MAX(ROW(E$1:E2995)*(E2=E$1:E2995))))))</f>
        <v> </v>
      </c>
      <c r="K2996" s="26" t="str">
        <f>IF(OR(E2996="",E2996="!!!",F2996="NEW"),"",INDEX(J$1:J2995,SUMPRODUCT(MAX(ROW(E$1:E2995)*(E2996=E$1:E2995)))))</f>
        <v> </v>
      </c>
      <c r="L2996" s="27"/>
    </row>
    <row r="2997" spans="1:12">
      <c r="A2997" s="20" t="s">
        <v>462</v>
      </c>
      <c r="E2997" s="22">
        <f>IF(D2997="?OLD","!!!","")</f>
        <v/>
      </c>
      <c r="F2997" s="23" t="str">
        <f>IF(OR(E2997="",E2997="!!!"),"",IF(NOT(ISNA(VLOOKUP(E2997,E$1:E2996,1,FALSE()))),"OLD",IF(AND(E2997&lt;&gt;"",E2997&lt;&gt;"!!!"),"NEW","")))</f>
        <v> </v>
      </c>
      <c r="G2997" s="24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5" t="str">
        <f>IF(J2997&lt;&gt;1,"",IF(I2997="SBJ","CB","?"))</f>
        <v> </v>
      </c>
      <c r="I2997" s="26" t="str">
        <f>IF(OR(E2997="",E2997="!!!",F2997="NEW"),"",INDEX(B2996:B$2,-1+SUMPRODUCT(MAX(ROW(E2996:E$2)*(E2997=E2996:E$2)))))</f>
        <v> </v>
      </c>
      <c r="J2997" s="26" t="str">
        <f>IF(OR(E2997="",E2997="!!!",F2997="NEW"),"",COUNTBLANK(OFFSET(A$1,,,SUMPRODUCT(MAX(ROW(E$2:E2997)*(E2997=E$2:E2997)))))-COUNTBLANK(OFFSET(A$1,,,SUMPRODUCT(MAX(ROW(E$1:E2996)*(E2=E$1:E2996))))))</f>
        <v> </v>
      </c>
      <c r="K2997" s="26" t="str">
        <f>IF(OR(E2997="",E2997="!!!",F2997="NEW"),"",INDEX(J$1:J2996,SUMPRODUCT(MAX(ROW(E$1:E2996)*(E2997=E$1:E2996)))))</f>
        <v> </v>
      </c>
      <c r="L2997" s="27"/>
    </row>
    <row r="2998" spans="1:12">
      <c r="A2998" s="20" t="s">
        <v>769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 t="s">
        <v>1945</v>
      </c>
      <c r="E2999" s="22">
        <f>IF(D2999="?OLD","!!!","")</f>
        <v/>
      </c>
      <c r="F2999" s="23" t="str">
        <f>IF(OR(E2999="",E2999="!!!"),"",IF(NOT(ISNA(VLOOKUP(E2999,E$1:E2998,1,FALSE()))),"OLD",IF(AND(E2999&lt;&gt;"",E2999&lt;&gt;"!!!"),"NEW","")))</f>
        <v> </v>
      </c>
      <c r="G2999" s="24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5" t="str">
        <f>IF(J2999&lt;&gt;1,"",IF(I2999="SBJ","CB","?"))</f>
        <v> </v>
      </c>
      <c r="I2999" s="26" t="str">
        <f>IF(OR(E2999="",E2999="!!!",F2999="NEW"),"",INDEX(B2998:B$2,-1+SUMPRODUCT(MAX(ROW(E2998:E$2)*(E2999=E2998:E$2)))))</f>
        <v> </v>
      </c>
      <c r="J2999" s="26" t="str">
        <f>IF(OR(E2999="",E2999="!!!",F2999="NEW"),"",COUNTBLANK(OFFSET(A$1,,,SUMPRODUCT(MAX(ROW(E$2:E2999)*(E2999=E$2:E2999)))))-COUNTBLANK(OFFSET(A$1,,,SUMPRODUCT(MAX(ROW(E$1:E2998)*(E2=E$1:E2998))))))</f>
        <v> </v>
      </c>
      <c r="K2999" s="26" t="str">
        <f>IF(OR(E2999="",E2999="!!!",F2999="NEW"),"",INDEX(J$1:J2998,SUMPRODUCT(MAX(ROW(E$1:E2998)*(E2999=E$1:E2998)))))</f>
        <v> </v>
      </c>
      <c r="L2999" s="27"/>
    </row>
    <row r="3000" spans="1:12">
      <c r="A3000" s="20" t="s">
        <v>721</v>
      </c>
      <c r="E3000" s="22">
        <f>IF(D3000="?OLD","!!!","")</f>
        <v/>
      </c>
      <c r="F3000" s="23" t="str">
        <f>IF(OR(E3000="",E3000="!!!"),"",IF(NOT(ISNA(VLOOKUP(E3000,E$1:E2999,1,FALSE()))),"OLD",IF(AND(E3000&lt;&gt;"",E3000&lt;&gt;"!!!"),"NEW","")))</f>
        <v> </v>
      </c>
      <c r="G3000" s="24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5" t="str">
        <f>IF(J3000&lt;&gt;1,"",IF(I3000="SBJ","CB","?"))</f>
        <v> </v>
      </c>
      <c r="I3000" s="26" t="str">
        <f>IF(OR(E3000="",E3000="!!!",F3000="NEW"),"",INDEX(B2999:B$2,-1+SUMPRODUCT(MAX(ROW(E2999:E$2)*(E3000=E2999:E$2)))))</f>
        <v> </v>
      </c>
      <c r="J3000" s="26" t="str">
        <f>IF(OR(E3000="",E3000="!!!",F3000="NEW"),"",COUNTBLANK(OFFSET(A$1,,,SUMPRODUCT(MAX(ROW(E$2:E3000)*(E3000=E$2:E3000)))))-COUNTBLANK(OFFSET(A$1,,,SUMPRODUCT(MAX(ROW(E$1:E2999)*(E2=E$1:E2999))))))</f>
        <v> </v>
      </c>
      <c r="K3000" s="26" t="str">
        <f>IF(OR(E3000="",E3000="!!!",F3000="NEW"),"",INDEX(J$1:J2999,SUMPRODUCT(MAX(ROW(E$1:E2999)*(E3000=E$1:E2999)))))</f>
        <v> </v>
      </c>
      <c r="L3000" s="27"/>
    </row>
    <row r="3001" spans="1:12">
      <c r="A3001" s="20" t="s">
        <v>905</v>
      </c>
      <c r="B3001" s="21" t="s">
        <v>726</v>
      </c>
      <c r="C3001" s="21" t="s">
        <v>727</v>
      </c>
      <c r="D3001" s="21" t="s">
        <v>728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1946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834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1947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 t="s">
        <v>721</v>
      </c>
      <c r="E3005" s="22">
        <f>IF(D3005="?OLD","!!!","")</f>
        <v/>
      </c>
      <c r="F3005" s="23" t="str">
        <f>IF(OR(E3005="",E3005="!!!"),"",IF(NOT(ISNA(VLOOKUP(E3005,E$1:E3004,1,FALSE()))),"OLD",IF(AND(E3005&lt;&gt;"",E3005&lt;&gt;"!!!"),"NEW","")))</f>
        <v> </v>
      </c>
      <c r="G3005" s="24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5" t="str">
        <f>IF(J3005&lt;&gt;1,"",IF(I3005="SBJ","CB","?"))</f>
        <v> </v>
      </c>
      <c r="I3005" s="26" t="str">
        <f>IF(OR(E3005="",E3005="!!!",F3005="NEW"),"",INDEX(B3004:B$2,-1+SUMPRODUCT(MAX(ROW(E3004:E$2)*(E3005=E3004:E$2)))))</f>
        <v> </v>
      </c>
      <c r="J3005" s="26" t="str">
        <f>IF(OR(E3005="",E3005="!!!",F3005="NEW"),"",COUNTBLANK(OFFSET(A$1,,,SUMPRODUCT(MAX(ROW(E$2:E3005)*(E3005=E$2:E3005)))))-COUNTBLANK(OFFSET(A$1,,,SUMPRODUCT(MAX(ROW(E$1:E3004)*(E2=E$1:E3004))))))</f>
        <v> </v>
      </c>
      <c r="K3005" s="26" t="str">
        <f>IF(OR(E3005="",E3005="!!!",F3005="NEW"),"",INDEX(J$1:J3004,SUMPRODUCT(MAX(ROW(E$1:E3004)*(E3005=E$1:E3004)))))</f>
        <v> </v>
      </c>
      <c r="L3005" s="27"/>
    </row>
    <row r="3006" spans="1:12">
      <c r="A3006" s="20" t="s">
        <v>1003</v>
      </c>
      <c r="E3006" s="22">
        <f>IF(D3006="?OLD","!!!","")</f>
        <v/>
      </c>
      <c r="F3006" s="23" t="str">
        <f>IF(OR(E3006="",E3006="!!!"),"",IF(NOT(ISNA(VLOOKUP(E3006,E$1:E3005,1,FALSE()))),"OLD",IF(AND(E3006&lt;&gt;"",E3006&lt;&gt;"!!!"),"NEW","")))</f>
        <v> </v>
      </c>
      <c r="G3006" s="24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5" t="str">
        <f>IF(J3006&lt;&gt;1,"",IF(I3006="SBJ","CB","?"))</f>
        <v> </v>
      </c>
      <c r="I3006" s="26" t="str">
        <f>IF(OR(E3006="",E3006="!!!",F3006="NEW"),"",INDEX(B3005:B$2,-1+SUMPRODUCT(MAX(ROW(E3005:E$2)*(E3006=E3005:E$2)))))</f>
        <v> </v>
      </c>
      <c r="J3006" s="26" t="str">
        <f>IF(OR(E3006="",E3006="!!!",F3006="NEW"),"",COUNTBLANK(OFFSET(A$1,,,SUMPRODUCT(MAX(ROW(E$2:E3006)*(E3006=E$2:E3006)))))-COUNTBLANK(OFFSET(A$1,,,SUMPRODUCT(MAX(ROW(E$1:E3005)*(E2=E$1:E3005))))))</f>
        <v> </v>
      </c>
      <c r="K3006" s="26" t="str">
        <f>IF(OR(E3006="",E3006="!!!",F3006="NEW"),"",INDEX(J$1:J3005,SUMPRODUCT(MAX(ROW(E$1:E3005)*(E3006=E$1:E3005)))))</f>
        <v> </v>
      </c>
      <c r="L3006" s="27"/>
    </row>
    <row r="3007" spans="1:12">
      <c r="A3007" s="20" t="s">
        <v>725</v>
      </c>
      <c r="B3007" s="21" t="s">
        <v>767</v>
      </c>
      <c r="C3007" s="21" t="s">
        <v>727</v>
      </c>
      <c r="D3007" s="21" t="s">
        <v>728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1809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1733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732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/>
    </row>
    <row r="3012" spans="1:12">
      <c r="A3012" s="20" t="s">
        <v>1948</v>
      </c>
    </row>
    <row r="3013" spans="1:12">
      <c r="A3013" s="20" t="s">
        <v>934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1096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779</v>
      </c>
      <c r="B3015" s="21" t="s">
        <v>767</v>
      </c>
      <c r="C3015" s="21" t="s">
        <v>719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721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988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1403</v>
      </c>
      <c r="B3018" s="21" t="s">
        <v>718</v>
      </c>
      <c r="C3018" s="21" t="s">
        <v>727</v>
      </c>
      <c r="D3018" s="21" t="s">
        <v>728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698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793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1237</v>
      </c>
      <c r="B3021" s="21" t="s">
        <v>718</v>
      </c>
      <c r="C3021" s="21" t="s">
        <v>747</v>
      </c>
      <c r="D3021" s="21" t="s">
        <v>728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1949</v>
      </c>
      <c r="B3022" s="21" t="s">
        <v>726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721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 t="s">
        <v>218</v>
      </c>
      <c r="E3024" s="22">
        <f>IF(D3024="?OLD","!!!","")</f>
        <v/>
      </c>
      <c r="F3024" s="23" t="str">
        <f>IF(OR(E3024="",E3024="!!!"),"",IF(NOT(ISNA(VLOOKUP(E3024,E$1:E3023,1,FALSE()))),"OLD",IF(AND(E3024&lt;&gt;"",E3024&lt;&gt;"!!!"),"NEW","")))</f>
        <v> </v>
      </c>
      <c r="G3024" s="24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5" t="str">
        <f>IF(J3024&lt;&gt;1,"",IF(I3024="SBJ","CB","?"))</f>
        <v> </v>
      </c>
      <c r="I3024" s="26" t="str">
        <f>IF(OR(E3024="",E3024="!!!",F3024="NEW"),"",INDEX(B3023:B$2,-1+SUMPRODUCT(MAX(ROW(E3023:E$2)*(E3024=E3023:E$2)))))</f>
        <v> </v>
      </c>
      <c r="J3024" s="26" t="str">
        <f>IF(OR(E3024="",E3024="!!!",F3024="NEW"),"",COUNTBLANK(OFFSET(A$1,,,SUMPRODUCT(MAX(ROW(E$2:E3024)*(E3024=E$2:E3024)))))-COUNTBLANK(OFFSET(A$1,,,SUMPRODUCT(MAX(ROW(E$1:E3023)*(E2=E$1:E3023))))))</f>
        <v> </v>
      </c>
      <c r="K3024" s="26" t="str">
        <f>IF(OR(E3024="",E3024="!!!",F3024="NEW"),"",INDEX(J$1:J3023,SUMPRODUCT(MAX(ROW(E$1:E3023)*(E3024=E$1:E3023)))))</f>
        <v> </v>
      </c>
      <c r="L3024" s="27"/>
    </row>
    <row r="3025" spans="1:12">
      <c r="A3025" s="20" t="s">
        <v>779</v>
      </c>
      <c r="E3025" s="22">
        <f>IF(D3025="?OLD","!!!","")</f>
        <v/>
      </c>
      <c r="F3025" s="23" t="str">
        <f>IF(OR(E3025="",E3025="!!!"),"",IF(NOT(ISNA(VLOOKUP(E3025,E$1:E3024,1,FALSE()))),"OLD",IF(AND(E3025&lt;&gt;"",E3025&lt;&gt;"!!!"),"NEW","")))</f>
        <v> </v>
      </c>
      <c r="G3025" s="24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5" t="str">
        <f>IF(J3025&lt;&gt;1,"",IF(I3025="SBJ","CB","?"))</f>
        <v> </v>
      </c>
      <c r="I3025" s="26" t="str">
        <f>IF(OR(E3025="",E3025="!!!",F3025="NEW"),"",INDEX(B3024:B$2,-1+SUMPRODUCT(MAX(ROW(E3024:E$2)*(E3025=E3024:E$2)))))</f>
        <v> </v>
      </c>
      <c r="J3025" s="26" t="str">
        <f>IF(OR(E3025="",E3025="!!!",F3025="NEW"),"",COUNTBLANK(OFFSET(A$1,,,SUMPRODUCT(MAX(ROW(E$2:E3025)*(E3025=E$2:E3025)))))-COUNTBLANK(OFFSET(A$1,,,SUMPRODUCT(MAX(ROW(E$1:E3024)*(E2=E$1:E3024))))))</f>
        <v> </v>
      </c>
      <c r="K3025" s="26" t="str">
        <f>IF(OR(E3025="",E3025="!!!",F3025="NEW"),"",INDEX(J$1:J3024,SUMPRODUCT(MAX(ROW(E$1:E3024)*(E3025=E$1:E3024)))))</f>
        <v> </v>
      </c>
      <c r="L3025" s="27"/>
    </row>
    <row r="3026" spans="1:12">
      <c r="A3026" s="20" t="s">
        <v>721</v>
      </c>
      <c r="E3026" s="22">
        <f>IF(D3026="?OLD","!!!","")</f>
        <v/>
      </c>
      <c r="F3026" s="23" t="str">
        <f>IF(OR(E3026="",E3026="!!!"),"",IF(NOT(ISNA(VLOOKUP(E3026,E$1:E3025,1,FALSE()))),"OLD",IF(AND(E3026&lt;&gt;"",E3026&lt;&gt;"!!!"),"NEW","")))</f>
        <v> </v>
      </c>
      <c r="G3026" s="24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5" t="str">
        <f>IF(J3026&lt;&gt;1,"",IF(I3026="SBJ","CB","?"))</f>
        <v> </v>
      </c>
      <c r="I3026" s="26" t="str">
        <f>IF(OR(E3026="",E3026="!!!",F3026="NEW"),"",INDEX(B3025:B$2,-1+SUMPRODUCT(MAX(ROW(E3025:E$2)*(E3026=E3025:E$2)))))</f>
        <v> </v>
      </c>
      <c r="J3026" s="26" t="str">
        <f>IF(OR(E3026="",E3026="!!!",F3026="NEW"),"",COUNTBLANK(OFFSET(A$1,,,SUMPRODUCT(MAX(ROW(E$2:E3026)*(E3026=E$2:E3026)))))-COUNTBLANK(OFFSET(A$1,,,SUMPRODUCT(MAX(ROW(E$1:E3025)*(E2=E$1:E3025))))))</f>
        <v> </v>
      </c>
      <c r="K3026" s="26" t="str">
        <f>IF(OR(E3026="",E3026="!!!",F3026="NEW"),"",INDEX(J$1:J3025,SUMPRODUCT(MAX(ROW(E$1:E3025)*(E3026=E$1:E3025)))))</f>
        <v> </v>
      </c>
      <c r="L3026" s="27"/>
    </row>
    <row r="3027" spans="1:12">
      <c r="A3027" s="20" t="s">
        <v>1944</v>
      </c>
      <c r="E3027" s="22">
        <f>IF(D3027="?OLD","!!!","")</f>
        <v/>
      </c>
      <c r="F3027" s="23" t="str">
        <f>IF(OR(E3027="",E3027="!!!"),"",IF(NOT(ISNA(VLOOKUP(E3027,E$1:E3026,1,FALSE()))),"OLD",IF(AND(E3027&lt;&gt;"",E3027&lt;&gt;"!!!"),"NEW","")))</f>
        <v> </v>
      </c>
      <c r="G3027" s="24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5" t="str">
        <f>IF(J3027&lt;&gt;1,"",IF(I3027="SBJ","CB","?"))</f>
        <v> </v>
      </c>
      <c r="I3027" s="26" t="str">
        <f>IF(OR(E3027="",E3027="!!!",F3027="NEW"),"",INDEX(B3026:B$2,-1+SUMPRODUCT(MAX(ROW(E3026:E$2)*(E3027=E3026:E$2)))))</f>
        <v> </v>
      </c>
      <c r="J3027" s="26" t="str">
        <f>IF(OR(E3027="",E3027="!!!",F3027="NEW"),"",COUNTBLANK(OFFSET(A$1,,,SUMPRODUCT(MAX(ROW(E$2:E3027)*(E3027=E$2:E3027)))))-COUNTBLANK(OFFSET(A$1,,,SUMPRODUCT(MAX(ROW(E$1:E3026)*(E2=E$1:E3026))))))</f>
        <v> </v>
      </c>
      <c r="K3027" s="26" t="str">
        <f>IF(OR(E3027="",E3027="!!!",F3027="NEW"),"",INDEX(J$1:J3026,SUMPRODUCT(MAX(ROW(E$1:E3026)*(E3027=E$1:E3026)))))</f>
        <v> </v>
      </c>
      <c r="L3027" s="27"/>
    </row>
    <row r="3028" spans="1:12">
      <c r="A3028" s="20" t="s">
        <v>766</v>
      </c>
      <c r="B3028" s="21" t="s">
        <v>812</v>
      </c>
      <c r="C3028" s="21" t="s">
        <v>747</v>
      </c>
      <c r="D3028" s="21" t="s">
        <v>728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1950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1951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1952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721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825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905</v>
      </c>
      <c r="B3034" s="21" t="s">
        <v>767</v>
      </c>
      <c r="C3034" s="21" t="s">
        <v>727</v>
      </c>
      <c r="D3034" s="21" t="s">
        <v>728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1953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1954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 t="s">
        <v>732</v>
      </c>
      <c r="E3037" s="22">
        <f>IF(D3037="?OLD","!!!","")</f>
        <v/>
      </c>
      <c r="F3037" s="23" t="str">
        <f>IF(OR(E3037="",E3037="!!!"),"",IF(NOT(ISNA(VLOOKUP(E3037,E$1:E3036,1,FALSE()))),"OLD",IF(AND(E3037&lt;&gt;"",E3037&lt;&gt;"!!!"),"NEW","")))</f>
        <v> </v>
      </c>
      <c r="G3037" s="24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5" t="str">
        <f>IF(J3037&lt;&gt;1,"",IF(I3037="SBJ","CB","?"))</f>
        <v> </v>
      </c>
      <c r="I3037" s="26" t="str">
        <f>IF(OR(E3037="",E3037="!!!",F3037="NEW"),"",INDEX(B3036:B$2,-1+SUMPRODUCT(MAX(ROW(E3036:E$2)*(E3037=E3036:E$2)))))</f>
        <v> </v>
      </c>
      <c r="J3037" s="26" t="str">
        <f>IF(OR(E3037="",E3037="!!!",F3037="NEW"),"",COUNTBLANK(OFFSET(A$1,,,SUMPRODUCT(MAX(ROW(E$2:E3037)*(E3037=E$2:E3037)))))-COUNTBLANK(OFFSET(A$1,,,SUMPRODUCT(MAX(ROW(E$1:E3036)*(E2=E$1:E3036))))))</f>
        <v> </v>
      </c>
      <c r="K3037" s="26" t="str">
        <f>IF(OR(E3037="",E3037="!!!",F3037="NEW"),"",INDEX(J$1:J3036,SUMPRODUCT(MAX(ROW(E$1:E3036)*(E3037=E$1:E3036)))))</f>
        <v> </v>
      </c>
      <c r="L3037" s="27"/>
    </row>
    <row r="3038" spans="1:12">
      <c r="A3038" s="20"/>
    </row>
    <row r="3039" spans="1:12">
      <c r="A3039" s="20" t="s">
        <v>1955</v>
      </c>
    </row>
    <row r="3040" spans="1:12">
      <c r="A3040" s="20" t="s">
        <v>703</v>
      </c>
      <c r="E3040" s="22">
        <f>IF(D3040="?OLD","!!!","")</f>
        <v/>
      </c>
      <c r="F3040" s="23" t="str">
        <f>IF(OR(E3040="",E3040="!!!"),"",IF(NOT(ISNA(VLOOKUP(E3040,E$1:E3039,1,FALSE()))),"OLD",IF(AND(E3040&lt;&gt;"",E3040&lt;&gt;"!!!"),"NEW","")))</f>
        <v> </v>
      </c>
      <c r="G3040" s="24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5" t="str">
        <f>IF(J3040&lt;&gt;1,"",IF(I3040="SBJ","CB","?"))</f>
        <v> </v>
      </c>
      <c r="I3040" s="26" t="str">
        <f>IF(OR(E3040="",E3040="!!!",F3040="NEW"),"",INDEX(B3039:B$2,-1+SUMPRODUCT(MAX(ROW(E3039:E$2)*(E3040=E3039:E$2)))))</f>
        <v> </v>
      </c>
      <c r="J3040" s="26" t="str">
        <f>IF(OR(E3040="",E3040="!!!",F3040="NEW"),"",COUNTBLANK(OFFSET(A$1,,,SUMPRODUCT(MAX(ROW(E$2:E3040)*(E3040=E$2:E3040)))))-COUNTBLANK(OFFSET(A$1,,,SUMPRODUCT(MAX(ROW(E$1:E3039)*(E2=E$1:E3039))))))</f>
        <v> </v>
      </c>
      <c r="K3040" s="26" t="str">
        <f>IF(OR(E3040="",E3040="!!!",F3040="NEW"),"",INDEX(J$1:J3039,SUMPRODUCT(MAX(ROW(E$1:E3039)*(E3040=E$1:E3039)))))</f>
        <v> </v>
      </c>
      <c r="L3040" s="27"/>
    </row>
    <row r="3041" spans="1:1">
      <c r="A304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2025-07-10T18:09:46Z</dcterms:created>
  <dcterms:modified xsi:type="dcterms:W3CDTF">2025-07-10T18:09:46Z</dcterms:modified>
</cp:coreProperties>
</file>