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<sst xmlns="http://schemas.openxmlformats.org/spreadsheetml/2006/main" count="5713" uniqueCount="1956">
  <si>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</si>
  <si>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</si>
  <si>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</si>
  <si>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</si>
  <si>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</si>
  <si>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</si>
  <si>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</si>
  <si>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</si>
  <si>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</si>
  <si>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</si>
  <si>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</si>
  <si>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8</t>
  </si>
  <si>
    <t>_</t>
  </si>
  <si>
    <t>знать</t>
  </si>
  <si>
    <t>Что ж , за свою жизнь я знал много рыб .</t>
  </si>
  <si>
    <t>file://conllu/ru/teddy-744.conllu#s1_0</t>
  </si>
  <si>
    <t>2</t>
  </si>
  <si>
    <t>любить</t>
  </si>
  <si>
    <t>Но любил я только двух .</t>
  </si>
  <si>
    <t>file://conllu/ru/teddy-744.conllu#s2_0</t>
  </si>
  <si>
    <t>3</t>
  </si>
  <si>
    <t>быть</t>
  </si>
  <si>
    <t>С первой было что-то вроде страстной интрижки .</t>
  </si>
  <si>
    <t>file://conllu/ru/teddy-744.conllu#s3_0</t>
  </si>
  <si>
    <t>4</t>
  </si>
  <si>
    <t>быть (быть рыба)</t>
  </si>
  <si>
    <t>Это была прекрасная рыба , ароматная , текстурная , мясистая , хит продаж в меню .</t>
  </si>
  <si>
    <t>file://conllu/ru/teddy-744.conllu#s4_0</t>
  </si>
  <si>
    <t>5</t>
  </si>
  <si>
    <t>рыба</t>
  </si>
  <si>
    <t>Что за рыба !</t>
  </si>
  <si>
    <t>file://conllu/ru/teddy-744.conllu#s5_0</t>
  </si>
  <si>
    <t>6</t>
  </si>
  <si>
    <t>хороший</t>
  </si>
  <si>
    <t>( Смех ) Что ещё лучше , это была рыба , выращенная на ферме , которая придерживалась высоких экологических стандартов .</t>
  </si>
  <si>
    <t>file://conllu/ru/teddy-744.conllu#s6_0</t>
  </si>
  <si>
    <t>7</t>
  </si>
  <si>
    <t>мочь</t>
  </si>
  <si>
    <t>Так что вы могли чувствовать себя уверенно , продавая эту рыбу .</t>
  </si>
  <si>
    <t>file://conllu/ru/teddy-744.conllu#s7_0</t>
  </si>
  <si>
    <t>длиться</t>
  </si>
  <si>
    <t>Отношения с этой красавицей длились несколько месяцев .</t>
  </si>
  <si>
    <t>file://conllu/ru/teddy-744.conllu#s8_0</t>
  </si>
  <si>
    <t>9</t>
  </si>
  <si>
    <t>звонить</t>
  </si>
  <si>
    <t>Однажды , мне позвонил глава компании и спросил , мог бы я выступить на встрече об экологической сбалансированности фермы .</t>
  </si>
  <si>
    <t>file://conllu/ru/teddy-744.conllu#s9_0</t>
  </si>
  <si>
    <t>10</t>
  </si>
  <si>
    <t>«Безусловно»</t>
  </si>
  <si>
    <t>«Безусловно» , — сказал я .</t>
  </si>
  <si>
    <t>file://conllu/ru/teddy-744.conllu#s10_0</t>
  </si>
  <si>
    <t>11</t>
  </si>
  <si>
    <t>быть (быть попытка)</t>
  </si>
  <si>
    <t>Это была попытка компании решить то , что стало невообразимой проблемой для наших шеф -поваров .</t>
  </si>
  <si>
    <t>file://conllu/ru/teddy-744.conllu#s11_0</t>
  </si>
  <si>
    <t>12</t>
  </si>
  <si>
    <t>сохранить</t>
  </si>
  <si>
    <t>Как сохранить рыбу в нашем меню ?</t>
  </si>
  <si>
    <t>file://conllu/ru/teddy-744.conllu#s12_0</t>
  </si>
  <si>
    <t>13</t>
  </si>
  <si>
    <t>ловить</t>
  </si>
  <si>
    <t>Последние 50 лет мы ловили рыбу в морях так же , как вырубали леса .</t>
  </si>
  <si>
    <t>file://conllu/ru/teddy-744.conllu#s13_0</t>
  </si>
  <si>
    <t>14</t>
  </si>
  <si>
    <t>трудный</t>
  </si>
  <si>
    <t>Трудно переоценить разрушение .</t>
  </si>
  <si>
    <t>file://conllu/ru/teddy-744.conllu#s14_0</t>
  </si>
  <si>
    <t>15</t>
  </si>
  <si>
    <t>21</t>
  </si>
  <si>
    <t>уничтожить</t>
  </si>
  <si>
    <t>90 % крупных рыб , одни из наших любимых , тунец , палтус , лосось , рыба меч — уничтожены .</t>
  </si>
  <si>
    <t>file://conllu/ru/teddy-744.conllu#s15_0</t>
  </si>
  <si>
    <t>16</t>
  </si>
  <si>
    <t>остаться</t>
  </si>
  <si>
    <t>Почти ничего не осталось .</t>
  </si>
  <si>
    <t>file://conllu/ru/teddy-744.conllu#s16_0</t>
  </si>
  <si>
    <t>17</t>
  </si>
  <si>
    <t>быть (быть часть)</t>
  </si>
  <si>
    <t>Таким образом , к лучшему или к худшему , но аквакультура , рыбное фермерство , будет частью нашего будущего .</t>
  </si>
  <si>
    <t>file://conllu/ru/teddy-744.conllu#s17_0</t>
  </si>
  <si>
    <t>18</t>
  </si>
  <si>
    <t>аргумент</t>
  </si>
  <si>
    <t>Много аргументов против этого .</t>
  </si>
  <si>
    <t>file://conllu/ru/teddy-744.conllu#s18_0</t>
  </si>
  <si>
    <t>19</t>
  </si>
  <si>
    <t>загрязнять</t>
  </si>
  <si>
    <t>Рыбные фермерства загрязняют окружающую среду , по крайне мере большинство из них , и они неэффективны , возьмём , к примеру , тунца .</t>
  </si>
  <si>
    <t>file://conllu/ru/teddy-744.conllu#s19_0</t>
  </si>
  <si>
    <t>20</t>
  </si>
  <si>
    <t>это (это показатель)</t>
  </si>
  <si>
    <t>Основной недостаток — это показатель эффективности корма : 15 к 1му .</t>
  </si>
  <si>
    <t>file://conllu/ru/teddy-744.conllu#s20_0</t>
  </si>
  <si>
    <t>Это означает?</t>
  </si>
  <si>
    <t>означать</t>
  </si>
  <si>
    <t>Это означает , что вам требуется 15 кг дикой рыбы , чтобы получить 1 кг фермерской .</t>
  </si>
  <si>
    <t>file://conllu/ru/teddy-744.conllu#s21_0</t>
  </si>
  <si>
    <t>22</t>
  </si>
  <si>
    <t>рационально</t>
  </si>
  <si>
    <t>Не очень рационально .</t>
  </si>
  <si>
    <t>file://conllu/ru/teddy-744.conllu#s22_0</t>
  </si>
  <si>
    <t>23</t>
  </si>
  <si>
    <t>очень</t>
  </si>
  <si>
    <t>На вкус тоже не очень .</t>
  </si>
  <si>
    <t>file://conllu/ru/teddy-744.conllu#s23_0</t>
  </si>
  <si>
    <t>24</t>
  </si>
  <si>
    <t>компания</t>
  </si>
  <si>
    <t>И вот , наконец , компания , пытающаяся выращивать рыбу правильно .</t>
  </si>
  <si>
    <t>file://conllu/ru/teddy-744.conllu#s24_0</t>
  </si>
  <si>
    <t>25</t>
  </si>
  <si>
    <t>хотеть</t>
  </si>
  <si>
    <t>Я хотел их поддержать .</t>
  </si>
  <si>
    <t>file://conllu/ru/teddy-744.conllu#s25_0</t>
  </si>
  <si>
    <t>26</t>
  </si>
  <si>
    <t>За день до встречи я позвонил PR менеджеру компании .</t>
  </si>
  <si>
    <t>file://conllu/ru/teddy-744.conllu#s26_0</t>
  </si>
  <si>
    <t>27</t>
  </si>
  <si>
    <t>Дон</t>
  </si>
  <si>
    <t>Назовём его Дон .</t>
  </si>
  <si>
    <t>file://conllu/ru/teddy-744.conllu#s27_0</t>
  </si>
  <si>
    <t>28</t>
  </si>
  <si>
    <t>«Дон»</t>
  </si>
  <si>
    <t>«Дон» , говорю я , «давай смотреть фактам в лицо , вы , ребята , известны тем , что ваши фермы так далеко от моря , что вы не загрязняете окружающую среду» .</t>
  </si>
  <si>
    <t>file://conllu/ru/teddy-744.conllu#s28_0</t>
  </si>
  <si>
    <t>29</t>
  </si>
  <si>
    <t>«Ма</t>
  </si>
  <si>
    <t>«Это точно» , говорит он , «Мы так далеко , что отходы от нашей рыбы рассредоточиваются , а не концентрируются» .</t>
  </si>
  <si>
    <t>file://conllu/ru/teddy-744.conllu#s29_0</t>
  </si>
  <si>
    <t>30</t>
  </si>
  <si>
    <t>добавить</t>
  </si>
  <si>
    <t>А потом он добавил , «По существу , у нас свой мир .</t>
  </si>
  <si>
    <t>file://conllu/ru/teddy-744.conllu#s30_0</t>
  </si>
  <si>
    <t>31</t>
  </si>
  <si>
    <t>показатель</t>
  </si>
  <si>
    <t>Показатель эффективности корма ?</t>
  </si>
  <si>
    <t>file://conllu/ru/teddy-744.conllu#s31_0</t>
  </si>
  <si>
    <t>32</t>
  </si>
  <si>
    <t>2.5</t>
  </si>
  <si>
    <t>2.5 к 1му» , говорит он , «Лучший показатель в этом бизнесе» .</t>
  </si>
  <si>
    <t>file://conllu/ru/teddy-744.conllu#s32_0</t>
  </si>
  <si>
    <t>33</t>
  </si>
  <si>
    <t>1й</t>
  </si>
  <si>
    <t>2.5 к 1му , отлично .</t>
  </si>
  <si>
    <t>file://conllu/ru/teddy-744.conllu#s33_0</t>
  </si>
  <si>
    <t>34</t>
  </si>
  <si>
    <t>«2.5</t>
  </si>
  <si>
    <t>«2.5 к 1му чего , чем вы кормите рыбу ? » «Полноценным белком» , сказал он .</t>
  </si>
  <si>
    <t>file://conllu/ru/teddy-744.conllu#s34_0</t>
  </si>
  <si>
    <t>35</t>
  </si>
  <si>
    <t>«Отлично»</t>
  </si>
  <si>
    <t>«Отлично» , сказал я и положил трубку .</t>
  </si>
  <si>
    <t>file://conllu/ru/teddy-744.conllu#s35_0</t>
  </si>
  <si>
    <t>36</t>
  </si>
  <si>
    <t>лежать</t>
  </si>
  <si>
    <t>В ту ночь я лежал в кровати и думал :</t>
  </si>
  <si>
    <t>file://conllu/ru/teddy-744.conllu#s36_0</t>
  </si>
  <si>
    <t>37</t>
  </si>
  <si>
    <t>белок</t>
  </si>
  <si>
    <t>Что же это за чёртов полноценный белок ?</t>
  </si>
  <si>
    <t>file://conllu/ru/teddy-744.conllu#s37_0</t>
  </si>
  <si>
    <t>38</t>
  </si>
  <si>
    <t>Поэтому на следующий день , буквально перед встречей , я позвонил Дону .</t>
  </si>
  <si>
    <t>file://conllu/ru/teddy-744.conllu#s38_0</t>
  </si>
  <si>
    <t>39</t>
  </si>
  <si>
    <t>сказать (сказать говорить)</t>
  </si>
  <si>
    <t>Говорю , «Дон , скажи мне пару примеров полноценного белка» .</t>
  </si>
  <si>
    <t>file://conllu/ru/teddy-744.conllu#s39_0</t>
  </si>
  <si>
    <t>40</t>
  </si>
  <si>
    <t>знать (знать сказать)</t>
  </si>
  <si>
    <t>Он сказал , что не знает .</t>
  </si>
  <si>
    <t>file://conllu/ru/teddy-744.conllu#s40_0</t>
  </si>
  <si>
    <t>41</t>
  </si>
  <si>
    <t>спрашивать</t>
  </si>
  <si>
    <t>Он поспрашивает .</t>
  </si>
  <si>
    <t>file://conllu/ru/teddy-744.conllu#s41_0</t>
  </si>
  <si>
    <t>42</t>
  </si>
  <si>
    <t>созвониться</t>
  </si>
  <si>
    <t>Что ж , я созвонился с несколькими представителями компании .</t>
  </si>
  <si>
    <t>file://conllu/ru/teddy-744.conllu#s42_0</t>
  </si>
  <si>
    <t>43</t>
  </si>
  <si>
    <t>Ни один не смог дать мне прямого ответа .</t>
  </si>
  <si>
    <t>file://conllu/ru/teddy-744.conllu#s43_0</t>
  </si>
  <si>
    <t>44</t>
  </si>
  <si>
    <t>Пока?</t>
  </si>
  <si>
    <t>связать</t>
  </si>
  <si>
    <t>Пока , наконец , я не связался с главным биологом .</t>
  </si>
  <si>
    <t>file://conllu/ru/teddy-744.conllu#s44_0</t>
  </si>
  <si>
    <t>45</t>
  </si>
  <si>
    <t>давать</t>
  </si>
  <si>
    <t>Давайте назовём его тоже Доном .</t>
  </si>
  <si>
    <t>file://conllu/ru/teddy-744.conllu#s45_0</t>
  </si>
  <si>
    <t>46</t>
  </si>
  <si>
    <t>«Дон» , я говорю , «Приведите мне несколько примеров полноценного белка» .</t>
  </si>
  <si>
    <t>file://conllu/ru/teddy-744.conllu#s46_0</t>
  </si>
  <si>
    <t>47</t>
  </si>
  <si>
    <t>упомянуть</t>
  </si>
  <si>
    <t>Что ж , он упомянул некоторые водоросли , рыбий корм , и потом назвал куриные брикеты .</t>
  </si>
  <si>
    <t>file://conllu/ru/teddy-744.conllu#s47_0</t>
  </si>
  <si>
    <t>48</t>
  </si>
  <si>
    <t>спросить</t>
  </si>
  <si>
    <t>Я спросил , «Куриные брикеты ? » Он ответил , «Да , перья , кожа , костная мука , остатки , высушенные и переработанные в корм» .</t>
  </si>
  <si>
    <t>file://conllu/ru/teddy-744.conllu#s48_0</t>
  </si>
  <si>
    <t>49</t>
  </si>
  <si>
    <t>думать (думать знать спросить)</t>
  </si>
  <si>
    <t>Я спросил , «Какой процент кормления ваших рыб составляет курица ? » , думая при этом , знаете ли , о процентах двух .</t>
  </si>
  <si>
    <t>file://conllu/ru/teddy-744.conllu#s49_0</t>
  </si>
  <si>
    <t>50</t>
  </si>
  <si>
    <t>Нуа</t>
  </si>
  <si>
    <t>Нуу , около 30 % » , ответил он .</t>
  </si>
  <si>
    <t>file://conllu/ru/teddy-744.conllu#s50_0</t>
  </si>
  <si>
    <t>51</t>
  </si>
  <si>
    <t>Я спросил , «Дон , а в чём экологичность кормления рыбы курицей ? » На том конце телефона возникла длинная пауза , и он ответил , «да , собственно , на Земле слишком много кур» .</t>
  </si>
  <si>
    <t>file://conllu/ru/teddy-744.conllu#s51_0</t>
  </si>
  <si>
    <t>52</t>
  </si>
  <si>
    <t>разлюбить</t>
  </si>
  <si>
    <t>Что ж , я разлюбил эту рыбу .</t>
  </si>
  <si>
    <t>file://conllu/ru/teddy-744.conllu#s52_0</t>
  </si>
  <si>
    <t>53</t>
  </si>
  <si>
    <t>Потому?</t>
  </si>
  <si>
    <t>потому</t>
  </si>
  <si>
    <t>Нет , не потому , что я самодовольный , благочестивый гурман .</t>
  </si>
  <si>
    <t>file://conllu/ru/teddy-744.conllu#s53_0</t>
  </si>
  <si>
    <t>54</t>
  </si>
  <si>
    <t>гурмать</t>
  </si>
  <si>
    <t>Хотя я гурман .</t>
  </si>
  <si>
    <t>file://conllu/ru/teddy-744.conllu#s54_0</t>
  </si>
  <si>
    <t>55</t>
  </si>
  <si>
    <t>Нет , в действительности , я разлюбил эту рыбу , потому что после этого разговора , я клянусь вам , эта рыба на вкус стала как курица .</t>
  </si>
  <si>
    <t>file://conllu/ru/teddy-744.conllu#s55_0</t>
  </si>
  <si>
    <t>56</t>
  </si>
  <si>
    <t>история</t>
  </si>
  <si>
    <t>Вторая рыба — это другая история любви .</t>
  </si>
  <si>
    <t>file://conllu/ru/teddy-744.conllu#s56_0</t>
  </si>
  <si>
    <t>57</t>
  </si>
  <si>
    <t>что-то</t>
  </si>
  <si>
    <t>Что-то вроде романтичной истории , где , чем больше вы узнаёте вашу рыбу , тем больше вы её любите .</t>
  </si>
  <si>
    <t>file://conllu/ru/teddy-744.conllu#s57_0</t>
  </si>
  <si>
    <t>58</t>
  </si>
  <si>
    <t>есть</t>
  </si>
  <si>
    <t>Я ел эту рыбу в ресторане на юге Испании .</t>
  </si>
  <si>
    <t>file://conllu/ru/teddy-744.conllu#s58_0</t>
  </si>
  <si>
    <t>59</t>
  </si>
  <si>
    <t>рассказывать</t>
  </si>
  <si>
    <t>Мой друг журналист рассказывал мне об этой рыбе много раз .</t>
  </si>
  <si>
    <t>file://conllu/ru/teddy-744.conllu#s59_0</t>
  </si>
  <si>
    <t>60</t>
  </si>
  <si>
    <t>Эта рыба «подставила» нас .</t>
  </si>
  <si>
    <t>file://conllu/ru/teddy-744.conllu#s60_0</t>
  </si>
  <si>
    <t>61</t>
  </si>
  <si>
    <t>появиться</t>
  </si>
  <si>
    <t>Она появилась на столе , яркая , почти мерцающая , белого цвета .</t>
  </si>
  <si>
    <t>file://conllu/ru/teddy-744.conllu#s61_0</t>
  </si>
  <si>
    <t>62</t>
  </si>
  <si>
    <t>передержать</t>
  </si>
  <si>
    <t>Повар передержал её при готовке , раза в два .</t>
  </si>
  <si>
    <t>file://conllu/ru/teddy-744.conllu#s62_0</t>
  </si>
  <si>
    <t>63</t>
  </si>
  <si>
    <t>невероятный</t>
  </si>
  <si>
    <t>Невероятно , но рыба была восхитительна .</t>
  </si>
  <si>
    <t>file://conllu/ru/teddy-744.conllu#s63_0</t>
  </si>
  <si>
    <t>64</t>
  </si>
  <si>
    <t>Кто?</t>
  </si>
  <si>
    <t>Кто может сделать вкус рыбы пригодным к еде после того , как её переварили ?</t>
  </si>
  <si>
    <t>file://conllu/ru/teddy-744.conllu#s64_0</t>
  </si>
  <si>
    <t>65</t>
  </si>
  <si>
    <t>Я не могу , но этот парень может .</t>
  </si>
  <si>
    <t>file://conllu/ru/teddy-744.conllu#s65_0</t>
  </si>
  <si>
    <t>66</t>
  </si>
  <si>
    <t>Мигель</t>
  </si>
  <si>
    <t>Назовём его Мигель .</t>
  </si>
  <si>
    <t>file://conllu/ru/teddy-744.conllu#s66_0</t>
  </si>
  <si>
    <t>67</t>
  </si>
  <si>
    <t>Вообще то , его имя действительно Мигель .</t>
  </si>
  <si>
    <t>file://conllu/ru/teddy-744.conllu#s67_0</t>
  </si>
  <si>
    <t>68</t>
  </si>
  <si>
    <t>готовить</t>
  </si>
  <si>
    <t>Нет , он не готовит рыбу , и он не шеф-повар .</t>
  </si>
  <si>
    <t>file://conllu/ru/teddy-744.conllu#s68_0</t>
  </si>
  <si>
    <t>69</t>
  </si>
  <si>
    <t>смысл</t>
  </si>
  <si>
    <t>По крайней мере в том смысле , как вы и я это понимаем .</t>
  </si>
  <si>
    <t>file://conllu/ru/teddy-744.conllu#s69_0</t>
  </si>
  <si>
    <t>70</t>
  </si>
  <si>
    <t>л</t>
  </si>
  <si>
    <t>Он биолог в Вета ла Пальма .</t>
  </si>
  <si>
    <t>file://conllu/ru/teddy-744.conllu#s70_0</t>
  </si>
  <si>
    <t>71</t>
  </si>
  <si>
    <t>ферма</t>
  </si>
  <si>
    <t>Это рыбная ферма на юго-западе Испании .</t>
  </si>
  <si>
    <t>file://conllu/ru/teddy-744.conllu#s71_0</t>
  </si>
  <si>
    <t>72</t>
  </si>
  <si>
    <t>расположенный</t>
  </si>
  <si>
    <t>Расположена в верховьях реки Гвадалквивир .</t>
  </si>
  <si>
    <t>file://conllu/ru/teddy-744.conllu#s72_0</t>
  </si>
  <si>
    <t>73</t>
  </si>
  <si>
    <t>быть (быть рука)</t>
  </si>
  <si>
    <t>До 1980г эта ферма была в руках аргентинцев .</t>
  </si>
  <si>
    <t>file://conllu/ru/teddy-744.conllu#s73_0</t>
  </si>
  <si>
    <t>74</t>
  </si>
  <si>
    <t>выращивать</t>
  </si>
  <si>
    <t>Они выращивали крупный рогатый скот на земле , которая , фактически , была болотом .</t>
  </si>
  <si>
    <t>file://conllu/ru/teddy-744.conllu#s74_0</t>
  </si>
  <si>
    <t>75</t>
  </si>
  <si>
    <t>заниматься</t>
  </si>
  <si>
    <t>Они занимались этим , осушая земли .</t>
  </si>
  <si>
    <t>file://conllu/ru/teddy-744.conllu#s75_0</t>
  </si>
  <si>
    <t>76</t>
  </si>
  <si>
    <t>строить</t>
  </si>
  <si>
    <t>Они построили сложный ряд каналов , выводя воду из земли и направляя её прямо в реку .</t>
  </si>
  <si>
    <t>file://conllu/ru/teddy-744.conllu#s76_0</t>
  </si>
  <si>
    <t>77</t>
  </si>
  <si>
    <t>работать</t>
  </si>
  <si>
    <t>Что ж , это не работало , так же и экономически , а экологически – это было ужасно .</t>
  </si>
  <si>
    <t>file://conllu/ru/teddy-744.conllu#s77_0</t>
  </si>
  <si>
    <t>78</t>
  </si>
  <si>
    <t>убить</t>
  </si>
  <si>
    <t>Этот метод убил 90 % птиц , для этого места это много птиц .</t>
  </si>
  <si>
    <t>file://conllu/ru/teddy-744.conllu#s78_0</t>
  </si>
  <si>
    <t>79</t>
  </si>
  <si>
    <t>купить</t>
  </si>
  <si>
    <t>И поэтому , в 1982 г. , испанская компания с экологической политикой купила эту землю .</t>
  </si>
  <si>
    <t>file://conllu/ru/teddy-744.conllu#s79_0</t>
  </si>
  <si>
    <t>80</t>
  </si>
  <si>
    <t>делать</t>
  </si>
  <si>
    <t>Что они сделали ?</t>
  </si>
  <si>
    <t>file://conllu/ru/teddy-744.conllu#s80_0</t>
  </si>
  <si>
    <t>81</t>
  </si>
  <si>
    <t>развернуть</t>
  </si>
  <si>
    <t>Они развернули поток воды .</t>
  </si>
  <si>
    <t>file://conllu/ru/teddy-744.conllu#s81_0</t>
  </si>
  <si>
    <t>82</t>
  </si>
  <si>
    <t>переключить</t>
  </si>
  <si>
    <t>Буквально переключили выключатель .</t>
  </si>
  <si>
    <t>file://conllu/ru/teddy-744.conllu#s82_0</t>
  </si>
  <si>
    <t>83</t>
  </si>
  <si>
    <t>использовать</t>
  </si>
  <si>
    <t>Вместо отвода воды , они использовали каналы для вливания воды на территорию .</t>
  </si>
  <si>
    <t>file://conllu/ru/teddy-744.conllu#s83_0</t>
  </si>
  <si>
    <t>84</t>
  </si>
  <si>
    <t>наводнить</t>
  </si>
  <si>
    <t>Они наводнили каналы .</t>
  </si>
  <si>
    <t>file://conllu/ru/teddy-744.conllu#s84_0</t>
  </si>
  <si>
    <t>85</t>
  </si>
  <si>
    <t>создать</t>
  </si>
  <si>
    <t>Они создали 109 кв . км рыбных ферм — окунь , кефаль , креветки , угорь и в этом процессе , Мигель и эта компания , полностью исправили экологическое разрушение .</t>
  </si>
  <si>
    <t>file://conllu/ru/teddy-744.conllu#s85_0</t>
  </si>
  <si>
    <t>86</t>
  </si>
  <si>
    <t>потрясающать</t>
  </si>
  <si>
    <t>Ферма потрясающая .</t>
  </si>
  <si>
    <t>file://conllu/ru/teddy-744.conllu#s86_0</t>
  </si>
  <si>
    <t>87</t>
  </si>
  <si>
    <t>сказать (сказать хотеть видеть)</t>
  </si>
  <si>
    <t>Я хочу сказать , вы никогда не видели ничего подобного .</t>
  </si>
  <si>
    <t>file://conllu/ru/teddy-744.conllu#s87_0</t>
  </si>
  <si>
    <t>88</t>
  </si>
  <si>
    <t>вглядываться</t>
  </si>
  <si>
    <t>Вы вглядываетесь в горизонт на расстоянии миллионов километров , и всё , что вы видите , — это наводнённые каналы и эту насыщенную , богатую болотистую местность .</t>
  </si>
  <si>
    <t>file://conllu/ru/teddy-744.conllu#s88_0</t>
  </si>
  <si>
    <t>89</t>
  </si>
  <si>
    <t>быть (быть Мигель)</t>
  </si>
  <si>
    <t>Я там был недавно с Мигелем .</t>
  </si>
  <si>
    <t>file://conllu/ru/teddy-744.conllu#s89_0</t>
  </si>
  <si>
    <t>90</t>
  </si>
  <si>
    <t>парень</t>
  </si>
  <si>
    <t>Он потрясный парень , три четверти Чарльза Дарвина и одна Крокодила Данди .</t>
  </si>
  <si>
    <t>file://conllu/ru/teddy-744.conllu#s90_0</t>
  </si>
  <si>
    <t>91</t>
  </si>
  <si>
    <t>представить</t>
  </si>
  <si>
    <t>Представили ?</t>
  </si>
  <si>
    <t>file://conllu/ru/teddy-744.conllu#s91_0</t>
  </si>
  <si>
    <t>92</t>
  </si>
  <si>
    <t>пробираться</t>
  </si>
  <si>
    <t>Мы пробирались по болотистой почве , я задыхался и покрывался потом , утопая по колено в грязи , а Мигель спокойно читал лекции по биологии .</t>
  </si>
  <si>
    <t>file://conllu/ru/teddy-744.conllu#s92_0</t>
  </si>
  <si>
    <t>93</t>
  </si>
  <si>
    <t>упоминать (упоминать показывать)</t>
  </si>
  <si>
    <t>Здесь он показывал редкого чернокрыло дымчатого коршуна , потом он упоминал о минеральных потребностях фитопланктона , а там он видит схему группирования , которая напоминает ему о танзанском жирафе .</t>
  </si>
  <si>
    <t>file://conllu/ru/teddy-744.conllu#s93_0</t>
  </si>
  <si>
    <t>94</t>
  </si>
  <si>
    <t>провести</t>
  </si>
  <si>
    <t>Оказывается , Мигель провёл лучший период своей карьеры в национальном парке Микуми в Африке .</t>
  </si>
  <si>
    <t>file://conllu/ru/teddy-744.conllu#s94_0</t>
  </si>
  <si>
    <t>95</t>
  </si>
  <si>
    <t>Я спросил его , как он стал таким экспертом по рыбе .</t>
  </si>
  <si>
    <t>file://conllu/ru/teddy-744.conllu#s95_0</t>
  </si>
  <si>
    <t>96</t>
  </si>
  <si>
    <t>Он спросил , «Рыбе ?</t>
  </si>
  <si>
    <t>file://conllu/ru/teddy-744.conllu#s96_0</t>
  </si>
  <si>
    <t>97</t>
  </si>
  <si>
    <t>Я не знал ничего о рыбе .</t>
  </si>
  <si>
    <t>file://conllu/ru/teddy-744.conllu#s97_0</t>
  </si>
  <si>
    <t>98</t>
  </si>
  <si>
    <t>эксперт</t>
  </si>
  <si>
    <t>Я эксперт во взаимосвязях» А потом он переключается на разговор о редких птицах , водорослях и странных водных растениях .</t>
  </si>
  <si>
    <t>file://conllu/ru/teddy-744.conllu#s98_0</t>
  </si>
  <si>
    <t>99</t>
  </si>
  <si>
    <t>поймать</t>
  </si>
  <si>
    <t>И поймите меня правильно , это было действительно увлекательно , знаете ли , автономный биоценоз , всё такое .</t>
  </si>
  <si>
    <t>file://conllu/ru/teddy-744.conllu#s99_0</t>
  </si>
  <si>
    <t>100</t>
  </si>
  <si>
    <t>здоровый</t>
  </si>
  <si>
    <t>Это здорово , но я был влюблён .</t>
  </si>
  <si>
    <t>file://conllu/ru/teddy-744.conllu#s100_0</t>
  </si>
  <si>
    <t>101</t>
  </si>
  <si>
    <t>терять</t>
  </si>
  <si>
    <t>Я потерял голову от порции той потрясающей переваренной рыбы , которую я ел накануне вечером .</t>
  </si>
  <si>
    <t>file://conllu/ru/teddy-744.conllu#s101_0</t>
  </si>
  <si>
    <t>102</t>
  </si>
  <si>
    <t>перебить</t>
  </si>
  <si>
    <t>Поэтому я перебил его и спросил , «Мигель , что делает вашу рыбу такой вкусной ? » Он показал на водоросли .</t>
  </si>
  <si>
    <t>file://conllu/ru/teddy-744.conllu#s102_0</t>
  </si>
  <si>
    <t>103</t>
  </si>
  <si>
    <t>«Я знаю , чувак , — водоросли , фитопланктон , взаимосвязи — всё это хорошо , но что ест ваша рыба ?</t>
  </si>
  <si>
    <t>file://conllu/ru/teddy-744.conllu#s103_0</t>
  </si>
  <si>
    <t>104</t>
  </si>
  <si>
    <t>Какой показатель эффективности корма ? » Что ж , он сказал мне , что это настолько богатая система , что рыба ест то , что бы она ела в дикой среде .</t>
  </si>
  <si>
    <t>file://conllu/ru/teddy-744.conllu#s104_0</t>
  </si>
  <si>
    <t>105</t>
  </si>
  <si>
    <t>биомасса</t>
  </si>
  <si>
    <t>Растительная биомасса , фитопланктон , зоопланктон — это то , чем питается рыба .</t>
  </si>
  <si>
    <t>file://conllu/ru/teddy-744.conllu#s105_0</t>
  </si>
  <si>
    <t>106</t>
  </si>
  <si>
    <t>Система настолько здоровая , настолько самообновляющаяся , что здесь нет искусственного кормления .</t>
  </si>
  <si>
    <t>file://conllu/ru/teddy-744.conllu#s106_0</t>
  </si>
  <si>
    <t>107</t>
  </si>
  <si>
    <t>слышать</t>
  </si>
  <si>
    <t>Слышали когда-нибудь о ферме , которая не кормит своих животных ?</t>
  </si>
  <si>
    <t>file://conllu/ru/teddy-744.conllu#s107_0</t>
  </si>
  <si>
    <t>108</t>
  </si>
  <si>
    <t>объезжать</t>
  </si>
  <si>
    <t>Позже в тот же день мы объезжали с Мигелем их хозяйство , и я спросил его , «Для места , выглядящего столь натурально» , в отличие от других ферм , где я был раньше , «как вы измеряете успех ? » В этот момент , режиссёр будто попросил сменить декорацию .</t>
  </si>
  <si>
    <t>file://conllu/ru/teddy-744.conllu#s108_0</t>
  </si>
  <si>
    <t>109</t>
  </si>
  <si>
    <t>завернуть</t>
  </si>
  <si>
    <t>Мы завернули за угол , и открылся потрясающий вид , тысячи и тысячи розовых фламинго , буквально розовый ковёр , так далеко , как только вы можете видеть .</t>
  </si>
  <si>
    <t>file://conllu/ru/teddy-744.conllu#s109_0</t>
  </si>
  <si>
    <t>110</t>
  </si>
  <si>
    <t>«вот</t>
  </si>
  <si>
    <t>«Вот он успех» , сказал он , «Посмотри на их брюшки , они розовые , они пируют» .</t>
  </si>
  <si>
    <t>file://conllu/ru/teddy-744.conllu#s110_0</t>
  </si>
  <si>
    <t>111</t>
  </si>
  <si>
    <t>Пировать</t>
  </si>
  <si>
    <t>Пируют ?</t>
  </si>
  <si>
    <t>file://conllu/ru/teddy-744.conllu#s111_0</t>
  </si>
  <si>
    <t>112</t>
  </si>
  <si>
    <t>сбить</t>
  </si>
  <si>
    <t>Я был совершенно сбит с толку .</t>
  </si>
  <si>
    <t>file://conllu/ru/teddy-744.conllu#s112_0</t>
  </si>
  <si>
    <t>113</t>
  </si>
  <si>
    <t>ответить (ответить спросить)</t>
  </si>
  <si>
    <t>Я спросил , «Мигель , они пируют вашей рыбой ? » «Да» , ответил он .</t>
  </si>
  <si>
    <t>file://conllu/ru/teddy-744.conllu#s113_0</t>
  </si>
  <si>
    <t>114</t>
  </si>
  <si>
    <t>«Мы теряем из-за птиц 20 % нашей рыбы и рыбьей икры .</t>
  </si>
  <si>
    <t>file://conllu/ru/teddy-744.conllu#s114_0</t>
  </si>
  <si>
    <t>115</t>
  </si>
  <si>
    <t>Что ж , в прошлом году , на этой территории было 600 тысяч птиц , более 250 видов .</t>
  </si>
  <si>
    <t>file://conllu/ru/teddy-744.conllu#s115_0</t>
  </si>
  <si>
    <t>116</t>
  </si>
  <si>
    <t>большой</t>
  </si>
  <si>
    <t>На сегодняшний день это самый большой и один из самых важных во всей Европе частный птичий заповедник» .</t>
  </si>
  <si>
    <t>file://conllu/ru/teddy-744.conllu#s116_0</t>
  </si>
  <si>
    <t>117</t>
  </si>
  <si>
    <t>говорить</t>
  </si>
  <si>
    <t>Я говорю , «Мигель , по-моему , процветание птиц – это последние , чего желают на рыбных фермах ? » Он покачал головой , «Нет» Он говорит , «Мы развиваемся экстенсивно , не интенсивно .</t>
  </si>
  <si>
    <t>file://conllu/ru/teddy-744.conllu#s117_0</t>
  </si>
  <si>
    <t>118</t>
  </si>
  <si>
    <t>сеть</t>
  </si>
  <si>
    <t>Это экологическая сеть .</t>
  </si>
  <si>
    <t>file://conllu/ru/teddy-744.conllu#s118_0</t>
  </si>
  <si>
    <t>119</t>
  </si>
  <si>
    <t>Фламинго едят креветок .</t>
  </si>
  <si>
    <t>file://conllu/ru/teddy-744.conllu#s119_0</t>
  </si>
  <si>
    <t>120</t>
  </si>
  <si>
    <t>Креветки едят фитопланктон .</t>
  </si>
  <si>
    <t>file://conllu/ru/teddy-744.conllu#s120_0</t>
  </si>
  <si>
    <t>121</t>
  </si>
  <si>
    <t>розовый</t>
  </si>
  <si>
    <t>Чем розовее брюшко , тем лучше система» .</t>
  </si>
  <si>
    <t>file://conllu/ru/teddy-744.conllu#s121_0</t>
  </si>
  <si>
    <t>122</t>
  </si>
  <si>
    <t>подведё</t>
  </si>
  <si>
    <t>Что ж , подведём итог .</t>
  </si>
  <si>
    <t>file://conllu/ru/teddy-744.conllu#s122_0</t>
  </si>
  <si>
    <t>123</t>
  </si>
  <si>
    <t>Ферма</t>
  </si>
  <si>
    <t>Ферма , которая не кормит своих животных , ферма , которая измеряет свой успех здоровьем своих «хищников» .</t>
  </si>
  <si>
    <t>file://conllu/ru/teddy-744.conllu#s123_0</t>
  </si>
  <si>
    <t>124</t>
  </si>
  <si>
    <t>Рыбная ферма , и в то же время птичий заповедник .</t>
  </si>
  <si>
    <t>file://conllu/ru/teddy-744.conllu#s124_0</t>
  </si>
  <si>
    <t>125</t>
  </si>
  <si>
    <t>должен</t>
  </si>
  <si>
    <t>Да , и кстати , во-первых те фламинго , их не должны быть здесь .</t>
  </si>
  <si>
    <t>file://conllu/ru/teddy-744.conllu#s125_0</t>
  </si>
  <si>
    <t>126</t>
  </si>
  <si>
    <t>высиживать</t>
  </si>
  <si>
    <t>Они высиживают яйца в 240 км от этого места , где состояние почвы лучше для устройства гнёзд .</t>
  </si>
  <si>
    <t>file://conllu/ru/teddy-744.conllu#s126_0</t>
  </si>
  <si>
    <t>127</t>
  </si>
  <si>
    <t>летать</t>
  </si>
  <si>
    <t>Каждое утро они пролетают 240 км к ферме и каждый вечер они пролетают 240 км назад .</t>
  </si>
  <si>
    <t>file://conllu/ru/teddy-744.conllu#s127_0</t>
  </si>
  <si>
    <t>128</t>
  </si>
  <si>
    <t>Они делают это , потому что могут перелететь сплошную линию магистрали А92 .</t>
  </si>
  <si>
    <t>file://conllu/ru/teddy-744.conllu#s128_0</t>
  </si>
  <si>
    <t>129</t>
  </si>
  <si>
    <t>Серьёзно</t>
  </si>
  <si>
    <t>Серьёзно .</t>
  </si>
  <si>
    <t>file://conllu/ru/teddy-744.conllu#s129_0</t>
  </si>
  <si>
    <t>130</t>
  </si>
  <si>
    <t>спросить (спросить смотреть воображать)</t>
  </si>
  <si>
    <t>Я воображал себе что-то типа марша пингвинов , поэтому я посмотрел на Мигеля спросил , «Мигель , они действительно пролетают 240 км на ферму и 240 км обратно на ночлег ?</t>
  </si>
  <si>
    <t>file://conllu/ru/teddy-744.conllu#s130_0</t>
  </si>
  <si>
    <t>131</t>
  </si>
  <si>
    <t>Они делают это для своего потомства ? » Он посмотрел на меня , будто я только что процитировал песню Уитни Хьюстон .</t>
  </si>
  <si>
    <t>file://conllu/ru/teddy-744.conllu#s131_0</t>
  </si>
  <si>
    <t>132</t>
  </si>
  <si>
    <t>И говорит , «Нет , они прилетают , потому что здесь еда лучше» Я не упоминал кожу моей любимой рыбы , которая была восхитительна , хотя вообще я не люблю рыбью кожу .</t>
  </si>
  <si>
    <t>file://conllu/ru/teddy-744.conllu#s132_0</t>
  </si>
  <si>
    <t>133</t>
  </si>
  <si>
    <t>нравиться</t>
  </si>
  <si>
    <t>Мне не нравится , как выглядит опалённая кожа , я не люблю , как кожа хрустит , на вкус очень горькая , как смола .</t>
  </si>
  <si>
    <t>file://conllu/ru/teddy-744.conllu#s133_0</t>
  </si>
  <si>
    <t>134</t>
  </si>
  <si>
    <t>Я почти всегда готовлю без кожи .</t>
  </si>
  <si>
    <t>file://conllu/ru/teddy-744.conllu#s134_0</t>
  </si>
  <si>
    <t>135</t>
  </si>
  <si>
    <t>быть (быть похожий)</t>
  </si>
  <si>
    <t>Но когда я попробовал кожу рыбы в том ресторане на юге Испании , на вкус она была совершенно не похожа на рыбью кожу .</t>
  </si>
  <si>
    <t>file://conllu/ru/teddy-744.conllu#s135_0</t>
  </si>
  <si>
    <t>136</t>
  </si>
  <si>
    <t>быть (быть сладкий)</t>
  </si>
  <si>
    <t>Она была сладкая и чистая , будто вы берёте в рот кусочек океана .</t>
  </si>
  <si>
    <t>file://conllu/ru/teddy-744.conllu#s136_0</t>
  </si>
  <si>
    <t>137</t>
  </si>
  <si>
    <t>согласиться (согласиться сказать)</t>
  </si>
  <si>
    <t>Я сказал об этом Мигелю и он согласился .</t>
  </si>
  <si>
    <t>file://conllu/ru/teddy-744.conllu#s137_0</t>
  </si>
  <si>
    <t>138</t>
  </si>
  <si>
    <t>сказать</t>
  </si>
  <si>
    <t>Он сказал , «Кожа действует как губка .</t>
  </si>
  <si>
    <t>file://conllu/ru/teddy-744.conllu#s138_0</t>
  </si>
  <si>
    <t>139</t>
  </si>
  <si>
    <t>защита</t>
  </si>
  <si>
    <t>Это последняя защита , прежде чем что-либо попадает в организм .</t>
  </si>
  <si>
    <t>file://conllu/ru/teddy-744.conllu#s139_0</t>
  </si>
  <si>
    <t>140</t>
  </si>
  <si>
    <t>эволюционировать</t>
  </si>
  <si>
    <t>Она эволюционировала , чтобы впитывать загрязнения» .</t>
  </si>
  <si>
    <t>file://conllu/ru/teddy-744.conllu#s140_0</t>
  </si>
  <si>
    <t>141</t>
  </si>
  <si>
    <t>А потом он добавил , «Но в нашей воде нет загрязнений» .</t>
  </si>
  <si>
    <t>file://conllu/ru/teddy-744.conllu#s141_0</t>
  </si>
  <si>
    <t>142</t>
  </si>
  <si>
    <t>Хорошо , ферма , которая не кормит свою рыбу .</t>
  </si>
  <si>
    <t>file://conllu/ru/teddy-744.conllu#s142_0</t>
  </si>
  <si>
    <t>143</t>
  </si>
  <si>
    <t>Ферма , которая измеряет свой успех успехом своих «хищников» .</t>
  </si>
  <si>
    <t>file://conllu/ru/teddy-744.conllu#s143_0</t>
  </si>
  <si>
    <t>144</t>
  </si>
  <si>
    <t>осознать</t>
  </si>
  <si>
    <t>И тут я осознал , когда он сказал , что эта ферма не имеет загрязнений , что он что-то недоговаривает , потому что вода , которая течёт через ферму , приходит из реки Гвадалквивир .</t>
  </si>
  <si>
    <t>file://conllu/ru/teddy-744.conllu#s144_0</t>
  </si>
  <si>
    <t>145</t>
  </si>
  <si>
    <t>приносить</t>
  </si>
  <si>
    <t>Эта река приносит всё то , из чего реки , как правило , состоят в наши дни химические вещества , ядохимикаты .</t>
  </si>
  <si>
    <t>file://conllu/ru/teddy-744.conllu#s145_0</t>
  </si>
  <si>
    <t>146</t>
  </si>
  <si>
    <t>становиться</t>
  </si>
  <si>
    <t>Но когда вода проходит через всю систему и листья , она становится чище .</t>
  </si>
  <si>
    <t>file://conllu/ru/teddy-744.conllu#s146_0</t>
  </si>
  <si>
    <t>147</t>
  </si>
  <si>
    <t>Эта система настолько здорова , что очищает воду .</t>
  </si>
  <si>
    <t>file://conllu/ru/teddy-744.conllu#s147_0</t>
  </si>
  <si>
    <t>148</t>
  </si>
  <si>
    <t>Так что , это не только ферма , которая не кормит своих животных , а так же измеряет свой успех здоровьем своих «хищников» , но это ферма является , в буквальном смысле , установкой по очистке воды , и не только для рыб , но так же для вас и меня .</t>
  </si>
  <si>
    <t>file://conllu/ru/teddy-744.conllu#s148_0</t>
  </si>
  <si>
    <t>149</t>
  </si>
  <si>
    <t>впадать</t>
  </si>
  <si>
    <t>Потому что , когда вода уходит , она впадает в Атлантический океан .</t>
  </si>
  <si>
    <t>file://conllu/ru/teddy-744.conllu#s149_0</t>
  </si>
  <si>
    <t>150</t>
  </si>
  <si>
    <t>поддерживать (поддерживать знать)</t>
  </si>
  <si>
    <t>Капля в море , я знаю , но я буду поддерживать их , и вы должны , потому что это история любви , не только романтичная , но и поучительная .</t>
  </si>
  <si>
    <t>file://conllu/ru/teddy-744.conllu#s150_0</t>
  </si>
  <si>
    <t>151</t>
  </si>
  <si>
    <t>можно</t>
  </si>
  <si>
    <t>Можно сказать , что это рецепт будущего хорошего питания , говорим ли мы об окуне или говядине .</t>
  </si>
  <si>
    <t>file://conllu/ru/teddy-744.conllu#s151_0</t>
  </si>
  <si>
    <t>152</t>
  </si>
  <si>
    <t>нужный</t>
  </si>
  <si>
    <t>Что нам теперь нужно — это радикально новая концепция сельского хозяйства , в которой еда должна быть вкусной .</t>
  </si>
  <si>
    <t>file://conllu/ru/teddy-744.conllu#s152_0</t>
  </si>
  <si>
    <t>153</t>
  </si>
  <si>
    <t>( Аплодисменты ) Но для многих людей это может быть слишком радикально .</t>
  </si>
  <si>
    <t>file://conllu/ru/teddy-744.conllu#s153_0</t>
  </si>
  <si>
    <t>154</t>
  </si>
  <si>
    <t>реалист</t>
  </si>
  <si>
    <t>Мы , гурманы , не реалисты .</t>
  </si>
  <si>
    <t>file://conllu/ru/teddy-744.conllu#s154_0</t>
  </si>
  <si>
    <t>155</t>
  </si>
  <si>
    <t>влюблёть</t>
  </si>
  <si>
    <t>Мы влюблённые .</t>
  </si>
  <si>
    <t>file://conllu/ru/teddy-744.conllu#s155_0</t>
  </si>
  <si>
    <t>156</t>
  </si>
  <si>
    <t>Мы любим фермерские рынки .</t>
  </si>
  <si>
    <t>file://conllu/ru/teddy-744.conllu#s156_0</t>
  </si>
  <si>
    <t>157</t>
  </si>
  <si>
    <t>Мы любим маленькие семейные фермы .</t>
  </si>
  <si>
    <t>file://conllu/ru/teddy-744.conllu#s157_0</t>
  </si>
  <si>
    <t>158</t>
  </si>
  <si>
    <t>Мы говорим о местной еде .</t>
  </si>
  <si>
    <t>file://conllu/ru/teddy-744.conllu#s158_0</t>
  </si>
  <si>
    <t>159</t>
  </si>
  <si>
    <t>едить</t>
  </si>
  <si>
    <t>Мы едим экологически чистые продукты .</t>
  </si>
  <si>
    <t>file://conllu/ru/teddy-744.conllu#s159_0</t>
  </si>
  <si>
    <t>160</t>
  </si>
  <si>
    <t>подняться</t>
  </si>
  <si>
    <t>И когда вы решите , что это то , что может гарантировать в будущем хорошую еду , кто-то поднимется и скажет , «Эй , парень , мне нравятся розовые фламинго , но как вы собираетесь кормить мир ? » Как вы собираетесь кормить мир ? » Могу я быть честным ?</t>
  </si>
  <si>
    <t>file://conllu/ru/teddy-744.conllu#s160_0</t>
  </si>
  <si>
    <t>161</t>
  </si>
  <si>
    <t>Я не люблю этот вопрос .</t>
  </si>
  <si>
    <t>file://conllu/ru/teddy-744.conllu#s161_0</t>
  </si>
  <si>
    <t>162</t>
  </si>
  <si>
    <t>Нет , не потому , что мы уже производим достаточно калорий , чтобы накормить мир , даже более чем нужно .</t>
  </si>
  <si>
    <t>file://conllu/ru/teddy-744.conllu#s162_0</t>
  </si>
  <si>
    <t>163</t>
  </si>
  <si>
    <t>оставаться</t>
  </si>
  <si>
    <t>Но один миллиард людей остаётся голодным .</t>
  </si>
  <si>
    <t>file://conllu/ru/teddy-744.conllu#s163_0</t>
  </si>
  <si>
    <t>164</t>
  </si>
  <si>
    <t>это (это большой)</t>
  </si>
  <si>
    <t>Один миллиард – это больше , чем когда-либо , по причине огромного неравенства в распределении , а не в общем количестве еды .</t>
  </si>
  <si>
    <t>file://conllu/ru/teddy-744.conllu#s164_0</t>
  </si>
  <si>
    <t>165</t>
  </si>
  <si>
    <t>Потом , я не люблю этот вопрос , потому что он определяется логикой нашей продовольственной системы в течение последних 50 лет .</t>
  </si>
  <si>
    <t>file://conllu/ru/teddy-744.conllu#s165_0</t>
  </si>
  <si>
    <t>166</t>
  </si>
  <si>
    <t>зерно</t>
  </si>
  <si>
    <t>Кормовые зерна травоядным животным , пестициды монокультурам , химия в почву , курица – рыбе , и всё это время фермеры просто спрашивают : «Если мы кормим всё больше людей , всё более дешёвыми продуктами , что же в этом плохого ? » Это была мотивация .</t>
  </si>
  <si>
    <t>file://conllu/ru/teddy-744.conllu#s166_0</t>
  </si>
  <si>
    <t>167</t>
  </si>
  <si>
    <t>быть (быть оправдание)</t>
  </si>
  <si>
    <t>Это было оправдание .</t>
  </si>
  <si>
    <t>file://conllu/ru/teddy-744.conllu#s167_0</t>
  </si>
  <si>
    <t>168</t>
  </si>
  <si>
    <t>быть (быть план)</t>
  </si>
  <si>
    <t>Это был бизнес план американского сельского хозяйства .</t>
  </si>
  <si>
    <t>file://conllu/ru/teddy-744.conllu#s168_0</t>
  </si>
  <si>
    <t>169</t>
  </si>
  <si>
    <t>Мы должны называть вещи своими именами , бизнес уничтожается , бизнес , который быстро разрушает тот самый экологический капитал , который делает само производство возможным .</t>
  </si>
  <si>
    <t>file://conllu/ru/teddy-744.conllu#s169_0</t>
  </si>
  <si>
    <t>170</t>
  </si>
  <si>
    <t>бизнес</t>
  </si>
  <si>
    <t>Это не бизнес и не сельское хозяйство .</t>
  </si>
  <si>
    <t>file://conllu/ru/teddy-744.conllu#s170_0</t>
  </si>
  <si>
    <t>171</t>
  </si>
  <si>
    <t>сегодня</t>
  </si>
  <si>
    <t>Сегодня наша продуктовая корзина под угрозой не из-за сокращения поставок , а из-за сокращения объёмов ресурсов , не из-за комбайнов и тракторов , а из-за плодородности земли , не из-за водных насосов , а из-за пресной воды , не из-за бензопил , а из-за леса , не из-за рыболовецких судов и сетей , а из-за рыбы в море .</t>
  </si>
  <si>
    <t>file://conllu/ru/teddy-744.conllu#s171_0</t>
  </si>
  <si>
    <t>172</t>
  </si>
  <si>
    <t>Хотите накормить весь мир ?</t>
  </si>
  <si>
    <t>file://conllu/ru/teddy-744.conllu#s172_0</t>
  </si>
  <si>
    <t>173</t>
  </si>
  <si>
    <t>начать</t>
  </si>
  <si>
    <t>Начнём с вопроса : как мы будем кормить себя ?</t>
  </si>
  <si>
    <t>file://conllu/ru/teddy-744.conllu#s173_0</t>
  </si>
  <si>
    <t>174</t>
  </si>
  <si>
    <t>Или ещё лучше , как нам создать условия , которые позволят каждой общине прокормить себя .</t>
  </si>
  <si>
    <t>file://conllu/ru/teddy-744.conllu#s174_0</t>
  </si>
  <si>
    <t>175</t>
  </si>
  <si>
    <t>смотреть</t>
  </si>
  <si>
    <t>Чтобы сделать это , для будущего не смотрите на современную модель агробизнеса .</t>
  </si>
  <si>
    <t>file://conllu/ru/teddy-744.conllu#s175_0</t>
  </si>
  <si>
    <t>176</t>
  </si>
  <si>
    <t>модель</t>
  </si>
  <si>
    <t>Это слишком старая модель , ей пора на покой .</t>
  </si>
  <si>
    <t>file://conllu/ru/teddy-744.conllu#s176_0</t>
  </si>
  <si>
    <t>177</t>
  </si>
  <si>
    <t>требовать (требовать требовать)</t>
  </si>
  <si>
    <t>Эта модель требует большого капитала , химию , требует техническое оснащение , и , по сути , никогда не производит что-то пригодное для еды .</t>
  </si>
  <si>
    <t>file://conllu/ru/teddy-744.conllu#s177_0</t>
  </si>
  <si>
    <t>178</t>
  </si>
  <si>
    <t>смотреть (смотреть давать)</t>
  </si>
  <si>
    <t>Вместо этого давайте посмотрим на экологическую модель .</t>
  </si>
  <si>
    <t>file://conllu/ru/teddy-744.conllu#s178_0</t>
  </si>
  <si>
    <t>179</t>
  </si>
  <si>
    <t>Это единственная модель , которая опирается на двух миллиардный опыт работы .</t>
  </si>
  <si>
    <t>file://conllu/ru/teddy-744.conllu#s179_0</t>
  </si>
  <si>
    <t>180</t>
  </si>
  <si>
    <t>Посмотрите на Мигеля , фермеры как Мигель , фермы , которые не замкнуты на самих себе , фермы , которые восстанавливают , а не истощают , фермы , которые работают экстенсивно , а не интенсивно , фермеры , которые не только производители , но и эксперты во взаимосвязях , а также единственные эксперты в хорошей еде .</t>
  </si>
  <si>
    <t>file://conllu/ru/teddy-744.conllu#s180_0</t>
  </si>
  <si>
    <t>181</t>
  </si>
  <si>
    <t>быть (быть шеф)</t>
  </si>
  <si>
    <t>И если говорить на чистоту , они лучшие шеф -повара , чем я когда-либо буду .</t>
  </si>
  <si>
    <t>file://conllu/ru/teddy-744.conllu#s181_0</t>
  </si>
  <si>
    <t>182</t>
  </si>
  <si>
    <t>нет</t>
  </si>
  <si>
    <t>И знаете что , у меня нет с этим проблем , потому что , если это будущее хороших продуктов , то они будут восхитительны .</t>
  </si>
  <si>
    <t>file://conllu/ru/teddy-744.conllu#s182_0</t>
  </si>
  <si>
    <t>183</t>
  </si>
  <si>
    <t>спасибо</t>
  </si>
  <si>
    <t>Спасибо</t>
  </si>
  <si>
    <t>file://conllu/ru/teddy-744.conllu#s183_0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</si>
  <si>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</si>
  <si>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</si>
  <si>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</si>
  <si>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</si>
  <si>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</si>
  <si>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</si>
  <si>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</si>
  <si>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</si>
  <si>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</si>
  <si>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</si>
  <si>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</si>
  <si>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Что ж, за свою жизнь я знал много рыб.</t>
  </si>
  <si>
    <t>Что</t>
  </si>
  <si>
    <t>other</t>
  </si>
  <si>
    <t>pron.pint</t>
  </si>
  <si>
    <t>ж</t>
  </si>
  <si>
    <t>,</t>
  </si>
  <si>
    <t>за</t>
  </si>
  <si>
    <t>свою</t>
  </si>
  <si>
    <t>жизнь</t>
  </si>
  <si>
    <t>я</t>
  </si>
  <si>
    <t>SBJ</t>
  </si>
  <si>
    <t>pron</t>
  </si>
  <si>
    <t>?OLD</t>
  </si>
  <si>
    <t>знал</t>
  </si>
  <si>
    <t>много</t>
  </si>
  <si>
    <t>рыб</t>
  </si>
  <si>
    <t>.</t>
  </si>
  <si>
    <t># text = Но любил я только двух.</t>
  </si>
  <si>
    <t>Но</t>
  </si>
  <si>
    <t>любил</t>
  </si>
  <si>
    <t>только</t>
  </si>
  <si>
    <t>двух</t>
  </si>
  <si>
    <t># text = С первой было что-то вроде страстной интрижки.</t>
  </si>
  <si>
    <t>С</t>
  </si>
  <si>
    <t>первой</t>
  </si>
  <si>
    <t>было</t>
  </si>
  <si>
    <t>вроде</t>
  </si>
  <si>
    <t>страстной</t>
  </si>
  <si>
    <t>интрижки</t>
  </si>
  <si>
    <t># text = Это была прекрасная рыба, ароматная, текстурная, мясистая, хит продаж в меню.</t>
  </si>
  <si>
    <t>Это</t>
  </si>
  <si>
    <t>pron.pds</t>
  </si>
  <si>
    <t>была</t>
  </si>
  <si>
    <t>прекрасная</t>
  </si>
  <si>
    <t>ароматная</t>
  </si>
  <si>
    <t>текстурная</t>
  </si>
  <si>
    <t>мясистая</t>
  </si>
  <si>
    <t>хит</t>
  </si>
  <si>
    <t>продаж</t>
  </si>
  <si>
    <t>в</t>
  </si>
  <si>
    <t>меню</t>
  </si>
  <si>
    <t># text = Что за рыба!</t>
  </si>
  <si>
    <t>!</t>
  </si>
  <si>
    <t># text = (Смех) Что ещё лучше, это была рыба, выращенная на ферме, которая придерживалась высоких экологических стандартов.</t>
  </si>
  <si>
    <t>(</t>
  </si>
  <si>
    <t>Смех</t>
  </si>
  <si>
    <t>ne</t>
  </si>
  <si>
    <t>)</t>
  </si>
  <si>
    <t>ещё</t>
  </si>
  <si>
    <t>лучше</t>
  </si>
  <si>
    <t>это</t>
  </si>
  <si>
    <t>SBJ_2</t>
  </si>
  <si>
    <t>выращенная</t>
  </si>
  <si>
    <t>на</t>
  </si>
  <si>
    <t>ферме</t>
  </si>
  <si>
    <t>которая</t>
  </si>
  <si>
    <t>SBJ_5</t>
  </si>
  <si>
    <t>придерживалась</t>
  </si>
  <si>
    <t>высоких</t>
  </si>
  <si>
    <t>экологических</t>
  </si>
  <si>
    <t>стандартов</t>
  </si>
  <si>
    <t># text = Так что вы могли чувствовать себя уверенно, продавая эту рыбу.</t>
  </si>
  <si>
    <t>Так</t>
  </si>
  <si>
    <t>что</t>
  </si>
  <si>
    <t>вы</t>
  </si>
  <si>
    <t>могли</t>
  </si>
  <si>
    <t>чувствовать</t>
  </si>
  <si>
    <t>себя</t>
  </si>
  <si>
    <t>OBJ_2</t>
  </si>
  <si>
    <t>уверенно</t>
  </si>
  <si>
    <t>продавая</t>
  </si>
  <si>
    <t>эту</t>
  </si>
  <si>
    <t>рыбу</t>
  </si>
  <si>
    <t>OBJ_3</t>
  </si>
  <si>
    <t>def-np.dem</t>
  </si>
  <si>
    <t># text = Отношения с этой красавицей длились несколько месяцев.</t>
  </si>
  <si>
    <t>Отношения</t>
  </si>
  <si>
    <t>с</t>
  </si>
  <si>
    <t>этой</t>
  </si>
  <si>
    <t>красавицей</t>
  </si>
  <si>
    <t>other_2</t>
  </si>
  <si>
    <t>длились</t>
  </si>
  <si>
    <t>несколько</t>
  </si>
  <si>
    <t>месяцев</t>
  </si>
  <si>
    <t>indef-np.quant</t>
  </si>
  <si>
    <t># text = Однажды, мне позвонил глава компании и спросил, мог бы я выступить на встрече об экологической сбалансированности фермы.</t>
  </si>
  <si>
    <t>Однажды</t>
  </si>
  <si>
    <t>мне</t>
  </si>
  <si>
    <t>OBJ</t>
  </si>
  <si>
    <t>позвонил</t>
  </si>
  <si>
    <t>глава</t>
  </si>
  <si>
    <t>компании</t>
  </si>
  <si>
    <t>и</t>
  </si>
  <si>
    <t>спросил</t>
  </si>
  <si>
    <t>мог</t>
  </si>
  <si>
    <t>бы</t>
  </si>
  <si>
    <t>SBJ_3</t>
  </si>
  <si>
    <t>выступить</t>
  </si>
  <si>
    <t>встрече</t>
  </si>
  <si>
    <t>об</t>
  </si>
  <si>
    <t>экологической</t>
  </si>
  <si>
    <t>сбалансированности</t>
  </si>
  <si>
    <t>фермы</t>
  </si>
  <si>
    <t># text = «Безусловно», — сказал я.</t>
  </si>
  <si>
    <t>—</t>
  </si>
  <si>
    <t>сказал</t>
  </si>
  <si>
    <t># text = Это была попытка компании решить то, что стало невообразимой проблемой для наших шеф-поваров.</t>
  </si>
  <si>
    <t>попытка</t>
  </si>
  <si>
    <t>решить</t>
  </si>
  <si>
    <t>то</t>
  </si>
  <si>
    <t>SBJ_4</t>
  </si>
  <si>
    <t>стало</t>
  </si>
  <si>
    <t>невообразимой</t>
  </si>
  <si>
    <t>проблемой</t>
  </si>
  <si>
    <t>для</t>
  </si>
  <si>
    <t>наших</t>
  </si>
  <si>
    <t>other_6</t>
  </si>
  <si>
    <t>pron.ppos</t>
  </si>
  <si>
    <t>шеф</t>
  </si>
  <si>
    <t>-поваров</t>
  </si>
  <si>
    <t># text = Как сохранить рыбу в нашем меню?</t>
  </si>
  <si>
    <t>Как</t>
  </si>
  <si>
    <t>нашем</t>
  </si>
  <si>
    <t>?</t>
  </si>
  <si>
    <t># text = Последние 50 лет мы ловили рыбу в морях так же, как вырубали леса.</t>
  </si>
  <si>
    <t>Последние</t>
  </si>
  <si>
    <t>лет</t>
  </si>
  <si>
    <t>мы</t>
  </si>
  <si>
    <t>ловили</t>
  </si>
  <si>
    <t>морях</t>
  </si>
  <si>
    <t>так</t>
  </si>
  <si>
    <t>же</t>
  </si>
  <si>
    <t>как</t>
  </si>
  <si>
    <t>вырубали</t>
  </si>
  <si>
    <t>леса</t>
  </si>
  <si>
    <t># text = Трудно переоценить разрушение.</t>
  </si>
  <si>
    <t>Трудно</t>
  </si>
  <si>
    <t>переоценить</t>
  </si>
  <si>
    <t>разрушение</t>
  </si>
  <si>
    <t># text = 90% крупных рыб, одни из наших любимых, тунец, палтус, лосось, рыба-меч — уничтожены.</t>
  </si>
  <si>
    <t>%</t>
  </si>
  <si>
    <t>крупных</t>
  </si>
  <si>
    <t>одни</t>
  </si>
  <si>
    <t>из</t>
  </si>
  <si>
    <t>other_3</t>
  </si>
  <si>
    <t>любимых</t>
  </si>
  <si>
    <t>тунец</t>
  </si>
  <si>
    <t>палтус</t>
  </si>
  <si>
    <t>лосось</t>
  </si>
  <si>
    <t>меч</t>
  </si>
  <si>
    <t>уничтожены</t>
  </si>
  <si>
    <t># text = Почти ничего не осталось.</t>
  </si>
  <si>
    <t>Почти</t>
  </si>
  <si>
    <t>ничего</t>
  </si>
  <si>
    <t>pron.pind</t>
  </si>
  <si>
    <t>не</t>
  </si>
  <si>
    <t>осталось</t>
  </si>
  <si>
    <t># text = Таким образом, к лучшему или к худшему, но аквакультура, рыбное фермерство, будет частью нашего будущего.</t>
  </si>
  <si>
    <t>Таким</t>
  </si>
  <si>
    <t>образом</t>
  </si>
  <si>
    <t>к</t>
  </si>
  <si>
    <t>лучшему</t>
  </si>
  <si>
    <t>или</t>
  </si>
  <si>
    <t>худшему</t>
  </si>
  <si>
    <t>но</t>
  </si>
  <si>
    <t>аквакультура</t>
  </si>
  <si>
    <t>рыбное</t>
  </si>
  <si>
    <t>фермерство</t>
  </si>
  <si>
    <t>будет</t>
  </si>
  <si>
    <t>частью</t>
  </si>
  <si>
    <t>нашего</t>
  </si>
  <si>
    <t>будущего</t>
  </si>
  <si>
    <t># text = Много аргументов против этого.</t>
  </si>
  <si>
    <t>Много</t>
  </si>
  <si>
    <t>аргументов</t>
  </si>
  <si>
    <t>def-np.poss</t>
  </si>
  <si>
    <t>против</t>
  </si>
  <si>
    <t>этого</t>
  </si>
  <si>
    <t># text = Рыбные фермерства загрязняют окружающую среду, по крайне мере большинство из них, и они неэффективны, возьмём, к примеру, тунца.</t>
  </si>
  <si>
    <t>Рыбные</t>
  </si>
  <si>
    <t>фермерства</t>
  </si>
  <si>
    <t>загрязняют</t>
  </si>
  <si>
    <t>окружающую</t>
  </si>
  <si>
    <t>среду</t>
  </si>
  <si>
    <t>по</t>
  </si>
  <si>
    <t>крайне</t>
  </si>
  <si>
    <t>мере</t>
  </si>
  <si>
    <t>большинство</t>
  </si>
  <si>
    <t>них</t>
  </si>
  <si>
    <t>они</t>
  </si>
  <si>
    <t>неэффективны</t>
  </si>
  <si>
    <t>возьмём</t>
  </si>
  <si>
    <t>примеру</t>
  </si>
  <si>
    <t>тунца</t>
  </si>
  <si>
    <t># text = Основной недостаток — это показатель эффективности корма: 15 к 1му.</t>
  </si>
  <si>
    <t>Основной</t>
  </si>
  <si>
    <t>недостаток</t>
  </si>
  <si>
    <t>эффективности</t>
  </si>
  <si>
    <t>корма</t>
  </si>
  <si>
    <t>:</t>
  </si>
  <si>
    <t>1му</t>
  </si>
  <si>
    <t># text = Это означает, что вам требуется 15 кг дикой рыбы, чтобы получить 1 кг фермерской.</t>
  </si>
  <si>
    <t>означает</t>
  </si>
  <si>
    <t>вам</t>
  </si>
  <si>
    <t>требуется</t>
  </si>
  <si>
    <t>кг</t>
  </si>
  <si>
    <t>дикой</t>
  </si>
  <si>
    <t>рыбы</t>
  </si>
  <si>
    <t>чтобы</t>
  </si>
  <si>
    <t>получить</t>
  </si>
  <si>
    <t>фермерской</t>
  </si>
  <si>
    <t># text = Не очень рационально.</t>
  </si>
  <si>
    <t>Не</t>
  </si>
  <si>
    <t># text = На вкус тоже не очень.</t>
  </si>
  <si>
    <t>На</t>
  </si>
  <si>
    <t>вкус</t>
  </si>
  <si>
    <t>тоже</t>
  </si>
  <si>
    <t># text = И вот, наконец, компания, пытающаяся выращивать рыбу правильно.</t>
  </si>
  <si>
    <t>И</t>
  </si>
  <si>
    <t>вот</t>
  </si>
  <si>
    <t>наконец</t>
  </si>
  <si>
    <t>пытающаяся</t>
  </si>
  <si>
    <t>правильно</t>
  </si>
  <si>
    <t># text = Я хотел их поддержать.</t>
  </si>
  <si>
    <t>Я</t>
  </si>
  <si>
    <t>хотел</t>
  </si>
  <si>
    <t>их</t>
  </si>
  <si>
    <t>поддержать</t>
  </si>
  <si>
    <t># text = За день до встречи я позвонил PR-менеджеру компании.</t>
  </si>
  <si>
    <t>За</t>
  </si>
  <si>
    <t>день</t>
  </si>
  <si>
    <t>до</t>
  </si>
  <si>
    <t>встречи</t>
  </si>
  <si>
    <t>PR</t>
  </si>
  <si>
    <t>менеджеру</t>
  </si>
  <si>
    <t># text = Назовём его Дон.</t>
  </si>
  <si>
    <t>Назовём</t>
  </si>
  <si>
    <t>его</t>
  </si>
  <si>
    <t># text = «Дон»,- говорю я, - «давай смотреть фактам в лицо, вы, ребята, известны тем, что ваши фермы так далеко от моря, что вы не загрязняете окружающую среду».</t>
  </si>
  <si>
    <t>говорю</t>
  </si>
  <si>
    <t>«давай</t>
  </si>
  <si>
    <t>фактам</t>
  </si>
  <si>
    <t>лицо</t>
  </si>
  <si>
    <t>ребята</t>
  </si>
  <si>
    <t>известны</t>
  </si>
  <si>
    <t>тем</t>
  </si>
  <si>
    <t>ваши</t>
  </si>
  <si>
    <t>OBJ_5</t>
  </si>
  <si>
    <t>далеко</t>
  </si>
  <si>
    <t>от</t>
  </si>
  <si>
    <t>моря</t>
  </si>
  <si>
    <t>SBJ_7</t>
  </si>
  <si>
    <t>загрязняете</t>
  </si>
  <si>
    <t>среду»</t>
  </si>
  <si>
    <t># text = «Это точно», - говорит он, - «Мы так далеко, что отходы от нашей рыбы рассредоточиваются, а не концентрируются».</t>
  </si>
  <si>
    <t>«Это</t>
  </si>
  <si>
    <t>точно»</t>
  </si>
  <si>
    <t>говорит</t>
  </si>
  <si>
    <t>он</t>
  </si>
  <si>
    <t>«Мы</t>
  </si>
  <si>
    <t>отходы</t>
  </si>
  <si>
    <t>нашей</t>
  </si>
  <si>
    <t>other_5</t>
  </si>
  <si>
    <t>рассредоточиваются</t>
  </si>
  <si>
    <t>а</t>
  </si>
  <si>
    <t>концентрируются»</t>
  </si>
  <si>
    <t># text = А потом он добавил, - «По существу, у нас свой мир.</t>
  </si>
  <si>
    <t>А</t>
  </si>
  <si>
    <t>потом</t>
  </si>
  <si>
    <t>добавил</t>
  </si>
  <si>
    <t>«По</t>
  </si>
  <si>
    <t>существу</t>
  </si>
  <si>
    <t>у</t>
  </si>
  <si>
    <t>нас</t>
  </si>
  <si>
    <t>свой</t>
  </si>
  <si>
    <t>мир</t>
  </si>
  <si>
    <t># text = Показатель эффективности корма?</t>
  </si>
  <si>
    <t>Показатель</t>
  </si>
  <si>
    <t># text = 2.5 к 1му»,- говорит он,- «Лучший показатель в этом бизнесе».</t>
  </si>
  <si>
    <t>1му»</t>
  </si>
  <si>
    <t>«Лучший</t>
  </si>
  <si>
    <t>этом</t>
  </si>
  <si>
    <t>бизнесе»</t>
  </si>
  <si>
    <t># text = 2.5 к 1му, отлично.</t>
  </si>
  <si>
    <t>отлично</t>
  </si>
  <si>
    <t># text = «2.5 к 1му чего, чем вы кормите рыбу?» «Полноценным белком», - сказал он.</t>
  </si>
  <si>
    <t>чего</t>
  </si>
  <si>
    <t>чем</t>
  </si>
  <si>
    <t>other_4</t>
  </si>
  <si>
    <t>кормите</t>
  </si>
  <si>
    <t>OBJ_4</t>
  </si>
  <si>
    <t>»</t>
  </si>
  <si>
    <t>«Полноценным</t>
  </si>
  <si>
    <t>белком»</t>
  </si>
  <si>
    <t># text = «Отлично»,- сказал я и положил трубку.</t>
  </si>
  <si>
    <t>положил</t>
  </si>
  <si>
    <t>трубку</t>
  </si>
  <si>
    <t># text = В ту ночь я лежал в кровати и думал:</t>
  </si>
  <si>
    <t>В</t>
  </si>
  <si>
    <t>ту</t>
  </si>
  <si>
    <t>ночь</t>
  </si>
  <si>
    <t>лежал</t>
  </si>
  <si>
    <t>кровати</t>
  </si>
  <si>
    <t>думал</t>
  </si>
  <si>
    <t># text = Что же это за чёртов полноценный белок?</t>
  </si>
  <si>
    <t>чёртов</t>
  </si>
  <si>
    <t>полноценный</t>
  </si>
  <si>
    <t># text = Поэтому на следующий день, буквально перед встречей, я позвонил Дону.</t>
  </si>
  <si>
    <t>Поэтому</t>
  </si>
  <si>
    <t>следующий</t>
  </si>
  <si>
    <t>буквально</t>
  </si>
  <si>
    <t>перед</t>
  </si>
  <si>
    <t>встречей</t>
  </si>
  <si>
    <t>Дону</t>
  </si>
  <si>
    <t># text = Говорю,- «Дон, скажи мне пару примеров полноценного белка».</t>
  </si>
  <si>
    <t>Говорю</t>
  </si>
  <si>
    <t>«Дон</t>
  </si>
  <si>
    <t>скажи</t>
  </si>
  <si>
    <t>пару</t>
  </si>
  <si>
    <t>примеров</t>
  </si>
  <si>
    <t>полноценного</t>
  </si>
  <si>
    <t>белка»</t>
  </si>
  <si>
    <t># text = Он сказал, что не знает.</t>
  </si>
  <si>
    <t>Он</t>
  </si>
  <si>
    <t>знает</t>
  </si>
  <si>
    <t># text = Он поспрашивает.</t>
  </si>
  <si>
    <t>поспрашивает</t>
  </si>
  <si>
    <t># text = Что ж, я созвонился с несколькими представителями компании.</t>
  </si>
  <si>
    <t>созвонился</t>
  </si>
  <si>
    <t>несколькими</t>
  </si>
  <si>
    <t>представителями</t>
  </si>
  <si>
    <t># text = Ни один не смог дать мне прямого ответа.</t>
  </si>
  <si>
    <t>Ни</t>
  </si>
  <si>
    <t>один</t>
  </si>
  <si>
    <t>смог</t>
  </si>
  <si>
    <t>дать</t>
  </si>
  <si>
    <t>прямого</t>
  </si>
  <si>
    <t>ответа</t>
  </si>
  <si>
    <t># text = Пока, наконец, я не связался с главным биологом.</t>
  </si>
  <si>
    <t>Пока</t>
  </si>
  <si>
    <t>связался</t>
  </si>
  <si>
    <t>главным</t>
  </si>
  <si>
    <t>биологом</t>
  </si>
  <si>
    <t># text = Давайте назовём его тоже Доном.</t>
  </si>
  <si>
    <t>Давайте</t>
  </si>
  <si>
    <t>назовём</t>
  </si>
  <si>
    <t>Доном</t>
  </si>
  <si>
    <t># text = «Дон», - я говорю, - «Приведите мне несколько примеров полноценного белка».</t>
  </si>
  <si>
    <t>«Приведите</t>
  </si>
  <si>
    <t># text = Что ж, он упомянул некоторые водоросли, рыбий корм, и потом назвал куриные брикеты.</t>
  </si>
  <si>
    <t>упомянул</t>
  </si>
  <si>
    <t>некоторые</t>
  </si>
  <si>
    <t>водоросли</t>
  </si>
  <si>
    <t>indef-np</t>
  </si>
  <si>
    <t>рыбий</t>
  </si>
  <si>
    <t>корм</t>
  </si>
  <si>
    <t>назвал</t>
  </si>
  <si>
    <t>куриные</t>
  </si>
  <si>
    <t>брикеты</t>
  </si>
  <si>
    <t># text = Я спросил,- «Куриные брикеты?» Он ответил,- «Да, перья, кожа, костная мука, остатки, высушенные и переработанные в корм».</t>
  </si>
  <si>
    <t>«Куриные</t>
  </si>
  <si>
    <t>ответил</t>
  </si>
  <si>
    <t>«Да</t>
  </si>
  <si>
    <t>перья</t>
  </si>
  <si>
    <t>кожа</t>
  </si>
  <si>
    <t>костная</t>
  </si>
  <si>
    <t>мука</t>
  </si>
  <si>
    <t>остатки</t>
  </si>
  <si>
    <t>высушенные</t>
  </si>
  <si>
    <t>переработанные</t>
  </si>
  <si>
    <t>корм»</t>
  </si>
  <si>
    <t># text = Я спросил, - «Какой процент кормления ваших рыб составляет курица?», - думая при этом, знаете ли, о процентах двух.</t>
  </si>
  <si>
    <t>«Какой</t>
  </si>
  <si>
    <t>процент</t>
  </si>
  <si>
    <t>кормления</t>
  </si>
  <si>
    <t>ваших</t>
  </si>
  <si>
    <t>составляет</t>
  </si>
  <si>
    <t>курица</t>
  </si>
  <si>
    <t>думая</t>
  </si>
  <si>
    <t>при</t>
  </si>
  <si>
    <t>знаете</t>
  </si>
  <si>
    <t>ли</t>
  </si>
  <si>
    <t>о</t>
  </si>
  <si>
    <t>процентах</t>
  </si>
  <si>
    <t># text = Нуу, около 30%»,- ответил он.</t>
  </si>
  <si>
    <t>Нуу</t>
  </si>
  <si>
    <t>около</t>
  </si>
  <si>
    <t># text = Я спросил,- «Дон, а в чём экологичность кормления рыбы курицей?» На том конце телефона возникла длинная пауза, и он ответил,- «да, собственно, на Земле слишком много кур».</t>
  </si>
  <si>
    <t>чём</t>
  </si>
  <si>
    <t>экологичность</t>
  </si>
  <si>
    <t>курицей</t>
  </si>
  <si>
    <t>том</t>
  </si>
  <si>
    <t>конце</t>
  </si>
  <si>
    <t>other_7</t>
  </si>
  <si>
    <t>телефона</t>
  </si>
  <si>
    <t>возникла</t>
  </si>
  <si>
    <t>длинная</t>
  </si>
  <si>
    <t>пауза</t>
  </si>
  <si>
    <t>SBJ_8</t>
  </si>
  <si>
    <t>«да</t>
  </si>
  <si>
    <t>собственно</t>
  </si>
  <si>
    <t>Земле</t>
  </si>
  <si>
    <t>слишком</t>
  </si>
  <si>
    <t>кур»</t>
  </si>
  <si>
    <t># text = Что ж, я разлюбил эту рыбу.</t>
  </si>
  <si>
    <t>разлюбил</t>
  </si>
  <si>
    <t># text = Нет, не потому, что я самодовольный, благочестивый гурман.</t>
  </si>
  <si>
    <t>Нет</t>
  </si>
  <si>
    <t>самодовольный</t>
  </si>
  <si>
    <t>благочестивый</t>
  </si>
  <si>
    <t>гурман</t>
  </si>
  <si>
    <t># text = Хотя я гурман.</t>
  </si>
  <si>
    <t>Хотя</t>
  </si>
  <si>
    <t># text = Нет, в действительности, я разлюбил эту рыбу, потому что после этого разговора, я клянусь вам, эта рыба на вкус стала как курица.</t>
  </si>
  <si>
    <t>действительности</t>
  </si>
  <si>
    <t>после</t>
  </si>
  <si>
    <t>разговора</t>
  </si>
  <si>
    <t>клянусь</t>
  </si>
  <si>
    <t>эта</t>
  </si>
  <si>
    <t>стала</t>
  </si>
  <si>
    <t># text = Вторая рыба — это другая история любви.</t>
  </si>
  <si>
    <t>Вторая</t>
  </si>
  <si>
    <t>другая</t>
  </si>
  <si>
    <t>любви</t>
  </si>
  <si>
    <t># text = Что-то вроде романтичной истории, где, чем больше вы узнаёте вашу рыбу, тем больше вы её любите.</t>
  </si>
  <si>
    <t>Что-то</t>
  </si>
  <si>
    <t>романтичной</t>
  </si>
  <si>
    <t>истории</t>
  </si>
  <si>
    <t>где</t>
  </si>
  <si>
    <t>больше</t>
  </si>
  <si>
    <t>узнаёте</t>
  </si>
  <si>
    <t>вашу</t>
  </si>
  <si>
    <t>её</t>
  </si>
  <si>
    <t>любите</t>
  </si>
  <si>
    <t># text = Я ел эту рыбу в ресторане на юге Испании.</t>
  </si>
  <si>
    <t>ел</t>
  </si>
  <si>
    <t>ресторане</t>
  </si>
  <si>
    <t>юге</t>
  </si>
  <si>
    <t>Испании</t>
  </si>
  <si>
    <t># text = Мой друг журналист рассказывал мне об этой рыбе много раз.</t>
  </si>
  <si>
    <t>Мой</t>
  </si>
  <si>
    <t>друг</t>
  </si>
  <si>
    <t>журналист</t>
  </si>
  <si>
    <t>рассказывал</t>
  </si>
  <si>
    <t>рыбе</t>
  </si>
  <si>
    <t>раз</t>
  </si>
  <si>
    <t># text = Эта рыба «подставила» нас.</t>
  </si>
  <si>
    <t>Эта</t>
  </si>
  <si>
    <t>«подставила»</t>
  </si>
  <si>
    <t># text = Она появилась на столе, яркая, почти мерцающая, белого цвета.</t>
  </si>
  <si>
    <t>Она</t>
  </si>
  <si>
    <t>появилась</t>
  </si>
  <si>
    <t>столе</t>
  </si>
  <si>
    <t>яркая</t>
  </si>
  <si>
    <t>почти</t>
  </si>
  <si>
    <t>мерцающая</t>
  </si>
  <si>
    <t>белого</t>
  </si>
  <si>
    <t>цвета</t>
  </si>
  <si>
    <t># text = Повар передержал её при готовке, раза в два.</t>
  </si>
  <si>
    <t>Повар</t>
  </si>
  <si>
    <t>передержал</t>
  </si>
  <si>
    <t>готовке</t>
  </si>
  <si>
    <t>раза</t>
  </si>
  <si>
    <t>два</t>
  </si>
  <si>
    <t># text = Невероятно, но рыба была восхитительна.</t>
  </si>
  <si>
    <t>Невероятно</t>
  </si>
  <si>
    <t>восхитительна</t>
  </si>
  <si>
    <t># text = Кто может сделать вкус рыбы пригодным к еде после того, как её переварили?</t>
  </si>
  <si>
    <t>Кто</t>
  </si>
  <si>
    <t>может</t>
  </si>
  <si>
    <t>сделать</t>
  </si>
  <si>
    <t>пригодным</t>
  </si>
  <si>
    <t>еде</t>
  </si>
  <si>
    <t>того</t>
  </si>
  <si>
    <t>OBJ_6</t>
  </si>
  <si>
    <t>переварили</t>
  </si>
  <si>
    <t># text = Я не могу, но этот парень может.</t>
  </si>
  <si>
    <t>могу</t>
  </si>
  <si>
    <t>этот</t>
  </si>
  <si>
    <t># text = Назовём его Мигель.</t>
  </si>
  <si>
    <t># text = Вообще-то, его имя действительно Мигель.</t>
  </si>
  <si>
    <t>Вообще</t>
  </si>
  <si>
    <t>имя</t>
  </si>
  <si>
    <t>действительно</t>
  </si>
  <si>
    <t># text = Нет, он не готовит рыбу, и он не шеф-повар.</t>
  </si>
  <si>
    <t>готовит</t>
  </si>
  <si>
    <t>шеф-повар</t>
  </si>
  <si>
    <t># text = По крайней мере в том смысле, как вы и я это понимаем.</t>
  </si>
  <si>
    <t>По</t>
  </si>
  <si>
    <t>крайней</t>
  </si>
  <si>
    <t>смысле</t>
  </si>
  <si>
    <t>понимаем</t>
  </si>
  <si>
    <t># text = Он биолог в Вета ла Пальма.</t>
  </si>
  <si>
    <t>биолог</t>
  </si>
  <si>
    <t>Вета</t>
  </si>
  <si>
    <t>ла</t>
  </si>
  <si>
    <t>Пальма</t>
  </si>
  <si>
    <t># text = Это рыбная ферма на юго-западе Испании.</t>
  </si>
  <si>
    <t>рыбная</t>
  </si>
  <si>
    <t>юго-западе</t>
  </si>
  <si>
    <t># text = Расположена в верховьях реки Гвадалквивир.</t>
  </si>
  <si>
    <t>Расположена</t>
  </si>
  <si>
    <t>верховьях</t>
  </si>
  <si>
    <t>реки</t>
  </si>
  <si>
    <t>Гвадалквивир</t>
  </si>
  <si>
    <t># text = До 1980г эта ферма была в руках аргентинцев.</t>
  </si>
  <si>
    <t>До</t>
  </si>
  <si>
    <t>1980г</t>
  </si>
  <si>
    <t>руках</t>
  </si>
  <si>
    <t>аргентинцев</t>
  </si>
  <si>
    <t># text = Они выращивали крупный рогатый скот на земле, которая, фактически, была болотом.</t>
  </si>
  <si>
    <t>Они</t>
  </si>
  <si>
    <t>выращивали</t>
  </si>
  <si>
    <t>крупный</t>
  </si>
  <si>
    <t>рогатый</t>
  </si>
  <si>
    <t>скот</t>
  </si>
  <si>
    <t>земле</t>
  </si>
  <si>
    <t>фактически</t>
  </si>
  <si>
    <t>болотом</t>
  </si>
  <si>
    <t># text = Они занимались этим, осушая земли.</t>
  </si>
  <si>
    <t>занимались</t>
  </si>
  <si>
    <t>этим</t>
  </si>
  <si>
    <t>осушая</t>
  </si>
  <si>
    <t>земли</t>
  </si>
  <si>
    <t># text = Они построили сложный ряд каналов, выводя воду из земли и направляя её прямо в реку.</t>
  </si>
  <si>
    <t>построили</t>
  </si>
  <si>
    <t>сложный</t>
  </si>
  <si>
    <t>ряд</t>
  </si>
  <si>
    <t>каналов</t>
  </si>
  <si>
    <t>выводя</t>
  </si>
  <si>
    <t>воду</t>
  </si>
  <si>
    <t>направляя</t>
  </si>
  <si>
    <t>прямо</t>
  </si>
  <si>
    <t>реку</t>
  </si>
  <si>
    <t># text = Что ж, это не работало, так же и экономически, а экологически – это было ужасно.</t>
  </si>
  <si>
    <t>работало</t>
  </si>
  <si>
    <t>экономически</t>
  </si>
  <si>
    <t>экологически</t>
  </si>
  <si>
    <t>–</t>
  </si>
  <si>
    <t>ужасно</t>
  </si>
  <si>
    <t># text = Этот метод убил 90% птиц, для этого места это много птиц.</t>
  </si>
  <si>
    <t>Этот</t>
  </si>
  <si>
    <t>метод</t>
  </si>
  <si>
    <t>убил</t>
  </si>
  <si>
    <t>птиц</t>
  </si>
  <si>
    <t>места</t>
  </si>
  <si>
    <t># text = И поэтому, в 1982 г., испанская компания с экологической политикой купила эту землю.</t>
  </si>
  <si>
    <t>поэтому</t>
  </si>
  <si>
    <t>1982</t>
  </si>
  <si>
    <t>г.</t>
  </si>
  <si>
    <t>испанская</t>
  </si>
  <si>
    <t>политикой</t>
  </si>
  <si>
    <t>купила</t>
  </si>
  <si>
    <t>землю</t>
  </si>
  <si>
    <t># text = Что они сделали?</t>
  </si>
  <si>
    <t>сделали</t>
  </si>
  <si>
    <t># text = Они развернули поток воды.</t>
  </si>
  <si>
    <t>развернули</t>
  </si>
  <si>
    <t>поток</t>
  </si>
  <si>
    <t>воды</t>
  </si>
  <si>
    <t># text = Буквально переключили выключатель.</t>
  </si>
  <si>
    <t>Буквально</t>
  </si>
  <si>
    <t>переключили</t>
  </si>
  <si>
    <t>выключатель</t>
  </si>
  <si>
    <t># text = Вместо отвода воды, они использовали каналы для вливания воды на территорию.</t>
  </si>
  <si>
    <t>Вместо</t>
  </si>
  <si>
    <t>отвода</t>
  </si>
  <si>
    <t>использовали</t>
  </si>
  <si>
    <t>каналы</t>
  </si>
  <si>
    <t>вливания</t>
  </si>
  <si>
    <t>территорию</t>
  </si>
  <si>
    <t># text = Они наводнили каналы.</t>
  </si>
  <si>
    <t>наводнили</t>
  </si>
  <si>
    <t># text = Они создали 109 кв. км рыбных ферм — окунь, кефаль, креветки, угорь и в этом процессе, Мигель и эта компания, полностью исправили экологическое разрушение.</t>
  </si>
  <si>
    <t>создали</t>
  </si>
  <si>
    <t>кв</t>
  </si>
  <si>
    <t>км</t>
  </si>
  <si>
    <t>рыбных</t>
  </si>
  <si>
    <t>ферм</t>
  </si>
  <si>
    <t>окунь</t>
  </si>
  <si>
    <t>кефаль</t>
  </si>
  <si>
    <t>креветки</t>
  </si>
  <si>
    <t>угорь</t>
  </si>
  <si>
    <t>процессе</t>
  </si>
  <si>
    <t>полностью</t>
  </si>
  <si>
    <t>исправили</t>
  </si>
  <si>
    <t>экологическое</t>
  </si>
  <si>
    <t># text = Ферма потрясающая.</t>
  </si>
  <si>
    <t>потрясающая</t>
  </si>
  <si>
    <t># text = Я хочу сказать, вы никогда не видели ничего подобного.</t>
  </si>
  <si>
    <t>хочу</t>
  </si>
  <si>
    <t>никогда</t>
  </si>
  <si>
    <t>видели</t>
  </si>
  <si>
    <t>подобного</t>
  </si>
  <si>
    <t># text = Вы вглядываетесь в горизонт на расстоянии миллионов километров, и всё, что вы видите, — это наводнённые каналы и эту насыщенную, богатую болотистую местность.</t>
  </si>
  <si>
    <t>Вы</t>
  </si>
  <si>
    <t>вглядываетесь</t>
  </si>
  <si>
    <t>горизонт</t>
  </si>
  <si>
    <t>расстоянии</t>
  </si>
  <si>
    <t>миллионов</t>
  </si>
  <si>
    <t>километров</t>
  </si>
  <si>
    <t>всё</t>
  </si>
  <si>
    <t>видите</t>
  </si>
  <si>
    <t>наводнённые</t>
  </si>
  <si>
    <t>насыщенную</t>
  </si>
  <si>
    <t>богатую</t>
  </si>
  <si>
    <t>болотистую</t>
  </si>
  <si>
    <t>местность</t>
  </si>
  <si>
    <t># text = Я там был недавно с Мигелем.</t>
  </si>
  <si>
    <t>там</t>
  </si>
  <si>
    <t>был</t>
  </si>
  <si>
    <t>недавно</t>
  </si>
  <si>
    <t>Мигелем</t>
  </si>
  <si>
    <t># text = Он потрясный парень, три четверти Чарльза Дарвина и одна Крокодила Данди.</t>
  </si>
  <si>
    <t>потрясный</t>
  </si>
  <si>
    <t>три</t>
  </si>
  <si>
    <t>четверти</t>
  </si>
  <si>
    <t>Чарльза</t>
  </si>
  <si>
    <t>Дарвина</t>
  </si>
  <si>
    <t>одна</t>
  </si>
  <si>
    <t>Крокодила</t>
  </si>
  <si>
    <t>Данди</t>
  </si>
  <si>
    <t># text = Представили?</t>
  </si>
  <si>
    <t>Представили</t>
  </si>
  <si>
    <t># text = Мы пробирались по болотистой почве, я задыхался и покрывался потом, утопая по колено в грязи, а Мигель спокойно читал лекции по биологии.</t>
  </si>
  <si>
    <t>Мы</t>
  </si>
  <si>
    <t>пробирались</t>
  </si>
  <si>
    <t>болотистой</t>
  </si>
  <si>
    <t>почве</t>
  </si>
  <si>
    <t>задыхался</t>
  </si>
  <si>
    <t>покрывался</t>
  </si>
  <si>
    <t>утопая</t>
  </si>
  <si>
    <t>колено</t>
  </si>
  <si>
    <t>грязи</t>
  </si>
  <si>
    <t>спокойно</t>
  </si>
  <si>
    <t>читал</t>
  </si>
  <si>
    <t>лекции</t>
  </si>
  <si>
    <t>биологии</t>
  </si>
  <si>
    <t># text = Здесь он показывал редкого чернокрыло-дымчатого коршуна, потом он упоминал о минеральных потребностях фитопланктона, а там он видит схему группирования, которая напоминает ему о танзанском жирафе.</t>
  </si>
  <si>
    <t>Здесь</t>
  </si>
  <si>
    <t>показывал</t>
  </si>
  <si>
    <t>редкого</t>
  </si>
  <si>
    <t>чернокрыло</t>
  </si>
  <si>
    <t>дымчатого</t>
  </si>
  <si>
    <t>коршуна</t>
  </si>
  <si>
    <t>упоминал</t>
  </si>
  <si>
    <t>минеральных</t>
  </si>
  <si>
    <t>потребностях</t>
  </si>
  <si>
    <t>фитопланктона</t>
  </si>
  <si>
    <t>видит</t>
  </si>
  <si>
    <t>схему</t>
  </si>
  <si>
    <t>группирования</t>
  </si>
  <si>
    <t>напоминает</t>
  </si>
  <si>
    <t>ему</t>
  </si>
  <si>
    <t>танзанском</t>
  </si>
  <si>
    <t>жирафе</t>
  </si>
  <si>
    <t># text = Оказывается, Мигель провёл лучший период своей карьеры в национальном парке Микуми в Африке.</t>
  </si>
  <si>
    <t>Оказывается</t>
  </si>
  <si>
    <t>провёл</t>
  </si>
  <si>
    <t>лучший</t>
  </si>
  <si>
    <t>период</t>
  </si>
  <si>
    <t>своей</t>
  </si>
  <si>
    <t>карьеры</t>
  </si>
  <si>
    <t>национальном</t>
  </si>
  <si>
    <t>парке</t>
  </si>
  <si>
    <t>Микуми</t>
  </si>
  <si>
    <t>Африке</t>
  </si>
  <si>
    <t># text = Я спросил его, как он стал таким экспертом по рыбе.</t>
  </si>
  <si>
    <t>стал</t>
  </si>
  <si>
    <t>таким</t>
  </si>
  <si>
    <t>экспертом</t>
  </si>
  <si>
    <t># text = Он спросил,- «Рыбе?</t>
  </si>
  <si>
    <t>«Рыбе</t>
  </si>
  <si>
    <t># text = Я не знал ничего о рыбе.</t>
  </si>
  <si>
    <t># text = Я эксперт во взаимосвязях» А потом он переключается на разговор о редких птицах, водорослях и странных водных растениях.</t>
  </si>
  <si>
    <t>во</t>
  </si>
  <si>
    <t>взаимосвязях»</t>
  </si>
  <si>
    <t>переключается</t>
  </si>
  <si>
    <t>разговор</t>
  </si>
  <si>
    <t>редких</t>
  </si>
  <si>
    <t>птицах</t>
  </si>
  <si>
    <t>водорослях</t>
  </si>
  <si>
    <t>странных</t>
  </si>
  <si>
    <t>водных</t>
  </si>
  <si>
    <t>растениях</t>
  </si>
  <si>
    <t># text = И поймите меня правильно, это было действительно увлекательно, знаете ли, автономный биоценоз, всё такое.</t>
  </si>
  <si>
    <t>поймите</t>
  </si>
  <si>
    <t>меня</t>
  </si>
  <si>
    <t>увлекательно</t>
  </si>
  <si>
    <t>автономный</t>
  </si>
  <si>
    <t>биоценоз</t>
  </si>
  <si>
    <t>такое</t>
  </si>
  <si>
    <t># text = Это здорово, но я был влюблён.</t>
  </si>
  <si>
    <t>здорово</t>
  </si>
  <si>
    <t>влюблён</t>
  </si>
  <si>
    <t># text = Я потерял голову от порции той потрясающей переваренной рыбы, которую я ел накануне вечером.</t>
  </si>
  <si>
    <t>потерял</t>
  </si>
  <si>
    <t>голову</t>
  </si>
  <si>
    <t>порции</t>
  </si>
  <si>
    <t>той</t>
  </si>
  <si>
    <t>потрясающей</t>
  </si>
  <si>
    <t>переваренной</t>
  </si>
  <si>
    <t>которую</t>
  </si>
  <si>
    <t>накануне</t>
  </si>
  <si>
    <t>вечером</t>
  </si>
  <si>
    <t># text = Поэтому я перебил его и спросил,- «Мигель, что делает вашу рыбу такой вкусной?» Он показал на водоросли.</t>
  </si>
  <si>
    <t>перебил</t>
  </si>
  <si>
    <t>«Мигель</t>
  </si>
  <si>
    <t>делает</t>
  </si>
  <si>
    <t>такой</t>
  </si>
  <si>
    <t>вкусной</t>
  </si>
  <si>
    <t>показал</t>
  </si>
  <si>
    <t># text = «Я знаю, чувак, — водоросли, фитопланктон, взаимосвязи — всё это хорошо, но что ест ваша рыба?</t>
  </si>
  <si>
    <t>«Я</t>
  </si>
  <si>
    <t>знаю</t>
  </si>
  <si>
    <t>чувак</t>
  </si>
  <si>
    <t>фитопланктон</t>
  </si>
  <si>
    <t>взаимосвязи</t>
  </si>
  <si>
    <t>хорошо</t>
  </si>
  <si>
    <t>ест</t>
  </si>
  <si>
    <t>ваша</t>
  </si>
  <si>
    <t># text = Какой показатель эффективности корма?» Что ж, он сказал мне, что это настолько богатая система, что рыба ест то, что бы она ела в дикой среде.</t>
  </si>
  <si>
    <t>Какой</t>
  </si>
  <si>
    <t>настолько</t>
  </si>
  <si>
    <t>богатая</t>
  </si>
  <si>
    <t>система</t>
  </si>
  <si>
    <t>SBJ_6</t>
  </si>
  <si>
    <t>OBJ_8</t>
  </si>
  <si>
    <t>она</t>
  </si>
  <si>
    <t>ела</t>
  </si>
  <si>
    <t>среде</t>
  </si>
  <si>
    <t># text = Растительная биомасса, фитопланктон, зоопланктон — это то, чем питается рыба.</t>
  </si>
  <si>
    <t>Растительная</t>
  </si>
  <si>
    <t>зоопланктон</t>
  </si>
  <si>
    <t>питается</t>
  </si>
  <si>
    <t># text = Система настолько здоровая, настолько самообновляющаяся, что здесь нет искусственного кормления.</t>
  </si>
  <si>
    <t>Система</t>
  </si>
  <si>
    <t>здоровая</t>
  </si>
  <si>
    <t>самообновляющаяся</t>
  </si>
  <si>
    <t>здесь</t>
  </si>
  <si>
    <t>искусственного</t>
  </si>
  <si>
    <t># text = Слышали когда-нибудь о ферме, которая не кормит своих животных?</t>
  </si>
  <si>
    <t>Слышали</t>
  </si>
  <si>
    <t>когда-нибудь</t>
  </si>
  <si>
    <t>кормит</t>
  </si>
  <si>
    <t>своих</t>
  </si>
  <si>
    <t>животных</t>
  </si>
  <si>
    <t># text = Позже в тот же день мы объезжали с Мигелем их хозяйство, и я спросил его,- «Для места, выглядящего столь натурально»,- в отличие от других ферм, где я был раньше,- «как вы измеряете успех?» В этот момент, режиссёр будто попросил сменить декорацию.</t>
  </si>
  <si>
    <t>Позже</t>
  </si>
  <si>
    <t>тот</t>
  </si>
  <si>
    <t>объезжали</t>
  </si>
  <si>
    <t>хозяйство</t>
  </si>
  <si>
    <t>«Для</t>
  </si>
  <si>
    <t>выглядящего</t>
  </si>
  <si>
    <t>столь</t>
  </si>
  <si>
    <t>натурально»</t>
  </si>
  <si>
    <t>отличие</t>
  </si>
  <si>
    <t>других</t>
  </si>
  <si>
    <t>раньше</t>
  </si>
  <si>
    <t>«как</t>
  </si>
  <si>
    <t>SBJ_9</t>
  </si>
  <si>
    <t>измеряете</t>
  </si>
  <si>
    <t>успех</t>
  </si>
  <si>
    <t>OBJ_9</t>
  </si>
  <si>
    <t>момент</t>
  </si>
  <si>
    <t>other_11</t>
  </si>
  <si>
    <t>режиссёр</t>
  </si>
  <si>
    <t>SBJ_11</t>
  </si>
  <si>
    <t>будто</t>
  </si>
  <si>
    <t>попросил</t>
  </si>
  <si>
    <t>сменить</t>
  </si>
  <si>
    <t>декорацию</t>
  </si>
  <si>
    <t>OBJ_12</t>
  </si>
  <si>
    <t># text = Мы завернули за угол, и открылся потрясающий вид, тысячи и тысячи розовых фламинго, буквально розовый ковёр, так далеко, как только вы можете видеть.</t>
  </si>
  <si>
    <t>завернули</t>
  </si>
  <si>
    <t>угол</t>
  </si>
  <si>
    <t>открылся</t>
  </si>
  <si>
    <t>потрясающий</t>
  </si>
  <si>
    <t>вид</t>
  </si>
  <si>
    <t>тысячи</t>
  </si>
  <si>
    <t>розовых</t>
  </si>
  <si>
    <t>фламинго</t>
  </si>
  <si>
    <t>ковёр</t>
  </si>
  <si>
    <t>можете</t>
  </si>
  <si>
    <t>видеть</t>
  </si>
  <si>
    <t># text = «Вот он успех»,- сказал он,- «Посмотри на их брюшки, они розовые, они пируют».</t>
  </si>
  <si>
    <t>«Вот</t>
  </si>
  <si>
    <t>успех»</t>
  </si>
  <si>
    <t>«Посмотри</t>
  </si>
  <si>
    <t>брюшки</t>
  </si>
  <si>
    <t>розовые</t>
  </si>
  <si>
    <t>пируют»</t>
  </si>
  <si>
    <t># text = Пируют?</t>
  </si>
  <si>
    <t>Пируют</t>
  </si>
  <si>
    <t># text = Я был совершенно сбит с толку.</t>
  </si>
  <si>
    <t>совершенно</t>
  </si>
  <si>
    <t>сбит</t>
  </si>
  <si>
    <t>толку</t>
  </si>
  <si>
    <t># text = Я спросил,- «Мигель, они пируют вашей рыбой?» «Да»,- ответил он.</t>
  </si>
  <si>
    <t>пируют</t>
  </si>
  <si>
    <t>вашей</t>
  </si>
  <si>
    <t>рыбой</t>
  </si>
  <si>
    <t>«Да»</t>
  </si>
  <si>
    <t># text = «Мы теряем из-за птиц 20% нашей рыбы и рыбьей икры.</t>
  </si>
  <si>
    <t>теряем</t>
  </si>
  <si>
    <t>из-за</t>
  </si>
  <si>
    <t>рыбьей</t>
  </si>
  <si>
    <t>икры</t>
  </si>
  <si>
    <t># text = Что ж, в прошлом году, на этой территории было 600 тысяч птиц, более 250 видов.</t>
  </si>
  <si>
    <t>прошлом</t>
  </si>
  <si>
    <t>году</t>
  </si>
  <si>
    <t>территории</t>
  </si>
  <si>
    <t>600</t>
  </si>
  <si>
    <t>тысяч</t>
  </si>
  <si>
    <t>более</t>
  </si>
  <si>
    <t>250</t>
  </si>
  <si>
    <t>видов</t>
  </si>
  <si>
    <t># text = На сегодняшний день это самый большой и один из самых важных во всей Европе частный птичий заповедник».</t>
  </si>
  <si>
    <t>сегодняшний</t>
  </si>
  <si>
    <t>самый</t>
  </si>
  <si>
    <t>самых</t>
  </si>
  <si>
    <t>важных</t>
  </si>
  <si>
    <t>всей</t>
  </si>
  <si>
    <t>Европе</t>
  </si>
  <si>
    <t>частный</t>
  </si>
  <si>
    <t>птичий</t>
  </si>
  <si>
    <t>заповедник»</t>
  </si>
  <si>
    <t># text = Я говорю,- «Мигель, по-моему, процветание птиц – это последние, чего желают на рыбных фермах?» Он покачал головой,- «Нет» Он говорит,-«Мы развиваемся экстенсивно, не интенсивно.</t>
  </si>
  <si>
    <t>по-моему</t>
  </si>
  <si>
    <t>процветание</t>
  </si>
  <si>
    <t>последние</t>
  </si>
  <si>
    <t>желают</t>
  </si>
  <si>
    <t>фермах</t>
  </si>
  <si>
    <t>покачал</t>
  </si>
  <si>
    <t>головой</t>
  </si>
  <si>
    <t>«Нет»</t>
  </si>
  <si>
    <t>развиваемся</t>
  </si>
  <si>
    <t>экстенсивно</t>
  </si>
  <si>
    <t>интенсивно</t>
  </si>
  <si>
    <t># text = Это экологическая сеть.</t>
  </si>
  <si>
    <t>экологическая</t>
  </si>
  <si>
    <t># text = Фламинго едят креветок.</t>
  </si>
  <si>
    <t>Фламинго</t>
  </si>
  <si>
    <t>едят</t>
  </si>
  <si>
    <t>креветок</t>
  </si>
  <si>
    <t># text = Креветки едят фитопланктон.</t>
  </si>
  <si>
    <t>Креветки</t>
  </si>
  <si>
    <t># text = Чем розовее брюшко, тем лучше система».</t>
  </si>
  <si>
    <t>Чем</t>
  </si>
  <si>
    <t>розовее</t>
  </si>
  <si>
    <t>брюшко</t>
  </si>
  <si>
    <t>система»</t>
  </si>
  <si>
    <t># text = Что ж, подведём итог.</t>
  </si>
  <si>
    <t>подведём</t>
  </si>
  <si>
    <t>итог</t>
  </si>
  <si>
    <t># text = Ферма, которая не кормит своих животных, ферма, которая измеряет свой успех здоровьем своих «хищников».</t>
  </si>
  <si>
    <t>измеряет</t>
  </si>
  <si>
    <t>здоровьем</t>
  </si>
  <si>
    <t>«хищников»</t>
  </si>
  <si>
    <t># text = Рыбная ферма, и в то же время птичий заповедник.</t>
  </si>
  <si>
    <t>Рыбная</t>
  </si>
  <si>
    <t>время</t>
  </si>
  <si>
    <t>заповедник</t>
  </si>
  <si>
    <t># text = Да, и кстати, во-первых те фламинго, их не должны быть здесь.</t>
  </si>
  <si>
    <t>Да</t>
  </si>
  <si>
    <t>кстати</t>
  </si>
  <si>
    <t>во-первых</t>
  </si>
  <si>
    <t>те</t>
  </si>
  <si>
    <t>должны</t>
  </si>
  <si>
    <t># text = Они высиживают яйца в 240 км от этого места, где состояние почвы лучше для устройства гнёзд.</t>
  </si>
  <si>
    <t>высиживают</t>
  </si>
  <si>
    <t>яйца</t>
  </si>
  <si>
    <t>240</t>
  </si>
  <si>
    <t>состояние</t>
  </si>
  <si>
    <t>почвы</t>
  </si>
  <si>
    <t>устройства</t>
  </si>
  <si>
    <t>гнёзд</t>
  </si>
  <si>
    <t># text = Каждое утро они пролетают 240 км к ферме и каждый вечер они пролетают 240 км назад.</t>
  </si>
  <si>
    <t>Каждое</t>
  </si>
  <si>
    <t>утро</t>
  </si>
  <si>
    <t>пролетают</t>
  </si>
  <si>
    <t>каждый</t>
  </si>
  <si>
    <t>вечер</t>
  </si>
  <si>
    <t>назад</t>
  </si>
  <si>
    <t># text = Они делают это, потому что могут перелететь сплошную линию магистрали А92.</t>
  </si>
  <si>
    <t>делают</t>
  </si>
  <si>
    <t>могут</t>
  </si>
  <si>
    <t>перелететь</t>
  </si>
  <si>
    <t>сплошную</t>
  </si>
  <si>
    <t>линию</t>
  </si>
  <si>
    <t>магистрали</t>
  </si>
  <si>
    <t>А92</t>
  </si>
  <si>
    <t># text = Серьёзно.</t>
  </si>
  <si>
    <t># text = Я воображал себе что-то типа марша пингвинов, поэтому я посмотрел на Мигеля спросил,- «Мигель, они действительно пролетают 240 км на ферму и 240 км обратно на ночлег?</t>
  </si>
  <si>
    <t>воображал</t>
  </si>
  <si>
    <t>себе</t>
  </si>
  <si>
    <t>типа</t>
  </si>
  <si>
    <t>марша</t>
  </si>
  <si>
    <t>пингвинов</t>
  </si>
  <si>
    <t>посмотрел</t>
  </si>
  <si>
    <t>Мигеля</t>
  </si>
  <si>
    <t>ферму</t>
  </si>
  <si>
    <t>обратно</t>
  </si>
  <si>
    <t>ночлег</t>
  </si>
  <si>
    <t># text = Они делают это для своего потомства?» Он посмотрел на меня, будто я только что процитировал песню Уитни Хьюстон.</t>
  </si>
  <si>
    <t>своего</t>
  </si>
  <si>
    <t>потомства</t>
  </si>
  <si>
    <t>процитировал</t>
  </si>
  <si>
    <t>песню</t>
  </si>
  <si>
    <t>Уитни</t>
  </si>
  <si>
    <t>Хьюстон</t>
  </si>
  <si>
    <t># text = И говорит,- «Нет, они прилетают, потому что здесь еда лучше» Я не упоминал кожу моей любимой рыбы, которая была восхитительна, хотя вообще я не люблю рыбью кожу.</t>
  </si>
  <si>
    <t>«Нет</t>
  </si>
  <si>
    <t>прилетают</t>
  </si>
  <si>
    <t>еда</t>
  </si>
  <si>
    <t>лучше»</t>
  </si>
  <si>
    <t>кожу</t>
  </si>
  <si>
    <t>моей</t>
  </si>
  <si>
    <t>любимой</t>
  </si>
  <si>
    <t>хотя</t>
  </si>
  <si>
    <t>вообще</t>
  </si>
  <si>
    <t>люблю</t>
  </si>
  <si>
    <t>рыбью</t>
  </si>
  <si>
    <t># text = Мне не нравится, как выглядит опалённая кожа, я не люблю, как кожа хрустит, на вкус очень горькая, как смола.</t>
  </si>
  <si>
    <t>Мне</t>
  </si>
  <si>
    <t>нравится</t>
  </si>
  <si>
    <t>выглядит</t>
  </si>
  <si>
    <t>опалённая</t>
  </si>
  <si>
    <t>хрустит</t>
  </si>
  <si>
    <t>горькая</t>
  </si>
  <si>
    <t>смола</t>
  </si>
  <si>
    <t># text = Я почти всегда готовлю без кожи.</t>
  </si>
  <si>
    <t>всегда</t>
  </si>
  <si>
    <t>готовлю</t>
  </si>
  <si>
    <t>без</t>
  </si>
  <si>
    <t>кожи</t>
  </si>
  <si>
    <t># text = Но когда я попробовал кожу рыбы в том ресторане на юге Испании, на вкус она была совершенно не похожа на рыбью кожу.</t>
  </si>
  <si>
    <t>когда</t>
  </si>
  <si>
    <t>попробовал</t>
  </si>
  <si>
    <t>похожа</t>
  </si>
  <si>
    <t># text = Она была сладкая и чистая, будто вы берёте в рот кусочек океана.</t>
  </si>
  <si>
    <t>сладкая</t>
  </si>
  <si>
    <t>чистая</t>
  </si>
  <si>
    <t>берёте</t>
  </si>
  <si>
    <t>рот</t>
  </si>
  <si>
    <t>кусочек</t>
  </si>
  <si>
    <t>океана</t>
  </si>
  <si>
    <t># text = Я сказал об этом Мигелю и он согласился.</t>
  </si>
  <si>
    <t>Мигелю</t>
  </si>
  <si>
    <t>согласился</t>
  </si>
  <si>
    <t># text = Он сказал,- «Кожа действует как губка.</t>
  </si>
  <si>
    <t>«Кожа</t>
  </si>
  <si>
    <t>действует</t>
  </si>
  <si>
    <t>губка</t>
  </si>
  <si>
    <t># text = Это последняя защита, прежде чем что-либо попадает в организм.</t>
  </si>
  <si>
    <t>последняя</t>
  </si>
  <si>
    <t>прежде</t>
  </si>
  <si>
    <t>что-либо</t>
  </si>
  <si>
    <t>попадает</t>
  </si>
  <si>
    <t>организм</t>
  </si>
  <si>
    <t># text = Она эволюционировала, чтобы впитывать загрязнения».</t>
  </si>
  <si>
    <t>эволюционировала</t>
  </si>
  <si>
    <t>впитывать</t>
  </si>
  <si>
    <t>загрязнения»</t>
  </si>
  <si>
    <t># text = А потом он добавил,- «Но в нашей воде нет загрязнений».</t>
  </si>
  <si>
    <t>«Но</t>
  </si>
  <si>
    <t>воде</t>
  </si>
  <si>
    <t>загрязнений»</t>
  </si>
  <si>
    <t># text = Хорошо, ферма, которая не кормит свою рыбу.</t>
  </si>
  <si>
    <t>Хорошо</t>
  </si>
  <si>
    <t># text = Ферма, которая измеряет свой успех успехом своих «хищников».</t>
  </si>
  <si>
    <t>успехом</t>
  </si>
  <si>
    <t># text = И тут я осознал, когда он сказал, что эта ферма не имеет загрязнений, что он что-то недоговаривает, потому что вода, которая течёт через ферму, приходит из реки Гвадалквивир.</t>
  </si>
  <si>
    <t>тут</t>
  </si>
  <si>
    <t>осознал</t>
  </si>
  <si>
    <t>имеет</t>
  </si>
  <si>
    <t>загрязнений</t>
  </si>
  <si>
    <t>недоговаривает</t>
  </si>
  <si>
    <t>вода</t>
  </si>
  <si>
    <t>течёт</t>
  </si>
  <si>
    <t>через</t>
  </si>
  <si>
    <t>приходит</t>
  </si>
  <si>
    <t># text = Эта река приносит всё то, из чего реки, как правило, состоят в наши дни - химические вещества, ядохимикаты.</t>
  </si>
  <si>
    <t>река</t>
  </si>
  <si>
    <t>приносит</t>
  </si>
  <si>
    <t>правило</t>
  </si>
  <si>
    <t>состоят</t>
  </si>
  <si>
    <t>наши</t>
  </si>
  <si>
    <t>дни</t>
  </si>
  <si>
    <t>химические</t>
  </si>
  <si>
    <t>вещества</t>
  </si>
  <si>
    <t>ядохимикаты</t>
  </si>
  <si>
    <t># text = Но когда вода проходит через всю систему и листья, она становится чище.</t>
  </si>
  <si>
    <t>проходит</t>
  </si>
  <si>
    <t>всю</t>
  </si>
  <si>
    <t>систему</t>
  </si>
  <si>
    <t>листья</t>
  </si>
  <si>
    <t>становится</t>
  </si>
  <si>
    <t>чище</t>
  </si>
  <si>
    <t># text = Эта система настолько здорова, что очищает воду.</t>
  </si>
  <si>
    <t>здорова</t>
  </si>
  <si>
    <t>очищает</t>
  </si>
  <si>
    <t># text = Так что, это не только ферма, которая не кормит своих животных, а так же измеряет свой успех здоровьем своих «хищников», но это ферма является, в буквальном смысле, установкой по очистке воды, и не только для рыб, но так же для вас и меня.</t>
  </si>
  <si>
    <t>является</t>
  </si>
  <si>
    <t>буквальном</t>
  </si>
  <si>
    <t>установкой</t>
  </si>
  <si>
    <t>очистке</t>
  </si>
  <si>
    <t>вас</t>
  </si>
  <si>
    <t># text = Потому что, когда вода уходит, она впадает в Атлантический океан.</t>
  </si>
  <si>
    <t>Потому</t>
  </si>
  <si>
    <t>уходит</t>
  </si>
  <si>
    <t>впадает</t>
  </si>
  <si>
    <t>Атлантический</t>
  </si>
  <si>
    <t>океан</t>
  </si>
  <si>
    <t># text = Капля в море, я знаю, но я буду поддерживать их, и вы должны, потому что это история любви, не только романтичная, но и поучительная.</t>
  </si>
  <si>
    <t>Капля</t>
  </si>
  <si>
    <t>море</t>
  </si>
  <si>
    <t>буду</t>
  </si>
  <si>
    <t>поддерживать</t>
  </si>
  <si>
    <t>романтичная</t>
  </si>
  <si>
    <t>поучительная</t>
  </si>
  <si>
    <t># text = Можно сказать, что это рецепт будущего хорошего питания, говорим ли мы об окуне или говядине.</t>
  </si>
  <si>
    <t>Можно</t>
  </si>
  <si>
    <t>рецепт</t>
  </si>
  <si>
    <t>хорошего</t>
  </si>
  <si>
    <t>питания</t>
  </si>
  <si>
    <t>говорим</t>
  </si>
  <si>
    <t>окуне</t>
  </si>
  <si>
    <t>говядине</t>
  </si>
  <si>
    <t># text = Что нам теперь нужно — это радикально новая концепция сельского хозяйства, в которой еда должна быть вкусной.</t>
  </si>
  <si>
    <t>нам</t>
  </si>
  <si>
    <t>теперь</t>
  </si>
  <si>
    <t>нужно</t>
  </si>
  <si>
    <t>радикально</t>
  </si>
  <si>
    <t>новая</t>
  </si>
  <si>
    <t>концепция</t>
  </si>
  <si>
    <t>сельского</t>
  </si>
  <si>
    <t>хозяйства</t>
  </si>
  <si>
    <t>которой</t>
  </si>
  <si>
    <t>должна</t>
  </si>
  <si>
    <t># text = (Аплодисменты) Но для многих людей это может быть слишком радикально.</t>
  </si>
  <si>
    <t>Аплодисменты</t>
  </si>
  <si>
    <t>многих</t>
  </si>
  <si>
    <t>людей</t>
  </si>
  <si>
    <t># text = Мы, гурманы, не реалисты.</t>
  </si>
  <si>
    <t>гурманы</t>
  </si>
  <si>
    <t>реалисты</t>
  </si>
  <si>
    <t># text = Мы влюблённые.</t>
  </si>
  <si>
    <t>влюблённые</t>
  </si>
  <si>
    <t># text = Мы любим фермерские рынки.</t>
  </si>
  <si>
    <t>любим</t>
  </si>
  <si>
    <t>фермерские</t>
  </si>
  <si>
    <t>рынки</t>
  </si>
  <si>
    <t># text = Мы любим маленькие семейные фермы.</t>
  </si>
  <si>
    <t>маленькие</t>
  </si>
  <si>
    <t>семейные</t>
  </si>
  <si>
    <t># text = Мы говорим о местной еде.</t>
  </si>
  <si>
    <t>местной</t>
  </si>
  <si>
    <t># text = Мы едим экологически чистые продукты.</t>
  </si>
  <si>
    <t>едим</t>
  </si>
  <si>
    <t>чистые</t>
  </si>
  <si>
    <t>продукты</t>
  </si>
  <si>
    <t># text = И когда вы решите, что это то, что может гарантировать в будущем хорошую еду, кто-то поднимется и скажет,- «Эй, парень, мне нравятся розовые фламинго, но как вы собираетесь кормить мир?» Как вы собираетесь кормить мир?» Могу я быть честным?</t>
  </si>
  <si>
    <t>решите</t>
  </si>
  <si>
    <t>гарантировать</t>
  </si>
  <si>
    <t>будущем</t>
  </si>
  <si>
    <t>хорошую</t>
  </si>
  <si>
    <t>еду</t>
  </si>
  <si>
    <t>кто-то</t>
  </si>
  <si>
    <t>поднимется</t>
  </si>
  <si>
    <t>скажет</t>
  </si>
  <si>
    <t>«Эй</t>
  </si>
  <si>
    <t>нравятся</t>
  </si>
  <si>
    <t>собираетесь</t>
  </si>
  <si>
    <t>кормить</t>
  </si>
  <si>
    <t>OBJ_7</t>
  </si>
  <si>
    <t>Могу</t>
  </si>
  <si>
    <t>честным</t>
  </si>
  <si>
    <t># text = Я не люблю этот вопрос.</t>
  </si>
  <si>
    <t>вопрос</t>
  </si>
  <si>
    <t># text = Нет, не потому, что мы уже производим достаточно калорий, чтобы накормить мир, даже более чем нужно.</t>
  </si>
  <si>
    <t>уже</t>
  </si>
  <si>
    <t>производим</t>
  </si>
  <si>
    <t>достаточно</t>
  </si>
  <si>
    <t>калорий</t>
  </si>
  <si>
    <t>накормить</t>
  </si>
  <si>
    <t>даже</t>
  </si>
  <si>
    <t># text = Но один миллиард людей остаётся голодным.</t>
  </si>
  <si>
    <t>миллиард</t>
  </si>
  <si>
    <t>остаётся</t>
  </si>
  <si>
    <t>голодным</t>
  </si>
  <si>
    <t># text = Один миллиард – это больше, чем когда-либо, по причине огромного неравенства в распределении, а не в общем количестве еды.</t>
  </si>
  <si>
    <t>Один</t>
  </si>
  <si>
    <t>когда-либо</t>
  </si>
  <si>
    <t>причине</t>
  </si>
  <si>
    <t>огромного</t>
  </si>
  <si>
    <t>неравенства</t>
  </si>
  <si>
    <t>распределении</t>
  </si>
  <si>
    <t>общем</t>
  </si>
  <si>
    <t>количестве</t>
  </si>
  <si>
    <t>еды</t>
  </si>
  <si>
    <t># text = Потом, я не люблю этот вопрос, потому что он определяется логикой нашей продовольственной системы в течение последних 50 лет.</t>
  </si>
  <si>
    <t>Потом</t>
  </si>
  <si>
    <t>определяется</t>
  </si>
  <si>
    <t>логикой</t>
  </si>
  <si>
    <t>продовольственной</t>
  </si>
  <si>
    <t>системы</t>
  </si>
  <si>
    <t>течение</t>
  </si>
  <si>
    <t>последних</t>
  </si>
  <si>
    <t># text = Кормовые зерна - травоядным животным, пестициды - монокультурам, химия - в почву, курица – рыбе, и всё это время фермеры просто спрашивают: «Если мы кормим всё больше людей, всё более дешёвыми продуктами, что же в этом плохого?» Это была мотивация.</t>
  </si>
  <si>
    <t>Кормовые</t>
  </si>
  <si>
    <t>зерна</t>
  </si>
  <si>
    <t>травоядным</t>
  </si>
  <si>
    <t>животным</t>
  </si>
  <si>
    <t>пестициды</t>
  </si>
  <si>
    <t>монокультурам</t>
  </si>
  <si>
    <t>химия</t>
  </si>
  <si>
    <t>почву</t>
  </si>
  <si>
    <t>фермеры</t>
  </si>
  <si>
    <t>просто</t>
  </si>
  <si>
    <t>спрашивают</t>
  </si>
  <si>
    <t>«Если</t>
  </si>
  <si>
    <t>кормим</t>
  </si>
  <si>
    <t>дешёвыми</t>
  </si>
  <si>
    <t>продуктами</t>
  </si>
  <si>
    <t>other_8</t>
  </si>
  <si>
    <t>плохого</t>
  </si>
  <si>
    <t>мотивация</t>
  </si>
  <si>
    <t># text = Это было оправдание.</t>
  </si>
  <si>
    <t>оправдание</t>
  </si>
  <si>
    <t># text = Это был бизнес-план американского сельского хозяйства.</t>
  </si>
  <si>
    <t>план</t>
  </si>
  <si>
    <t>американского</t>
  </si>
  <si>
    <t># text = Мы должны называть вещи своими именами, бизнес уничтожается, бизнес, который быстро разрушает тот самый экологический капитал, который делает само производство возможным.</t>
  </si>
  <si>
    <t>называть</t>
  </si>
  <si>
    <t>вещи</t>
  </si>
  <si>
    <t>своими</t>
  </si>
  <si>
    <t>именами</t>
  </si>
  <si>
    <t>уничтожается</t>
  </si>
  <si>
    <t>который</t>
  </si>
  <si>
    <t>быстро</t>
  </si>
  <si>
    <t>разрушает</t>
  </si>
  <si>
    <t>экологический</t>
  </si>
  <si>
    <t>капитал</t>
  </si>
  <si>
    <t>само</t>
  </si>
  <si>
    <t>производство</t>
  </si>
  <si>
    <t>возможным</t>
  </si>
  <si>
    <t># text = Это не бизнес и не сельское хозяйство.</t>
  </si>
  <si>
    <t>сельское</t>
  </si>
  <si>
    <t># text = Сегодня наша продуктовая корзина под угрозой не из-за сокращения поставок, а из-за сокращения объёмов ресурсов, не из-за комбайнов и тракторов, а из-за плодородности земли, не из-за водных насосов, а из-за пресной воды, не из-за бензопил, а из-за леса, не из-за рыболовецких судов и сетей, а из-за рыбы в море.</t>
  </si>
  <si>
    <t>Сегодня</t>
  </si>
  <si>
    <t>наша</t>
  </si>
  <si>
    <t>продуктовая</t>
  </si>
  <si>
    <t>корзина</t>
  </si>
  <si>
    <t>под</t>
  </si>
  <si>
    <t>угрозой</t>
  </si>
  <si>
    <t>сокращения</t>
  </si>
  <si>
    <t>поставок</t>
  </si>
  <si>
    <t>объёмов</t>
  </si>
  <si>
    <t>ресурсов</t>
  </si>
  <si>
    <t>комбайнов</t>
  </si>
  <si>
    <t>тракторов</t>
  </si>
  <si>
    <t>плодородности</t>
  </si>
  <si>
    <t>насосов</t>
  </si>
  <si>
    <t>пресной</t>
  </si>
  <si>
    <t>бензопил</t>
  </si>
  <si>
    <t>рыболовецких</t>
  </si>
  <si>
    <t>судов</t>
  </si>
  <si>
    <t>сетей</t>
  </si>
  <si>
    <t># text = Хотите накормить весь мир?</t>
  </si>
  <si>
    <t>Хотите</t>
  </si>
  <si>
    <t>весь</t>
  </si>
  <si>
    <t># text = Начнём с вопроса: как мы будем кормить себя?</t>
  </si>
  <si>
    <t>Начнём</t>
  </si>
  <si>
    <t>вопроса</t>
  </si>
  <si>
    <t>будем</t>
  </si>
  <si>
    <t># text = Или ещё лучше, как нам создать условия, которые позволят каждой общине прокормить себя.</t>
  </si>
  <si>
    <t>Или</t>
  </si>
  <si>
    <t>условия</t>
  </si>
  <si>
    <t>которые</t>
  </si>
  <si>
    <t>позволят</t>
  </si>
  <si>
    <t>каждой</t>
  </si>
  <si>
    <t>общине</t>
  </si>
  <si>
    <t>прокормить</t>
  </si>
  <si>
    <t># text = Чтобы сделать это, для будущего не смотрите на современную модель агробизнеса.</t>
  </si>
  <si>
    <t>Чтобы</t>
  </si>
  <si>
    <t>смотрите</t>
  </si>
  <si>
    <t>современную</t>
  </si>
  <si>
    <t>агробизнеса</t>
  </si>
  <si>
    <t># text = Это слишком старая модель, ей пора на покой.</t>
  </si>
  <si>
    <t>старая</t>
  </si>
  <si>
    <t>ей</t>
  </si>
  <si>
    <t>пора</t>
  </si>
  <si>
    <t>покой</t>
  </si>
  <si>
    <t># text = Эта модель требует большого капитала, химию, требует техническое оснащение, и, по сути, никогда не производит что-то пригодное для еды.</t>
  </si>
  <si>
    <t>требует</t>
  </si>
  <si>
    <t>большого</t>
  </si>
  <si>
    <t>капитала</t>
  </si>
  <si>
    <t>химию</t>
  </si>
  <si>
    <t>техническое</t>
  </si>
  <si>
    <t>оснащение</t>
  </si>
  <si>
    <t>сути</t>
  </si>
  <si>
    <t>производит</t>
  </si>
  <si>
    <t>пригодное</t>
  </si>
  <si>
    <t># text = Вместо этого давайте посмотрим на экологическую модель.</t>
  </si>
  <si>
    <t>давайте</t>
  </si>
  <si>
    <t>посмотрим</t>
  </si>
  <si>
    <t>экологическую</t>
  </si>
  <si>
    <t># text = Это единственная модель, которая опирается на двух миллиардный опыт работы.</t>
  </si>
  <si>
    <t>единственная</t>
  </si>
  <si>
    <t>опирается</t>
  </si>
  <si>
    <t>миллиардный</t>
  </si>
  <si>
    <t>опыт</t>
  </si>
  <si>
    <t>работы</t>
  </si>
  <si>
    <t># text = Посмотрите на Мигеля, фермеры как Мигель, фермы, которые не замкнуты на самих себе, фермы, которые восстанавливают, а не истощают, фермы, которые работают экстенсивно, а не интенсивно, фермеры, которые не только производители, но и эксперты во взаимосвязях, а также единственные эксперты в хорошей еде.</t>
  </si>
  <si>
    <t>Посмотрите</t>
  </si>
  <si>
    <t>замкнуты</t>
  </si>
  <si>
    <t>самих</t>
  </si>
  <si>
    <t>восстанавливают</t>
  </si>
  <si>
    <t>истощают</t>
  </si>
  <si>
    <t>работают</t>
  </si>
  <si>
    <t>производители</t>
  </si>
  <si>
    <t>эксперты</t>
  </si>
  <si>
    <t>взаимосвязях</t>
  </si>
  <si>
    <t>также</t>
  </si>
  <si>
    <t>единственные</t>
  </si>
  <si>
    <t>хорошей</t>
  </si>
  <si>
    <t># text = И если говорить на чистоту, они лучшие шеф-повара, чем я когда-либо буду.</t>
  </si>
  <si>
    <t>если</t>
  </si>
  <si>
    <t>чистоту</t>
  </si>
  <si>
    <t>лучшие</t>
  </si>
  <si>
    <t>-повара</t>
  </si>
  <si>
    <t># text = И знаете что, у меня нет с этим проблем, потому что, если это будущее хороших продуктов, то они будут восхитительны.</t>
  </si>
  <si>
    <t>проблем</t>
  </si>
  <si>
    <t>будущее</t>
  </si>
  <si>
    <t>хороших</t>
  </si>
  <si>
    <t>продуктов</t>
  </si>
  <si>
    <t>будут</t>
  </si>
  <si>
    <t>восхитительны</t>
  </si>
  <si>
    <t># text = Спасибо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</si>
</sst>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16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24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11</v>
      </c>
      <c r="B9" s="6" t="s">
        <v>28</v>
      </c>
      <c r="C9" s="6" t="s">
        <v>12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24</v>
      </c>
      <c r="C10" s="6" t="s">
        <v>12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10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16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28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10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68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24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72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16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20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24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68</v>
      </c>
      <c r="B22" s="6" t="s">
        <v>16</v>
      </c>
      <c r="C22" s="6" t="s">
        <v>92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20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28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32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32</v>
      </c>
      <c r="C27" s="6" t="s">
        <v>12</v>
      </c>
      <c r="D27" s="7" t="s">
        <v>44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20</v>
      </c>
      <c r="C28" s="6" t="s">
        <v>12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10</v>
      </c>
      <c r="C29" s="6" t="s">
        <v>12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43</v>
      </c>
      <c r="C30" s="6" t="s">
        <v>12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127</v>
      </c>
      <c r="B31" s="6" t="s">
        <v>24</v>
      </c>
      <c r="C31" s="6" t="s">
        <v>12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131</v>
      </c>
      <c r="B32" s="6" t="s">
        <v>10</v>
      </c>
      <c r="C32" s="6" t="s">
        <v>12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135</v>
      </c>
      <c r="B33" s="6" t="s">
        <v>10</v>
      </c>
      <c r="C33" s="6" t="s">
        <v>12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20</v>
      </c>
      <c r="C34" s="6" t="s">
        <v>12</v>
      </c>
      <c r="D34" s="7" t="s">
        <v>140</v>
      </c>
      <c r="E34" s="8" t="s">
        <v>141</v>
      </c>
      <c r="F34" s="6" t="s">
        <v>142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143</v>
      </c>
      <c r="B35" s="6" t="s">
        <v>10</v>
      </c>
      <c r="C35" s="6" t="s">
        <v>12</v>
      </c>
      <c r="D35" s="7" t="s">
        <v>144</v>
      </c>
      <c r="E35" s="8" t="s">
        <v>145</v>
      </c>
      <c r="F35" s="6" t="s">
        <v>146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10</v>
      </c>
      <c r="C36" s="6" t="s">
        <v>12</v>
      </c>
      <c r="D36" s="7" t="s">
        <v>148</v>
      </c>
      <c r="E36" s="8" t="s">
        <v>149</v>
      </c>
      <c r="F36" s="6" t="s">
        <v>150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28</v>
      </c>
      <c r="C37" s="6" t="s">
        <v>12</v>
      </c>
      <c r="D37" s="7" t="s">
        <v>152</v>
      </c>
      <c r="E37" s="8" t="s">
        <v>153</v>
      </c>
      <c r="F37" s="6" t="s">
        <v>154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36</v>
      </c>
      <c r="C38" s="6" t="s">
        <v>12</v>
      </c>
      <c r="D38" s="7" t="s">
        <v>156</v>
      </c>
      <c r="E38" s="8" t="s">
        <v>157</v>
      </c>
      <c r="F38" s="6" t="s">
        <v>158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159</v>
      </c>
      <c r="B39" s="6" t="s">
        <v>51</v>
      </c>
      <c r="C39" s="6" t="s">
        <v>12</v>
      </c>
      <c r="D39" s="7" t="s">
        <v>44</v>
      </c>
      <c r="E39" s="8" t="s">
        <v>160</v>
      </c>
      <c r="F39" s="6" t="s">
        <v>161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162</v>
      </c>
      <c r="B40" s="6" t="s">
        <v>32</v>
      </c>
      <c r="C40" s="6" t="s">
        <v>12</v>
      </c>
      <c r="D40" s="7" t="s">
        <v>163</v>
      </c>
      <c r="E40" s="8" t="s">
        <v>164</v>
      </c>
      <c r="F40" s="6" t="s">
        <v>165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166</v>
      </c>
      <c r="B41" s="6" t="s">
        <v>32</v>
      </c>
      <c r="C41" s="6" t="s">
        <v>12</v>
      </c>
      <c r="D41" s="7" t="s">
        <v>167</v>
      </c>
      <c r="E41" s="8" t="s">
        <v>168</v>
      </c>
      <c r="F41" s="6" t="s">
        <v>169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170</v>
      </c>
      <c r="B42" s="6" t="s">
        <v>16</v>
      </c>
      <c r="C42" s="6" t="s">
        <v>12</v>
      </c>
      <c r="D42" s="7" t="s">
        <v>171</v>
      </c>
      <c r="E42" s="8" t="s">
        <v>172</v>
      </c>
      <c r="F42" s="6" t="s">
        <v>173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174</v>
      </c>
      <c r="B43" s="6" t="s">
        <v>28</v>
      </c>
      <c r="C43" s="6" t="s">
        <v>12</v>
      </c>
      <c r="D43" s="7" t="s">
        <v>175</v>
      </c>
      <c r="E43" s="8" t="s">
        <v>176</v>
      </c>
      <c r="F43" s="6" t="s">
        <v>177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178</v>
      </c>
      <c r="B44" s="6" t="s">
        <v>24</v>
      </c>
      <c r="C44" s="6" t="s">
        <v>12</v>
      </c>
      <c r="D44" s="7" t="s">
        <v>37</v>
      </c>
      <c r="E44" s="8" t="s">
        <v>179</v>
      </c>
      <c r="F44" s="6" t="s">
        <v>180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181</v>
      </c>
      <c r="B45" s="6" t="s">
        <v>36</v>
      </c>
      <c r="C45" s="6" t="s">
        <v>182</v>
      </c>
      <c r="D45" s="7" t="s">
        <v>183</v>
      </c>
      <c r="E45" s="8" t="s">
        <v>184</v>
      </c>
      <c r="F45" s="6" t="s">
        <v>185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186</v>
      </c>
      <c r="B46" s="6" t="s">
        <v>10</v>
      </c>
      <c r="C46" s="6" t="s">
        <v>12</v>
      </c>
      <c r="D46" s="7" t="s">
        <v>187</v>
      </c>
      <c r="E46" s="8" t="s">
        <v>188</v>
      </c>
      <c r="F46" s="6" t="s">
        <v>189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190</v>
      </c>
      <c r="B47" s="6" t="s">
        <v>10</v>
      </c>
      <c r="C47" s="6" t="s">
        <v>12</v>
      </c>
      <c r="D47" s="7" t="s">
        <v>120</v>
      </c>
      <c r="E47" s="8" t="s">
        <v>191</v>
      </c>
      <c r="F47" s="6" t="s">
        <v>192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193</v>
      </c>
      <c r="B48" s="6" t="s">
        <v>28</v>
      </c>
      <c r="C48" s="6" t="s">
        <v>12</v>
      </c>
      <c r="D48" s="7" t="s">
        <v>194</v>
      </c>
      <c r="E48" s="8" t="s">
        <v>195</v>
      </c>
      <c r="F48" s="6" t="s">
        <v>196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197</v>
      </c>
      <c r="B49" s="6" t="s">
        <v>16</v>
      </c>
      <c r="C49" s="6" t="s">
        <v>12</v>
      </c>
      <c r="D49" s="7" t="s">
        <v>198</v>
      </c>
      <c r="E49" s="8" t="s">
        <v>199</v>
      </c>
      <c r="F49" s="6" t="s">
        <v>200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201</v>
      </c>
      <c r="B50" s="6" t="s">
        <v>72</v>
      </c>
      <c r="C50" s="6" t="s">
        <v>12</v>
      </c>
      <c r="D50" s="7" t="s">
        <v>202</v>
      </c>
      <c r="E50" s="8" t="s">
        <v>203</v>
      </c>
      <c r="F50" s="6" t="s">
        <v>204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205</v>
      </c>
      <c r="B51" s="6" t="s">
        <v>10</v>
      </c>
      <c r="C51" s="6" t="s">
        <v>12</v>
      </c>
      <c r="D51" s="7" t="s">
        <v>206</v>
      </c>
      <c r="E51" s="8" t="s">
        <v>207</v>
      </c>
      <c r="F51" s="6" t="s">
        <v>208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209</v>
      </c>
      <c r="B52" s="6" t="s">
        <v>16</v>
      </c>
      <c r="C52" s="6" t="s">
        <v>12</v>
      </c>
      <c r="D52" s="7" t="s">
        <v>198</v>
      </c>
      <c r="E52" s="8" t="s">
        <v>210</v>
      </c>
      <c r="F52" s="6" t="s">
        <v>211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212</v>
      </c>
      <c r="B53" s="6" t="s">
        <v>28</v>
      </c>
      <c r="C53" s="6" t="s">
        <v>12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216</v>
      </c>
      <c r="B54" s="6" t="s">
        <v>24</v>
      </c>
      <c r="C54" s="6" t="s">
        <v>217</v>
      </c>
      <c r="D54" s="7" t="s">
        <v>218</v>
      </c>
      <c r="E54" s="8" t="s">
        <v>219</v>
      </c>
      <c r="F54" s="6" t="s">
        <v>220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221</v>
      </c>
      <c r="B55" s="6" t="s">
        <v>20</v>
      </c>
      <c r="C55" s="6" t="s">
        <v>12</v>
      </c>
      <c r="D55" s="7" t="s">
        <v>222</v>
      </c>
      <c r="E55" s="8" t="s">
        <v>223</v>
      </c>
      <c r="F55" s="6" t="s">
        <v>224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225</v>
      </c>
      <c r="B56" s="6" t="s">
        <v>36</v>
      </c>
      <c r="C56" s="6" t="s">
        <v>217</v>
      </c>
      <c r="D56" s="7" t="s">
        <v>213</v>
      </c>
      <c r="E56" s="8" t="s">
        <v>226</v>
      </c>
      <c r="F56" s="6" t="s">
        <v>227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228</v>
      </c>
      <c r="B57" s="6" t="s">
        <v>32</v>
      </c>
      <c r="C57" s="6" t="s">
        <v>12</v>
      </c>
      <c r="D57" s="7" t="s">
        <v>229</v>
      </c>
      <c r="E57" s="8" t="s">
        <v>230</v>
      </c>
      <c r="F57" s="6" t="s">
        <v>231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232</v>
      </c>
      <c r="B58" s="6" t="s">
        <v>10</v>
      </c>
      <c r="C58" s="6" t="s">
        <v>12</v>
      </c>
      <c r="D58" s="7" t="s">
        <v>233</v>
      </c>
      <c r="E58" s="8" t="s">
        <v>234</v>
      </c>
      <c r="F58" s="6" t="s">
        <v>235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236</v>
      </c>
      <c r="B59" s="6" t="s">
        <v>16</v>
      </c>
      <c r="C59" s="6" t="s">
        <v>12</v>
      </c>
      <c r="D59" s="7" t="s">
        <v>237</v>
      </c>
      <c r="E59" s="8" t="s">
        <v>238</v>
      </c>
      <c r="F59" s="6" t="s">
        <v>239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240</v>
      </c>
      <c r="B60" s="6" t="s">
        <v>24</v>
      </c>
      <c r="C60" s="6" t="s">
        <v>12</v>
      </c>
      <c r="D60" s="7" t="s">
        <v>241</v>
      </c>
      <c r="E60" s="8" t="s">
        <v>242</v>
      </c>
      <c r="F60" s="6" t="s">
        <v>243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244</v>
      </c>
      <c r="B61" s="6" t="s">
        <v>16</v>
      </c>
      <c r="C61" s="6" t="s">
        <v>12</v>
      </c>
      <c r="D61" s="7" t="s">
        <v>29</v>
      </c>
      <c r="E61" s="8" t="s">
        <v>245</v>
      </c>
      <c r="F61" s="6" t="s">
        <v>246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247</v>
      </c>
      <c r="B62" s="6" t="s">
        <v>16</v>
      </c>
      <c r="C62" s="6" t="s">
        <v>12</v>
      </c>
      <c r="D62" s="7" t="s">
        <v>248</v>
      </c>
      <c r="E62" s="8" t="s">
        <v>249</v>
      </c>
      <c r="F62" s="6" t="s">
        <v>250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251</v>
      </c>
      <c r="B63" s="6" t="s">
        <v>16</v>
      </c>
      <c r="C63" s="6" t="s">
        <v>12</v>
      </c>
      <c r="D63" s="7" t="s">
        <v>252</v>
      </c>
      <c r="E63" s="8" t="s">
        <v>253</v>
      </c>
      <c r="F63" s="6" t="s">
        <v>254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255</v>
      </c>
      <c r="B64" s="6" t="s">
        <v>10</v>
      </c>
      <c r="C64" s="6" t="s">
        <v>12</v>
      </c>
      <c r="D64" s="7" t="s">
        <v>256</v>
      </c>
      <c r="E64" s="8" t="s">
        <v>257</v>
      </c>
      <c r="F64" s="6" t="s">
        <v>258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259</v>
      </c>
      <c r="B65" s="6" t="s">
        <v>16</v>
      </c>
      <c r="C65" s="6" t="s">
        <v>260</v>
      </c>
      <c r="D65" s="7" t="s">
        <v>37</v>
      </c>
      <c r="E65" s="8" t="s">
        <v>261</v>
      </c>
      <c r="F65" s="6" t="s">
        <v>262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263</v>
      </c>
      <c r="B66" s="6" t="s">
        <v>20</v>
      </c>
      <c r="C66" s="6" t="s">
        <v>12</v>
      </c>
      <c r="D66" s="7" t="s">
        <v>37</v>
      </c>
      <c r="E66" s="8" t="s">
        <v>264</v>
      </c>
      <c r="F66" s="6" t="s">
        <v>265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266</v>
      </c>
      <c r="B67" s="6" t="s">
        <v>20</v>
      </c>
      <c r="C67" s="6" t="s">
        <v>12</v>
      </c>
      <c r="D67" s="7" t="s">
        <v>267</v>
      </c>
      <c r="E67" s="8" t="s">
        <v>268</v>
      </c>
      <c r="F67" s="6" t="s">
        <v>269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270</v>
      </c>
      <c r="B68" s="6" t="s">
        <v>11</v>
      </c>
      <c r="C68" s="6" t="s">
        <v>12</v>
      </c>
      <c r="D68" s="7" t="s">
        <v>267</v>
      </c>
      <c r="E68" s="8" t="s">
        <v>271</v>
      </c>
      <c r="F68" s="6" t="s">
        <v>272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273</v>
      </c>
      <c r="B69" s="6" t="s">
        <v>28</v>
      </c>
      <c r="C69" s="6" t="s">
        <v>12</v>
      </c>
      <c r="D69" s="7" t="s">
        <v>274</v>
      </c>
      <c r="E69" s="8" t="s">
        <v>275</v>
      </c>
      <c r="F69" s="6" t="s">
        <v>276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277</v>
      </c>
      <c r="B70" s="6" t="s">
        <v>32</v>
      </c>
      <c r="C70" s="6" t="s">
        <v>12</v>
      </c>
      <c r="D70" s="7" t="s">
        <v>278</v>
      </c>
      <c r="E70" s="8" t="s">
        <v>279</v>
      </c>
      <c r="F70" s="6" t="s">
        <v>280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281</v>
      </c>
      <c r="B71" s="6" t="s">
        <v>28</v>
      </c>
      <c r="C71" s="6" t="s">
        <v>12</v>
      </c>
      <c r="D71" s="7" t="s">
        <v>282</v>
      </c>
      <c r="E71" s="8" t="s">
        <v>283</v>
      </c>
      <c r="F71" s="6" t="s">
        <v>284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285</v>
      </c>
      <c r="B72" s="6" t="s">
        <v>20</v>
      </c>
      <c r="C72" s="6" t="s">
        <v>12</v>
      </c>
      <c r="D72" s="7" t="s">
        <v>286</v>
      </c>
      <c r="E72" s="8" t="s">
        <v>287</v>
      </c>
      <c r="F72" s="6" t="s">
        <v>288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289</v>
      </c>
      <c r="B73" s="6" t="s">
        <v>10</v>
      </c>
      <c r="C73" s="6" t="s">
        <v>12</v>
      </c>
      <c r="D73" s="7" t="s">
        <v>290</v>
      </c>
      <c r="E73" s="8" t="s">
        <v>291</v>
      </c>
      <c r="F73" s="6" t="s">
        <v>292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293</v>
      </c>
      <c r="B74" s="6" t="s">
        <v>28</v>
      </c>
      <c r="C74" s="6" t="s">
        <v>12</v>
      </c>
      <c r="D74" s="7" t="s">
        <v>294</v>
      </c>
      <c r="E74" s="8" t="s">
        <v>295</v>
      </c>
      <c r="F74" s="6" t="s">
        <v>296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297</v>
      </c>
      <c r="B75" s="6" t="s">
        <v>16</v>
      </c>
      <c r="C75" s="6" t="s">
        <v>12</v>
      </c>
      <c r="D75" s="7" t="s">
        <v>298</v>
      </c>
      <c r="E75" s="8" t="s">
        <v>299</v>
      </c>
      <c r="F75" s="6" t="s">
        <v>300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301</v>
      </c>
      <c r="B76" s="6" t="s">
        <v>16</v>
      </c>
      <c r="C76" s="6" t="s">
        <v>12</v>
      </c>
      <c r="D76" s="7" t="s">
        <v>302</v>
      </c>
      <c r="E76" s="8" t="s">
        <v>303</v>
      </c>
      <c r="F76" s="6" t="s">
        <v>304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305</v>
      </c>
      <c r="B77" s="6" t="s">
        <v>16</v>
      </c>
      <c r="C77" s="6" t="s">
        <v>12</v>
      </c>
      <c r="D77" s="7" t="s">
        <v>306</v>
      </c>
      <c r="E77" s="8" t="s">
        <v>307</v>
      </c>
      <c r="F77" s="6" t="s">
        <v>308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309</v>
      </c>
      <c r="B78" s="6" t="s">
        <v>32</v>
      </c>
      <c r="C78" s="6" t="s">
        <v>12</v>
      </c>
      <c r="D78" s="7" t="s">
        <v>310</v>
      </c>
      <c r="E78" s="8" t="s">
        <v>311</v>
      </c>
      <c r="F78" s="6" t="s">
        <v>312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313</v>
      </c>
      <c r="B79" s="6" t="s">
        <v>20</v>
      </c>
      <c r="C79" s="6" t="s">
        <v>12</v>
      </c>
      <c r="D79" s="7" t="s">
        <v>314</v>
      </c>
      <c r="E79" s="8" t="s">
        <v>315</v>
      </c>
      <c r="F79" s="6" t="s">
        <v>316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317</v>
      </c>
      <c r="B80" s="6" t="s">
        <v>59</v>
      </c>
      <c r="C80" s="6" t="s">
        <v>12</v>
      </c>
      <c r="D80" s="7" t="s">
        <v>318</v>
      </c>
      <c r="E80" s="8" t="s">
        <v>319</v>
      </c>
      <c r="F80" s="6" t="s">
        <v>320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321</v>
      </c>
      <c r="B81" s="6" t="s">
        <v>20</v>
      </c>
      <c r="C81" s="6" t="s">
        <v>12</v>
      </c>
      <c r="D81" s="7" t="s">
        <v>322</v>
      </c>
      <c r="E81" s="8" t="s">
        <v>323</v>
      </c>
      <c r="F81" s="6" t="s">
        <v>324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325</v>
      </c>
      <c r="B82" s="6" t="s">
        <v>16</v>
      </c>
      <c r="C82" s="6" t="s">
        <v>12</v>
      </c>
      <c r="D82" s="7" t="s">
        <v>326</v>
      </c>
      <c r="E82" s="8" t="s">
        <v>327</v>
      </c>
      <c r="F82" s="6" t="s">
        <v>328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329</v>
      </c>
      <c r="B83" s="6" t="s">
        <v>16</v>
      </c>
      <c r="C83" s="6" t="s">
        <v>12</v>
      </c>
      <c r="D83" s="7" t="s">
        <v>330</v>
      </c>
      <c r="E83" s="8" t="s">
        <v>331</v>
      </c>
      <c r="F83" s="6" t="s">
        <v>332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333</v>
      </c>
      <c r="B84" s="6" t="s">
        <v>32</v>
      </c>
      <c r="C84" s="6" t="s">
        <v>12</v>
      </c>
      <c r="D84" s="7" t="s">
        <v>334</v>
      </c>
      <c r="E84" s="8" t="s">
        <v>335</v>
      </c>
      <c r="F84" s="6" t="s">
        <v>336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337</v>
      </c>
      <c r="B85" s="6" t="s">
        <v>16</v>
      </c>
      <c r="C85" s="6" t="s">
        <v>12</v>
      </c>
      <c r="D85" s="7" t="s">
        <v>338</v>
      </c>
      <c r="E85" s="8" t="s">
        <v>339</v>
      </c>
      <c r="F85" s="6" t="s">
        <v>340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341</v>
      </c>
      <c r="B86" s="6" t="s">
        <v>16</v>
      </c>
      <c r="C86" s="6" t="s">
        <v>12</v>
      </c>
      <c r="D86" s="7" t="s">
        <v>342</v>
      </c>
      <c r="E86" s="8" t="s">
        <v>343</v>
      </c>
      <c r="F86" s="6" t="s">
        <v>344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345</v>
      </c>
      <c r="B87" s="6" t="s">
        <v>16</v>
      </c>
      <c r="C87" s="6" t="s">
        <v>12</v>
      </c>
      <c r="D87" s="7" t="s">
        <v>346</v>
      </c>
      <c r="E87" s="8" t="s">
        <v>347</v>
      </c>
      <c r="F87" s="6" t="s">
        <v>348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349</v>
      </c>
      <c r="B88" s="6" t="s">
        <v>20</v>
      </c>
      <c r="C88" s="6" t="s">
        <v>12</v>
      </c>
      <c r="D88" s="7" t="s">
        <v>350</v>
      </c>
      <c r="E88" s="8" t="s">
        <v>351</v>
      </c>
      <c r="F88" s="6" t="s">
        <v>352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353</v>
      </c>
      <c r="B89" s="6" t="s">
        <v>16</v>
      </c>
      <c r="C89" s="6" t="s">
        <v>12</v>
      </c>
      <c r="D89" s="7" t="s">
        <v>354</v>
      </c>
      <c r="E89" s="8" t="s">
        <v>355</v>
      </c>
      <c r="F89" s="6" t="s">
        <v>356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357</v>
      </c>
      <c r="B90" s="6" t="s">
        <v>20</v>
      </c>
      <c r="C90" s="6" t="s">
        <v>12</v>
      </c>
      <c r="D90" s="7" t="s">
        <v>358</v>
      </c>
      <c r="E90" s="8" t="s">
        <v>359</v>
      </c>
      <c r="F90" s="6" t="s">
        <v>360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361</v>
      </c>
      <c r="B91" s="6" t="s">
        <v>20</v>
      </c>
      <c r="C91" s="6" t="s">
        <v>12</v>
      </c>
      <c r="D91" s="7" t="s">
        <v>362</v>
      </c>
      <c r="E91" s="8" t="s">
        <v>363</v>
      </c>
      <c r="F91" s="6" t="s">
        <v>364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365</v>
      </c>
      <c r="B92" s="6" t="s">
        <v>10</v>
      </c>
      <c r="C92" s="6" t="s">
        <v>12</v>
      </c>
      <c r="D92" s="7" t="s">
        <v>366</v>
      </c>
      <c r="E92" s="8" t="s">
        <v>367</v>
      </c>
      <c r="F92" s="6" t="s">
        <v>368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369</v>
      </c>
      <c r="B93" s="6" t="s">
        <v>16</v>
      </c>
      <c r="C93" s="6" t="s">
        <v>12</v>
      </c>
      <c r="D93" s="7" t="s">
        <v>370</v>
      </c>
      <c r="E93" s="8" t="s">
        <v>371</v>
      </c>
      <c r="F93" s="6" t="s">
        <v>372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373</v>
      </c>
      <c r="B94" s="6" t="s">
        <v>55</v>
      </c>
      <c r="C94" s="6" t="s">
        <v>12</v>
      </c>
      <c r="D94" s="7" t="s">
        <v>374</v>
      </c>
      <c r="E94" s="8" t="s">
        <v>375</v>
      </c>
      <c r="F94" s="6" t="s">
        <v>376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377</v>
      </c>
      <c r="B95" s="6" t="s">
        <v>24</v>
      </c>
      <c r="C95" s="6" t="s">
        <v>12</v>
      </c>
      <c r="D95" s="7" t="s">
        <v>378</v>
      </c>
      <c r="E95" s="8" t="s">
        <v>379</v>
      </c>
      <c r="F95" s="6" t="s">
        <v>380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381</v>
      </c>
      <c r="B96" s="6" t="s">
        <v>16</v>
      </c>
      <c r="C96" s="6" t="s">
        <v>12</v>
      </c>
      <c r="D96" s="7" t="s">
        <v>198</v>
      </c>
      <c r="E96" s="8" t="s">
        <v>382</v>
      </c>
      <c r="F96" s="6" t="s">
        <v>383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384</v>
      </c>
      <c r="B97" s="6" t="s">
        <v>16</v>
      </c>
      <c r="C97" s="6" t="s">
        <v>12</v>
      </c>
      <c r="D97" s="7" t="s">
        <v>198</v>
      </c>
      <c r="E97" s="8" t="s">
        <v>385</v>
      </c>
      <c r="F97" s="6" t="s">
        <v>386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387</v>
      </c>
      <c r="B98" s="6" t="s">
        <v>20</v>
      </c>
      <c r="C98" s="6" t="s">
        <v>12</v>
      </c>
      <c r="D98" s="7" t="s">
        <v>13</v>
      </c>
      <c r="E98" s="8" t="s">
        <v>388</v>
      </c>
      <c r="F98" s="6" t="s">
        <v>389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390</v>
      </c>
      <c r="B99" s="6" t="s">
        <v>16</v>
      </c>
      <c r="C99" s="6" t="s">
        <v>12</v>
      </c>
      <c r="D99" s="7" t="s">
        <v>391</v>
      </c>
      <c r="E99" s="8" t="s">
        <v>392</v>
      </c>
      <c r="F99" s="6" t="s">
        <v>393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394</v>
      </c>
      <c r="B100" s="6" t="s">
        <v>16</v>
      </c>
      <c r="C100" s="6" t="s">
        <v>12</v>
      </c>
      <c r="D100" s="7" t="s">
        <v>395</v>
      </c>
      <c r="E100" s="8" t="s">
        <v>396</v>
      </c>
      <c r="F100" s="6" t="s">
        <v>397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398</v>
      </c>
      <c r="B101" s="6" t="s">
        <v>16</v>
      </c>
      <c r="C101" s="6" t="s">
        <v>12</v>
      </c>
      <c r="D101" s="7" t="s">
        <v>399</v>
      </c>
      <c r="E101" s="8" t="s">
        <v>400</v>
      </c>
      <c r="F101" s="6" t="s">
        <v>401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402</v>
      </c>
      <c r="B102" s="6" t="s">
        <v>16</v>
      </c>
      <c r="C102" s="6" t="s">
        <v>12</v>
      </c>
      <c r="D102" s="7" t="s">
        <v>403</v>
      </c>
      <c r="E102" s="8" t="s">
        <v>404</v>
      </c>
      <c r="F102" s="6" t="s">
        <v>405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406</v>
      </c>
      <c r="B103" s="6" t="s">
        <v>20</v>
      </c>
      <c r="C103" s="6" t="s">
        <v>12</v>
      </c>
      <c r="D103" s="7" t="s">
        <v>407</v>
      </c>
      <c r="E103" s="8" t="s">
        <v>408</v>
      </c>
      <c r="F103" s="6" t="s">
        <v>409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410</v>
      </c>
      <c r="B104" s="6" t="s">
        <v>16</v>
      </c>
      <c r="C104" s="6" t="s">
        <v>12</v>
      </c>
      <c r="D104" s="7" t="s">
        <v>13</v>
      </c>
      <c r="E104" s="8" t="s">
        <v>411</v>
      </c>
      <c r="F104" s="6" t="s">
        <v>412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413</v>
      </c>
      <c r="B105" s="6" t="s">
        <v>16</v>
      </c>
      <c r="C105" s="6" t="s">
        <v>12</v>
      </c>
      <c r="D105" s="7" t="s">
        <v>132</v>
      </c>
      <c r="E105" s="8" t="s">
        <v>414</v>
      </c>
      <c r="F105" s="6" t="s">
        <v>415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416</v>
      </c>
      <c r="B106" s="6" t="s">
        <v>16</v>
      </c>
      <c r="C106" s="6" t="s">
        <v>12</v>
      </c>
      <c r="D106" s="7" t="s">
        <v>417</v>
      </c>
      <c r="E106" s="8" t="s">
        <v>418</v>
      </c>
      <c r="F106" s="6" t="s">
        <v>419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420</v>
      </c>
      <c r="B107" s="6" t="s">
        <v>20</v>
      </c>
      <c r="C107" s="6" t="s">
        <v>12</v>
      </c>
      <c r="D107" s="7" t="s">
        <v>399</v>
      </c>
      <c r="E107" s="8" t="s">
        <v>421</v>
      </c>
      <c r="F107" s="6" t="s">
        <v>422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423</v>
      </c>
      <c r="B108" s="6" t="s">
        <v>10</v>
      </c>
      <c r="C108" s="6" t="s">
        <v>12</v>
      </c>
      <c r="D108" s="7" t="s">
        <v>424</v>
      </c>
      <c r="E108" s="8" t="s">
        <v>425</v>
      </c>
      <c r="F108" s="6" t="s">
        <v>426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427</v>
      </c>
      <c r="B109" s="6" t="s">
        <v>36</v>
      </c>
      <c r="C109" s="6" t="s">
        <v>12</v>
      </c>
      <c r="D109" s="7" t="s">
        <v>428</v>
      </c>
      <c r="E109" s="8" t="s">
        <v>429</v>
      </c>
      <c r="F109" s="6" t="s">
        <v>430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431</v>
      </c>
      <c r="B110" s="6" t="s">
        <v>16</v>
      </c>
      <c r="C110" s="6" t="s">
        <v>12</v>
      </c>
      <c r="D110" s="7" t="s">
        <v>432</v>
      </c>
      <c r="E110" s="8" t="s">
        <v>433</v>
      </c>
      <c r="F110" s="6" t="s">
        <v>434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435</v>
      </c>
      <c r="B111" s="6" t="s">
        <v>10</v>
      </c>
      <c r="C111" s="6" t="s">
        <v>12</v>
      </c>
      <c r="D111" s="7" t="s">
        <v>436</v>
      </c>
      <c r="E111" s="8" t="s">
        <v>437</v>
      </c>
      <c r="F111" s="6" t="s">
        <v>438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439</v>
      </c>
      <c r="B112" s="6" t="s">
        <v>10</v>
      </c>
      <c r="C112" s="6" t="s">
        <v>12</v>
      </c>
      <c r="D112" s="7" t="s">
        <v>440</v>
      </c>
      <c r="E112" s="8" t="s">
        <v>441</v>
      </c>
      <c r="F112" s="6" t="s">
        <v>442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443</v>
      </c>
      <c r="B113" s="6" t="s">
        <v>24</v>
      </c>
      <c r="C113" s="6" t="s">
        <v>12</v>
      </c>
      <c r="D113" s="7" t="s">
        <v>444</v>
      </c>
      <c r="E113" s="8" t="s">
        <v>445</v>
      </c>
      <c r="F113" s="6" t="s">
        <v>446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447</v>
      </c>
      <c r="B114" s="6" t="s">
        <v>72</v>
      </c>
      <c r="C114" s="6" t="s">
        <v>12</v>
      </c>
      <c r="D114" s="7" t="s">
        <v>448</v>
      </c>
      <c r="E114" s="8" t="s">
        <v>449</v>
      </c>
      <c r="F114" s="6" t="s">
        <v>450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451</v>
      </c>
      <c r="B115" s="6" t="s">
        <v>16</v>
      </c>
      <c r="C115" s="6" t="s">
        <v>12</v>
      </c>
      <c r="D115" s="7" t="s">
        <v>403</v>
      </c>
      <c r="E115" s="8" t="s">
        <v>452</v>
      </c>
      <c r="F115" s="6" t="s">
        <v>453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454</v>
      </c>
      <c r="B116" s="6" t="s">
        <v>51</v>
      </c>
      <c r="C116" s="6" t="s">
        <v>12</v>
      </c>
      <c r="D116" s="7" t="s">
        <v>21</v>
      </c>
      <c r="E116" s="8" t="s">
        <v>455</v>
      </c>
      <c r="F116" s="6" t="s">
        <v>456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457</v>
      </c>
      <c r="B117" s="6" t="s">
        <v>32</v>
      </c>
      <c r="C117" s="6" t="s">
        <v>12</v>
      </c>
      <c r="D117" s="7" t="s">
        <v>458</v>
      </c>
      <c r="E117" s="8" t="s">
        <v>459</v>
      </c>
      <c r="F117" s="6" t="s">
        <v>460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461</v>
      </c>
      <c r="B118" s="6" t="s">
        <v>16</v>
      </c>
      <c r="C118" s="6" t="s">
        <v>12</v>
      </c>
      <c r="D118" s="7" t="s">
        <v>462</v>
      </c>
      <c r="E118" s="8" t="s">
        <v>463</v>
      </c>
      <c r="F118" s="6" t="s">
        <v>464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465</v>
      </c>
      <c r="B119" s="6" t="s">
        <v>20</v>
      </c>
      <c r="C119" s="6" t="s">
        <v>12</v>
      </c>
      <c r="D119" s="7" t="s">
        <v>466</v>
      </c>
      <c r="E119" s="8" t="s">
        <v>467</v>
      </c>
      <c r="F119" s="6" t="s">
        <v>468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469</v>
      </c>
      <c r="B120" s="6" t="s">
        <v>16</v>
      </c>
      <c r="C120" s="6" t="s">
        <v>12</v>
      </c>
      <c r="D120" s="7" t="s">
        <v>237</v>
      </c>
      <c r="E120" s="8" t="s">
        <v>470</v>
      </c>
      <c r="F120" s="6" t="s">
        <v>471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472</v>
      </c>
      <c r="B121" s="6" t="s">
        <v>16</v>
      </c>
      <c r="C121" s="6" t="s">
        <v>12</v>
      </c>
      <c r="D121" s="7" t="s">
        <v>237</v>
      </c>
      <c r="E121" s="8" t="s">
        <v>473</v>
      </c>
      <c r="F121" s="6" t="s">
        <v>474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475</v>
      </c>
      <c r="B122" s="6" t="s">
        <v>16</v>
      </c>
      <c r="C122" s="6" t="s">
        <v>12</v>
      </c>
      <c r="D122" s="7" t="s">
        <v>476</v>
      </c>
      <c r="E122" s="8" t="s">
        <v>477</v>
      </c>
      <c r="F122" s="6" t="s">
        <v>478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479</v>
      </c>
      <c r="B123" s="6" t="s">
        <v>24</v>
      </c>
      <c r="C123" s="6" t="s">
        <v>12</v>
      </c>
      <c r="D123" s="7" t="s">
        <v>480</v>
      </c>
      <c r="E123" s="8" t="s">
        <v>481</v>
      </c>
      <c r="F123" s="6" t="s">
        <v>482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483</v>
      </c>
      <c r="B124" s="6" t="s">
        <v>10</v>
      </c>
      <c r="C124" s="6" t="s">
        <v>12</v>
      </c>
      <c r="D124" s="7" t="s">
        <v>484</v>
      </c>
      <c r="E124" s="8" t="s">
        <v>485</v>
      </c>
      <c r="F124" s="6" t="s">
        <v>486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487</v>
      </c>
      <c r="B125" s="6" t="s">
        <v>16</v>
      </c>
      <c r="C125" s="6" t="s">
        <v>12</v>
      </c>
      <c r="D125" s="7" t="s">
        <v>286</v>
      </c>
      <c r="E125" s="8" t="s">
        <v>488</v>
      </c>
      <c r="F125" s="6" t="s">
        <v>489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490</v>
      </c>
      <c r="B126" s="6" t="s">
        <v>55</v>
      </c>
      <c r="C126" s="6" t="s">
        <v>12</v>
      </c>
      <c r="D126" s="7" t="s">
        <v>491</v>
      </c>
      <c r="E126" s="8" t="s">
        <v>492</v>
      </c>
      <c r="F126" s="6" t="s">
        <v>493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494</v>
      </c>
      <c r="B127" s="6" t="s">
        <v>16</v>
      </c>
      <c r="C127" s="6" t="s">
        <v>12</v>
      </c>
      <c r="D127" s="7" t="s">
        <v>495</v>
      </c>
      <c r="E127" s="8" t="s">
        <v>496</v>
      </c>
      <c r="F127" s="6" t="s">
        <v>497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498</v>
      </c>
      <c r="B128" s="6" t="s">
        <v>24</v>
      </c>
      <c r="C128" s="6" t="s">
        <v>12</v>
      </c>
      <c r="D128" s="7" t="s">
        <v>499</v>
      </c>
      <c r="E128" s="8" t="s">
        <v>500</v>
      </c>
      <c r="F128" s="6" t="s">
        <v>501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502</v>
      </c>
      <c r="B129" s="6" t="s">
        <v>16</v>
      </c>
      <c r="C129" s="6" t="s">
        <v>217</v>
      </c>
      <c r="D129" s="7" t="s">
        <v>322</v>
      </c>
      <c r="E129" s="8" t="s">
        <v>503</v>
      </c>
      <c r="F129" s="6" t="s">
        <v>504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505</v>
      </c>
      <c r="B130" s="6" t="s">
        <v>10</v>
      </c>
      <c r="C130" s="6" t="s">
        <v>12</v>
      </c>
      <c r="D130" s="7" t="s">
        <v>506</v>
      </c>
      <c r="E130" s="8" t="s">
        <v>507</v>
      </c>
      <c r="F130" s="6" t="s">
        <v>508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509</v>
      </c>
      <c r="B131" s="6" t="s">
        <v>63</v>
      </c>
      <c r="C131" s="6" t="s">
        <v>12</v>
      </c>
      <c r="D131" s="7" t="s">
        <v>510</v>
      </c>
      <c r="E131" s="8" t="s">
        <v>511</v>
      </c>
      <c r="F131" s="6" t="s">
        <v>512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513</v>
      </c>
      <c r="B132" s="6" t="s">
        <v>16</v>
      </c>
      <c r="C132" s="6" t="s">
        <v>12</v>
      </c>
      <c r="D132" s="7" t="s">
        <v>322</v>
      </c>
      <c r="E132" s="8" t="s">
        <v>514</v>
      </c>
      <c r="F132" s="6" t="s">
        <v>515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516</v>
      </c>
      <c r="B133" s="6" t="s">
        <v>16</v>
      </c>
      <c r="C133" s="6" t="s">
        <v>12</v>
      </c>
      <c r="D133" s="7" t="s">
        <v>462</v>
      </c>
      <c r="E133" s="8" t="s">
        <v>517</v>
      </c>
      <c r="F133" s="6" t="s">
        <v>518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519</v>
      </c>
      <c r="B134" s="6" t="s">
        <v>20</v>
      </c>
      <c r="C134" s="6" t="s">
        <v>12</v>
      </c>
      <c r="D134" s="7" t="s">
        <v>520</v>
      </c>
      <c r="E134" s="8" t="s">
        <v>521</v>
      </c>
      <c r="F134" s="6" t="s">
        <v>522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523</v>
      </c>
      <c r="B135" s="6" t="s">
        <v>24</v>
      </c>
      <c r="C135" s="6" t="s">
        <v>12</v>
      </c>
      <c r="D135" s="7" t="s">
        <v>274</v>
      </c>
      <c r="E135" s="8" t="s">
        <v>524</v>
      </c>
      <c r="F135" s="6" t="s">
        <v>525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526</v>
      </c>
      <c r="B136" s="6" t="s">
        <v>76</v>
      </c>
      <c r="C136" s="6" t="s">
        <v>12</v>
      </c>
      <c r="D136" s="7" t="s">
        <v>527</v>
      </c>
      <c r="E136" s="8" t="s">
        <v>528</v>
      </c>
      <c r="F136" s="6" t="s">
        <v>529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530</v>
      </c>
      <c r="B137" s="6" t="s">
        <v>16</v>
      </c>
      <c r="C137" s="6" t="s">
        <v>12</v>
      </c>
      <c r="D137" s="7" t="s">
        <v>531</v>
      </c>
      <c r="E137" s="8" t="s">
        <v>532</v>
      </c>
      <c r="F137" s="6" t="s">
        <v>533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534</v>
      </c>
      <c r="B138" s="6" t="s">
        <v>11</v>
      </c>
      <c r="C138" s="6" t="s">
        <v>12</v>
      </c>
      <c r="D138" s="7" t="s">
        <v>535</v>
      </c>
      <c r="E138" s="8" t="s">
        <v>536</v>
      </c>
      <c r="F138" s="6" t="s">
        <v>537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538</v>
      </c>
      <c r="B139" s="6" t="s">
        <v>16</v>
      </c>
      <c r="C139" s="6" t="s">
        <v>12</v>
      </c>
      <c r="D139" s="7" t="s">
        <v>539</v>
      </c>
      <c r="E139" s="8" t="s">
        <v>540</v>
      </c>
      <c r="F139" s="6" t="s">
        <v>541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542</v>
      </c>
      <c r="B140" s="6" t="s">
        <v>20</v>
      </c>
      <c r="C140" s="6" t="s">
        <v>12</v>
      </c>
      <c r="D140" s="7" t="s">
        <v>543</v>
      </c>
      <c r="E140" s="8" t="s">
        <v>544</v>
      </c>
      <c r="F140" s="6" t="s">
        <v>545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546</v>
      </c>
      <c r="B141" s="6" t="s">
        <v>16</v>
      </c>
      <c r="C141" s="6" t="s">
        <v>12</v>
      </c>
      <c r="D141" s="7" t="s">
        <v>547</v>
      </c>
      <c r="E141" s="8" t="s">
        <v>548</v>
      </c>
      <c r="F141" s="6" t="s">
        <v>549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550</v>
      </c>
      <c r="B142" s="6" t="s">
        <v>24</v>
      </c>
      <c r="C142" s="6" t="s">
        <v>12</v>
      </c>
      <c r="D142" s="7" t="s">
        <v>128</v>
      </c>
      <c r="E142" s="8" t="s">
        <v>551</v>
      </c>
      <c r="F142" s="6" t="s">
        <v>552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553</v>
      </c>
      <c r="B143" s="6" t="s">
        <v>10</v>
      </c>
      <c r="C143" s="6" t="s">
        <v>12</v>
      </c>
      <c r="D143" s="7" t="s">
        <v>33</v>
      </c>
      <c r="E143" s="8" t="s">
        <v>554</v>
      </c>
      <c r="F143" s="6" t="s">
        <v>555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556</v>
      </c>
      <c r="B144" s="6" t="s">
        <v>10</v>
      </c>
      <c r="C144" s="6" t="s">
        <v>12</v>
      </c>
      <c r="D144" s="7" t="s">
        <v>484</v>
      </c>
      <c r="E144" s="8" t="s">
        <v>557</v>
      </c>
      <c r="F144" s="6" t="s">
        <v>558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559</v>
      </c>
      <c r="B145" s="6" t="s">
        <v>24</v>
      </c>
      <c r="C145" s="6" t="s">
        <v>12</v>
      </c>
      <c r="D145" s="7" t="s">
        <v>560</v>
      </c>
      <c r="E145" s="8" t="s">
        <v>561</v>
      </c>
      <c r="F145" s="6" t="s">
        <v>562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563</v>
      </c>
      <c r="B146" s="6" t="s">
        <v>20</v>
      </c>
      <c r="C146" s="6" t="s">
        <v>12</v>
      </c>
      <c r="D146" s="7" t="s">
        <v>564</v>
      </c>
      <c r="E146" s="8" t="s">
        <v>565</v>
      </c>
      <c r="F146" s="6" t="s">
        <v>566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567</v>
      </c>
      <c r="B147" s="6" t="s">
        <v>55</v>
      </c>
      <c r="C147" s="6" t="s">
        <v>12</v>
      </c>
      <c r="D147" s="7" t="s">
        <v>568</v>
      </c>
      <c r="E147" s="8" t="s">
        <v>569</v>
      </c>
      <c r="F147" s="6" t="s">
        <v>570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571</v>
      </c>
      <c r="B148" s="6" t="s">
        <v>24</v>
      </c>
      <c r="C148" s="6" t="s">
        <v>12</v>
      </c>
      <c r="D148" s="7" t="s">
        <v>399</v>
      </c>
      <c r="E148" s="8" t="s">
        <v>572</v>
      </c>
      <c r="F148" s="6" t="s">
        <v>573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574</v>
      </c>
      <c r="B149" s="6" t="s">
        <v>36</v>
      </c>
      <c r="C149" s="6" t="s">
        <v>12</v>
      </c>
      <c r="D149" s="7" t="s">
        <v>286</v>
      </c>
      <c r="E149" s="8" t="s">
        <v>575</v>
      </c>
      <c r="F149" s="6" t="s">
        <v>576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577</v>
      </c>
      <c r="B150" s="6" t="s">
        <v>43</v>
      </c>
      <c r="C150" s="6" t="s">
        <v>217</v>
      </c>
      <c r="D150" s="7" t="s">
        <v>578</v>
      </c>
      <c r="E150" s="8" t="s">
        <v>579</v>
      </c>
      <c r="F150" s="6" t="s">
        <v>580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581</v>
      </c>
      <c r="B151" s="6" t="s">
        <v>51</v>
      </c>
      <c r="C151" s="6" t="s">
        <v>12</v>
      </c>
      <c r="D151" s="7" t="s">
        <v>582</v>
      </c>
      <c r="E151" s="8" t="s">
        <v>583</v>
      </c>
      <c r="F151" s="6" t="s">
        <v>584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585</v>
      </c>
      <c r="B152" s="6" t="s">
        <v>10</v>
      </c>
      <c r="C152" s="6" t="s">
        <v>12</v>
      </c>
      <c r="D152" s="7" t="s">
        <v>586</v>
      </c>
      <c r="E152" s="8" t="s">
        <v>587</v>
      </c>
      <c r="F152" s="6" t="s">
        <v>588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589</v>
      </c>
      <c r="B153" s="6" t="s">
        <v>24</v>
      </c>
      <c r="C153" s="6" t="s">
        <v>12</v>
      </c>
      <c r="D153" s="7" t="s">
        <v>590</v>
      </c>
      <c r="E153" s="8" t="s">
        <v>591</v>
      </c>
      <c r="F153" s="6" t="s">
        <v>592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593</v>
      </c>
      <c r="B154" s="6" t="s">
        <v>43</v>
      </c>
      <c r="C154" s="6" t="s">
        <v>12</v>
      </c>
      <c r="D154" s="7" t="s">
        <v>37</v>
      </c>
      <c r="E154" s="8" t="s">
        <v>594</v>
      </c>
      <c r="F154" s="6" t="s">
        <v>595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596</v>
      </c>
      <c r="B155" s="6" t="s">
        <v>32</v>
      </c>
      <c r="C155" s="6" t="s">
        <v>12</v>
      </c>
      <c r="D155" s="7" t="s">
        <v>597</v>
      </c>
      <c r="E155" s="8" t="s">
        <v>598</v>
      </c>
      <c r="F155" s="6" t="s">
        <v>599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600</v>
      </c>
      <c r="B156" s="6" t="s">
        <v>16</v>
      </c>
      <c r="C156" s="6" t="s">
        <v>12</v>
      </c>
      <c r="D156" s="7" t="s">
        <v>601</v>
      </c>
      <c r="E156" s="8" t="s">
        <v>602</v>
      </c>
      <c r="F156" s="6" t="s">
        <v>603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604</v>
      </c>
      <c r="B157" s="6" t="s">
        <v>16</v>
      </c>
      <c r="C157" s="6" t="s">
        <v>12</v>
      </c>
      <c r="D157" s="7" t="s">
        <v>17</v>
      </c>
      <c r="E157" s="8" t="s">
        <v>605</v>
      </c>
      <c r="F157" s="6" t="s">
        <v>606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607</v>
      </c>
      <c r="B158" s="6" t="s">
        <v>16</v>
      </c>
      <c r="C158" s="6" t="s">
        <v>12</v>
      </c>
      <c r="D158" s="7" t="s">
        <v>17</v>
      </c>
      <c r="E158" s="8" t="s">
        <v>608</v>
      </c>
      <c r="F158" s="6" t="s">
        <v>609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610</v>
      </c>
      <c r="B159" s="6" t="s">
        <v>16</v>
      </c>
      <c r="C159" s="6" t="s">
        <v>12</v>
      </c>
      <c r="D159" s="7" t="s">
        <v>462</v>
      </c>
      <c r="E159" s="8" t="s">
        <v>611</v>
      </c>
      <c r="F159" s="6" t="s">
        <v>612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613</v>
      </c>
      <c r="B160" s="6" t="s">
        <v>16</v>
      </c>
      <c r="C160" s="6" t="s">
        <v>12</v>
      </c>
      <c r="D160" s="7" t="s">
        <v>614</v>
      </c>
      <c r="E160" s="8" t="s">
        <v>615</v>
      </c>
      <c r="F160" s="6" t="s">
        <v>616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617</v>
      </c>
      <c r="B161" s="6" t="s">
        <v>84</v>
      </c>
      <c r="C161" s="6" t="s">
        <v>12</v>
      </c>
      <c r="D161" s="7" t="s">
        <v>618</v>
      </c>
      <c r="E161" s="8" t="s">
        <v>619</v>
      </c>
      <c r="F161" s="6" t="s">
        <v>620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621</v>
      </c>
      <c r="B162" s="6" t="s">
        <v>20</v>
      </c>
      <c r="C162" s="6" t="s">
        <v>12</v>
      </c>
      <c r="D162" s="7" t="s">
        <v>17</v>
      </c>
      <c r="E162" s="8" t="s">
        <v>622</v>
      </c>
      <c r="F162" s="6" t="s">
        <v>623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624</v>
      </c>
      <c r="B163" s="6" t="s">
        <v>24</v>
      </c>
      <c r="C163" s="6" t="s">
        <v>217</v>
      </c>
      <c r="D163" s="7" t="s">
        <v>218</v>
      </c>
      <c r="E163" s="8" t="s">
        <v>625</v>
      </c>
      <c r="F163" s="6" t="s">
        <v>626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627</v>
      </c>
      <c r="B164" s="6" t="s">
        <v>28</v>
      </c>
      <c r="C164" s="6" t="s">
        <v>12</v>
      </c>
      <c r="D164" s="7" t="s">
        <v>628</v>
      </c>
      <c r="E164" s="8" t="s">
        <v>629</v>
      </c>
      <c r="F164" s="6" t="s">
        <v>630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631</v>
      </c>
      <c r="B165" s="6" t="s">
        <v>24</v>
      </c>
      <c r="C165" s="6" t="s">
        <v>12</v>
      </c>
      <c r="D165" s="7" t="s">
        <v>632</v>
      </c>
      <c r="E165" s="8" t="s">
        <v>633</v>
      </c>
      <c r="F165" s="6" t="s">
        <v>634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635</v>
      </c>
      <c r="B166" s="6" t="s">
        <v>28</v>
      </c>
      <c r="C166" s="6" t="s">
        <v>217</v>
      </c>
      <c r="D166" s="7" t="s">
        <v>17</v>
      </c>
      <c r="E166" s="8" t="s">
        <v>636</v>
      </c>
      <c r="F166" s="6" t="s">
        <v>637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638</v>
      </c>
      <c r="B167" s="6" t="s">
        <v>16</v>
      </c>
      <c r="C167" s="6" t="s">
        <v>12</v>
      </c>
      <c r="D167" s="7" t="s">
        <v>639</v>
      </c>
      <c r="E167" s="8" t="s">
        <v>640</v>
      </c>
      <c r="F167" s="6" t="s">
        <v>641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642</v>
      </c>
      <c r="B168" s="6" t="s">
        <v>16</v>
      </c>
      <c r="C168" s="6" t="s">
        <v>12</v>
      </c>
      <c r="D168" s="7" t="s">
        <v>643</v>
      </c>
      <c r="E168" s="8" t="s">
        <v>644</v>
      </c>
      <c r="F168" s="6" t="s">
        <v>645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646</v>
      </c>
      <c r="B169" s="6" t="s">
        <v>16</v>
      </c>
      <c r="C169" s="6" t="s">
        <v>12</v>
      </c>
      <c r="D169" s="7" t="s">
        <v>647</v>
      </c>
      <c r="E169" s="8" t="s">
        <v>648</v>
      </c>
      <c r="F169" s="6" t="s">
        <v>649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650</v>
      </c>
      <c r="B170" s="6" t="s">
        <v>16</v>
      </c>
      <c r="C170" s="6" t="s">
        <v>12</v>
      </c>
      <c r="D170" s="7" t="s">
        <v>491</v>
      </c>
      <c r="E170" s="8" t="s">
        <v>651</v>
      </c>
      <c r="F170" s="6" t="s">
        <v>652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653</v>
      </c>
      <c r="B171" s="6" t="s">
        <v>20</v>
      </c>
      <c r="C171" s="6" t="s">
        <v>12</v>
      </c>
      <c r="D171" s="7" t="s">
        <v>654</v>
      </c>
      <c r="E171" s="8" t="s">
        <v>655</v>
      </c>
      <c r="F171" s="6" t="s">
        <v>656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657</v>
      </c>
      <c r="B172" s="6" t="s">
        <v>10</v>
      </c>
      <c r="C172" s="6" t="s">
        <v>12</v>
      </c>
      <c r="D172" s="7" t="s">
        <v>658</v>
      </c>
      <c r="E172" s="8" t="s">
        <v>659</v>
      </c>
      <c r="F172" s="6" t="s">
        <v>660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661</v>
      </c>
      <c r="B173" s="6" t="s">
        <v>10</v>
      </c>
      <c r="C173" s="6" t="s">
        <v>12</v>
      </c>
      <c r="D173" s="7" t="s">
        <v>109</v>
      </c>
      <c r="E173" s="8" t="s">
        <v>662</v>
      </c>
      <c r="F173" s="6" t="s">
        <v>663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664</v>
      </c>
      <c r="B174" s="6" t="s">
        <v>10</v>
      </c>
      <c r="C174" s="6" t="s">
        <v>12</v>
      </c>
      <c r="D174" s="7" t="s">
        <v>665</v>
      </c>
      <c r="E174" s="8" t="s">
        <v>666</v>
      </c>
      <c r="F174" s="6" t="s">
        <v>667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668</v>
      </c>
      <c r="B175" s="6" t="s">
        <v>20</v>
      </c>
      <c r="C175" s="6" t="s">
        <v>12</v>
      </c>
      <c r="D175" s="7" t="s">
        <v>33</v>
      </c>
      <c r="E175" s="8" t="s">
        <v>669</v>
      </c>
      <c r="F175" s="6" t="s">
        <v>670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671</v>
      </c>
      <c r="B176" s="6" t="s">
        <v>11</v>
      </c>
      <c r="C176" s="6" t="s">
        <v>12</v>
      </c>
      <c r="D176" s="7" t="s">
        <v>672</v>
      </c>
      <c r="E176" s="8" t="s">
        <v>673</v>
      </c>
      <c r="F176" s="6" t="s">
        <v>674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675</v>
      </c>
      <c r="B177" s="6" t="s">
        <v>24</v>
      </c>
      <c r="C177" s="6" t="s">
        <v>12</v>
      </c>
      <c r="D177" s="7" t="s">
        <v>676</v>
      </c>
      <c r="E177" s="8" t="s">
        <v>677</v>
      </c>
      <c r="F177" s="6" t="s">
        <v>678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679</v>
      </c>
      <c r="B178" s="6" t="s">
        <v>43</v>
      </c>
      <c r="C178" s="6" t="s">
        <v>12</v>
      </c>
      <c r="D178" s="7" t="s">
        <v>680</v>
      </c>
      <c r="E178" s="8" t="s">
        <v>681</v>
      </c>
      <c r="F178" s="6" t="s">
        <v>682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683</v>
      </c>
      <c r="B179" s="6" t="s">
        <v>24</v>
      </c>
      <c r="C179" s="6" t="s">
        <v>12</v>
      </c>
      <c r="D179" s="7" t="s">
        <v>684</v>
      </c>
      <c r="E179" s="8" t="s">
        <v>685</v>
      </c>
      <c r="F179" s="6" t="s">
        <v>686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687</v>
      </c>
      <c r="B180" s="6" t="s">
        <v>20</v>
      </c>
      <c r="C180" s="6" t="s">
        <v>12</v>
      </c>
      <c r="D180" s="7" t="s">
        <v>676</v>
      </c>
      <c r="E180" s="8" t="s">
        <v>688</v>
      </c>
      <c r="F180" s="6" t="s">
        <v>689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690</v>
      </c>
      <c r="B181" s="6" t="s">
        <v>10</v>
      </c>
      <c r="C181" s="6" t="s">
        <v>12</v>
      </c>
      <c r="D181" s="7" t="s">
        <v>672</v>
      </c>
      <c r="E181" s="8" t="s">
        <v>691</v>
      </c>
      <c r="F181" s="6" t="s">
        <v>692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693</v>
      </c>
      <c r="B182" s="6" t="s">
        <v>67</v>
      </c>
      <c r="C182" s="6" t="s">
        <v>12</v>
      </c>
      <c r="D182" s="7" t="s">
        <v>694</v>
      </c>
      <c r="E182" s="8" t="s">
        <v>695</v>
      </c>
      <c r="F182" s="6" t="s">
        <v>696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697</v>
      </c>
      <c r="B183" s="6" t="s">
        <v>36</v>
      </c>
      <c r="C183" s="6" t="s">
        <v>217</v>
      </c>
      <c r="D183" s="7" t="s">
        <v>698</v>
      </c>
      <c r="E183" s="8" t="s">
        <v>699</v>
      </c>
      <c r="F183" s="6" t="s">
        <v>700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701</v>
      </c>
      <c r="B184" s="6" t="s">
        <v>10</v>
      </c>
      <c r="C184" s="6" t="s">
        <v>12</v>
      </c>
      <c r="D184" s="7" t="s">
        <v>702</v>
      </c>
      <c r="E184" s="8" t="s">
        <v>703</v>
      </c>
      <c r="F184" s="6" t="s">
        <v>704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705</v>
      </c>
      <c r="B1" s="13" t="s">
        <v>706</v>
      </c>
      <c r="C1" s="13" t="s">
        <v>707</v>
      </c>
      <c r="D1" s="13" t="s">
        <v>708</v>
      </c>
      <c r="E1" s="14" t="s">
        <v>709</v>
      </c>
      <c r="F1" s="15" t="s">
        <v>710</v>
      </c>
      <c r="G1" s="16" t="s">
        <v>711</v>
      </c>
      <c r="H1" s="17" t="s">
        <v>712</v>
      </c>
      <c r="I1" s="18" t="s">
        <v>713</v>
      </c>
      <c r="J1" s="18" t="s">
        <v>714</v>
      </c>
      <c r="K1" s="18" t="s">
        <v>715</v>
      </c>
      <c r="L1" s="19" t="s">
        <v>9</v>
      </c>
    </row>
    <row r="2" spans="1:12">
      <c r="A2" s="20" t="s">
        <v>716</v>
      </c>
    </row>
    <row r="3" spans="1:12">
      <c r="A3" s="20" t="s">
        <v>717</v>
      </c>
      <c r="B3" s="21" t="s">
        <v>718</v>
      </c>
      <c r="C3" s="21" t="s">
        <v>719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720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721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722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723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724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725</v>
      </c>
      <c r="B9" s="21" t="s">
        <v>726</v>
      </c>
      <c r="C9" s="21" t="s">
        <v>727</v>
      </c>
      <c r="D9" s="21" t="s">
        <v>728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729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730</v>
      </c>
      <c r="B11" s="21" t="s">
        <v>726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731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732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733</v>
      </c>
    </row>
    <row r="16" spans="1:12">
      <c r="A16" s="20" t="s">
        <v>734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735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725</v>
      </c>
      <c r="B18" s="21" t="s">
        <v>726</v>
      </c>
      <c r="C18" s="21" t="s">
        <v>727</v>
      </c>
      <c r="D18" s="21" t="s">
        <v>728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736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737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732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/>
    </row>
    <row r="23" spans="1:12">
      <c r="A23" s="20" t="s">
        <v>738</v>
      </c>
    </row>
    <row r="24" spans="1:12">
      <c r="A24" s="20" t="s">
        <v>739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740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741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233</v>
      </c>
      <c r="B27" s="21" t="s">
        <v>726</v>
      </c>
      <c r="C27" s="21" t="s">
        <v>719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742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743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744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732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/>
    </row>
    <row r="33" spans="1:12">
      <c r="A33" s="20" t="s">
        <v>745</v>
      </c>
    </row>
    <row r="34" spans="1:12">
      <c r="A34" s="20" t="s">
        <v>746</v>
      </c>
      <c r="B34" s="21" t="s">
        <v>726</v>
      </c>
      <c r="C34" s="21" t="s">
        <v>747</v>
      </c>
      <c r="D34" s="21" t="s">
        <v>728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748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749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29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721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750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721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751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721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752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721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753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754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755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756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732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/>
    </row>
    <row r="51" spans="1:12">
      <c r="A51" s="20" t="s">
        <v>757</v>
      </c>
    </row>
    <row r="52" spans="1:12">
      <c r="A52" s="20" t="s">
        <v>717</v>
      </c>
      <c r="B52" s="21" t="s">
        <v>726</v>
      </c>
      <c r="C52" s="21" t="s">
        <v>719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722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758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/>
    </row>
    <row r="57" spans="1:12">
      <c r="A57" s="20" t="s">
        <v>759</v>
      </c>
    </row>
    <row r="58" spans="1:12">
      <c r="A58" s="20" t="s">
        <v>760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761</v>
      </c>
      <c r="B59" s="21" t="s">
        <v>718</v>
      </c>
      <c r="C59" s="21" t="s">
        <v>762</v>
      </c>
      <c r="D59" s="21" t="s">
        <v>728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763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717</v>
      </c>
      <c r="B61" s="21" t="s">
        <v>726</v>
      </c>
      <c r="C61" s="21" t="s">
        <v>719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764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765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721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766</v>
      </c>
      <c r="B65" s="21" t="s">
        <v>767</v>
      </c>
      <c r="C65" s="21" t="s">
        <v>747</v>
      </c>
      <c r="D65" s="21" t="s">
        <v>728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748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721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768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769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770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721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771</v>
      </c>
      <c r="B73" s="21" t="s">
        <v>772</v>
      </c>
      <c r="C73" s="21" t="s">
        <v>719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773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774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775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776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732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/>
    </row>
    <row r="80" spans="1:12">
      <c r="A80" s="20" t="s">
        <v>777</v>
      </c>
    </row>
    <row r="81" spans="1:12">
      <c r="A81" s="20" t="s">
        <v>778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779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780</v>
      </c>
      <c r="B83" s="21" t="s">
        <v>726</v>
      </c>
      <c r="C83" s="21" t="s">
        <v>727</v>
      </c>
      <c r="D83" s="21" t="s">
        <v>728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781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782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783</v>
      </c>
      <c r="B86" s="21" t="s">
        <v>784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785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721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786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787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788</v>
      </c>
      <c r="B91" s="21" t="s">
        <v>789</v>
      </c>
      <c r="C91" s="21" t="s">
        <v>790</v>
      </c>
      <c r="D91" s="21" t="s">
        <v>728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732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/>
    </row>
    <row r="94" spans="1:12">
      <c r="A94" s="20" t="s">
        <v>791</v>
      </c>
    </row>
    <row r="95" spans="1:12">
      <c r="A95" s="20" t="s">
        <v>792</v>
      </c>
      <c r="B95" s="21" t="s">
        <v>726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793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794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795</v>
      </c>
      <c r="B98" s="21" t="s">
        <v>796</v>
      </c>
      <c r="C98" s="21" t="s">
        <v>790</v>
      </c>
      <c r="D98" s="21" t="s">
        <v>728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797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798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799</v>
      </c>
      <c r="B101" s="21" t="s">
        <v>718</v>
      </c>
      <c r="C101" s="21" t="s">
        <v>800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732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801</v>
      </c>
    </row>
    <row r="105" spans="1:12">
      <c r="A105" s="20" t="s">
        <v>802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721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803</v>
      </c>
      <c r="B107" s="21" t="s">
        <v>804</v>
      </c>
      <c r="C107" s="21" t="s">
        <v>727</v>
      </c>
      <c r="D107" s="21" t="s">
        <v>728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805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806</v>
      </c>
      <c r="B109" s="21" t="s">
        <v>726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807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808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809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721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810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811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725</v>
      </c>
      <c r="B116" s="21" t="s">
        <v>812</v>
      </c>
      <c r="C116" s="21" t="s">
        <v>727</v>
      </c>
      <c r="D116" s="21" t="s">
        <v>728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813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769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814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815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816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817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818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732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/>
    </row>
    <row r="126" spans="1:12">
      <c r="A126" s="20" t="s">
        <v>819</v>
      </c>
    </row>
    <row r="127" spans="1:12">
      <c r="A127" s="20" t="s">
        <v>48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721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820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821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725</v>
      </c>
      <c r="B131" s="21" t="s">
        <v>767</v>
      </c>
      <c r="C131" s="21" t="s">
        <v>727</v>
      </c>
      <c r="D131" s="21" t="s">
        <v>728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732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822</v>
      </c>
    </row>
    <row r="135" spans="1:12">
      <c r="A135" s="20" t="s">
        <v>746</v>
      </c>
      <c r="B135" s="21" t="s">
        <v>726</v>
      </c>
      <c r="C135" s="21" t="s">
        <v>747</v>
      </c>
      <c r="D135" s="21" t="s">
        <v>728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748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823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807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824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825</v>
      </c>
      <c r="B140" s="21" t="s">
        <v>784</v>
      </c>
      <c r="C140" s="21" t="s">
        <v>747</v>
      </c>
      <c r="D140" s="21" t="s">
        <v>728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721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779</v>
      </c>
      <c r="B142" s="21" t="s">
        <v>826</v>
      </c>
      <c r="C142" s="21" t="s">
        <v>719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827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828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829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830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831</v>
      </c>
      <c r="B147" s="21" t="s">
        <v>832</v>
      </c>
      <c r="C147" s="21" t="s">
        <v>833</v>
      </c>
      <c r="D147" s="21" t="s">
        <v>728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834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835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732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/>
    </row>
    <row r="152" spans="1:12">
      <c r="A152" s="20" t="s">
        <v>836</v>
      </c>
    </row>
    <row r="153" spans="1:12">
      <c r="A153" s="20" t="s">
        <v>837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56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788</v>
      </c>
      <c r="B155" s="21" t="s">
        <v>804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755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838</v>
      </c>
      <c r="B157" s="21" t="s">
        <v>796</v>
      </c>
      <c r="C157" s="21" t="s">
        <v>833</v>
      </c>
      <c r="D157" s="21" t="s">
        <v>728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756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839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840</v>
      </c>
    </row>
    <row r="162" spans="1:12">
      <c r="A162" s="20" t="s">
        <v>841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205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842</v>
      </c>
      <c r="B164" s="21" t="s">
        <v>718</v>
      </c>
      <c r="C164" s="21" t="s">
        <v>800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843</v>
      </c>
      <c r="B165" s="21" t="s">
        <v>726</v>
      </c>
      <c r="C165" s="21" t="s">
        <v>727</v>
      </c>
      <c r="D165" s="21" t="s">
        <v>728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844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788</v>
      </c>
      <c r="B167" s="21" t="s">
        <v>804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755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845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846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847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721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848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849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850</v>
      </c>
      <c r="B175" s="21" t="s">
        <v>812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732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/>
    </row>
    <row r="178" spans="1:12">
      <c r="A178" s="20" t="s">
        <v>851</v>
      </c>
    </row>
    <row r="179" spans="1:12">
      <c r="A179" s="20" t="s">
        <v>852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853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854</v>
      </c>
      <c r="B181" s="21" t="s">
        <v>784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732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855</v>
      </c>
    </row>
    <row r="185" spans="1:12">
      <c r="A185" s="20" t="s">
        <v>361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856</v>
      </c>
      <c r="B186" s="21" t="s">
        <v>726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857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731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721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858</v>
      </c>
      <c r="B190" s="21" t="s">
        <v>726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859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831</v>
      </c>
      <c r="B192" s="21" t="s">
        <v>860</v>
      </c>
      <c r="C192" s="21" t="s">
        <v>833</v>
      </c>
      <c r="D192" s="21" t="s">
        <v>728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861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721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862</v>
      </c>
      <c r="B195" s="21" t="s">
        <v>726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721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863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721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864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721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865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820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866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732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867</v>
      </c>
    </row>
    <row r="209" spans="1:12">
      <c r="A209" s="20" t="s">
        <v>868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869</v>
      </c>
      <c r="B210" s="21" t="s">
        <v>726</v>
      </c>
      <c r="C210" s="21" t="s">
        <v>870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871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872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732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/>
    </row>
    <row r="215" spans="1:12">
      <c r="A215" s="20" t="s">
        <v>873</v>
      </c>
    </row>
    <row r="216" spans="1:12">
      <c r="A216" s="20" t="s">
        <v>874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875</v>
      </c>
      <c r="B217" s="21" t="s">
        <v>718</v>
      </c>
      <c r="C217" s="21" t="s">
        <v>747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721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876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877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878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876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879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721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880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881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721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882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883</v>
      </c>
      <c r="B229" s="21" t="s">
        <v>726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721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884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885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886</v>
      </c>
      <c r="B233" s="21" t="s">
        <v>796</v>
      </c>
      <c r="C233" s="21" t="s">
        <v>833</v>
      </c>
      <c r="D233" s="21" t="s">
        <v>728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887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732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/>
    </row>
    <row r="237" spans="1:12">
      <c r="A237" s="20" t="s">
        <v>888</v>
      </c>
    </row>
    <row r="238" spans="1:12">
      <c r="A238" s="20" t="s">
        <v>889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890</v>
      </c>
      <c r="B239" s="21" t="s">
        <v>718</v>
      </c>
      <c r="C239" s="21" t="s">
        <v>891</v>
      </c>
      <c r="D239" s="21" t="s">
        <v>728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892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893</v>
      </c>
      <c r="B241" s="21" t="s">
        <v>718</v>
      </c>
      <c r="C241" s="21" t="s">
        <v>747</v>
      </c>
      <c r="D241" s="21" t="s">
        <v>728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732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/>
    </row>
    <row r="244" spans="1:12">
      <c r="A244" s="20" t="s">
        <v>894</v>
      </c>
    </row>
    <row r="245" spans="1:12">
      <c r="A245" s="20" t="s">
        <v>895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896</v>
      </c>
      <c r="B246" s="21" t="s">
        <v>726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897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898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899</v>
      </c>
      <c r="B249" s="21" t="s">
        <v>804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721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900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901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902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903</v>
      </c>
      <c r="B254" s="21" t="s">
        <v>718</v>
      </c>
      <c r="C254" s="21" t="s">
        <v>891</v>
      </c>
      <c r="D254" s="21" t="s">
        <v>728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859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904</v>
      </c>
      <c r="B256" s="21" t="s">
        <v>796</v>
      </c>
      <c r="C256" s="21" t="s">
        <v>727</v>
      </c>
      <c r="D256" s="21" t="s">
        <v>728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721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808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905</v>
      </c>
      <c r="B259" s="21" t="s">
        <v>767</v>
      </c>
      <c r="C259" s="21" t="s">
        <v>727</v>
      </c>
      <c r="D259" s="21" t="s">
        <v>728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906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721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907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721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876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908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721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909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732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910</v>
      </c>
    </row>
    <row r="271" spans="1:12">
      <c r="A271" s="20" t="s">
        <v>911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912</v>
      </c>
      <c r="B272" s="21" t="s">
        <v>726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820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766</v>
      </c>
      <c r="B274" s="21" t="s">
        <v>718</v>
      </c>
      <c r="C274" s="21" t="s">
        <v>747</v>
      </c>
      <c r="D274" s="21" t="s">
        <v>728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132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913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914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915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67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876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916</v>
      </c>
      <c r="B281" s="21" t="s">
        <v>796</v>
      </c>
      <c r="C281" s="21" t="s">
        <v>800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732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/>
    </row>
    <row r="284" spans="1:12">
      <c r="A284" s="20" t="s">
        <v>917</v>
      </c>
    </row>
    <row r="285" spans="1:12">
      <c r="A285" s="20" t="s">
        <v>746</v>
      </c>
      <c r="B285" s="21" t="s">
        <v>726</v>
      </c>
      <c r="C285" s="21" t="s">
        <v>747</v>
      </c>
      <c r="D285" s="21" t="s">
        <v>728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918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721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779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919</v>
      </c>
      <c r="B289" s="21" t="s">
        <v>784</v>
      </c>
      <c r="C289" s="21" t="s">
        <v>727</v>
      </c>
      <c r="D289" s="21" t="s">
        <v>728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920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67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921</v>
      </c>
      <c r="B292" s="21" t="s">
        <v>767</v>
      </c>
      <c r="C292" s="21" t="s">
        <v>800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922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923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721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924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925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921</v>
      </c>
      <c r="B299" s="21" t="s">
        <v>860</v>
      </c>
      <c r="C299" s="21" t="s">
        <v>800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926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732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927</v>
      </c>
    </row>
    <row r="304" spans="1:12">
      <c r="A304" s="20" t="s">
        <v>928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101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97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732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929</v>
      </c>
    </row>
    <row r="310" spans="1:12">
      <c r="A310" s="20" t="s">
        <v>930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931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932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871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101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732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/>
    </row>
    <row r="317" spans="1:12">
      <c r="A317" s="20" t="s">
        <v>933</v>
      </c>
    </row>
    <row r="318" spans="1:12">
      <c r="A318" s="20" t="s">
        <v>934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935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721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936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721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105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721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937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298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788</v>
      </c>
      <c r="B327" s="21" t="s">
        <v>789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938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732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/>
    </row>
    <row r="331" spans="1:12">
      <c r="A331" s="20" t="s">
        <v>939</v>
      </c>
    </row>
    <row r="332" spans="1:12">
      <c r="A332" s="20" t="s">
        <v>940</v>
      </c>
      <c r="B332" s="21" t="s">
        <v>726</v>
      </c>
      <c r="C332" s="21" t="s">
        <v>727</v>
      </c>
      <c r="D332" s="21" t="s">
        <v>728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941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942</v>
      </c>
      <c r="B334" s="21" t="s">
        <v>784</v>
      </c>
      <c r="C334" s="21" t="s">
        <v>727</v>
      </c>
      <c r="D334" s="21" t="s">
        <v>728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943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732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/>
    </row>
    <row r="338" spans="1:12">
      <c r="A338" s="20" t="s">
        <v>944</v>
      </c>
    </row>
    <row r="339" spans="1:12">
      <c r="A339" s="20" t="s">
        <v>945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946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947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948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725</v>
      </c>
      <c r="B343" s="21" t="s">
        <v>726</v>
      </c>
      <c r="C343" s="21" t="s">
        <v>727</v>
      </c>
      <c r="D343" s="21" t="s">
        <v>728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805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949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950</v>
      </c>
      <c r="B347" s="21" t="s">
        <v>804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807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732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/>
    </row>
    <row r="351" spans="1:12">
      <c r="A351" s="20" t="s">
        <v>951</v>
      </c>
    </row>
    <row r="352" spans="1:12">
      <c r="A352" s="20" t="s">
        <v>952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953</v>
      </c>
      <c r="B353" s="21" t="s">
        <v>718</v>
      </c>
      <c r="C353" s="21" t="s">
        <v>833</v>
      </c>
      <c r="D353" s="21" t="s">
        <v>728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116</v>
      </c>
      <c r="B354" s="21" t="s">
        <v>718</v>
      </c>
      <c r="C354" s="21" t="s">
        <v>762</v>
      </c>
      <c r="D354" s="21" t="s">
        <v>728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732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954</v>
      </c>
    </row>
    <row r="358" spans="1:12">
      <c r="A358" s="20" t="s">
        <v>120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721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955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725</v>
      </c>
      <c r="B362" s="21" t="s">
        <v>767</v>
      </c>
      <c r="C362" s="21" t="s">
        <v>727</v>
      </c>
      <c r="D362" s="21" t="s">
        <v>728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721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12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956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672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957</v>
      </c>
      <c r="B367" s="21" t="s">
        <v>789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755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958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721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780</v>
      </c>
      <c r="B371" s="21" t="s">
        <v>812</v>
      </c>
      <c r="C371" s="21" t="s">
        <v>727</v>
      </c>
      <c r="D371" s="21" t="s">
        <v>728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721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959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721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960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961</v>
      </c>
      <c r="B376" s="21" t="s">
        <v>860</v>
      </c>
      <c r="C376" s="21" t="s">
        <v>747</v>
      </c>
      <c r="D376" s="21" t="s">
        <v>728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721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779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962</v>
      </c>
      <c r="B379" s="21" t="s">
        <v>832</v>
      </c>
      <c r="C379" s="21" t="s">
        <v>833</v>
      </c>
      <c r="D379" s="21" t="s">
        <v>728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818</v>
      </c>
      <c r="B380" s="21" t="s">
        <v>963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846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964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965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966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721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779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780</v>
      </c>
      <c r="B387" s="21" t="s">
        <v>967</v>
      </c>
      <c r="C387" s="21" t="s">
        <v>727</v>
      </c>
      <c r="D387" s="21" t="s">
        <v>728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871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968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898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969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732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/>
    </row>
    <row r="394" spans="1:12">
      <c r="A394" s="20" t="s">
        <v>970</v>
      </c>
    </row>
    <row r="395" spans="1:12">
      <c r="A395" s="20" t="s">
        <v>971</v>
      </c>
      <c r="B395" s="21" t="s">
        <v>726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972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721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973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974</v>
      </c>
      <c r="B400" s="21" t="s">
        <v>767</v>
      </c>
      <c r="C400" s="21" t="s">
        <v>727</v>
      </c>
      <c r="D400" s="21" t="s">
        <v>728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721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975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846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964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721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779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976</v>
      </c>
      <c r="B408" s="21" t="s">
        <v>812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965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977</v>
      </c>
      <c r="B410" s="21" t="s">
        <v>978</v>
      </c>
      <c r="C410" s="21" t="s">
        <v>833</v>
      </c>
      <c r="D410" s="21" t="s">
        <v>728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923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979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721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980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871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981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732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/>
    </row>
    <row r="419" spans="1:12">
      <c r="A419" s="20" t="s">
        <v>982</v>
      </c>
    </row>
    <row r="420" spans="1:12">
      <c r="A420" s="20" t="s">
        <v>983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984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974</v>
      </c>
      <c r="B422" s="21" t="s">
        <v>726</v>
      </c>
      <c r="C422" s="21" t="s">
        <v>727</v>
      </c>
      <c r="D422" s="21" t="s">
        <v>728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985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721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986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987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721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988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989</v>
      </c>
      <c r="B430" s="21" t="s">
        <v>718</v>
      </c>
      <c r="C430" s="21" t="s">
        <v>727</v>
      </c>
      <c r="D430" s="21" t="s">
        <v>728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990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991</v>
      </c>
      <c r="B432" s="21" t="s">
        <v>767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732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/>
    </row>
    <row r="435" spans="1:12">
      <c r="A435" s="20" t="s">
        <v>992</v>
      </c>
    </row>
    <row r="436" spans="1:12">
      <c r="A436" s="20" t="s">
        <v>993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913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914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839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/>
    </row>
    <row r="441" spans="1:12">
      <c r="A441" s="20" t="s">
        <v>994</v>
      </c>
    </row>
    <row r="442" spans="1:12">
      <c r="A442" s="20" t="s">
        <v>136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876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995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721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973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974</v>
      </c>
      <c r="B448" s="21" t="s">
        <v>767</v>
      </c>
      <c r="C448" s="21" t="s">
        <v>727</v>
      </c>
      <c r="D448" s="21" t="s">
        <v>728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721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12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996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132</v>
      </c>
      <c r="B452" s="21" t="s">
        <v>718</v>
      </c>
      <c r="C452" s="21" t="s">
        <v>891</v>
      </c>
      <c r="D452" s="21" t="s">
        <v>728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755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997</v>
      </c>
      <c r="B454" s="21" t="s">
        <v>860</v>
      </c>
      <c r="C454" s="21" t="s">
        <v>747</v>
      </c>
      <c r="D454" s="21" t="s">
        <v>728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998</v>
      </c>
      <c r="B455" s="21" t="s">
        <v>796</v>
      </c>
      <c r="C455" s="21" t="s">
        <v>891</v>
      </c>
      <c r="D455" s="21" t="s">
        <v>728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732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/>
    </row>
    <row r="458" spans="1:12">
      <c r="A458" s="20" t="s">
        <v>999</v>
      </c>
    </row>
    <row r="459" spans="1:12">
      <c r="A459" s="20" t="s">
        <v>136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876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916</v>
      </c>
      <c r="B461" s="21" t="s">
        <v>718</v>
      </c>
      <c r="C461" s="21" t="s">
        <v>800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721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1000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732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/>
    </row>
    <row r="466" spans="1:12">
      <c r="A466" s="20" t="s">
        <v>1001</v>
      </c>
    </row>
    <row r="467" spans="1:12">
      <c r="A467" s="20" t="s">
        <v>144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876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916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1002</v>
      </c>
      <c r="B470" s="21" t="s">
        <v>796</v>
      </c>
      <c r="C470" s="21" t="s">
        <v>719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721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1003</v>
      </c>
      <c r="B472" s="21" t="s">
        <v>1004</v>
      </c>
      <c r="C472" s="21" t="s">
        <v>719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780</v>
      </c>
      <c r="B473" s="21" t="s">
        <v>826</v>
      </c>
      <c r="C473" s="21" t="s">
        <v>727</v>
      </c>
      <c r="D473" s="21" t="s">
        <v>728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1005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788</v>
      </c>
      <c r="B475" s="21" t="s">
        <v>1006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839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1007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1008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1009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721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12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821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974</v>
      </c>
      <c r="B483" s="21" t="s">
        <v>967</v>
      </c>
      <c r="C483" s="21" t="s">
        <v>727</v>
      </c>
      <c r="D483" s="21" t="s">
        <v>728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732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/>
    </row>
    <row r="486" spans="1:12">
      <c r="A486" s="20" t="s">
        <v>1010</v>
      </c>
    </row>
    <row r="487" spans="1:12">
      <c r="A487" s="20" t="s">
        <v>148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721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821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725</v>
      </c>
      <c r="B491" s="21" t="s">
        <v>767</v>
      </c>
      <c r="C491" s="21" t="s">
        <v>727</v>
      </c>
      <c r="D491" s="21" t="s">
        <v>728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808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1011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1012</v>
      </c>
      <c r="B494" s="21" t="s">
        <v>789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732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/>
    </row>
    <row r="497" spans="1:12">
      <c r="A497" s="20" t="s">
        <v>1013</v>
      </c>
    </row>
    <row r="498" spans="1:12">
      <c r="A498" s="20" t="s">
        <v>1014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1015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1016</v>
      </c>
      <c r="B500" s="21" t="s">
        <v>718</v>
      </c>
      <c r="C500" s="21" t="s">
        <v>790</v>
      </c>
      <c r="D500" s="21" t="s">
        <v>728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725</v>
      </c>
      <c r="B501" s="21" t="s">
        <v>726</v>
      </c>
      <c r="C501" s="21" t="s">
        <v>727</v>
      </c>
      <c r="D501" s="21" t="s">
        <v>728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1017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755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1018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808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1019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915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/>
    </row>
    <row r="509" spans="1:12">
      <c r="A509" s="20" t="s">
        <v>1020</v>
      </c>
    </row>
    <row r="510" spans="1:12">
      <c r="A510" s="20" t="s">
        <v>717</v>
      </c>
      <c r="B510" s="21" t="s">
        <v>718</v>
      </c>
      <c r="C510" s="21" t="s">
        <v>719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847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766</v>
      </c>
      <c r="B512" s="21" t="s">
        <v>726</v>
      </c>
      <c r="C512" s="21" t="s">
        <v>747</v>
      </c>
      <c r="D512" s="21" t="s">
        <v>728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722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1021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1022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156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839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1023</v>
      </c>
    </row>
    <row r="520" spans="1:12">
      <c r="A520" s="20" t="s">
        <v>1024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769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1025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946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721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1026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1027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1028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721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725</v>
      </c>
      <c r="B529" s="21" t="s">
        <v>726</v>
      </c>
      <c r="C529" s="21" t="s">
        <v>727</v>
      </c>
      <c r="D529" s="21" t="s">
        <v>728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805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1029</v>
      </c>
      <c r="B531" s="21" t="s">
        <v>804</v>
      </c>
      <c r="C531" s="21" t="s">
        <v>762</v>
      </c>
      <c r="D531" s="21" t="s">
        <v>728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732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/>
    </row>
    <row r="534" spans="1:12">
      <c r="A534" s="20" t="s">
        <v>1030</v>
      </c>
    </row>
    <row r="535" spans="1:12">
      <c r="A535" s="20" t="s">
        <v>1031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721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12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1032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721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1033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803</v>
      </c>
      <c r="B541" s="21" t="s">
        <v>784</v>
      </c>
      <c r="C541" s="21" t="s">
        <v>727</v>
      </c>
      <c r="D541" s="21" t="s">
        <v>728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1034</v>
      </c>
      <c r="B542" s="21" t="s">
        <v>784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1035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1036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1037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732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/>
    </row>
    <row r="548" spans="1:12">
      <c r="A548" s="20" t="s">
        <v>1038</v>
      </c>
    </row>
    <row r="549" spans="1:12">
      <c r="A549" s="20" t="s">
        <v>1039</v>
      </c>
      <c r="B549" s="21" t="s">
        <v>726</v>
      </c>
      <c r="C549" s="21" t="s">
        <v>727</v>
      </c>
      <c r="D549" s="21" t="s">
        <v>728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821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721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779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871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1040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732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/>
    </row>
    <row r="557" spans="1:12">
      <c r="A557" s="20" t="s">
        <v>1041</v>
      </c>
    </row>
    <row r="558" spans="1:12">
      <c r="A558" s="20" t="s">
        <v>1039</v>
      </c>
      <c r="B558" s="21" t="s">
        <v>726</v>
      </c>
      <c r="C558" s="21" t="s">
        <v>727</v>
      </c>
      <c r="D558" s="21" t="s">
        <v>728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1042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732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/>
    </row>
    <row r="562" spans="1:12">
      <c r="A562" s="20" t="s">
        <v>1043</v>
      </c>
    </row>
    <row r="563" spans="1:12">
      <c r="A563" s="20" t="s">
        <v>717</v>
      </c>
      <c r="B563" s="21" t="s">
        <v>718</v>
      </c>
      <c r="C563" s="21" t="s">
        <v>719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720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721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725</v>
      </c>
      <c r="B566" s="21" t="s">
        <v>726</v>
      </c>
      <c r="C566" s="21" t="s">
        <v>727</v>
      </c>
      <c r="D566" s="21" t="s">
        <v>728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1044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793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1045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1046</v>
      </c>
      <c r="B570" s="21" t="s">
        <v>718</v>
      </c>
      <c r="C570" s="21" t="s">
        <v>800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807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732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/>
    </row>
    <row r="574" spans="1:12">
      <c r="A574" s="20" t="s">
        <v>1047</v>
      </c>
    </row>
    <row r="575" spans="1:12">
      <c r="A575" s="20" t="s">
        <v>1048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1049</v>
      </c>
      <c r="B576" s="21" t="s">
        <v>726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871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1050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1051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803</v>
      </c>
      <c r="B580" s="21" t="s">
        <v>784</v>
      </c>
      <c r="C580" s="21" t="s">
        <v>727</v>
      </c>
      <c r="D580" s="21" t="s">
        <v>728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1052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1053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732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/>
    </row>
    <row r="585" spans="1:12">
      <c r="A585" s="20" t="s">
        <v>1054</v>
      </c>
    </row>
    <row r="586" spans="1:12">
      <c r="A586" s="20" t="s">
        <v>1055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721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936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721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725</v>
      </c>
      <c r="B590" s="21" t="s">
        <v>726</v>
      </c>
      <c r="C590" s="21" t="s">
        <v>727</v>
      </c>
      <c r="D590" s="21" t="s">
        <v>728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871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1056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793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1057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1058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732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/>
    </row>
    <row r="598" spans="1:12">
      <c r="A598" s="20" t="s">
        <v>1059</v>
      </c>
    </row>
    <row r="599" spans="1:12">
      <c r="A599" s="20" t="s">
        <v>1060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1061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953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932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1062</v>
      </c>
      <c r="B603" s="21" t="s">
        <v>718</v>
      </c>
      <c r="C603" s="21" t="s">
        <v>762</v>
      </c>
      <c r="D603" s="21" t="s">
        <v>728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732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/>
    </row>
    <row r="606" spans="1:12">
      <c r="A606" s="20" t="s">
        <v>1063</v>
      </c>
    </row>
    <row r="607" spans="1:12">
      <c r="A607" s="20" t="s">
        <v>120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721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725</v>
      </c>
      <c r="B610" s="21" t="s">
        <v>812</v>
      </c>
      <c r="C610" s="21" t="s">
        <v>727</v>
      </c>
      <c r="D610" s="21" t="s">
        <v>728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955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721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12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1064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803</v>
      </c>
      <c r="B615" s="21" t="s">
        <v>784</v>
      </c>
      <c r="C615" s="21" t="s">
        <v>727</v>
      </c>
      <c r="D615" s="21" t="s">
        <v>728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798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1035</v>
      </c>
      <c r="B617" s="21" t="s">
        <v>796</v>
      </c>
      <c r="C617" s="21" t="s">
        <v>800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1036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1037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732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/>
    </row>
    <row r="622" spans="1:12">
      <c r="A622" s="20" t="s">
        <v>1065</v>
      </c>
    </row>
    <row r="623" spans="1:12">
      <c r="A623" s="20" t="s">
        <v>717</v>
      </c>
      <c r="B623" s="21" t="s">
        <v>718</v>
      </c>
      <c r="C623" s="21" t="s">
        <v>719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720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721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974</v>
      </c>
      <c r="B626" s="21" t="s">
        <v>726</v>
      </c>
      <c r="C626" s="21" t="s">
        <v>727</v>
      </c>
      <c r="D626" s="21" t="s">
        <v>728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1066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1067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1068</v>
      </c>
      <c r="B629" s="21" t="s">
        <v>804</v>
      </c>
      <c r="C629" s="21" t="s">
        <v>1069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721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1070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1071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721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808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984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1072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1073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1074</v>
      </c>
      <c r="B638" s="21" t="s">
        <v>784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732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/>
    </row>
    <row r="641" spans="1:12">
      <c r="A641" s="20" t="s">
        <v>1075</v>
      </c>
    </row>
    <row r="642" spans="1:12">
      <c r="A642" s="20" t="s">
        <v>940</v>
      </c>
      <c r="B642" s="21" t="s">
        <v>726</v>
      </c>
      <c r="C642" s="21" t="s">
        <v>727</v>
      </c>
      <c r="D642" s="21" t="s">
        <v>728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809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721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12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1076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1074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839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1007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1039</v>
      </c>
      <c r="B650" s="21" t="s">
        <v>812</v>
      </c>
      <c r="C650" s="21" t="s">
        <v>727</v>
      </c>
      <c r="D650" s="21" t="s">
        <v>728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1077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721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1078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721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1079</v>
      </c>
      <c r="B656" s="21" t="s">
        <v>826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721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1080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721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1081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1082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721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1083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721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1084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808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1085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755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1086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732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/>
    </row>
    <row r="672" spans="1:12">
      <c r="A672" s="20" t="s">
        <v>1087</v>
      </c>
    </row>
    <row r="673" spans="1:12">
      <c r="A673" s="20" t="s">
        <v>940</v>
      </c>
      <c r="B673" s="21" t="s">
        <v>726</v>
      </c>
      <c r="C673" s="21" t="s">
        <v>727</v>
      </c>
      <c r="D673" s="21" t="s">
        <v>728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809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721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12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1088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1089</v>
      </c>
      <c r="B678" s="21" t="s">
        <v>767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1090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1091</v>
      </c>
      <c r="B680" s="21" t="s">
        <v>978</v>
      </c>
      <c r="C680" s="21" t="s">
        <v>833</v>
      </c>
      <c r="D680" s="21" t="s">
        <v>728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731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1092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1093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839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1007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721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12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1094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1095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997</v>
      </c>
      <c r="B690" s="21" t="s">
        <v>860</v>
      </c>
      <c r="C690" s="21" t="s">
        <v>747</v>
      </c>
      <c r="D690" s="21" t="s">
        <v>728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721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1096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1097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721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1098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1099</v>
      </c>
      <c r="B696" s="21" t="s">
        <v>796</v>
      </c>
      <c r="C696" s="21" t="s">
        <v>800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737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732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/>
    </row>
    <row r="700" spans="1:12">
      <c r="A700" s="20" t="s">
        <v>1100</v>
      </c>
    </row>
    <row r="701" spans="1:12">
      <c r="A701" s="20" t="s">
        <v>1101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721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1102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127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856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1007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721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12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1077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974</v>
      </c>
      <c r="B710" s="21" t="s">
        <v>767</v>
      </c>
      <c r="C710" s="21" t="s">
        <v>727</v>
      </c>
      <c r="D710" s="21" t="s">
        <v>728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732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/>
    </row>
    <row r="713" spans="1:12">
      <c r="A713" s="20" t="s">
        <v>1103</v>
      </c>
    </row>
    <row r="714" spans="1:12">
      <c r="A714" s="20" t="s">
        <v>940</v>
      </c>
      <c r="B714" s="21" t="s">
        <v>726</v>
      </c>
      <c r="C714" s="21" t="s">
        <v>727</v>
      </c>
      <c r="D714" s="21" t="s">
        <v>728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809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721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12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1032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721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980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755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1104</v>
      </c>
      <c r="B722" s="21" t="s">
        <v>718</v>
      </c>
      <c r="C722" s="21" t="s">
        <v>719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1105</v>
      </c>
      <c r="B723" s="21" t="s">
        <v>767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1090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923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1106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839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1007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930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1107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1108</v>
      </c>
      <c r="B731" s="21" t="s">
        <v>1109</v>
      </c>
      <c r="C731" s="21" t="s">
        <v>790</v>
      </c>
      <c r="D731" s="21" t="s">
        <v>728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1110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1111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1112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1113</v>
      </c>
      <c r="B735" s="21" t="s">
        <v>967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721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808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974</v>
      </c>
      <c r="B738" s="21" t="s">
        <v>1114</v>
      </c>
      <c r="C738" s="21" t="s">
        <v>727</v>
      </c>
      <c r="D738" s="21" t="s">
        <v>728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1077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721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12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1115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721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1116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721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769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1117</v>
      </c>
      <c r="B747" s="21" t="s">
        <v>832</v>
      </c>
      <c r="C747" s="21" t="s">
        <v>762</v>
      </c>
      <c r="D747" s="21" t="s">
        <v>728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1118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730</v>
      </c>
      <c r="B749" s="21" t="s">
        <v>967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1119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732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/>
    </row>
    <row r="753" spans="1:12">
      <c r="A753" s="20" t="s">
        <v>1120</v>
      </c>
    </row>
    <row r="754" spans="1:12">
      <c r="A754" s="20" t="s">
        <v>717</v>
      </c>
      <c r="B754" s="21" t="s">
        <v>718</v>
      </c>
      <c r="C754" s="21" t="s">
        <v>719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720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721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725</v>
      </c>
      <c r="B757" s="21" t="s">
        <v>726</v>
      </c>
      <c r="C757" s="21" t="s">
        <v>727</v>
      </c>
      <c r="D757" s="21" t="s">
        <v>728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1121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787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788</v>
      </c>
      <c r="B760" s="21" t="s">
        <v>804</v>
      </c>
      <c r="C760" s="21" t="s">
        <v>790</v>
      </c>
      <c r="D760" s="21" t="s">
        <v>728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732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/>
    </row>
    <row r="763" spans="1:12">
      <c r="A763" s="20" t="s">
        <v>1122</v>
      </c>
    </row>
    <row r="764" spans="1:12">
      <c r="A764" s="20" t="s">
        <v>1123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721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871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218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721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779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725</v>
      </c>
      <c r="B770" s="21" t="s">
        <v>767</v>
      </c>
      <c r="C770" s="21" t="s">
        <v>727</v>
      </c>
      <c r="D770" s="21" t="s">
        <v>728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1124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721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1125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1126</v>
      </c>
      <c r="B774" s="21" t="s">
        <v>726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732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/>
    </row>
    <row r="777" spans="1:12">
      <c r="A777" s="20" t="s">
        <v>1127</v>
      </c>
    </row>
    <row r="778" spans="1:12">
      <c r="A778" s="20" t="s">
        <v>1128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725</v>
      </c>
      <c r="B779" s="21" t="s">
        <v>726</v>
      </c>
      <c r="C779" s="21" t="s">
        <v>727</v>
      </c>
      <c r="D779" s="21" t="s">
        <v>728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1126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732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/>
    </row>
    <row r="783" spans="1:12">
      <c r="A783" s="20" t="s">
        <v>1129</v>
      </c>
    </row>
    <row r="784" spans="1:12">
      <c r="A784" s="20" t="s">
        <v>1123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721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755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1130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721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725</v>
      </c>
      <c r="B789" s="21" t="s">
        <v>726</v>
      </c>
      <c r="C789" s="21" t="s">
        <v>727</v>
      </c>
      <c r="D789" s="21" t="s">
        <v>728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1121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787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788</v>
      </c>
      <c r="B792" s="21" t="s">
        <v>804</v>
      </c>
      <c r="C792" s="21" t="s">
        <v>790</v>
      </c>
      <c r="D792" s="21" t="s">
        <v>728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721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218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779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1131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893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1132</v>
      </c>
      <c r="B798" s="21" t="s">
        <v>796</v>
      </c>
      <c r="C798" s="21" t="s">
        <v>790</v>
      </c>
      <c r="D798" s="21" t="s">
        <v>728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721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725</v>
      </c>
      <c r="B800" s="21" t="s">
        <v>767</v>
      </c>
      <c r="C800" s="21" t="s">
        <v>727</v>
      </c>
      <c r="D800" s="21" t="s">
        <v>728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1133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919</v>
      </c>
      <c r="B802" s="21" t="s">
        <v>784</v>
      </c>
      <c r="C802" s="21" t="s">
        <v>727</v>
      </c>
      <c r="D802" s="21" t="s">
        <v>728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721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1134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29</v>
      </c>
      <c r="B805" s="21" t="s">
        <v>812</v>
      </c>
      <c r="C805" s="21" t="s">
        <v>790</v>
      </c>
      <c r="D805" s="21" t="s">
        <v>728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769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931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1135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848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1093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732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/>
    </row>
    <row r="813" spans="1:12">
      <c r="A813" s="20" t="s">
        <v>1136</v>
      </c>
    </row>
    <row r="814" spans="1:12">
      <c r="A814" s="20" t="s">
        <v>1137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29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820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766</v>
      </c>
      <c r="B817" s="21" t="s">
        <v>726</v>
      </c>
      <c r="C817" s="21" t="s">
        <v>747</v>
      </c>
      <c r="D817" s="21" t="s">
        <v>728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1138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229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1139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732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/>
    </row>
    <row r="823" spans="1:12">
      <c r="A823" s="20" t="s">
        <v>1140</v>
      </c>
    </row>
    <row r="824" spans="1:12">
      <c r="A824" s="20" t="s">
        <v>1141</v>
      </c>
      <c r="B824" s="21" t="s">
        <v>718</v>
      </c>
      <c r="C824" s="21" t="s">
        <v>719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742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1142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1143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721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1144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721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1003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1145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780</v>
      </c>
      <c r="B833" s="21" t="s">
        <v>826</v>
      </c>
      <c r="C833" s="21" t="s">
        <v>727</v>
      </c>
      <c r="D833" s="21" t="s">
        <v>728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1146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1147</v>
      </c>
      <c r="B835" s="21" t="s">
        <v>978</v>
      </c>
      <c r="C835" s="21" t="s">
        <v>833</v>
      </c>
      <c r="D835" s="21" t="s">
        <v>728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788</v>
      </c>
      <c r="B836" s="21" t="s">
        <v>1006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721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961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1145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780</v>
      </c>
      <c r="B840" s="21" t="s">
        <v>772</v>
      </c>
      <c r="C840" s="21" t="s">
        <v>727</v>
      </c>
      <c r="D840" s="21" t="s">
        <v>728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1148</v>
      </c>
      <c r="B841" s="21" t="s">
        <v>978</v>
      </c>
      <c r="C841" s="21" t="s">
        <v>727</v>
      </c>
      <c r="D841" s="21" t="s">
        <v>728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1149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732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/>
    </row>
    <row r="845" spans="1:12">
      <c r="A845" s="20" t="s">
        <v>1150</v>
      </c>
    </row>
    <row r="846" spans="1:12">
      <c r="A846" s="20" t="s">
        <v>940</v>
      </c>
      <c r="B846" s="21" t="s">
        <v>726</v>
      </c>
      <c r="C846" s="21" t="s">
        <v>727</v>
      </c>
      <c r="D846" s="21" t="s">
        <v>728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1151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787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788</v>
      </c>
      <c r="B849" s="21" t="s">
        <v>804</v>
      </c>
      <c r="C849" s="21" t="s">
        <v>790</v>
      </c>
      <c r="D849" s="21" t="s">
        <v>728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755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1152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769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1153</v>
      </c>
      <c r="B853" s="21" t="s">
        <v>796</v>
      </c>
      <c r="C853" s="21" t="s">
        <v>891</v>
      </c>
      <c r="D853" s="21" t="s">
        <v>728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1154</v>
      </c>
      <c r="B854" s="21" t="s">
        <v>860</v>
      </c>
      <c r="C854" s="21" t="s">
        <v>762</v>
      </c>
      <c r="D854" s="21" t="s">
        <v>728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732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/>
    </row>
    <row r="857" spans="1:12">
      <c r="A857" s="20" t="s">
        <v>1155</v>
      </c>
    </row>
    <row r="858" spans="1:12">
      <c r="A858" s="20" t="s">
        <v>1156</v>
      </c>
      <c r="B858" s="21" t="s">
        <v>796</v>
      </c>
      <c r="C858" s="21" t="s">
        <v>833</v>
      </c>
      <c r="D858" s="21" t="s">
        <v>728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1157</v>
      </c>
      <c r="B859" s="21" t="s">
        <v>726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1158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1159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803</v>
      </c>
      <c r="B862" s="21" t="s">
        <v>804</v>
      </c>
      <c r="C862" s="21" t="s">
        <v>727</v>
      </c>
      <c r="D862" s="21" t="s">
        <v>728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815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794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1160</v>
      </c>
      <c r="B865" s="21" t="s">
        <v>718</v>
      </c>
      <c r="C865" s="21" t="s">
        <v>790</v>
      </c>
      <c r="D865" s="21" t="s">
        <v>728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730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1161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732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/>
    </row>
    <row r="870" spans="1:12">
      <c r="A870" s="20" t="s">
        <v>1162</v>
      </c>
    </row>
    <row r="871" spans="1:12">
      <c r="A871" s="20" t="s">
        <v>1163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29</v>
      </c>
      <c r="B872" s="21" t="s">
        <v>718</v>
      </c>
      <c r="C872" s="21" t="s">
        <v>790</v>
      </c>
      <c r="D872" s="21" t="s">
        <v>728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1164</v>
      </c>
      <c r="B873" s="21" t="s">
        <v>718</v>
      </c>
      <c r="C873" s="21" t="s">
        <v>891</v>
      </c>
      <c r="D873" s="21" t="s">
        <v>728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989</v>
      </c>
      <c r="B874" s="21" t="s">
        <v>796</v>
      </c>
      <c r="C874" s="21" t="s">
        <v>727</v>
      </c>
      <c r="D874" s="21" t="s">
        <v>728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732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/>
    </row>
    <row r="877" spans="1:12">
      <c r="A877" s="20" t="s">
        <v>1165</v>
      </c>
    </row>
    <row r="878" spans="1:12">
      <c r="A878" s="20" t="s">
        <v>1166</v>
      </c>
      <c r="B878" s="21" t="s">
        <v>726</v>
      </c>
      <c r="C878" s="21" t="s">
        <v>727</v>
      </c>
      <c r="D878" s="21" t="s">
        <v>728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1167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769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1168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721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1169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721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1170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1171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721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1172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1173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732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/>
    </row>
    <row r="892" spans="1:12">
      <c r="A892" s="20" t="s">
        <v>1174</v>
      </c>
    </row>
    <row r="893" spans="1:12">
      <c r="A893" s="20" t="s">
        <v>1175</v>
      </c>
      <c r="B893" s="21" t="s">
        <v>726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1176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1148</v>
      </c>
      <c r="B895" s="21" t="s">
        <v>804</v>
      </c>
      <c r="C895" s="21" t="s">
        <v>727</v>
      </c>
      <c r="D895" s="21" t="s">
        <v>728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1095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1177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721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1178</v>
      </c>
      <c r="B899" s="21" t="s">
        <v>796</v>
      </c>
      <c r="C899" s="21" t="s">
        <v>800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755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1179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732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/>
    </row>
    <row r="904" spans="1:12">
      <c r="A904" s="20" t="s">
        <v>1180</v>
      </c>
    </row>
    <row r="905" spans="1:12">
      <c r="A905" s="20" t="s">
        <v>1181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721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880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29</v>
      </c>
      <c r="B908" s="21" t="s">
        <v>767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748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1182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732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/>
    </row>
    <row r="913" spans="1:12">
      <c r="A913" s="20" t="s">
        <v>1183</v>
      </c>
    </row>
    <row r="914" spans="1:12">
      <c r="A914" s="20" t="s">
        <v>1184</v>
      </c>
      <c r="B914" s="21" t="s">
        <v>726</v>
      </c>
      <c r="C914" s="21" t="s">
        <v>719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1185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1186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931</v>
      </c>
      <c r="B917" s="21" t="s">
        <v>812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923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1187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876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1188</v>
      </c>
      <c r="B921" s="21" t="s">
        <v>860</v>
      </c>
      <c r="C921" s="21" t="s">
        <v>891</v>
      </c>
      <c r="D921" s="21" t="s">
        <v>728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1131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1189</v>
      </c>
      <c r="B923" s="21" t="s">
        <v>1004</v>
      </c>
      <c r="C923" s="21" t="s">
        <v>747</v>
      </c>
      <c r="D923" s="21" t="s">
        <v>728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721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848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1148</v>
      </c>
      <c r="B926" s="21" t="s">
        <v>1190</v>
      </c>
      <c r="C926" s="21" t="s">
        <v>727</v>
      </c>
      <c r="D926" s="21" t="s">
        <v>728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1191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839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/>
    </row>
    <row r="930" spans="1:12">
      <c r="A930" s="20" t="s">
        <v>1192</v>
      </c>
    </row>
    <row r="931" spans="1:12">
      <c r="A931" s="20" t="s">
        <v>940</v>
      </c>
      <c r="B931" s="21" t="s">
        <v>726</v>
      </c>
      <c r="C931" s="21" t="s">
        <v>727</v>
      </c>
      <c r="D931" s="21" t="s">
        <v>728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871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1193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721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880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1194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362</v>
      </c>
      <c r="B937" s="21" t="s">
        <v>767</v>
      </c>
      <c r="C937" s="21" t="s">
        <v>790</v>
      </c>
      <c r="D937" s="21" t="s">
        <v>728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1185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732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/>
    </row>
    <row r="941" spans="1:12">
      <c r="A941" s="20" t="s">
        <v>1195</v>
      </c>
    </row>
    <row r="942" spans="1:12">
      <c r="A942" s="20" t="s">
        <v>952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953</v>
      </c>
      <c r="B943" s="21" t="s">
        <v>718</v>
      </c>
      <c r="C943" s="21" t="s">
        <v>727</v>
      </c>
      <c r="D943" s="21" t="s">
        <v>728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267</v>
      </c>
      <c r="B944" s="21" t="s">
        <v>718</v>
      </c>
      <c r="C944" s="21" t="s">
        <v>762</v>
      </c>
      <c r="D944" s="21" t="s">
        <v>728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732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/>
    </row>
    <row r="947" spans="1:12">
      <c r="A947" s="20" t="s">
        <v>1196</v>
      </c>
    </row>
    <row r="948" spans="1:12">
      <c r="A948" s="20" t="s">
        <v>1197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12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825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721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953</v>
      </c>
      <c r="B952" s="21" t="s">
        <v>796</v>
      </c>
      <c r="C952" s="21" t="s">
        <v>833</v>
      </c>
      <c r="D952" s="21" t="s">
        <v>728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1198</v>
      </c>
      <c r="B953" s="21" t="s">
        <v>726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1199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267</v>
      </c>
      <c r="B955" s="21" t="s">
        <v>718</v>
      </c>
      <c r="C955" s="21" t="s">
        <v>762</v>
      </c>
      <c r="D955" s="21" t="s">
        <v>728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732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/>
    </row>
    <row r="958" spans="1:12">
      <c r="A958" s="20" t="s">
        <v>1200</v>
      </c>
    </row>
    <row r="959" spans="1:12">
      <c r="A959" s="20" t="s">
        <v>1123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721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974</v>
      </c>
      <c r="B961" s="21" t="s">
        <v>726</v>
      </c>
      <c r="C961" s="21" t="s">
        <v>727</v>
      </c>
      <c r="D961" s="21" t="s">
        <v>728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871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1201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788</v>
      </c>
      <c r="B964" s="21" t="s">
        <v>804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721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808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974</v>
      </c>
      <c r="B967" s="21" t="s">
        <v>767</v>
      </c>
      <c r="C967" s="21" t="s">
        <v>727</v>
      </c>
      <c r="D967" s="21" t="s">
        <v>728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871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1202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732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/>
    </row>
    <row r="972" spans="1:12">
      <c r="A972" s="20" t="s">
        <v>1203</v>
      </c>
    </row>
    <row r="973" spans="1:12">
      <c r="A973" s="20" t="s">
        <v>1204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1205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902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755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1107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1206</v>
      </c>
      <c r="B978" s="21" t="s">
        <v>718</v>
      </c>
      <c r="C978" s="21" t="s">
        <v>790</v>
      </c>
      <c r="D978" s="21" t="s">
        <v>728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721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848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780</v>
      </c>
      <c r="B981" s="21" t="s">
        <v>767</v>
      </c>
      <c r="C981" s="21" t="s">
        <v>727</v>
      </c>
      <c r="D981" s="21" t="s">
        <v>728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808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725</v>
      </c>
      <c r="B983" s="21" t="s">
        <v>767</v>
      </c>
      <c r="C983" s="21" t="s">
        <v>727</v>
      </c>
      <c r="D983" s="21" t="s">
        <v>728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766</v>
      </c>
      <c r="B984" s="21" t="s">
        <v>784</v>
      </c>
      <c r="C984" s="21" t="s">
        <v>747</v>
      </c>
      <c r="D984" s="21" t="s">
        <v>728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1207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732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/>
    </row>
    <row r="988" spans="1:12">
      <c r="A988" s="20" t="s">
        <v>1208</v>
      </c>
    </row>
    <row r="989" spans="1:12">
      <c r="A989" s="20" t="s">
        <v>1039</v>
      </c>
      <c r="B989" s="21" t="s">
        <v>767</v>
      </c>
      <c r="C989" s="21" t="s">
        <v>727</v>
      </c>
      <c r="D989" s="21" t="s">
        <v>728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1209</v>
      </c>
      <c r="B990" s="21" t="s">
        <v>804</v>
      </c>
      <c r="C990" s="21" t="s">
        <v>891</v>
      </c>
      <c r="D990" s="21" t="s">
        <v>728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755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1210</v>
      </c>
      <c r="B992" s="21" t="s">
        <v>796</v>
      </c>
      <c r="C992" s="21" t="s">
        <v>762</v>
      </c>
      <c r="D992" s="21" t="s">
        <v>728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1211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1212</v>
      </c>
      <c r="B994" s="21" t="s">
        <v>726</v>
      </c>
      <c r="C994" s="21" t="s">
        <v>762</v>
      </c>
      <c r="D994" s="21" t="s">
        <v>728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732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/>
    </row>
    <row r="997" spans="1:12">
      <c r="A997" s="20" t="s">
        <v>1213</v>
      </c>
    </row>
    <row r="998" spans="1:12">
      <c r="A998" s="20" t="s">
        <v>746</v>
      </c>
      <c r="B998" s="21" t="s">
        <v>726</v>
      </c>
      <c r="C998" s="21" t="s">
        <v>747</v>
      </c>
      <c r="D998" s="21" t="s">
        <v>728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1214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286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769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1215</v>
      </c>
      <c r="B1002" s="21" t="s">
        <v>718</v>
      </c>
      <c r="C1002" s="21" t="s">
        <v>891</v>
      </c>
      <c r="D1002" s="21" t="s">
        <v>728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1154</v>
      </c>
      <c r="B1003" s="21" t="s">
        <v>796</v>
      </c>
      <c r="C1003" s="21" t="s">
        <v>762</v>
      </c>
      <c r="D1003" s="21" t="s">
        <v>728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732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/>
    </row>
    <row r="1006" spans="1:12">
      <c r="A1006" s="20" t="s">
        <v>1216</v>
      </c>
    </row>
    <row r="1007" spans="1:12">
      <c r="A1007" s="20" t="s">
        <v>1217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755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1218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1219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1220</v>
      </c>
      <c r="B1011" s="21" t="s">
        <v>860</v>
      </c>
      <c r="C1011" s="21" t="s">
        <v>762</v>
      </c>
      <c r="D1011" s="21" t="s">
        <v>728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732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/>
    </row>
    <row r="1014" spans="1:12">
      <c r="A1014" s="20" t="s">
        <v>1221</v>
      </c>
    </row>
    <row r="1015" spans="1:12">
      <c r="A1015" s="20" t="s">
        <v>1222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1223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1134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286</v>
      </c>
      <c r="B1018" s="21" t="s">
        <v>726</v>
      </c>
      <c r="C1018" s="21" t="s">
        <v>790</v>
      </c>
      <c r="D1018" s="21" t="s">
        <v>728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748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755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1224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1225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732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/>
    </row>
    <row r="1025" spans="1:12">
      <c r="A1025" s="20" t="s">
        <v>1226</v>
      </c>
    </row>
    <row r="1026" spans="1:12">
      <c r="A1026" s="20" t="s">
        <v>1227</v>
      </c>
      <c r="B1026" s="21" t="s">
        <v>726</v>
      </c>
      <c r="C1026" s="21" t="s">
        <v>727</v>
      </c>
      <c r="D1026" s="21" t="s">
        <v>728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1228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1229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1230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1231</v>
      </c>
      <c r="B1030" s="21" t="s">
        <v>804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769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1232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721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771</v>
      </c>
      <c r="B1034" s="21" t="s">
        <v>812</v>
      </c>
      <c r="C1034" s="21" t="s">
        <v>719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721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1233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721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748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1234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732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/>
    </row>
    <row r="1042" spans="1:12">
      <c r="A1042" s="20" t="s">
        <v>1235</v>
      </c>
    </row>
    <row r="1043" spans="1:12">
      <c r="A1043" s="20" t="s">
        <v>1227</v>
      </c>
      <c r="B1043" s="21" t="s">
        <v>726</v>
      </c>
      <c r="C1043" s="21" t="s">
        <v>727</v>
      </c>
      <c r="D1043" s="21" t="s">
        <v>728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1236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1237</v>
      </c>
      <c r="B1045" s="21" t="s">
        <v>718</v>
      </c>
      <c r="C1045" s="21" t="s">
        <v>747</v>
      </c>
      <c r="D1045" s="21" t="s">
        <v>728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721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1238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1239</v>
      </c>
      <c r="B1048" s="21" t="s">
        <v>784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732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/>
    </row>
    <row r="1051" spans="1:12">
      <c r="A1051" s="20" t="s">
        <v>1240</v>
      </c>
    </row>
    <row r="1052" spans="1:12">
      <c r="A1052" s="20" t="s">
        <v>1227</v>
      </c>
      <c r="B1052" s="21" t="s">
        <v>726</v>
      </c>
      <c r="C1052" s="21" t="s">
        <v>727</v>
      </c>
      <c r="D1052" s="21" t="s">
        <v>728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1241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1242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1243</v>
      </c>
      <c r="B1055" s="21" t="s">
        <v>804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1244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721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1245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1246</v>
      </c>
      <c r="B1059" s="21" t="s">
        <v>784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859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1239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808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1247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1148</v>
      </c>
      <c r="B1064" s="21" t="s">
        <v>789</v>
      </c>
      <c r="C1064" s="21" t="s">
        <v>727</v>
      </c>
      <c r="D1064" s="21" t="s">
        <v>728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1248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755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1249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732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/>
    </row>
    <row r="1070" spans="1:12">
      <c r="A1070" s="20" t="s">
        <v>1250</v>
      </c>
    </row>
    <row r="1071" spans="1:12">
      <c r="A1071" s="20" t="s">
        <v>717</v>
      </c>
      <c r="B1071" s="21" t="s">
        <v>718</v>
      </c>
      <c r="C1071" s="21" t="s">
        <v>719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720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721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766</v>
      </c>
      <c r="B1074" s="21" t="s">
        <v>726</v>
      </c>
      <c r="C1074" s="21" t="s">
        <v>747</v>
      </c>
      <c r="D1074" s="21" t="s">
        <v>728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871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1251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721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846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847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808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1252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721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980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1253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1254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766</v>
      </c>
      <c r="B1086" s="21" t="s">
        <v>767</v>
      </c>
      <c r="C1086" s="21" t="s">
        <v>747</v>
      </c>
      <c r="D1086" s="21" t="s">
        <v>728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741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1255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732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/>
    </row>
    <row r="1091" spans="1:12">
      <c r="A1091" s="20" t="s">
        <v>1256</v>
      </c>
    </row>
    <row r="1092" spans="1:12">
      <c r="A1092" s="20" t="s">
        <v>1257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1258</v>
      </c>
      <c r="B1093" s="21" t="s">
        <v>726</v>
      </c>
      <c r="C1093" s="21" t="s">
        <v>790</v>
      </c>
      <c r="D1093" s="21" t="s">
        <v>728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1259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361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856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1260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721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830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893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1261</v>
      </c>
      <c r="B1101" s="21" t="s">
        <v>796</v>
      </c>
      <c r="C1101" s="21" t="s">
        <v>790</v>
      </c>
      <c r="D1101" s="21" t="s">
        <v>728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766</v>
      </c>
      <c r="B1102" s="21" t="s">
        <v>767</v>
      </c>
      <c r="C1102" s="21" t="s">
        <v>747</v>
      </c>
      <c r="D1102" s="21" t="s">
        <v>728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730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1260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732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/>
    </row>
    <row r="1107" spans="1:12">
      <c r="A1107" s="20" t="s">
        <v>1262</v>
      </c>
    </row>
    <row r="1108" spans="1:12">
      <c r="A1108" s="20" t="s">
        <v>934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1263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721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755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1264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1265</v>
      </c>
      <c r="B1113" s="21" t="s">
        <v>796</v>
      </c>
      <c r="C1113" s="21" t="s">
        <v>800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721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1266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105</v>
      </c>
      <c r="B1116" s="21" t="s">
        <v>726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793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816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1267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1268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787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1269</v>
      </c>
      <c r="B1122" s="21" t="s">
        <v>804</v>
      </c>
      <c r="C1122" s="21" t="s">
        <v>790</v>
      </c>
      <c r="D1122" s="21" t="s">
        <v>728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732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/>
    </row>
    <row r="1125" spans="1:12">
      <c r="A1125" s="20" t="s">
        <v>1270</v>
      </c>
    </row>
    <row r="1126" spans="1:12">
      <c r="A1126" s="20" t="s">
        <v>717</v>
      </c>
      <c r="B1126" s="21" t="s">
        <v>804</v>
      </c>
      <c r="C1126" s="21" t="s">
        <v>719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905</v>
      </c>
      <c r="B1127" s="21" t="s">
        <v>726</v>
      </c>
      <c r="C1127" s="21" t="s">
        <v>727</v>
      </c>
      <c r="D1127" s="21" t="s">
        <v>728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1271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839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/>
    </row>
    <row r="1131" spans="1:12">
      <c r="A1131" s="20" t="s">
        <v>1272</v>
      </c>
    </row>
    <row r="1132" spans="1:12">
      <c r="A1132" s="20" t="s">
        <v>1227</v>
      </c>
      <c r="B1132" s="21" t="s">
        <v>726</v>
      </c>
      <c r="C1132" s="21" t="s">
        <v>727</v>
      </c>
      <c r="D1132" s="21" t="s">
        <v>728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1273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1274</v>
      </c>
      <c r="B1134" s="21" t="s">
        <v>804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1275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732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/>
    </row>
    <row r="1138" spans="1:12">
      <c r="A1138" s="20" t="s">
        <v>1276</v>
      </c>
    </row>
    <row r="1139" spans="1:12">
      <c r="A1139" s="20" t="s">
        <v>1277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1278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1279</v>
      </c>
      <c r="B1141" s="21" t="s">
        <v>804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732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/>
    </row>
    <row r="1144" spans="1:12">
      <c r="A1144" s="20" t="s">
        <v>1280</v>
      </c>
    </row>
    <row r="1145" spans="1:12">
      <c r="A1145" s="20" t="s">
        <v>1281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1282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1275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721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905</v>
      </c>
      <c r="B1149" s="21" t="s">
        <v>726</v>
      </c>
      <c r="C1149" s="21" t="s">
        <v>727</v>
      </c>
      <c r="D1149" s="21" t="s">
        <v>728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1283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1284</v>
      </c>
      <c r="B1151" s="21" t="s">
        <v>804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830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1285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1275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769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1286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732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/>
    </row>
    <row r="1159" spans="1:12">
      <c r="A1159" s="20" t="s">
        <v>1287</v>
      </c>
    </row>
    <row r="1160" spans="1:12">
      <c r="A1160" s="20" t="s">
        <v>1227</v>
      </c>
      <c r="B1160" s="21" t="s">
        <v>726</v>
      </c>
      <c r="C1160" s="21" t="s">
        <v>727</v>
      </c>
      <c r="D1160" s="21" t="s">
        <v>728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1288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1284</v>
      </c>
      <c r="B1162" s="21" t="s">
        <v>804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732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/>
    </row>
    <row r="1165" spans="1:12">
      <c r="A1165" s="20" t="s">
        <v>1289</v>
      </c>
    </row>
    <row r="1166" spans="1:12">
      <c r="A1166" s="20" t="s">
        <v>1227</v>
      </c>
      <c r="B1166" s="21" t="s">
        <v>726</v>
      </c>
      <c r="C1166" s="21" t="s">
        <v>727</v>
      </c>
      <c r="D1166" s="21" t="s">
        <v>728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1290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431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1291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732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1292</v>
      </c>
      <c r="B1171" s="21" t="s">
        <v>718</v>
      </c>
      <c r="C1171" s="21" t="s">
        <v>800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1293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1294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820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1295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721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1296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721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1297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721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1298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808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755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997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1299</v>
      </c>
      <c r="B1185" s="21" t="s">
        <v>860</v>
      </c>
      <c r="C1185" s="21" t="s">
        <v>790</v>
      </c>
      <c r="D1185" s="21" t="s">
        <v>728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721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267</v>
      </c>
      <c r="B1187" s="21" t="s">
        <v>860</v>
      </c>
      <c r="C1187" s="21" t="s">
        <v>762</v>
      </c>
      <c r="D1187" s="21" t="s">
        <v>728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808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1134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105</v>
      </c>
      <c r="B1190" s="21" t="s">
        <v>860</v>
      </c>
      <c r="C1190" s="21" t="s">
        <v>790</v>
      </c>
      <c r="D1190" s="21" t="s">
        <v>728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721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1300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1301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1302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854</v>
      </c>
      <c r="B1195" s="21" t="s">
        <v>784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732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/>
    </row>
    <row r="1198" spans="1:12">
      <c r="A1198" s="20" t="s">
        <v>1303</v>
      </c>
    </row>
    <row r="1199" spans="1:12">
      <c r="A1199" s="20" t="s">
        <v>484</v>
      </c>
      <c r="B1199" s="21" t="s">
        <v>726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1304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732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/>
    </row>
    <row r="1203" spans="1:12">
      <c r="A1203" s="20" t="s">
        <v>1305</v>
      </c>
    </row>
    <row r="1204" spans="1:12">
      <c r="A1204" s="20" t="s">
        <v>940</v>
      </c>
      <c r="B1204" s="21" t="s">
        <v>767</v>
      </c>
      <c r="C1204" s="21" t="s">
        <v>727</v>
      </c>
      <c r="D1204" s="21" t="s">
        <v>728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1306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539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721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780</v>
      </c>
      <c r="B1208" s="21" t="s">
        <v>726</v>
      </c>
      <c r="C1208" s="21" t="s">
        <v>727</v>
      </c>
      <c r="D1208" s="21" t="s">
        <v>728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1307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871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1308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869</v>
      </c>
      <c r="B1212" s="21" t="s">
        <v>718</v>
      </c>
      <c r="C1212" s="21" t="s">
        <v>870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1309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732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/>
    </row>
    <row r="1216" spans="1:12">
      <c r="A1216" s="20" t="s">
        <v>1310</v>
      </c>
    </row>
    <row r="1217" spans="1:12">
      <c r="A1217" s="20" t="s">
        <v>1311</v>
      </c>
      <c r="B1217" s="21" t="s">
        <v>726</v>
      </c>
      <c r="C1217" s="21" t="s">
        <v>727</v>
      </c>
      <c r="D1217" s="21" t="s">
        <v>728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1312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755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1313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769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1314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1315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1316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721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808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1317</v>
      </c>
      <c r="B1227" s="21" t="s">
        <v>718</v>
      </c>
      <c r="C1227" s="21" t="s">
        <v>727</v>
      </c>
      <c r="D1227" s="21" t="s">
        <v>728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721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779</v>
      </c>
      <c r="B1229" s="21" t="s">
        <v>789</v>
      </c>
      <c r="C1229" s="21" t="s">
        <v>719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780</v>
      </c>
      <c r="B1230" s="21" t="s">
        <v>812</v>
      </c>
      <c r="C1230" s="21" t="s">
        <v>727</v>
      </c>
      <c r="D1230" s="21" t="s">
        <v>728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1318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721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820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766</v>
      </c>
      <c r="B1234" s="21" t="s">
        <v>812</v>
      </c>
      <c r="C1234" s="21" t="s">
        <v>747</v>
      </c>
      <c r="D1234" s="21" t="s">
        <v>728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1319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1284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808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787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1320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721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1321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1322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1323</v>
      </c>
      <c r="B1243" s="21" t="s">
        <v>860</v>
      </c>
      <c r="C1243" s="21" t="s">
        <v>790</v>
      </c>
      <c r="D1243" s="21" t="s">
        <v>728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732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/>
    </row>
    <row r="1246" spans="1:12">
      <c r="A1246" s="20" t="s">
        <v>1324</v>
      </c>
    </row>
    <row r="1247" spans="1:12">
      <c r="A1247" s="20" t="s">
        <v>940</v>
      </c>
      <c r="B1247" s="21" t="s">
        <v>726</v>
      </c>
      <c r="C1247" s="21" t="s">
        <v>727</v>
      </c>
      <c r="D1247" s="21" t="s">
        <v>728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1325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1326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1327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793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1328</v>
      </c>
      <c r="B1252" s="21" t="s">
        <v>718</v>
      </c>
      <c r="C1252" s="21" t="s">
        <v>762</v>
      </c>
      <c r="D1252" s="21" t="s">
        <v>728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732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/>
    </row>
    <row r="1255" spans="1:12">
      <c r="A1255" s="20" t="s">
        <v>1329</v>
      </c>
    </row>
    <row r="1256" spans="1:12">
      <c r="A1256" s="20" t="s">
        <v>1039</v>
      </c>
      <c r="B1256" s="21" t="s">
        <v>726</v>
      </c>
      <c r="C1256" s="21" t="s">
        <v>727</v>
      </c>
      <c r="D1256" s="21" t="s">
        <v>728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1330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362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721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1331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1332</v>
      </c>
      <c r="B1261" s="21" t="s">
        <v>718</v>
      </c>
      <c r="C1261" s="21" t="s">
        <v>891</v>
      </c>
      <c r="D1261" s="21" t="s">
        <v>728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1333</v>
      </c>
      <c r="B1262" s="21" t="s">
        <v>796</v>
      </c>
      <c r="C1262" s="21" t="s">
        <v>762</v>
      </c>
      <c r="D1262" s="21" t="s">
        <v>728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1334</v>
      </c>
      <c r="B1263" s="21" t="s">
        <v>860</v>
      </c>
      <c r="C1263" s="21" t="s">
        <v>762</v>
      </c>
      <c r="D1263" s="21" t="s">
        <v>728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808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1335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1336</v>
      </c>
      <c r="B1266" s="21" t="s">
        <v>796</v>
      </c>
      <c r="C1266" s="21" t="s">
        <v>891</v>
      </c>
      <c r="D1266" s="21" t="s">
        <v>728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1337</v>
      </c>
      <c r="B1267" s="21" t="s">
        <v>860</v>
      </c>
      <c r="C1267" s="21" t="s">
        <v>762</v>
      </c>
      <c r="D1267" s="21" t="s">
        <v>728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732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/>
    </row>
    <row r="1270" spans="1:12">
      <c r="A1270" s="20" t="s">
        <v>1338</v>
      </c>
    </row>
    <row r="1271" spans="1:12">
      <c r="A1271" s="20" t="s">
        <v>1339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839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/>
    </row>
    <row r="1274" spans="1:12">
      <c r="A1274" s="20" t="s">
        <v>1340</v>
      </c>
    </row>
    <row r="1275" spans="1:12">
      <c r="A1275" s="20" t="s">
        <v>1341</v>
      </c>
      <c r="B1275" s="21" t="s">
        <v>726</v>
      </c>
      <c r="C1275" s="21" t="s">
        <v>727</v>
      </c>
      <c r="D1275" s="21" t="s">
        <v>728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1342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900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1343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1344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721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725</v>
      </c>
      <c r="B1281" s="21" t="s">
        <v>767</v>
      </c>
      <c r="C1281" s="21" t="s">
        <v>727</v>
      </c>
      <c r="D1281" s="21" t="s">
        <v>728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1345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808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1346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984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721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1347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900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1348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755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1349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721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980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267</v>
      </c>
      <c r="B1294" s="21" t="s">
        <v>767</v>
      </c>
      <c r="C1294" s="21" t="s">
        <v>762</v>
      </c>
      <c r="D1294" s="21" t="s">
        <v>728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1350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 t="s">
        <v>1351</v>
      </c>
      <c r="E1296" s="22">
        <f>IF(D1296="?OLD","!!!","")</f>
        <v/>
      </c>
      <c r="F1296" s="23" t="str">
        <f>IF(OR(E1296="",E1296="!!!"),"",IF(NOT(ISNA(VLOOKUP(E1296,E$1:E1295,1,FALSE()))),"OLD",IF(AND(E1296&lt;&gt;"",E1296&lt;&gt;"!!!"),"NEW","")))</f>
        <v> </v>
      </c>
      <c r="G1296" s="24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5" t="str">
        <f>IF(J1296&lt;&gt;1,"",IF(I1296="SBJ","CB","?"))</f>
        <v> </v>
      </c>
      <c r="I1296" s="26" t="str">
        <f>IF(OR(E1296="",E1296="!!!",F1296="NEW"),"",INDEX(B1295:B$2,-1+SUMPRODUCT(MAX(ROW(E1295:E$2)*(E1296=E1295:E$2)))))</f>
        <v> </v>
      </c>
      <c r="J1296" s="26" t="str">
        <f>IF(OR(E1296="",E1296="!!!",F1296="NEW"),"",COUNTBLANK(OFFSET(A$1,,,SUMPRODUCT(MAX(ROW(E$2:E1296)*(E1296=E$2:E1296)))))-COUNTBLANK(OFFSET(A$1,,,SUMPRODUCT(MAX(ROW(E$1:E1295)*(E2=E$1:E1295))))))</f>
        <v> </v>
      </c>
      <c r="K1296" s="26" t="str">
        <f>IF(OR(E1296="",E1296="!!!",F1296="NEW"),"",INDEX(J$1:J1295,SUMPRODUCT(MAX(ROW(E$1:E1295)*(E1296=E$1:E1295)))))</f>
        <v> </v>
      </c>
      <c r="L1296" s="27"/>
    </row>
    <row r="1297" spans="1:12">
      <c r="A1297" s="20" t="s">
        <v>1352</v>
      </c>
      <c r="B1297" s="21" t="s">
        <v>784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900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1353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732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/>
    </row>
    <row r="1302" spans="1:12">
      <c r="A1302" s="20" t="s">
        <v>1354</v>
      </c>
    </row>
    <row r="1303" spans="1:12">
      <c r="A1303" s="20" t="s">
        <v>1355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974</v>
      </c>
      <c r="B1304" s="21" t="s">
        <v>726</v>
      </c>
      <c r="C1304" s="21" t="s">
        <v>727</v>
      </c>
      <c r="D1304" s="21" t="s">
        <v>728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1356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1357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1358</v>
      </c>
      <c r="B1307" s="21" t="s">
        <v>804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12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1359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1360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721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984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974</v>
      </c>
      <c r="B1313" s="21" t="s">
        <v>767</v>
      </c>
      <c r="C1313" s="21" t="s">
        <v>727</v>
      </c>
      <c r="D1313" s="21" t="s">
        <v>728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1361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1098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1362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1363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1364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721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980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1325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974</v>
      </c>
      <c r="B1322" s="21" t="s">
        <v>767</v>
      </c>
      <c r="C1322" s="21" t="s">
        <v>727</v>
      </c>
      <c r="D1322" s="21" t="s">
        <v>728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1365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1366</v>
      </c>
      <c r="B1324" s="21" t="s">
        <v>784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1367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 t="s">
        <v>721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771</v>
      </c>
      <c r="B1327" s="21" t="s">
        <v>826</v>
      </c>
      <c r="C1327" s="21" t="s">
        <v>719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1368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1369</v>
      </c>
      <c r="B1329" s="21" t="s">
        <v>1006</v>
      </c>
      <c r="C1329" s="21" t="s">
        <v>727</v>
      </c>
      <c r="D1329" s="21" t="s">
        <v>728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1098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1370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1371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732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/>
    </row>
    <row r="1335" spans="1:12">
      <c r="A1335" s="20" t="s">
        <v>1372</v>
      </c>
    </row>
    <row r="1336" spans="1:12">
      <c r="A1336" s="20" t="s">
        <v>1373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721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267</v>
      </c>
      <c r="B1338" s="21" t="s">
        <v>726</v>
      </c>
      <c r="C1338" s="21" t="s">
        <v>762</v>
      </c>
      <c r="D1338" s="21" t="s">
        <v>728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1374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1375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1376</v>
      </c>
      <c r="B1341" s="21" t="s">
        <v>804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1377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1378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755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1379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1380</v>
      </c>
      <c r="B1346" s="21" t="s">
        <v>718</v>
      </c>
      <c r="C1346" s="21" t="s">
        <v>891</v>
      </c>
      <c r="D1346" s="21" t="s">
        <v>728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1381</v>
      </c>
      <c r="B1347" s="21" t="s">
        <v>796</v>
      </c>
      <c r="C1347" s="21" t="s">
        <v>762</v>
      </c>
      <c r="D1347" s="21" t="s">
        <v>728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755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1382</v>
      </c>
      <c r="B1349" s="21" t="s">
        <v>796</v>
      </c>
      <c r="C1349" s="21" t="s">
        <v>762</v>
      </c>
      <c r="D1349" s="21" t="s">
        <v>728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732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/>
    </row>
    <row r="1352" spans="1:12">
      <c r="A1352" s="20" t="s">
        <v>1383</v>
      </c>
    </row>
    <row r="1353" spans="1:12">
      <c r="A1353" s="20" t="s">
        <v>940</v>
      </c>
      <c r="B1353" s="21" t="s">
        <v>726</v>
      </c>
      <c r="C1353" s="21" t="s">
        <v>727</v>
      </c>
      <c r="D1353" s="21" t="s">
        <v>728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809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953</v>
      </c>
      <c r="B1355" s="21" t="s">
        <v>804</v>
      </c>
      <c r="C1355" s="21" t="s">
        <v>727</v>
      </c>
      <c r="D1355" s="21" t="s">
        <v>728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721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848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974</v>
      </c>
      <c r="B1358" s="21" t="s">
        <v>767</v>
      </c>
      <c r="C1358" s="21" t="s">
        <v>727</v>
      </c>
      <c r="D1358" s="21" t="s">
        <v>728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1384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1385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1386</v>
      </c>
      <c r="B1361" s="21" t="s">
        <v>796</v>
      </c>
      <c r="C1361" s="21" t="s">
        <v>747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900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1160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732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/>
    </row>
    <row r="1366" spans="1:12">
      <c r="A1366" s="20" t="s">
        <v>1387</v>
      </c>
    </row>
    <row r="1367" spans="1:12">
      <c r="A1367" s="20" t="s">
        <v>1039</v>
      </c>
      <c r="B1367" s="21" t="s">
        <v>726</v>
      </c>
      <c r="C1367" s="21" t="s">
        <v>727</v>
      </c>
      <c r="D1367" s="21" t="s">
        <v>728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809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721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12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1388</v>
      </c>
      <c r="B1371" s="21" t="s">
        <v>718</v>
      </c>
      <c r="C1371" s="21" t="s">
        <v>762</v>
      </c>
      <c r="D1371" s="21" t="s">
        <v>728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839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/>
    </row>
    <row r="1374" spans="1:12">
      <c r="A1374" s="20" t="s">
        <v>1389</v>
      </c>
    </row>
    <row r="1375" spans="1:12">
      <c r="A1375" s="20" t="s">
        <v>940</v>
      </c>
      <c r="B1375" s="21" t="s">
        <v>726</v>
      </c>
      <c r="C1375" s="21" t="s">
        <v>727</v>
      </c>
      <c r="D1375" s="21" t="s">
        <v>728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871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729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869</v>
      </c>
      <c r="B1378" s="21" t="s">
        <v>718</v>
      </c>
      <c r="C1378" s="21" t="s">
        <v>870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1098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1160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732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/>
    </row>
    <row r="1383" spans="1:12">
      <c r="A1383" s="20" t="s">
        <v>1390</v>
      </c>
    </row>
    <row r="1384" spans="1:12">
      <c r="A1384" s="20" t="s">
        <v>940</v>
      </c>
      <c r="B1384" s="21" t="s">
        <v>726</v>
      </c>
      <c r="C1384" s="21" t="s">
        <v>727</v>
      </c>
      <c r="D1384" s="21" t="s">
        <v>728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391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1391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1392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983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984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974</v>
      </c>
      <c r="B1390" s="21" t="s">
        <v>767</v>
      </c>
      <c r="C1390" s="21" t="s">
        <v>727</v>
      </c>
      <c r="D1390" s="21" t="s">
        <v>728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1393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769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1394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1098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1395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1396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721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1397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808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1398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1399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1400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732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/>
    </row>
    <row r="1405" spans="1:12">
      <c r="A1405" s="20" t="s">
        <v>1401</v>
      </c>
    </row>
    <row r="1406" spans="1:12">
      <c r="A1406" s="20" t="s">
        <v>934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1402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1403</v>
      </c>
      <c r="B1408" s="21" t="s">
        <v>804</v>
      </c>
      <c r="C1408" s="21" t="s">
        <v>727</v>
      </c>
      <c r="D1408" s="21" t="s">
        <v>728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938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721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766</v>
      </c>
      <c r="B1411" s="21" t="s">
        <v>767</v>
      </c>
      <c r="C1411" s="21" t="s">
        <v>747</v>
      </c>
      <c r="D1411" s="21" t="s">
        <v>728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741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1199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1404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721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1096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1097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721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1405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1406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721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1317</v>
      </c>
      <c r="B1422" s="21" t="s">
        <v>718</v>
      </c>
      <c r="C1422" s="21" t="s">
        <v>747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1407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732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/>
    </row>
    <row r="1426" spans="1:12">
      <c r="A1426" s="20" t="s">
        <v>1408</v>
      </c>
    </row>
    <row r="1427" spans="1:12">
      <c r="A1427" s="20" t="s">
        <v>746</v>
      </c>
      <c r="B1427" s="21" t="s">
        <v>726</v>
      </c>
      <c r="C1427" s="21" t="s">
        <v>747</v>
      </c>
      <c r="D1427" s="21" t="s">
        <v>728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1409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721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880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725</v>
      </c>
      <c r="B1431" s="21" t="s">
        <v>767</v>
      </c>
      <c r="C1431" s="21" t="s">
        <v>727</v>
      </c>
      <c r="D1431" s="21" t="s">
        <v>728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1326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1410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732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/>
    </row>
    <row r="1436" spans="1:12">
      <c r="A1436" s="20" t="s">
        <v>1411</v>
      </c>
    </row>
    <row r="1437" spans="1:12">
      <c r="A1437" s="20" t="s">
        <v>940</v>
      </c>
      <c r="B1437" s="21" t="s">
        <v>726</v>
      </c>
      <c r="C1437" s="21" t="s">
        <v>727</v>
      </c>
      <c r="D1437" s="21" t="s">
        <v>728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1412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1413</v>
      </c>
      <c r="B1439" s="21" t="s">
        <v>804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965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1414</v>
      </c>
      <c r="B1441" s="21" t="s">
        <v>718</v>
      </c>
      <c r="C1441" s="21" t="s">
        <v>891</v>
      </c>
      <c r="D1441" s="21" t="s">
        <v>728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1415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1416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1417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923</v>
      </c>
      <c r="B1445" s="21" t="s">
        <v>796</v>
      </c>
      <c r="C1445" s="21" t="s">
        <v>790</v>
      </c>
      <c r="D1445" s="21" t="s">
        <v>728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721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1418</v>
      </c>
      <c r="B1447" s="21" t="s">
        <v>1006</v>
      </c>
      <c r="C1447" s="21" t="s">
        <v>719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725</v>
      </c>
      <c r="B1448" s="21" t="s">
        <v>826</v>
      </c>
      <c r="C1448" s="21" t="s">
        <v>727</v>
      </c>
      <c r="D1448" s="21" t="s">
        <v>728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1151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1419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1420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732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/>
    </row>
    <row r="1454" spans="1:12">
      <c r="A1454" s="20" t="s">
        <v>1421</v>
      </c>
    </row>
    <row r="1455" spans="1:12">
      <c r="A1455" s="20" t="s">
        <v>1024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725</v>
      </c>
      <c r="B1456" s="21" t="s">
        <v>726</v>
      </c>
      <c r="C1456" s="21" t="s">
        <v>727</v>
      </c>
      <c r="D1456" s="21" t="s">
        <v>728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1422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953</v>
      </c>
      <c r="B1458" s="21" t="s">
        <v>804</v>
      </c>
      <c r="C1458" s="21" t="s">
        <v>727</v>
      </c>
      <c r="D1458" s="21" t="s">
        <v>728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808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809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721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12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1423</v>
      </c>
      <c r="B1463" s="21" t="s">
        <v>796</v>
      </c>
      <c r="C1463" s="21" t="s">
        <v>762</v>
      </c>
      <c r="D1463" s="21" t="s">
        <v>728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721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 t="s">
        <v>779</v>
      </c>
      <c r="B1465" s="21" t="s">
        <v>826</v>
      </c>
      <c r="C1465" s="21" t="s">
        <v>719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1424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1147</v>
      </c>
      <c r="B1467" s="21" t="s">
        <v>978</v>
      </c>
      <c r="C1467" s="21" t="s">
        <v>833</v>
      </c>
      <c r="D1467" s="21" t="s">
        <v>728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788</v>
      </c>
      <c r="B1468" s="21" t="s">
        <v>1006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1425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1426</v>
      </c>
      <c r="B1470" s="21" t="s">
        <v>1004</v>
      </c>
      <c r="C1470" s="21" t="s">
        <v>747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839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1007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1039</v>
      </c>
      <c r="B1473" s="21" t="s">
        <v>772</v>
      </c>
      <c r="C1473" s="21" t="s">
        <v>727</v>
      </c>
      <c r="D1473" s="21" t="s">
        <v>728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1427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769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1068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732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/>
    </row>
    <row r="1479" spans="1:12">
      <c r="A1479" s="20" t="s">
        <v>1428</v>
      </c>
    </row>
    <row r="1480" spans="1:12">
      <c r="A1480" s="20" t="s">
        <v>1429</v>
      </c>
      <c r="B1480" s="21" t="s">
        <v>726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1430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721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1431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721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820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1068</v>
      </c>
      <c r="B1486" s="21" t="s">
        <v>767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721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1432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721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1433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820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1317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766</v>
      </c>
      <c r="B1493" s="21" t="s">
        <v>826</v>
      </c>
      <c r="C1493" s="21" t="s">
        <v>747</v>
      </c>
      <c r="D1493" s="21" t="s">
        <v>728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1434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721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880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779</v>
      </c>
      <c r="B1497" s="21" t="s">
        <v>772</v>
      </c>
      <c r="C1497" s="21" t="s">
        <v>719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1435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1436</v>
      </c>
      <c r="B1499" s="21" t="s">
        <v>832</v>
      </c>
      <c r="C1499" s="21" t="s">
        <v>833</v>
      </c>
      <c r="D1499" s="21" t="s">
        <v>728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29</v>
      </c>
      <c r="B1500" s="21" t="s">
        <v>772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839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/>
    </row>
    <row r="1503" spans="1:12">
      <c r="A1503" s="20" t="s">
        <v>1437</v>
      </c>
    </row>
    <row r="1504" spans="1:12">
      <c r="A1504" s="20" t="s">
        <v>1438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132</v>
      </c>
      <c r="B1505" s="21" t="s">
        <v>718</v>
      </c>
      <c r="C1505" s="21" t="s">
        <v>1069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913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914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839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1007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717</v>
      </c>
      <c r="B1510" s="21" t="s">
        <v>1004</v>
      </c>
      <c r="C1510" s="21" t="s">
        <v>719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720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721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974</v>
      </c>
      <c r="B1513" s="21" t="s">
        <v>826</v>
      </c>
      <c r="C1513" s="21" t="s">
        <v>727</v>
      </c>
      <c r="D1513" s="21" t="s">
        <v>728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821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803</v>
      </c>
      <c r="B1515" s="21" t="s">
        <v>1006</v>
      </c>
      <c r="C1515" s="21" t="s">
        <v>727</v>
      </c>
      <c r="D1515" s="21" t="s">
        <v>728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721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779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766</v>
      </c>
      <c r="B1518" s="21" t="s">
        <v>772</v>
      </c>
      <c r="C1518" s="21" t="s">
        <v>747</v>
      </c>
      <c r="D1518" s="21" t="s">
        <v>728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1439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1440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1441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721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779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29</v>
      </c>
      <c r="B1524" s="21" t="s">
        <v>1442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1435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825</v>
      </c>
      <c r="B1526" s="21" t="s">
        <v>1190</v>
      </c>
      <c r="C1526" s="21" t="s">
        <v>747</v>
      </c>
      <c r="D1526" s="21" t="s">
        <v>728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721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779</v>
      </c>
      <c r="B1528" s="21" t="s">
        <v>1443</v>
      </c>
      <c r="C1528" s="21" t="s">
        <v>719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811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1444</v>
      </c>
      <c r="B1530" s="21" t="s">
        <v>1114</v>
      </c>
      <c r="C1530" s="21" t="s">
        <v>727</v>
      </c>
      <c r="D1530" s="21" t="s">
        <v>728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1445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755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922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1446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732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/>
    </row>
    <row r="1537" spans="1:12">
      <c r="A1537" s="20" t="s">
        <v>1447</v>
      </c>
    </row>
    <row r="1538" spans="1:12">
      <c r="A1538" s="20" t="s">
        <v>1448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417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721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1432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721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1449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820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766</v>
      </c>
      <c r="B1545" s="21" t="s">
        <v>767</v>
      </c>
      <c r="C1545" s="21" t="s">
        <v>747</v>
      </c>
      <c r="D1545" s="21" t="s">
        <v>728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825</v>
      </c>
      <c r="B1546" s="21" t="s">
        <v>718</v>
      </c>
      <c r="C1546" s="21" t="s">
        <v>747</v>
      </c>
      <c r="D1546" s="21" t="s">
        <v>728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721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1003</v>
      </c>
      <c r="B1548" s="21" t="s">
        <v>860</v>
      </c>
      <c r="C1548" s="21" t="s">
        <v>719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1450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29</v>
      </c>
      <c r="B1550" s="21" t="s">
        <v>812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732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/>
    </row>
    <row r="1553" spans="1:12">
      <c r="A1553" s="20" t="s">
        <v>1451</v>
      </c>
    </row>
    <row r="1554" spans="1:12">
      <c r="A1554" s="20" t="s">
        <v>1452</v>
      </c>
      <c r="B1554" s="21" t="s">
        <v>726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1439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1453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721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1439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1454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721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779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1455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698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1456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1090</v>
      </c>
      <c r="B1565" s="21" t="s">
        <v>826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732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/>
    </row>
    <row r="1568" spans="1:12">
      <c r="A1568" s="20" t="s">
        <v>1457</v>
      </c>
    </row>
    <row r="1569" spans="1:12">
      <c r="A1569" s="20" t="s">
        <v>1458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1459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1098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770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721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771</v>
      </c>
      <c r="B1574" s="21" t="s">
        <v>812</v>
      </c>
      <c r="C1574" s="21" t="s">
        <v>719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871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1460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1461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1462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839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/>
    </row>
    <row r="1581" spans="1:12">
      <c r="A1581" s="20" t="s">
        <v>1463</v>
      </c>
    </row>
    <row r="1582" spans="1:12">
      <c r="A1582" s="20" t="s">
        <v>1464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755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1465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847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946</v>
      </c>
      <c r="B1586" s="21" t="s">
        <v>718</v>
      </c>
      <c r="C1586" s="21" t="s">
        <v>790</v>
      </c>
      <c r="D1586" s="21" t="s">
        <v>728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843</v>
      </c>
      <c r="B1587" s="21" t="s">
        <v>726</v>
      </c>
      <c r="C1587" s="21" t="s">
        <v>727</v>
      </c>
      <c r="D1587" s="21" t="s">
        <v>728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1466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793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1328</v>
      </c>
      <c r="B1590" s="21" t="s">
        <v>718</v>
      </c>
      <c r="C1590" s="21" t="s">
        <v>762</v>
      </c>
      <c r="D1590" s="21" t="s">
        <v>728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942</v>
      </c>
      <c r="B1591" s="21" t="s">
        <v>796</v>
      </c>
      <c r="C1591" s="21" t="s">
        <v>833</v>
      </c>
      <c r="D1591" s="21" t="s">
        <v>728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1467</v>
      </c>
      <c r="B1592" s="21" t="s">
        <v>726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721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808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725</v>
      </c>
      <c r="B1595" s="21" t="s">
        <v>767</v>
      </c>
      <c r="C1595" s="21" t="s">
        <v>727</v>
      </c>
      <c r="D1595" s="21" t="s">
        <v>728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 t="s">
        <v>809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953</v>
      </c>
      <c r="B1597" s="21" t="s">
        <v>784</v>
      </c>
      <c r="C1597" s="21" t="s">
        <v>727</v>
      </c>
      <c r="D1597" s="21" t="s">
        <v>728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721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12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1468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1261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721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1469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1470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1471</v>
      </c>
      <c r="B1605" s="21" t="s">
        <v>772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721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12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755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1472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965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1473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1294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721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1144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725</v>
      </c>
      <c r="B1615" s="21" t="s">
        <v>1114</v>
      </c>
      <c r="C1615" s="21" t="s">
        <v>727</v>
      </c>
      <c r="D1615" s="21" t="s">
        <v>728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1326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1474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721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12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1475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780</v>
      </c>
      <c r="B1621" s="21" t="s">
        <v>1476</v>
      </c>
      <c r="C1621" s="21" t="s">
        <v>727</v>
      </c>
      <c r="D1621" s="21" t="s">
        <v>728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1477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1478</v>
      </c>
      <c r="B1623" s="21" t="s">
        <v>1479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839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1007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1014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1194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1480</v>
      </c>
      <c r="B1628" s="21" t="s">
        <v>1481</v>
      </c>
      <c r="C1628" s="21" t="s">
        <v>790</v>
      </c>
      <c r="D1628" s="21" t="s">
        <v>728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721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1482</v>
      </c>
      <c r="B1630" s="21" t="s">
        <v>1483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1484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1485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1486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1487</v>
      </c>
      <c r="B1634" s="21" t="s">
        <v>1488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732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/>
    </row>
    <row r="1637" spans="1:12">
      <c r="A1637" s="20" t="s">
        <v>1489</v>
      </c>
    </row>
    <row r="1638" spans="1:12">
      <c r="A1638" s="20" t="s">
        <v>1341</v>
      </c>
      <c r="B1638" s="21" t="s">
        <v>726</v>
      </c>
      <c r="C1638" s="21" t="s">
        <v>727</v>
      </c>
      <c r="D1638" s="21" t="s">
        <v>728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1490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722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1491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721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808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1492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1493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1494</v>
      </c>
      <c r="B1646" s="21" t="s">
        <v>767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721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1495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808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1495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1496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1497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721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1026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476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1498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721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846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964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721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848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736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780</v>
      </c>
      <c r="B1663" s="21" t="s">
        <v>767</v>
      </c>
      <c r="C1663" s="21" t="s">
        <v>727</v>
      </c>
      <c r="D1663" s="21" t="s">
        <v>728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1499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1500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732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/>
    </row>
    <row r="1668" spans="1:12">
      <c r="A1668" s="20" t="s">
        <v>1501</v>
      </c>
    </row>
    <row r="1669" spans="1:12">
      <c r="A1669" s="20" t="s">
        <v>1502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974</v>
      </c>
      <c r="B1670" s="21" t="s">
        <v>726</v>
      </c>
      <c r="C1670" s="21" t="s">
        <v>727</v>
      </c>
      <c r="D1670" s="21" t="s">
        <v>728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1503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721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12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821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974</v>
      </c>
      <c r="B1675" s="21" t="s">
        <v>826</v>
      </c>
      <c r="C1675" s="21" t="s">
        <v>727</v>
      </c>
      <c r="D1675" s="21" t="s">
        <v>728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721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12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1504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769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942</v>
      </c>
      <c r="B1680" s="21" t="s">
        <v>1004</v>
      </c>
      <c r="C1680" s="21" t="s">
        <v>833</v>
      </c>
      <c r="D1680" s="21" t="s">
        <v>728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1505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721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905</v>
      </c>
      <c r="B1683" s="21" t="s">
        <v>826</v>
      </c>
      <c r="C1683" s="21" t="s">
        <v>727</v>
      </c>
      <c r="D1683" s="21" t="s">
        <v>728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1506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721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905</v>
      </c>
      <c r="B1686" s="21" t="s">
        <v>826</v>
      </c>
      <c r="C1686" s="21" t="s">
        <v>727</v>
      </c>
      <c r="D1686" s="21" t="s">
        <v>728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1507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732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/>
    </row>
    <row r="1690" spans="1:12">
      <c r="A1690" s="20" t="s">
        <v>1508</v>
      </c>
    </row>
    <row r="1691" spans="1:12">
      <c r="A1691" s="20" t="s">
        <v>1509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 t="s">
        <v>839</v>
      </c>
      <c r="E1692" s="22">
        <f>IF(D1692="?OLD","!!!","")</f>
        <v/>
      </c>
      <c r="F1692" s="23" t="str">
        <f>IF(OR(E1692="",E1692="!!!"),"",IF(NOT(ISNA(VLOOKUP(E1692,E$1:E1691,1,FALSE()))),"OLD",IF(AND(E1692&lt;&gt;"",E1692&lt;&gt;"!!!"),"NEW","")))</f>
        <v> </v>
      </c>
      <c r="G1692" s="24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5" t="str">
        <f>IF(J1692&lt;&gt;1,"",IF(I1692="SBJ","CB","?"))</f>
        <v> </v>
      </c>
      <c r="I1692" s="26" t="str">
        <f>IF(OR(E1692="",E1692="!!!",F1692="NEW"),"",INDEX(B1691:B$2,-1+SUMPRODUCT(MAX(ROW(E1691:E$2)*(E1692=E1691:E$2)))))</f>
        <v> </v>
      </c>
      <c r="J1692" s="26" t="str">
        <f>IF(OR(E1692="",E1692="!!!",F1692="NEW"),"",COUNTBLANK(OFFSET(A$1,,,SUMPRODUCT(MAX(ROW(E$2:E1692)*(E1692=E$2:E1692)))))-COUNTBLANK(OFFSET(A$1,,,SUMPRODUCT(MAX(ROW(E$1:E1691)*(E2=E$1:E1691))))))</f>
        <v> </v>
      </c>
      <c r="K1692" s="26" t="str">
        <f>IF(OR(E1692="",E1692="!!!",F1692="NEW"),"",INDEX(J$1:J1691,SUMPRODUCT(MAX(ROW(E$1:E1691)*(E1692=E$1:E1691)))))</f>
        <v> </v>
      </c>
      <c r="L1692" s="27"/>
    </row>
    <row r="1693" spans="1:12">
      <c r="A1693" s="20"/>
    </row>
    <row r="1694" spans="1:12">
      <c r="A1694" s="20" t="s">
        <v>1510</v>
      </c>
    </row>
    <row r="1695" spans="1:12">
      <c r="A1695" s="20" t="s">
        <v>940</v>
      </c>
      <c r="B1695" s="21" t="s">
        <v>726</v>
      </c>
      <c r="C1695" s="21" t="s">
        <v>727</v>
      </c>
      <c r="D1695" s="21" t="s">
        <v>728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1326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1511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1512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793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1513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732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/>
    </row>
    <row r="1703" spans="1:12">
      <c r="A1703" s="20" t="s">
        <v>1514</v>
      </c>
    </row>
    <row r="1704" spans="1:12">
      <c r="A1704" s="20" t="s">
        <v>940</v>
      </c>
      <c r="B1704" s="21" t="s">
        <v>726</v>
      </c>
      <c r="C1704" s="21" t="s">
        <v>727</v>
      </c>
      <c r="D1704" s="21" t="s">
        <v>728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809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721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12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1423</v>
      </c>
      <c r="B1708" s="21" t="s">
        <v>718</v>
      </c>
      <c r="C1708" s="21" t="s">
        <v>762</v>
      </c>
      <c r="D1708" s="21" t="s">
        <v>728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721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905</v>
      </c>
      <c r="B1710" s="21" t="s">
        <v>767</v>
      </c>
      <c r="C1710" s="21" t="s">
        <v>727</v>
      </c>
      <c r="D1710" s="21" t="s">
        <v>728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1515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1516</v>
      </c>
      <c r="B1712" s="21" t="s">
        <v>860</v>
      </c>
      <c r="C1712" s="21" t="s">
        <v>833</v>
      </c>
      <c r="D1712" s="21" t="s">
        <v>728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1517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839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1007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1518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721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12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1077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974</v>
      </c>
      <c r="B1720" s="21" t="s">
        <v>767</v>
      </c>
      <c r="C1720" s="21" t="s">
        <v>727</v>
      </c>
      <c r="D1720" s="21" t="s">
        <v>728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732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/>
    </row>
    <row r="1723" spans="1:12">
      <c r="A1723" s="20" t="s">
        <v>1519</v>
      </c>
    </row>
    <row r="1724" spans="1:12">
      <c r="A1724" s="20" t="s">
        <v>975</v>
      </c>
      <c r="B1724" s="21" t="s">
        <v>726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1520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1521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1260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88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856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977</v>
      </c>
      <c r="B1730" s="21" t="s">
        <v>860</v>
      </c>
      <c r="C1730" s="21" t="s">
        <v>833</v>
      </c>
      <c r="D1730" s="21" t="s">
        <v>728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923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808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1522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1523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732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/>
    </row>
    <row r="1737" spans="1:12">
      <c r="A1737" s="20" t="s">
        <v>1524</v>
      </c>
    </row>
    <row r="1738" spans="1:12">
      <c r="A1738" s="20" t="s">
        <v>717</v>
      </c>
      <c r="B1738" s="21" t="s">
        <v>718</v>
      </c>
      <c r="C1738" s="21" t="s">
        <v>719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720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721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755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1525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1526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721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769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794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1527</v>
      </c>
      <c r="B1747" s="21" t="s">
        <v>718</v>
      </c>
      <c r="C1747" s="21" t="s">
        <v>790</v>
      </c>
      <c r="D1747" s="21" t="s">
        <v>728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741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1528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1529</v>
      </c>
      <c r="B1750" s="21" t="s">
        <v>726</v>
      </c>
      <c r="C1750" s="21" t="s">
        <v>800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1260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721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1530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1531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1532</v>
      </c>
      <c r="B1755" s="21" t="s">
        <v>796</v>
      </c>
      <c r="C1755" s="21" t="s">
        <v>800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732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/>
    </row>
    <row r="1758" spans="1:12">
      <c r="A1758" s="20" t="s">
        <v>1533</v>
      </c>
    </row>
    <row r="1759" spans="1:12">
      <c r="A1759" s="20" t="s">
        <v>930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1534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946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766</v>
      </c>
      <c r="B1762" s="21" t="s">
        <v>726</v>
      </c>
      <c r="C1762" s="21" t="s">
        <v>747</v>
      </c>
      <c r="D1762" s="21" t="s">
        <v>728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1535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458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808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1049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859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1536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1537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1391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1538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1539</v>
      </c>
      <c r="B1772" s="21" t="s">
        <v>1004</v>
      </c>
      <c r="C1772" s="21" t="s">
        <v>762</v>
      </c>
      <c r="D1772" s="21" t="s">
        <v>728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1540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1541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1542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732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/>
    </row>
    <row r="1778" spans="1:12">
      <c r="A1778" s="20" t="s">
        <v>1543</v>
      </c>
    </row>
    <row r="1779" spans="1:12">
      <c r="A1779" s="20" t="s">
        <v>940</v>
      </c>
      <c r="B1779" s="21" t="s">
        <v>726</v>
      </c>
      <c r="C1779" s="21" t="s">
        <v>727</v>
      </c>
      <c r="D1779" s="21" t="s">
        <v>728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955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721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12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1423</v>
      </c>
      <c r="B1783" s="21" t="s">
        <v>767</v>
      </c>
      <c r="C1783" s="21" t="s">
        <v>762</v>
      </c>
      <c r="D1783" s="21" t="s">
        <v>728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721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1544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721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1545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1260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1254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766</v>
      </c>
      <c r="B1790" s="21" t="s">
        <v>812</v>
      </c>
      <c r="C1790" s="21" t="s">
        <v>747</v>
      </c>
      <c r="D1790" s="21" t="s">
        <v>728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 t="s">
        <v>1546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721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1002</v>
      </c>
      <c r="B1793" s="21" t="s">
        <v>978</v>
      </c>
      <c r="C1793" s="21" t="s">
        <v>719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1547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769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1293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1548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839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1007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1039</v>
      </c>
      <c r="B1800" s="21" t="s">
        <v>1442</v>
      </c>
      <c r="C1800" s="21" t="s">
        <v>727</v>
      </c>
      <c r="D1800" s="21" t="s">
        <v>728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1549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1550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721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12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1551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1039</v>
      </c>
      <c r="B1806" s="21" t="s">
        <v>967</v>
      </c>
      <c r="C1806" s="21" t="s">
        <v>727</v>
      </c>
      <c r="D1806" s="21" t="s">
        <v>728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973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721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12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975</v>
      </c>
      <c r="B1810" s="21" t="s">
        <v>967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1552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1553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721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871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 t="s">
        <v>1554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732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/>
    </row>
    <row r="1818" spans="1:12">
      <c r="A1818" s="20" t="s">
        <v>1555</v>
      </c>
    </row>
    <row r="1819" spans="1:12">
      <c r="A1819" s="20" t="s">
        <v>746</v>
      </c>
      <c r="B1819" s="21" t="s">
        <v>726</v>
      </c>
      <c r="C1819" s="21" t="s">
        <v>747</v>
      </c>
      <c r="D1819" s="21" t="s">
        <v>728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1556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466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732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/>
    </row>
    <row r="1824" spans="1:12">
      <c r="A1824" s="20" t="s">
        <v>1557</v>
      </c>
    </row>
    <row r="1825" spans="1:12">
      <c r="A1825" s="20" t="s">
        <v>1558</v>
      </c>
      <c r="B1825" s="21" t="s">
        <v>726</v>
      </c>
      <c r="C1825" s="21" t="s">
        <v>762</v>
      </c>
      <c r="D1825" s="21" t="s">
        <v>728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1559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1560</v>
      </c>
      <c r="B1827" s="21" t="s">
        <v>804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732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/>
    </row>
    <row r="1830" spans="1:12">
      <c r="A1830" s="20" t="s">
        <v>1561</v>
      </c>
    </row>
    <row r="1831" spans="1:12">
      <c r="A1831" s="20" t="s">
        <v>1562</v>
      </c>
      <c r="B1831" s="21" t="s">
        <v>726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1559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1432</v>
      </c>
      <c r="B1833" s="21" t="s">
        <v>804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732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/>
    </row>
    <row r="1836" spans="1:12">
      <c r="A1836" s="20" t="s">
        <v>1563</v>
      </c>
    </row>
    <row r="1837" spans="1:12">
      <c r="A1837" s="20" t="s">
        <v>1564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1565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1566</v>
      </c>
      <c r="B1839" s="21" t="s">
        <v>726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721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961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765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1567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732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/>
    </row>
    <row r="1846" spans="1:12">
      <c r="A1846" s="20" t="s">
        <v>1568</v>
      </c>
    </row>
    <row r="1847" spans="1:12">
      <c r="A1847" s="20" t="s">
        <v>717</v>
      </c>
      <c r="B1847" s="21" t="s">
        <v>718</v>
      </c>
      <c r="C1847" s="21" t="s">
        <v>719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720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721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1569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1570</v>
      </c>
      <c r="B1851" s="21" t="s">
        <v>804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732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/>
    </row>
    <row r="1854" spans="1:12">
      <c r="A1854" s="20" t="s">
        <v>1571</v>
      </c>
    </row>
    <row r="1855" spans="1:12">
      <c r="A1855" s="20" t="s">
        <v>484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721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771</v>
      </c>
      <c r="B1857" s="21" t="s">
        <v>767</v>
      </c>
      <c r="C1857" s="21" t="s">
        <v>719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871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1460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1461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1462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721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286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721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771</v>
      </c>
      <c r="B1865" s="21" t="s">
        <v>826</v>
      </c>
      <c r="C1865" s="21" t="s">
        <v>719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1572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990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1478</v>
      </c>
      <c r="B1868" s="21" t="s">
        <v>1006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1573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1461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1574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732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/>
    </row>
    <row r="1874" spans="1:12">
      <c r="A1874" s="20" t="s">
        <v>1575</v>
      </c>
    </row>
    <row r="1875" spans="1:12">
      <c r="A1875" s="20" t="s">
        <v>1576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286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721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808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755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825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847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1577</v>
      </c>
      <c r="B1882" s="21" t="s">
        <v>796</v>
      </c>
      <c r="C1882" s="21" t="s">
        <v>790</v>
      </c>
      <c r="D1882" s="21" t="s">
        <v>728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1541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1578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732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/>
    </row>
    <row r="1887" spans="1:12">
      <c r="A1887" s="20" t="s">
        <v>1579</v>
      </c>
    </row>
    <row r="1888" spans="1:12">
      <c r="A1888" s="20" t="s">
        <v>1580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721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808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1581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721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1582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1583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1497</v>
      </c>
      <c r="B1895" s="21" t="s">
        <v>718</v>
      </c>
      <c r="C1895" s="21" t="s">
        <v>762</v>
      </c>
      <c r="D1895" s="21" t="s">
        <v>728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721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942</v>
      </c>
      <c r="B1897" s="21" t="s">
        <v>726</v>
      </c>
      <c r="C1897" s="21" t="s">
        <v>727</v>
      </c>
      <c r="D1897" s="21" t="s">
        <v>728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871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1584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21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1455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732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/>
    </row>
    <row r="1904" spans="1:12">
      <c r="A1904" s="20" t="s">
        <v>1585</v>
      </c>
    </row>
    <row r="1905" spans="1:12">
      <c r="A1905" s="20" t="s">
        <v>1227</v>
      </c>
      <c r="B1905" s="21" t="s">
        <v>726</v>
      </c>
      <c r="C1905" s="21" t="s">
        <v>727</v>
      </c>
      <c r="D1905" s="21" t="s">
        <v>728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1586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1587</v>
      </c>
      <c r="B1907" s="21" t="s">
        <v>804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755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1588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1292</v>
      </c>
      <c r="B1910" s="21" t="s">
        <v>718</v>
      </c>
      <c r="C1910" s="21" t="s">
        <v>891</v>
      </c>
      <c r="D1910" s="21" t="s">
        <v>728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965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893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1261</v>
      </c>
      <c r="B1913" s="21" t="s">
        <v>796</v>
      </c>
      <c r="C1913" s="21" t="s">
        <v>790</v>
      </c>
      <c r="D1913" s="21" t="s">
        <v>728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721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1144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1589</v>
      </c>
      <c r="B1916" s="21" t="s">
        <v>812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1590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765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 t="s">
        <v>830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1591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1592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732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/>
    </row>
    <row r="1924" spans="1:12">
      <c r="A1924" s="20" t="s">
        <v>1593</v>
      </c>
    </row>
    <row r="1925" spans="1:12">
      <c r="A1925" s="20" t="s">
        <v>1594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1595</v>
      </c>
      <c r="B1926" s="21" t="s">
        <v>718</v>
      </c>
      <c r="C1926" s="21" t="s">
        <v>800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905</v>
      </c>
      <c r="B1927" s="21" t="s">
        <v>726</v>
      </c>
      <c r="C1927" s="21" t="s">
        <v>727</v>
      </c>
      <c r="D1927" s="21" t="s">
        <v>728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1596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1588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1292</v>
      </c>
      <c r="B1930" s="21" t="s">
        <v>718</v>
      </c>
      <c r="C1930" s="21" t="s">
        <v>800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876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770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808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1597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1598</v>
      </c>
      <c r="B1935" s="21" t="s">
        <v>789</v>
      </c>
      <c r="C1935" s="21" t="s">
        <v>800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905</v>
      </c>
      <c r="B1936" s="21" t="s">
        <v>812</v>
      </c>
      <c r="C1936" s="21" t="s">
        <v>727</v>
      </c>
      <c r="D1936" s="21" t="s">
        <v>728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1596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1588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1292</v>
      </c>
      <c r="B1939" s="21" t="s">
        <v>860</v>
      </c>
      <c r="C1939" s="21" t="s">
        <v>800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1599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732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/>
    </row>
    <row r="1943" spans="1:12">
      <c r="A1943" s="20" t="s">
        <v>1600</v>
      </c>
    </row>
    <row r="1944" spans="1:12">
      <c r="A1944" s="20" t="s">
        <v>1227</v>
      </c>
      <c r="B1944" s="21" t="s">
        <v>726</v>
      </c>
      <c r="C1944" s="21" t="s">
        <v>727</v>
      </c>
      <c r="D1944" s="21" t="s">
        <v>728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1601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766</v>
      </c>
      <c r="B1946" s="21" t="s">
        <v>804</v>
      </c>
      <c r="C1946" s="21" t="s">
        <v>747</v>
      </c>
      <c r="D1946" s="21" t="s">
        <v>728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721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218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779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1602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1603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1604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1605</v>
      </c>
      <c r="B1953" s="21" t="s">
        <v>789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1606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1607</v>
      </c>
      <c r="B1955" s="21" t="s">
        <v>978</v>
      </c>
      <c r="C1955" s="21" t="s">
        <v>762</v>
      </c>
      <c r="D1955" s="21" t="s">
        <v>728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732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/>
    </row>
    <row r="1958" spans="1:12">
      <c r="A1958" s="20" t="s">
        <v>1608</v>
      </c>
    </row>
    <row r="1959" spans="1:12">
      <c r="A1959" s="20" t="s">
        <v>506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732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/>
    </row>
    <row r="1962" spans="1:12">
      <c r="A1962" s="20" t="s">
        <v>1609</v>
      </c>
    </row>
    <row r="1963" spans="1:12">
      <c r="A1963" s="20" t="s">
        <v>940</v>
      </c>
      <c r="B1963" s="21" t="s">
        <v>726</v>
      </c>
      <c r="C1963" s="21" t="s">
        <v>727</v>
      </c>
      <c r="D1963" s="21" t="s">
        <v>728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1610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1611</v>
      </c>
      <c r="B1965" s="21" t="s">
        <v>804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233</v>
      </c>
      <c r="B1966" s="21" t="s">
        <v>804</v>
      </c>
      <c r="C1966" s="21" t="s">
        <v>719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1612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1613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1614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721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1263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725</v>
      </c>
      <c r="B1972" s="21" t="s">
        <v>767</v>
      </c>
      <c r="C1972" s="21" t="s">
        <v>727</v>
      </c>
      <c r="D1972" s="21" t="s">
        <v>728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1615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769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1616</v>
      </c>
      <c r="B1975" s="21" t="s">
        <v>796</v>
      </c>
      <c r="C1975" s="21" t="s">
        <v>762</v>
      </c>
      <c r="D1975" s="21" t="s">
        <v>728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809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721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12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1423</v>
      </c>
      <c r="B1979" s="21" t="s">
        <v>1004</v>
      </c>
      <c r="C1979" s="21" t="s">
        <v>762</v>
      </c>
      <c r="D1979" s="21" t="s">
        <v>728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721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905</v>
      </c>
      <c r="B1981" s="21" t="s">
        <v>826</v>
      </c>
      <c r="C1981" s="21" t="s">
        <v>727</v>
      </c>
      <c r="D1981" s="21" t="s">
        <v>728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1199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1596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1588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1292</v>
      </c>
      <c r="B1985" s="21" t="s">
        <v>1004</v>
      </c>
      <c r="C1985" s="21" t="s">
        <v>800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769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1617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808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1588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1292</v>
      </c>
      <c r="B1990" s="21" t="s">
        <v>978</v>
      </c>
      <c r="C1990" s="21" t="s">
        <v>800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1618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769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1619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839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/>
    </row>
    <row r="1996" spans="1:12">
      <c r="A1996" s="20" t="s">
        <v>1620</v>
      </c>
    </row>
    <row r="1997" spans="1:12">
      <c r="A1997" s="20" t="s">
        <v>1227</v>
      </c>
      <c r="B1997" s="21" t="s">
        <v>726</v>
      </c>
      <c r="C1997" s="21" t="s">
        <v>727</v>
      </c>
      <c r="D1997" s="21" t="s">
        <v>728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1601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766</v>
      </c>
      <c r="B1999" s="21" t="s">
        <v>804</v>
      </c>
      <c r="C1999" s="21" t="s">
        <v>747</v>
      </c>
      <c r="D1999" s="21" t="s">
        <v>728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830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1621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1622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839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1007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1039</v>
      </c>
      <c r="B2005" s="21" t="s">
        <v>767</v>
      </c>
      <c r="C2005" s="21" t="s">
        <v>727</v>
      </c>
      <c r="D2005" s="21" t="s">
        <v>728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1615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769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1403</v>
      </c>
      <c r="B2008" s="21" t="s">
        <v>796</v>
      </c>
      <c r="C2008" s="21" t="s">
        <v>727</v>
      </c>
      <c r="D2008" s="21" t="s">
        <v>728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721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1484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725</v>
      </c>
      <c r="B2011" s="21" t="s">
        <v>812</v>
      </c>
      <c r="C2011" s="21" t="s">
        <v>727</v>
      </c>
      <c r="D2011" s="21" t="s">
        <v>728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736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779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1623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1624</v>
      </c>
      <c r="B2015" s="21" t="s">
        <v>789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1625</v>
      </c>
      <c r="B2016" s="21" t="s">
        <v>812</v>
      </c>
      <c r="C2016" s="21" t="s">
        <v>762</v>
      </c>
      <c r="D2016" s="21" t="s">
        <v>728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1626</v>
      </c>
      <c r="B2017" s="21" t="s">
        <v>1004</v>
      </c>
      <c r="C2017" s="21" t="s">
        <v>762</v>
      </c>
      <c r="D2017" s="21" t="s">
        <v>728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732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/>
    </row>
    <row r="2020" spans="1:12">
      <c r="A2020" s="20" t="s">
        <v>1627</v>
      </c>
    </row>
    <row r="2021" spans="1:12">
      <c r="A2021" s="20" t="s">
        <v>934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973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721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12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1628</v>
      </c>
      <c r="B2025" s="21" t="s">
        <v>718</v>
      </c>
      <c r="C2025" s="21" t="s">
        <v>762</v>
      </c>
      <c r="D2025" s="21" t="s">
        <v>728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721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905</v>
      </c>
      <c r="B2027" s="21" t="s">
        <v>767</v>
      </c>
      <c r="C2027" s="21" t="s">
        <v>727</v>
      </c>
      <c r="D2027" s="21" t="s">
        <v>728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1629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721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218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779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1455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1630</v>
      </c>
      <c r="B2033" s="21" t="s">
        <v>812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1631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940</v>
      </c>
      <c r="B2035" s="21" t="s">
        <v>812</v>
      </c>
      <c r="C2035" s="21" t="s">
        <v>727</v>
      </c>
      <c r="D2035" s="21" t="s">
        <v>728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871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1361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1632</v>
      </c>
      <c r="B2038" s="21" t="s">
        <v>789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1633</v>
      </c>
      <c r="B2039" s="21" t="s">
        <v>978</v>
      </c>
      <c r="C2039" s="21" t="s">
        <v>833</v>
      </c>
      <c r="D2039" s="21" t="s">
        <v>728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1634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923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721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771</v>
      </c>
      <c r="B2043" s="21" t="s">
        <v>772</v>
      </c>
      <c r="C2043" s="21" t="s">
        <v>719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748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1182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721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1635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1636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725</v>
      </c>
      <c r="B2049" s="21" t="s">
        <v>1442</v>
      </c>
      <c r="C2049" s="21" t="s">
        <v>727</v>
      </c>
      <c r="D2049" s="21" t="s">
        <v>728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871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1637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1638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1632</v>
      </c>
      <c r="B2053" s="21" t="s">
        <v>1190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732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/>
    </row>
    <row r="2056" spans="1:12">
      <c r="A2056" s="20" t="s">
        <v>1639</v>
      </c>
    </row>
    <row r="2057" spans="1:12">
      <c r="A2057" s="20" t="s">
        <v>1640</v>
      </c>
      <c r="B2057" s="21" t="s">
        <v>804</v>
      </c>
      <c r="C2057" s="21" t="s">
        <v>727</v>
      </c>
      <c r="D2057" s="21" t="s">
        <v>728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871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1641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721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848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1642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1643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1080</v>
      </c>
      <c r="B2064" s="21" t="s">
        <v>767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721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725</v>
      </c>
      <c r="B2066" s="21" t="s">
        <v>767</v>
      </c>
      <c r="C2066" s="21" t="s">
        <v>727</v>
      </c>
      <c r="D2066" s="21" t="s">
        <v>728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871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1637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721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848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1080</v>
      </c>
      <c r="B2071" s="21" t="s">
        <v>812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1644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721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769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931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101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1645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721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848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1646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732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/>
    </row>
    <row r="2083" spans="1:12">
      <c r="A2083" s="20" t="s">
        <v>1647</v>
      </c>
    </row>
    <row r="2084" spans="1:12">
      <c r="A2084" s="20" t="s">
        <v>940</v>
      </c>
      <c r="B2084" s="21" t="s">
        <v>726</v>
      </c>
      <c r="C2084" s="21" t="s">
        <v>727</v>
      </c>
      <c r="D2084" s="21" t="s">
        <v>728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1170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1648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1649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1650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1651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732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/>
    </row>
    <row r="2092" spans="1:12">
      <c r="A2092" s="20" t="s">
        <v>1652</v>
      </c>
    </row>
    <row r="2093" spans="1:12">
      <c r="A2093" s="20" t="s">
        <v>734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1653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725</v>
      </c>
      <c r="B2095" s="21" t="s">
        <v>767</v>
      </c>
      <c r="C2095" s="21" t="s">
        <v>727</v>
      </c>
      <c r="D2095" s="21" t="s">
        <v>728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1654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1632</v>
      </c>
      <c r="B2097" s="21" t="s">
        <v>784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923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755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1107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1152</v>
      </c>
      <c r="B2101" s="21" t="s">
        <v>796</v>
      </c>
      <c r="C2101" s="21" t="s">
        <v>790</v>
      </c>
      <c r="D2101" s="21" t="s">
        <v>728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769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1153</v>
      </c>
      <c r="B2103" s="21" t="s">
        <v>860</v>
      </c>
      <c r="C2103" s="21" t="s">
        <v>891</v>
      </c>
      <c r="D2103" s="21" t="s">
        <v>728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1154</v>
      </c>
      <c r="B2104" s="21" t="s">
        <v>1004</v>
      </c>
      <c r="C2104" s="21" t="s">
        <v>762</v>
      </c>
      <c r="D2104" s="21" t="s">
        <v>728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721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769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931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1444</v>
      </c>
      <c r="B2108" s="21" t="s">
        <v>726</v>
      </c>
      <c r="C2108" s="21" t="s">
        <v>727</v>
      </c>
      <c r="D2108" s="21" t="s">
        <v>728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748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1511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871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1655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769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1638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1632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732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/>
    </row>
    <row r="2118" spans="1:12">
      <c r="A2118" s="20" t="s">
        <v>1656</v>
      </c>
    </row>
    <row r="2119" spans="1:12">
      <c r="A2119" s="20" t="s">
        <v>1166</v>
      </c>
      <c r="B2119" s="21" t="s">
        <v>726</v>
      </c>
      <c r="C2119" s="21" t="s">
        <v>727</v>
      </c>
      <c r="D2119" s="21" t="s">
        <v>728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748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1657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808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1658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721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1484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780</v>
      </c>
      <c r="B2126" s="21" t="s">
        <v>767</v>
      </c>
      <c r="C2126" s="21" t="s">
        <v>727</v>
      </c>
      <c r="D2126" s="21" t="s">
        <v>728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1659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755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1660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1661</v>
      </c>
      <c r="B2130" s="21" t="s">
        <v>784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1662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732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/>
    </row>
    <row r="2134" spans="1:12">
      <c r="A2134" s="20" t="s">
        <v>1663</v>
      </c>
    </row>
    <row r="2135" spans="1:12">
      <c r="A2135" s="20" t="s">
        <v>940</v>
      </c>
      <c r="B2135" s="21" t="s">
        <v>726</v>
      </c>
      <c r="C2135" s="21" t="s">
        <v>727</v>
      </c>
      <c r="D2135" s="21" t="s">
        <v>728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821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815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997</v>
      </c>
      <c r="B2138" s="21" t="s">
        <v>718</v>
      </c>
      <c r="C2138" s="21" t="s">
        <v>747</v>
      </c>
      <c r="D2138" s="21" t="s">
        <v>728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1664</v>
      </c>
      <c r="B2139" s="21" t="s">
        <v>804</v>
      </c>
      <c r="C2139" s="21" t="s">
        <v>762</v>
      </c>
      <c r="D2139" s="21" t="s">
        <v>728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808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974</v>
      </c>
      <c r="B2141" s="21" t="s">
        <v>767</v>
      </c>
      <c r="C2141" s="21" t="s">
        <v>727</v>
      </c>
      <c r="D2141" s="21" t="s">
        <v>728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1665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732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/>
    </row>
    <row r="2145" spans="1:12">
      <c r="A2145" s="20" t="s">
        <v>1666</v>
      </c>
    </row>
    <row r="2146" spans="1:12">
      <c r="A2146" s="20" t="s">
        <v>1039</v>
      </c>
      <c r="B2146" s="21" t="s">
        <v>726</v>
      </c>
      <c r="C2146" s="21" t="s">
        <v>727</v>
      </c>
      <c r="D2146" s="21" t="s">
        <v>728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821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721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12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1667</v>
      </c>
      <c r="B2150" s="21" t="s">
        <v>767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1668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848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1669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732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/>
    </row>
    <row r="2156" spans="1:12">
      <c r="A2156" s="20" t="s">
        <v>1670</v>
      </c>
    </row>
    <row r="2157" spans="1:12">
      <c r="A2157" s="20" t="s">
        <v>746</v>
      </c>
      <c r="B2157" s="21" t="s">
        <v>726</v>
      </c>
      <c r="C2157" s="21" t="s">
        <v>747</v>
      </c>
      <c r="D2157" s="21" t="s">
        <v>728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1671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543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721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1672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1003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1673</v>
      </c>
      <c r="B2163" s="21" t="s">
        <v>784</v>
      </c>
      <c r="C2163" s="21" t="s">
        <v>719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1674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755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1675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732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/>
    </row>
    <row r="2169" spans="1:12">
      <c r="A2169" s="20" t="s">
        <v>1676</v>
      </c>
    </row>
    <row r="2170" spans="1:12">
      <c r="A2170" s="20" t="s">
        <v>1166</v>
      </c>
      <c r="B2170" s="21" t="s">
        <v>726</v>
      </c>
      <c r="C2170" s="21" t="s">
        <v>727</v>
      </c>
      <c r="D2170" s="21" t="s">
        <v>728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1677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721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924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1678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1679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732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/>
    </row>
    <row r="2178" spans="1:12">
      <c r="A2178" s="20" t="s">
        <v>1680</v>
      </c>
    </row>
    <row r="2179" spans="1:12">
      <c r="A2179" s="20" t="s">
        <v>983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984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974</v>
      </c>
      <c r="B2181" s="21" t="s">
        <v>726</v>
      </c>
      <c r="C2181" s="21" t="s">
        <v>727</v>
      </c>
      <c r="D2181" s="21" t="s">
        <v>728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985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721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12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1681</v>
      </c>
      <c r="B2185" s="21" t="s">
        <v>767</v>
      </c>
      <c r="C2185" s="21" t="s">
        <v>762</v>
      </c>
      <c r="D2185" s="21" t="s">
        <v>728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755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977</v>
      </c>
      <c r="B2187" s="21" t="s">
        <v>860</v>
      </c>
      <c r="C2187" s="21" t="s">
        <v>833</v>
      </c>
      <c r="D2187" s="21" t="s">
        <v>728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1682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698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1683</v>
      </c>
      <c r="B2190" s="21" t="s">
        <v>767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732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/>
    </row>
    <row r="2193" spans="1:12">
      <c r="A2193" s="20" t="s">
        <v>1684</v>
      </c>
    </row>
    <row r="2194" spans="1:12">
      <c r="A2194" s="20" t="s">
        <v>1685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721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286</v>
      </c>
      <c r="B2196" s="21" t="s">
        <v>726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721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771</v>
      </c>
      <c r="B2198" s="21" t="s">
        <v>812</v>
      </c>
      <c r="C2198" s="21" t="s">
        <v>719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871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1460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723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788</v>
      </c>
      <c r="B2202" s="21" t="s">
        <v>789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732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/>
    </row>
    <row r="2205" spans="1:12">
      <c r="A2205" s="20" t="s">
        <v>1686</v>
      </c>
    </row>
    <row r="2206" spans="1:12">
      <c r="A2206" s="20" t="s">
        <v>484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721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771</v>
      </c>
      <c r="B2208" s="21" t="s">
        <v>767</v>
      </c>
      <c r="C2208" s="21" t="s">
        <v>719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1572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990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1478</v>
      </c>
      <c r="B2211" s="21" t="s">
        <v>784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1687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1461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1574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732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/>
    </row>
    <row r="2217" spans="1:12">
      <c r="A2217" s="20" t="s">
        <v>1688</v>
      </c>
    </row>
    <row r="2218" spans="1:12">
      <c r="A2218" s="20" t="s">
        <v>934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1689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725</v>
      </c>
      <c r="B2220" s="21" t="s">
        <v>726</v>
      </c>
      <c r="C2220" s="21" t="s">
        <v>727</v>
      </c>
      <c r="D2220" s="21" t="s">
        <v>728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1690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721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1653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974</v>
      </c>
      <c r="B2224" s="21" t="s">
        <v>767</v>
      </c>
      <c r="C2224" s="21" t="s">
        <v>727</v>
      </c>
      <c r="D2224" s="21" t="s">
        <v>728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821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721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779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1134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286</v>
      </c>
      <c r="B2229" s="21" t="s">
        <v>812</v>
      </c>
      <c r="C2229" s="21" t="s">
        <v>790</v>
      </c>
      <c r="D2229" s="21" t="s">
        <v>728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 t="s">
        <v>871</v>
      </c>
      <c r="E2230" s="22">
        <f>IF(D2230="?OLD","!!!","")</f>
        <v/>
      </c>
      <c r="F2230" s="23" t="str">
        <f>IF(OR(E2230="",E2230="!!!"),"",IF(NOT(ISNA(VLOOKUP(E2230,E$1:E2229,1,FALSE()))),"OLD",IF(AND(E2230&lt;&gt;"",E2230&lt;&gt;"!!!"),"NEW","")))</f>
        <v> </v>
      </c>
      <c r="G2230" s="24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5" t="str">
        <f>IF(J2230&lt;&gt;1,"",IF(I2230="SBJ","CB","?"))</f>
        <v> </v>
      </c>
      <c r="I2230" s="26" t="str">
        <f>IF(OR(E2230="",E2230="!!!",F2230="NEW"),"",INDEX(B2229:B$2,-1+SUMPRODUCT(MAX(ROW(E2229:E$2)*(E2230=E2229:E$2)))))</f>
        <v> </v>
      </c>
      <c r="J2230" s="26" t="str">
        <f>IF(OR(E2230="",E2230="!!!",F2230="NEW"),"",COUNTBLANK(OFFSET(A$1,,,SUMPRODUCT(MAX(ROW(E$2:E2230)*(E2230=E$2:E2230)))))-COUNTBLANK(OFFSET(A$1,,,SUMPRODUCT(MAX(ROW(E$1:E2229)*(E2=E$1:E2229))))))</f>
        <v> </v>
      </c>
      <c r="K2230" s="26" t="str">
        <f>IF(OR(E2230="",E2230="!!!",F2230="NEW"),"",INDEX(J$1:J2229,SUMPRODUCT(MAX(ROW(E$1:E2229)*(E2230=E$1:E2229)))))</f>
        <v> </v>
      </c>
      <c r="L2230" s="27"/>
    </row>
    <row r="2231" spans="1:12">
      <c r="A2231" s="20" t="s">
        <v>1691</v>
      </c>
      <c r="E2231" s="22">
        <f>IF(D2231="?OLD","!!!","")</f>
        <v/>
      </c>
      <c r="F2231" s="23" t="str">
        <f>IF(OR(E2231="",E2231="!!!"),"",IF(NOT(ISNA(VLOOKUP(E2231,E$1:E2230,1,FALSE()))),"OLD",IF(AND(E2231&lt;&gt;"",E2231&lt;&gt;"!!!"),"NEW","")))</f>
        <v> </v>
      </c>
      <c r="G2231" s="24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5" t="str">
        <f>IF(J2231&lt;&gt;1,"",IF(I2231="SBJ","CB","?"))</f>
        <v> </v>
      </c>
      <c r="I2231" s="26" t="str">
        <f>IF(OR(E2231="",E2231="!!!",F2231="NEW"),"",INDEX(B2230:B$2,-1+SUMPRODUCT(MAX(ROW(E2230:E$2)*(E2231=E2230:E$2)))))</f>
        <v> </v>
      </c>
      <c r="J2231" s="26" t="str">
        <f>IF(OR(E2231="",E2231="!!!",F2231="NEW"),"",COUNTBLANK(OFFSET(A$1,,,SUMPRODUCT(MAX(ROW(E$2:E2231)*(E2231=E$2:E2231)))))-COUNTBLANK(OFFSET(A$1,,,SUMPRODUCT(MAX(ROW(E$1:E2230)*(E2=E$1:E2230))))))</f>
        <v> </v>
      </c>
      <c r="K2231" s="26" t="str">
        <f>IF(OR(E2231="",E2231="!!!",F2231="NEW"),"",INDEX(J$1:J2230,SUMPRODUCT(MAX(ROW(E$1:E2230)*(E2231=E$1:E2230)))))</f>
        <v> </v>
      </c>
      <c r="L2231" s="27"/>
    </row>
    <row r="2232" spans="1:12">
      <c r="A2232" s="20" t="s">
        <v>1692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721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779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974</v>
      </c>
      <c r="B2235" s="21" t="s">
        <v>826</v>
      </c>
      <c r="C2235" s="21" t="s">
        <v>727</v>
      </c>
      <c r="D2235" s="21" t="s">
        <v>728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233</v>
      </c>
      <c r="B2236" s="21" t="s">
        <v>1006</v>
      </c>
      <c r="C2236" s="21" t="s">
        <v>719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1693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721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218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779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1694</v>
      </c>
      <c r="B2241" s="21" t="s">
        <v>772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721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771</v>
      </c>
      <c r="B2243" s="21" t="s">
        <v>967</v>
      </c>
      <c r="C2243" s="21" t="s">
        <v>719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1695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1696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1617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721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1697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859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1219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1220</v>
      </c>
      <c r="B2251" s="21" t="s">
        <v>832</v>
      </c>
      <c r="C2251" s="21" t="s">
        <v>762</v>
      </c>
      <c r="D2251" s="21" t="s">
        <v>728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732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/>
    </row>
    <row r="2254" spans="1:12">
      <c r="A2254" s="20" t="s">
        <v>1698</v>
      </c>
    </row>
    <row r="2255" spans="1:12">
      <c r="A2255" s="20" t="s">
        <v>1163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1699</v>
      </c>
      <c r="B2256" s="21" t="s">
        <v>726</v>
      </c>
      <c r="C2256" s="21" t="s">
        <v>790</v>
      </c>
      <c r="D2256" s="21" t="s">
        <v>728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1700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1317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825</v>
      </c>
      <c r="B2259" s="21" t="s">
        <v>804</v>
      </c>
      <c r="C2259" s="21" t="s">
        <v>747</v>
      </c>
      <c r="D2259" s="21" t="s">
        <v>728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721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859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1002</v>
      </c>
      <c r="B2262" s="21" t="s">
        <v>860</v>
      </c>
      <c r="C2262" s="21" t="s">
        <v>719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 t="s">
        <v>1219</v>
      </c>
      <c r="B2263" s="21" t="s">
        <v>812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 t="s">
        <v>721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 t="s">
        <v>848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1701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 t="s">
        <v>721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 t="s">
        <v>1702</v>
      </c>
      <c r="E2268" s="22">
        <f>IF(D2268="?OLD","!!!","")</f>
        <v/>
      </c>
      <c r="F2268" s="23" t="str">
        <f>IF(OR(E2268="",E2268="!!!"),"",IF(NOT(ISNA(VLOOKUP(E2268,E$1:E2267,1,FALSE()))),"OLD",IF(AND(E2268&lt;&gt;"",E2268&lt;&gt;"!!!"),"NEW","")))</f>
        <v> </v>
      </c>
      <c r="G2268" s="24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5" t="str">
        <f>IF(J2268&lt;&gt;1,"",IF(I2268="SBJ","CB","?"))</f>
        <v> </v>
      </c>
      <c r="I2268" s="26" t="str">
        <f>IF(OR(E2268="",E2268="!!!",F2268="NEW"),"",INDEX(B2267:B$2,-1+SUMPRODUCT(MAX(ROW(E2267:E$2)*(E2268=E2267:E$2)))))</f>
        <v> </v>
      </c>
      <c r="J2268" s="26" t="str">
        <f>IF(OR(E2268="",E2268="!!!",F2268="NEW"),"",COUNTBLANK(OFFSET(A$1,,,SUMPRODUCT(MAX(ROW(E$2:E2268)*(E2268=E$2:E2268)))))-COUNTBLANK(OFFSET(A$1,,,SUMPRODUCT(MAX(ROW(E$1:E2267)*(E2=E$1:E2267))))))</f>
        <v> </v>
      </c>
      <c r="K2268" s="26" t="str">
        <f>IF(OR(E2268="",E2268="!!!",F2268="NEW"),"",INDEX(J$1:J2267,SUMPRODUCT(MAX(ROW(E$1:E2267)*(E2268=E$1:E2267)))))</f>
        <v> </v>
      </c>
      <c r="L2268" s="27"/>
    </row>
    <row r="2269" spans="1:12">
      <c r="A2269" s="20" t="s">
        <v>755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1703</v>
      </c>
      <c r="B2270" s="21" t="s">
        <v>1004</v>
      </c>
      <c r="C2270" s="21" t="s">
        <v>833</v>
      </c>
      <c r="D2270" s="21" t="s">
        <v>728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1704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12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1705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1706</v>
      </c>
      <c r="B2274" s="21" t="s">
        <v>812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721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1707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732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/>
    </row>
    <row r="2279" spans="1:12">
      <c r="A2279" s="20" t="s">
        <v>1708</v>
      </c>
    </row>
    <row r="2280" spans="1:12">
      <c r="A2280" s="20" t="s">
        <v>734</v>
      </c>
      <c r="E2280" s="22">
        <f>IF(D2280="?OLD","!!!","")</f>
        <v/>
      </c>
      <c r="F2280" s="23" t="str">
        <f>IF(OR(E2280="",E2280="!!!"),"",IF(NOT(ISNA(VLOOKUP(E2280,E$1:E2279,1,FALSE()))),"OLD",IF(AND(E2280&lt;&gt;"",E2280&lt;&gt;"!!!"),"NEW","")))</f>
        <v> </v>
      </c>
      <c r="G2280" s="24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5" t="str">
        <f>IF(J2280&lt;&gt;1,"",IF(I2280="SBJ","CB","?"))</f>
        <v> </v>
      </c>
      <c r="I2280" s="26" t="str">
        <f>IF(OR(E2280="",E2280="!!!",F2280="NEW"),"",INDEX(B2279:B$2,-1+SUMPRODUCT(MAX(ROW(E2279:E$2)*(E2280=E2279:E$2)))))</f>
        <v> </v>
      </c>
      <c r="J2280" s="26" t="str">
        <f>IF(OR(E2280="",E2280="!!!",F2280="NEW"),"",COUNTBLANK(OFFSET(A$1,,,SUMPRODUCT(MAX(ROW(E$2:E2280)*(E2280=E$2:E2280)))))-COUNTBLANK(OFFSET(A$1,,,SUMPRODUCT(MAX(ROW(E$1:E2279)*(E2=E$1:E2279))))))</f>
        <v> </v>
      </c>
      <c r="K2280" s="26" t="str">
        <f>IF(OR(E2280="",E2280="!!!",F2280="NEW"),"",INDEX(J$1:J2279,SUMPRODUCT(MAX(ROW(E$1:E2279)*(E2280=E$1:E2279)))))</f>
        <v> </v>
      </c>
      <c r="L2280" s="27"/>
    </row>
    <row r="2281" spans="1:12">
      <c r="A2281" s="20" t="s">
        <v>1653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1694</v>
      </c>
      <c r="B2282" s="21" t="s">
        <v>767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1709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1696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1710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1711</v>
      </c>
      <c r="B2286" s="21" t="s">
        <v>796</v>
      </c>
      <c r="C2286" s="21" t="s">
        <v>800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808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1712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 t="s">
        <v>721</v>
      </c>
      <c r="E2289" s="22">
        <f>IF(D2289="?OLD","!!!","")</f>
        <v/>
      </c>
      <c r="F2289" s="23" t="str">
        <f>IF(OR(E2289="",E2289="!!!"),"",IF(NOT(ISNA(VLOOKUP(E2289,E$1:E2288,1,FALSE()))),"OLD",IF(AND(E2289&lt;&gt;"",E2289&lt;&gt;"!!!"),"NEW","")))</f>
        <v> </v>
      </c>
      <c r="G2289" s="24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5" t="str">
        <f>IF(J2289&lt;&gt;1,"",IF(I2289="SBJ","CB","?"))</f>
        <v> </v>
      </c>
      <c r="I2289" s="26" t="str">
        <f>IF(OR(E2289="",E2289="!!!",F2289="NEW"),"",INDEX(B2288:B$2,-1+SUMPRODUCT(MAX(ROW(E2288:E$2)*(E2289=E2288:E$2)))))</f>
        <v> </v>
      </c>
      <c r="J2289" s="26" t="str">
        <f>IF(OR(E2289="",E2289="!!!",F2289="NEW"),"",COUNTBLANK(OFFSET(A$1,,,SUMPRODUCT(MAX(ROW(E$2:E2289)*(E2289=E$2:E2289)))))-COUNTBLANK(OFFSET(A$1,,,SUMPRODUCT(MAX(ROW(E$1:E2288)*(E2=E$1:E2288))))))</f>
        <v> </v>
      </c>
      <c r="K2289" s="26" t="str">
        <f>IF(OR(E2289="",E2289="!!!",F2289="NEW"),"",INDEX(J$1:J2288,SUMPRODUCT(MAX(ROW(E$1:E2288)*(E2289=E$1:E2288)))))</f>
        <v> </v>
      </c>
      <c r="L2289" s="27"/>
    </row>
    <row r="2290" spans="1:12">
      <c r="A2290" s="20" t="s">
        <v>1444</v>
      </c>
      <c r="B2290" s="21" t="s">
        <v>726</v>
      </c>
      <c r="C2290" s="21" t="s">
        <v>727</v>
      </c>
      <c r="D2290" s="21" t="s">
        <v>728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1713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1714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732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/>
    </row>
    <row r="2295" spans="1:12">
      <c r="A2295" s="20" t="s">
        <v>1715</v>
      </c>
    </row>
    <row r="2296" spans="1:12">
      <c r="A2296" s="20" t="s">
        <v>1163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1441</v>
      </c>
      <c r="B2297" s="21" t="s">
        <v>726</v>
      </c>
      <c r="C2297" s="21" t="s">
        <v>790</v>
      </c>
      <c r="D2297" s="21" t="s">
        <v>728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1439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1716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721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779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1717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1246</v>
      </c>
      <c r="B2303" s="21" t="s">
        <v>789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732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/>
    </row>
    <row r="2306" spans="1:12">
      <c r="A2306" s="20" t="s">
        <v>1718</v>
      </c>
    </row>
    <row r="2307" spans="1:12">
      <c r="A2307" s="20" t="s">
        <v>778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779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721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766</v>
      </c>
      <c r="B2310" s="21" t="s">
        <v>726</v>
      </c>
      <c r="C2310" s="21" t="s">
        <v>747</v>
      </c>
      <c r="D2310" s="21" t="s">
        <v>728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871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736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286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721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771</v>
      </c>
      <c r="B2315" s="21" t="s">
        <v>767</v>
      </c>
      <c r="C2315" s="21" t="s">
        <v>719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871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1460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 t="s">
        <v>1461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1462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721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980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846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847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1572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990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1478</v>
      </c>
      <c r="B2326" s="21" t="s">
        <v>789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1573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1461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1574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 t="s">
        <v>721</v>
      </c>
      <c r="E2330" s="22">
        <f>IF(D2330="?OLD","!!!","")</f>
        <v/>
      </c>
      <c r="F2330" s="23" t="str">
        <f>IF(OR(E2330="",E2330="!!!"),"",IF(NOT(ISNA(VLOOKUP(E2330,E$1:E2329,1,FALSE()))),"OLD",IF(AND(E2330&lt;&gt;"",E2330&lt;&gt;"!!!"),"NEW","")))</f>
        <v> </v>
      </c>
      <c r="G2330" s="24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5" t="str">
        <f>IF(J2330&lt;&gt;1,"",IF(I2330="SBJ","CB","?"))</f>
        <v> </v>
      </c>
      <c r="I2330" s="26" t="str">
        <f>IF(OR(E2330="",E2330="!!!",F2330="NEW"),"",INDEX(B2329:B$2,-1+SUMPRODUCT(MAX(ROW(E2329:E$2)*(E2330=E2329:E$2)))))</f>
        <v> </v>
      </c>
      <c r="J2330" s="26" t="str">
        <f>IF(OR(E2330="",E2330="!!!",F2330="NEW"),"",COUNTBLANK(OFFSET(A$1,,,SUMPRODUCT(MAX(ROW(E$2:E2330)*(E2330=E$2:E2330)))))-COUNTBLANK(OFFSET(A$1,,,SUMPRODUCT(MAX(ROW(E$1:E2329)*(E2=E$1:E2329))))))</f>
        <v> </v>
      </c>
      <c r="K2330" s="26" t="str">
        <f>IF(OR(E2330="",E2330="!!!",F2330="NEW"),"",INDEX(J$1:J2329,SUMPRODUCT(MAX(ROW(E$1:E2329)*(E2330=E$1:E2329)))))</f>
        <v> </v>
      </c>
      <c r="L2330" s="27"/>
    </row>
    <row r="2331" spans="1:12">
      <c r="A2331" s="20" t="s">
        <v>880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766</v>
      </c>
      <c r="B2332" s="21" t="s">
        <v>812</v>
      </c>
      <c r="C2332" s="21" t="s">
        <v>747</v>
      </c>
      <c r="D2332" s="21" t="s">
        <v>728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286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1719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721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755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 t="s">
        <v>1720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1206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721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1721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900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1722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1275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721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808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871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736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830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731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721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 t="s">
        <v>880</v>
      </c>
      <c r="E2351" s="22">
        <f>IF(D2351="?OLD","!!!","")</f>
        <v/>
      </c>
      <c r="F2351" s="23" t="str">
        <f>IF(OR(E2351="",E2351="!!!"),"",IF(NOT(ISNA(VLOOKUP(E2351,E$1:E2350,1,FALSE()))),"OLD",IF(AND(E2351&lt;&gt;"",E2351&lt;&gt;"!!!"),"NEW","")))</f>
        <v> </v>
      </c>
      <c r="G2351" s="24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5" t="str">
        <f>IF(J2351&lt;&gt;1,"",IF(I2351="SBJ","CB","?"))</f>
        <v> </v>
      </c>
      <c r="I2351" s="26" t="str">
        <f>IF(OR(E2351="",E2351="!!!",F2351="NEW"),"",INDEX(B2350:B$2,-1+SUMPRODUCT(MAX(ROW(E2350:E$2)*(E2351=E2350:E$2)))))</f>
        <v> </v>
      </c>
      <c r="J2351" s="26" t="str">
        <f>IF(OR(E2351="",E2351="!!!",F2351="NEW"),"",COUNTBLANK(OFFSET(A$1,,,SUMPRODUCT(MAX(ROW(E$2:E2351)*(E2351=E$2:E2351)))))-COUNTBLANK(OFFSET(A$1,,,SUMPRODUCT(MAX(ROW(E$1:E2350)*(E2=E$1:E2350))))))</f>
        <v> </v>
      </c>
      <c r="K2351" s="26" t="str">
        <f>IF(OR(E2351="",E2351="!!!",F2351="NEW"),"",INDEX(J$1:J2350,SUMPRODUCT(MAX(ROW(E$1:E2350)*(E2351=E$1:E2350)))))</f>
        <v> </v>
      </c>
      <c r="L2351" s="27"/>
    </row>
    <row r="2352" spans="1:12">
      <c r="A2352" s="20" t="s">
        <v>846</v>
      </c>
      <c r="E2352" s="22">
        <f>IF(D2352="?OLD","!!!","")</f>
        <v/>
      </c>
      <c r="F2352" s="23" t="str">
        <f>IF(OR(E2352="",E2352="!!!"),"",IF(NOT(ISNA(VLOOKUP(E2352,E$1:E2351,1,FALSE()))),"OLD",IF(AND(E2352&lt;&gt;"",E2352&lt;&gt;"!!!"),"NEW","")))</f>
        <v> </v>
      </c>
      <c r="G2352" s="24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5" t="str">
        <f>IF(J2352&lt;&gt;1,"",IF(I2352="SBJ","CB","?"))</f>
        <v> </v>
      </c>
      <c r="I2352" s="26" t="str">
        <f>IF(OR(E2352="",E2352="!!!",F2352="NEW"),"",INDEX(B2351:B$2,-1+SUMPRODUCT(MAX(ROW(E2351:E$2)*(E2352=E2351:E$2)))))</f>
        <v> </v>
      </c>
      <c r="J2352" s="26" t="str">
        <f>IF(OR(E2352="",E2352="!!!",F2352="NEW"),"",COUNTBLANK(OFFSET(A$1,,,SUMPRODUCT(MAX(ROW(E$2:E2352)*(E2352=E$2:E2352)))))-COUNTBLANK(OFFSET(A$1,,,SUMPRODUCT(MAX(ROW(E$1:E2351)*(E2=E$1:E2351))))))</f>
        <v> </v>
      </c>
      <c r="K2352" s="26" t="str">
        <f>IF(OR(E2352="",E2352="!!!",F2352="NEW"),"",INDEX(J$1:J2351,SUMPRODUCT(MAX(ROW(E$1:E2351)*(E2352=E$1:E2351)))))</f>
        <v> </v>
      </c>
      <c r="L2352" s="27"/>
    </row>
    <row r="2353" spans="1:12">
      <c r="A2353" s="20" t="s">
        <v>847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830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1723</v>
      </c>
      <c r="B2355" s="21" t="s">
        <v>978</v>
      </c>
      <c r="C2355" s="21" t="s">
        <v>727</v>
      </c>
      <c r="D2355" s="21" t="s">
        <v>728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808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1403</v>
      </c>
      <c r="B2357" s="21" t="s">
        <v>978</v>
      </c>
      <c r="C2357" s="21" t="s">
        <v>727</v>
      </c>
      <c r="D2357" s="21" t="s">
        <v>728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732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/>
    </row>
    <row r="2360" spans="1:12">
      <c r="A2360" s="20" t="s">
        <v>1724</v>
      </c>
    </row>
    <row r="2361" spans="1:12">
      <c r="A2361" s="20" t="s">
        <v>1725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779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 t="s">
        <v>721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1653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1694</v>
      </c>
      <c r="B2365" s="21" t="s">
        <v>767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1726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721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1444</v>
      </c>
      <c r="B2368" s="21" t="s">
        <v>726</v>
      </c>
      <c r="C2368" s="21" t="s">
        <v>727</v>
      </c>
      <c r="D2368" s="21" t="s">
        <v>728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 t="s">
        <v>1727</v>
      </c>
      <c r="E2369" s="22">
        <f>IF(D2369="?OLD","!!!","")</f>
        <v/>
      </c>
      <c r="F2369" s="23" t="str">
        <f>IF(OR(E2369="",E2369="!!!"),"",IF(NOT(ISNA(VLOOKUP(E2369,E$1:E2368,1,FALSE()))),"OLD",IF(AND(E2369&lt;&gt;"",E2369&lt;&gt;"!!!"),"NEW","")))</f>
        <v> </v>
      </c>
      <c r="G2369" s="24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5" t="str">
        <f>IF(J2369&lt;&gt;1,"",IF(I2369="SBJ","CB","?"))</f>
        <v> </v>
      </c>
      <c r="I2369" s="26" t="str">
        <f>IF(OR(E2369="",E2369="!!!",F2369="NEW"),"",INDEX(B2368:B$2,-1+SUMPRODUCT(MAX(ROW(E2368:E$2)*(E2369=E2368:E$2)))))</f>
        <v> </v>
      </c>
      <c r="J2369" s="26" t="str">
        <f>IF(OR(E2369="",E2369="!!!",F2369="NEW"),"",COUNTBLANK(OFFSET(A$1,,,SUMPRODUCT(MAX(ROW(E$2:E2369)*(E2369=E$2:E2369)))))-COUNTBLANK(OFFSET(A$1,,,SUMPRODUCT(MAX(ROW(E$1:E2368)*(E2=E$1:E2368))))))</f>
        <v> </v>
      </c>
      <c r="K2369" s="26" t="str">
        <f>IF(OR(E2369="",E2369="!!!",F2369="NEW"),"",INDEX(J$1:J2368,SUMPRODUCT(MAX(ROW(E$1:E2368)*(E2369=E$1:E2368)))))</f>
        <v> </v>
      </c>
      <c r="L2369" s="27"/>
    </row>
    <row r="2370" spans="1:12">
      <c r="A2370" s="20" t="s">
        <v>755</v>
      </c>
      <c r="E2370" s="22">
        <f>IF(D2370="?OLD","!!!","")</f>
        <v/>
      </c>
      <c r="F2370" s="23" t="str">
        <f>IF(OR(E2370="",E2370="!!!"),"",IF(NOT(ISNA(VLOOKUP(E2370,E$1:E2369,1,FALSE()))),"OLD",IF(AND(E2370&lt;&gt;"",E2370&lt;&gt;"!!!"),"NEW","")))</f>
        <v> </v>
      </c>
      <c r="G2370" s="24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5" t="str">
        <f>IF(J2370&lt;&gt;1,"",IF(I2370="SBJ","CB","?"))</f>
        <v> </v>
      </c>
      <c r="I2370" s="26" t="str">
        <f>IF(OR(E2370="",E2370="!!!",F2370="NEW"),"",INDEX(B2369:B$2,-1+SUMPRODUCT(MAX(ROW(E2369:E$2)*(E2370=E2369:E$2)))))</f>
        <v> </v>
      </c>
      <c r="J2370" s="26" t="str">
        <f>IF(OR(E2370="",E2370="!!!",F2370="NEW"),"",COUNTBLANK(OFFSET(A$1,,,SUMPRODUCT(MAX(ROW(E$2:E2370)*(E2370=E$2:E2370)))))-COUNTBLANK(OFFSET(A$1,,,SUMPRODUCT(MAX(ROW(E$1:E2369)*(E2=E$1:E2369))))))</f>
        <v> </v>
      </c>
      <c r="K2370" s="26" t="str">
        <f>IF(OR(E2370="",E2370="!!!",F2370="NEW"),"",INDEX(J$1:J2369,SUMPRODUCT(MAX(ROW(E$1:E2369)*(E2370=E$1:E2369)))))</f>
        <v> </v>
      </c>
      <c r="L2370" s="27"/>
    </row>
    <row r="2371" spans="1:12">
      <c r="A2371" s="20" t="s">
        <v>1728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1729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732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/>
    </row>
    <row r="2375" spans="1:12">
      <c r="A2375" s="20" t="s">
        <v>1730</v>
      </c>
    </row>
    <row r="2376" spans="1:12">
      <c r="A2376" s="20" t="s">
        <v>1731</v>
      </c>
      <c r="B2376" s="21" t="s">
        <v>804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755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1732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721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725</v>
      </c>
      <c r="B2380" s="21" t="s">
        <v>726</v>
      </c>
      <c r="C2380" s="21" t="s">
        <v>727</v>
      </c>
      <c r="D2380" s="21" t="s">
        <v>728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1430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721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880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725</v>
      </c>
      <c r="B2384" s="21" t="s">
        <v>767</v>
      </c>
      <c r="C2384" s="21" t="s">
        <v>727</v>
      </c>
      <c r="D2384" s="21" t="s">
        <v>728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1733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1734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942</v>
      </c>
      <c r="B2387" s="21" t="s">
        <v>784</v>
      </c>
      <c r="C2387" s="21" t="s">
        <v>727</v>
      </c>
      <c r="D2387" s="21" t="s">
        <v>728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721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808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780</v>
      </c>
      <c r="B2390" s="21" t="s">
        <v>767</v>
      </c>
      <c r="C2390" s="21" t="s">
        <v>727</v>
      </c>
      <c r="D2390" s="21" t="s">
        <v>728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 t="s">
        <v>1584</v>
      </c>
      <c r="E2391" s="22">
        <f>IF(D2391="?OLD","!!!","")</f>
        <v/>
      </c>
      <c r="F2391" s="23" t="str">
        <f>IF(OR(E2391="",E2391="!!!"),"",IF(NOT(ISNA(VLOOKUP(E2391,E$1:E2390,1,FALSE()))),"OLD",IF(AND(E2391&lt;&gt;"",E2391&lt;&gt;"!!!"),"NEW","")))</f>
        <v> </v>
      </c>
      <c r="G2391" s="24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5" t="str">
        <f>IF(J2391&lt;&gt;1,"",IF(I2391="SBJ","CB","?"))</f>
        <v> </v>
      </c>
      <c r="I2391" s="26" t="str">
        <f>IF(OR(E2391="",E2391="!!!",F2391="NEW"),"",INDEX(B2390:B$2,-1+SUMPRODUCT(MAX(ROW(E2390:E$2)*(E2391=E2390:E$2)))))</f>
        <v> </v>
      </c>
      <c r="J2391" s="26" t="str">
        <f>IF(OR(E2391="",E2391="!!!",F2391="NEW"),"",COUNTBLANK(OFFSET(A$1,,,SUMPRODUCT(MAX(ROW(E$2:E2391)*(E2391=E$2:E2391)))))-COUNTBLANK(OFFSET(A$1,,,SUMPRODUCT(MAX(ROW(E$1:E2390)*(E2=E$1:E2390))))))</f>
        <v> </v>
      </c>
      <c r="K2391" s="26" t="str">
        <f>IF(OR(E2391="",E2391="!!!",F2391="NEW"),"",INDEX(J$1:J2390,SUMPRODUCT(MAX(ROW(E$1:E2390)*(E2391=E$1:E2390)))))</f>
        <v> </v>
      </c>
      <c r="L2391" s="27"/>
    </row>
    <row r="2392" spans="1:12">
      <c r="A2392" s="20" t="s">
        <v>721</v>
      </c>
      <c r="E2392" s="22">
        <f>IF(D2392="?OLD","!!!","")</f>
        <v/>
      </c>
      <c r="F2392" s="23" t="str">
        <f>IF(OR(E2392="",E2392="!!!"),"",IF(NOT(ISNA(VLOOKUP(E2392,E$1:E2391,1,FALSE()))),"OLD",IF(AND(E2392&lt;&gt;"",E2392&lt;&gt;"!!!"),"NEW","")))</f>
        <v> </v>
      </c>
      <c r="G2392" s="24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5" t="str">
        <f>IF(J2392&lt;&gt;1,"",IF(I2392="SBJ","CB","?"))</f>
        <v> </v>
      </c>
      <c r="I2392" s="26" t="str">
        <f>IF(OR(E2392="",E2392="!!!",F2392="NEW"),"",INDEX(B2391:B$2,-1+SUMPRODUCT(MAX(ROW(E2391:E$2)*(E2392=E2391:E$2)))))</f>
        <v> </v>
      </c>
      <c r="J2392" s="26" t="str">
        <f>IF(OR(E2392="",E2392="!!!",F2392="NEW"),"",COUNTBLANK(OFFSET(A$1,,,SUMPRODUCT(MAX(ROW(E$2:E2392)*(E2392=E$2:E2392)))))-COUNTBLANK(OFFSET(A$1,,,SUMPRODUCT(MAX(ROW(E$1:E2391)*(E2=E$1:E2391))))))</f>
        <v> </v>
      </c>
      <c r="K2392" s="26" t="str">
        <f>IF(OR(E2392="",E2392="!!!",F2392="NEW"),"",INDEX(J$1:J2391,SUMPRODUCT(MAX(ROW(E$1:E2391)*(E2392=E$1:E2391)))))</f>
        <v> </v>
      </c>
      <c r="L2392" s="27"/>
    </row>
    <row r="2393" spans="1:12">
      <c r="A2393" s="20" t="s">
        <v>218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779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766</v>
      </c>
      <c r="B2395" s="21" t="s">
        <v>812</v>
      </c>
      <c r="C2395" s="21" t="s">
        <v>747</v>
      </c>
      <c r="D2395" s="21" t="s">
        <v>728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229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 t="s">
        <v>1139</v>
      </c>
      <c r="E2397" s="22">
        <f>IF(D2397="?OLD","!!!","")</f>
        <v/>
      </c>
      <c r="F2397" s="23" t="str">
        <f>IF(OR(E2397="",E2397="!!!"),"",IF(NOT(ISNA(VLOOKUP(E2397,E$1:E2396,1,FALSE()))),"OLD",IF(AND(E2397&lt;&gt;"",E2397&lt;&gt;"!!!"),"NEW","")))</f>
        <v> </v>
      </c>
      <c r="G2397" s="24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5" t="str">
        <f>IF(J2397&lt;&gt;1,"",IF(I2397="SBJ","CB","?"))</f>
        <v> </v>
      </c>
      <c r="I2397" s="26" t="str">
        <f>IF(OR(E2397="",E2397="!!!",F2397="NEW"),"",INDEX(B2396:B$2,-1+SUMPRODUCT(MAX(ROW(E2396:E$2)*(E2397=E2396:E$2)))))</f>
        <v> </v>
      </c>
      <c r="J2397" s="26" t="str">
        <f>IF(OR(E2397="",E2397="!!!",F2397="NEW"),"",COUNTBLANK(OFFSET(A$1,,,SUMPRODUCT(MAX(ROW(E$2:E2397)*(E2397=E$2:E2397)))))-COUNTBLANK(OFFSET(A$1,,,SUMPRODUCT(MAX(ROW(E$1:E2396)*(E2=E$1:E2396))))))</f>
        <v> </v>
      </c>
      <c r="K2397" s="26" t="str">
        <f>IF(OR(E2397="",E2397="!!!",F2397="NEW"),"",INDEX(J$1:J2396,SUMPRODUCT(MAX(ROW(E$1:E2396)*(E2397=E$1:E2396)))))</f>
        <v> </v>
      </c>
      <c r="L2397" s="27"/>
    </row>
    <row r="2398" spans="1:12">
      <c r="A2398" s="20" t="s">
        <v>721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871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736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1735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721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880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 t="s">
        <v>808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 t="s">
        <v>1736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732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/>
    </row>
    <row r="2408" spans="1:12">
      <c r="A2408" s="20" t="s">
        <v>1737</v>
      </c>
    </row>
    <row r="2409" spans="1:12">
      <c r="A2409" s="20" t="s">
        <v>1738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539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721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779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766</v>
      </c>
      <c r="B2413" s="21" t="s">
        <v>812</v>
      </c>
      <c r="C2413" s="21" t="s">
        <v>747</v>
      </c>
      <c r="D2413" s="21" t="s">
        <v>728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1739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887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1740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 t="s">
        <v>1741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 t="s">
        <v>721</v>
      </c>
      <c r="E2418" s="22">
        <f>IF(D2418="?OLD","!!!","")</f>
        <v/>
      </c>
      <c r="F2418" s="23" t="str">
        <f>IF(OR(E2418="",E2418="!!!"),"",IF(NOT(ISNA(VLOOKUP(E2418,E$1:E2417,1,FALSE()))),"OLD",IF(AND(E2418&lt;&gt;"",E2418&lt;&gt;"!!!"),"NEW","")))</f>
        <v> </v>
      </c>
      <c r="G2418" s="24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5" t="str">
        <f>IF(J2418&lt;&gt;1,"",IF(I2418="SBJ","CB","?"))</f>
        <v> </v>
      </c>
      <c r="I2418" s="26" t="str">
        <f>IF(OR(E2418="",E2418="!!!",F2418="NEW"),"",INDEX(B2417:B$2,-1+SUMPRODUCT(MAX(ROW(E2417:E$2)*(E2418=E2417:E$2)))))</f>
        <v> </v>
      </c>
      <c r="J2418" s="26" t="str">
        <f>IF(OR(E2418="",E2418="!!!",F2418="NEW"),"",COUNTBLANK(OFFSET(A$1,,,SUMPRODUCT(MAX(ROW(E$2:E2418)*(E2418=E$2:E2418)))))-COUNTBLANK(OFFSET(A$1,,,SUMPRODUCT(MAX(ROW(E$1:E2417)*(E2=E$1:E2417))))))</f>
        <v> </v>
      </c>
      <c r="K2418" s="26" t="str">
        <f>IF(OR(E2418="",E2418="!!!",F2418="NEW"),"",INDEX(J$1:J2417,SUMPRODUCT(MAX(ROW(E$1:E2417)*(E2418=E$1:E2417)))))</f>
        <v> </v>
      </c>
      <c r="L2418" s="27"/>
    </row>
    <row r="2419" spans="1:12">
      <c r="A2419" s="20" t="s">
        <v>1742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 t="s">
        <v>1097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843</v>
      </c>
      <c r="B2421" s="21" t="s">
        <v>826</v>
      </c>
      <c r="C2421" s="21" t="s">
        <v>727</v>
      </c>
      <c r="D2421" s="21" t="s">
        <v>728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 t="s">
        <v>815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1743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878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1744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 t="s">
        <v>732</v>
      </c>
      <c r="E2426" s="22">
        <f>IF(D2426="?OLD","!!!","")</f>
        <v/>
      </c>
      <c r="F2426" s="23" t="str">
        <f>IF(OR(E2426="",E2426="!!!"),"",IF(NOT(ISNA(VLOOKUP(E2426,E$1:E2425,1,FALSE()))),"OLD",IF(AND(E2426&lt;&gt;"",E2426&lt;&gt;"!!!"),"NEW","")))</f>
        <v> </v>
      </c>
      <c r="G2426" s="24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5" t="str">
        <f>IF(J2426&lt;&gt;1,"",IF(I2426="SBJ","CB","?"))</f>
        <v> </v>
      </c>
      <c r="I2426" s="26" t="str">
        <f>IF(OR(E2426="",E2426="!!!",F2426="NEW"),"",INDEX(B2425:B$2,-1+SUMPRODUCT(MAX(ROW(E2425:E$2)*(E2426=E2425:E$2)))))</f>
        <v> </v>
      </c>
      <c r="J2426" s="26" t="str">
        <f>IF(OR(E2426="",E2426="!!!",F2426="NEW"),"",COUNTBLANK(OFFSET(A$1,,,SUMPRODUCT(MAX(ROW(E$2:E2426)*(E2426=E$2:E2426)))))-COUNTBLANK(OFFSET(A$1,,,SUMPRODUCT(MAX(ROW(E$1:E2425)*(E2=E$1:E2425))))))</f>
        <v> </v>
      </c>
      <c r="K2426" s="26" t="str">
        <f>IF(OR(E2426="",E2426="!!!",F2426="NEW"),"",INDEX(J$1:J2425,SUMPRODUCT(MAX(ROW(E$1:E2425)*(E2426=E$1:E2425)))))</f>
        <v> </v>
      </c>
      <c r="L2426" s="27"/>
    </row>
    <row r="2427" spans="1:12">
      <c r="A2427" s="20"/>
    </row>
    <row r="2428" spans="1:12">
      <c r="A2428" s="20" t="s">
        <v>1745</v>
      </c>
    </row>
    <row r="2429" spans="1:12">
      <c r="A2429" s="20" t="s">
        <v>717</v>
      </c>
      <c r="B2429" s="21" t="s">
        <v>726</v>
      </c>
      <c r="C2429" s="21" t="s">
        <v>719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1746</v>
      </c>
      <c r="B2430" s="21" t="s">
        <v>804</v>
      </c>
      <c r="C2430" s="21" t="s">
        <v>727</v>
      </c>
      <c r="D2430" s="21" t="s">
        <v>728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1747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1748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820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766</v>
      </c>
      <c r="B2434" s="21" t="s">
        <v>767</v>
      </c>
      <c r="C2434" s="21" t="s">
        <v>747</v>
      </c>
      <c r="D2434" s="21" t="s">
        <v>728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1749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1750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1751</v>
      </c>
      <c r="B2437" s="21" t="s">
        <v>726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 t="s">
        <v>1752</v>
      </c>
      <c r="E2438" s="22">
        <f>IF(D2438="?OLD","!!!","")</f>
        <v/>
      </c>
      <c r="F2438" s="23" t="str">
        <f>IF(OR(E2438="",E2438="!!!"),"",IF(NOT(ISNA(VLOOKUP(E2438,E$1:E2437,1,FALSE()))),"OLD",IF(AND(E2438&lt;&gt;"",E2438&lt;&gt;"!!!"),"NEW","")))</f>
        <v> </v>
      </c>
      <c r="G2438" s="24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5" t="str">
        <f>IF(J2438&lt;&gt;1,"",IF(I2438="SBJ","CB","?"))</f>
        <v> </v>
      </c>
      <c r="I2438" s="26" t="str">
        <f>IF(OR(E2438="",E2438="!!!",F2438="NEW"),"",INDEX(B2437:B$2,-1+SUMPRODUCT(MAX(ROW(E2437:E$2)*(E2438=E2437:E$2)))))</f>
        <v> </v>
      </c>
      <c r="J2438" s="26" t="str">
        <f>IF(OR(E2438="",E2438="!!!",F2438="NEW"),"",COUNTBLANK(OFFSET(A$1,,,SUMPRODUCT(MAX(ROW(E$2:E2438)*(E2438=E$2:E2438)))))-COUNTBLANK(OFFSET(A$1,,,SUMPRODUCT(MAX(ROW(E$1:E2437)*(E2=E$1:E2437))))))</f>
        <v> </v>
      </c>
      <c r="K2438" s="26" t="str">
        <f>IF(OR(E2438="",E2438="!!!",F2438="NEW"),"",INDEX(J$1:J2437,SUMPRODUCT(MAX(ROW(E$1:E2437)*(E2438=E$1:E2437)))))</f>
        <v> </v>
      </c>
      <c r="L2438" s="27"/>
    </row>
    <row r="2439" spans="1:12">
      <c r="A2439" s="20" t="s">
        <v>1753</v>
      </c>
      <c r="E2439" s="22">
        <f>IF(D2439="?OLD","!!!","")</f>
        <v/>
      </c>
      <c r="F2439" s="23" t="str">
        <f>IF(OR(E2439="",E2439="!!!"),"",IF(NOT(ISNA(VLOOKUP(E2439,E$1:E2438,1,FALSE()))),"OLD",IF(AND(E2439&lt;&gt;"",E2439&lt;&gt;"!!!"),"NEW","")))</f>
        <v> </v>
      </c>
      <c r="G2439" s="24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5" t="str">
        <f>IF(J2439&lt;&gt;1,"",IF(I2439="SBJ","CB","?"))</f>
        <v> </v>
      </c>
      <c r="I2439" s="26" t="str">
        <f>IF(OR(E2439="",E2439="!!!",F2439="NEW"),"",INDEX(B2438:B$2,-1+SUMPRODUCT(MAX(ROW(E2438:E$2)*(E2439=E2438:E$2)))))</f>
        <v> </v>
      </c>
      <c r="J2439" s="26" t="str">
        <f>IF(OR(E2439="",E2439="!!!",F2439="NEW"),"",COUNTBLANK(OFFSET(A$1,,,SUMPRODUCT(MAX(ROW(E$2:E2439)*(E2439=E$2:E2439)))))-COUNTBLANK(OFFSET(A$1,,,SUMPRODUCT(MAX(ROW(E$1:E2438)*(E2=E$1:E2438))))))</f>
        <v> </v>
      </c>
      <c r="K2439" s="26" t="str">
        <f>IF(OR(E2439="",E2439="!!!",F2439="NEW"),"",INDEX(J$1:J2438,SUMPRODUCT(MAX(ROW(E$1:E2438)*(E2439=E$1:E2438)))))</f>
        <v> </v>
      </c>
      <c r="L2439" s="27"/>
    </row>
    <row r="2440" spans="1:12">
      <c r="A2440" s="20" t="s">
        <v>721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755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 t="s">
        <v>1754</v>
      </c>
      <c r="B2442" s="21" t="s">
        <v>860</v>
      </c>
      <c r="C2442" s="21" t="s">
        <v>719</v>
      </c>
      <c r="E2442" s="22">
        <f>IF(D2442="?OLD","!!!","")</f>
        <v/>
      </c>
      <c r="F2442" s="23" t="str">
        <f>IF(OR(E2442="",E2442="!!!"),"",IF(NOT(ISNA(VLOOKUP(E2442,E$1:E2441,1,FALSE()))),"OLD",IF(AND(E2442&lt;&gt;"",E2442&lt;&gt;"!!!"),"NEW","")))</f>
        <v> </v>
      </c>
      <c r="G2442" s="24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5" t="str">
        <f>IF(J2442&lt;&gt;1,"",IF(I2442="SBJ","CB","?"))</f>
        <v> </v>
      </c>
      <c r="I2442" s="26" t="str">
        <f>IF(OR(E2442="",E2442="!!!",F2442="NEW"),"",INDEX(B2441:B$2,-1+SUMPRODUCT(MAX(ROW(E2441:E$2)*(E2442=E2441:E$2)))))</f>
        <v> </v>
      </c>
      <c r="J2442" s="26" t="str">
        <f>IF(OR(E2442="",E2442="!!!",F2442="NEW"),"",COUNTBLANK(OFFSET(A$1,,,SUMPRODUCT(MAX(ROW(E$2:E2442)*(E2442=E$2:E2442)))))-COUNTBLANK(OFFSET(A$1,,,SUMPRODUCT(MAX(ROW(E$1:E2441)*(E2=E$1:E2441))))))</f>
        <v> </v>
      </c>
      <c r="K2442" s="26" t="str">
        <f>IF(OR(E2442="",E2442="!!!",F2442="NEW"),"",INDEX(J$1:J2441,SUMPRODUCT(MAX(ROW(E$1:E2441)*(E2442=E$1:E2441)))))</f>
        <v> </v>
      </c>
      <c r="L2442" s="27"/>
    </row>
    <row r="2443" spans="1:12">
      <c r="A2443" s="20" t="s">
        <v>1630</v>
      </c>
      <c r="B2443" s="21" t="s">
        <v>812</v>
      </c>
      <c r="E2443" s="22">
        <f>IF(D2443="?OLD","!!!","")</f>
        <v/>
      </c>
      <c r="F2443" s="23" t="str">
        <f>IF(OR(E2443="",E2443="!!!"),"",IF(NOT(ISNA(VLOOKUP(E2443,E$1:E2442,1,FALSE()))),"OLD",IF(AND(E2443&lt;&gt;"",E2443&lt;&gt;"!!!"),"NEW","")))</f>
        <v> </v>
      </c>
      <c r="G2443" s="24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5" t="str">
        <f>IF(J2443&lt;&gt;1,"",IF(I2443="SBJ","CB","?"))</f>
        <v> </v>
      </c>
      <c r="I2443" s="26" t="str">
        <f>IF(OR(E2443="",E2443="!!!",F2443="NEW"),"",INDEX(B2442:B$2,-1+SUMPRODUCT(MAX(ROW(E2442:E$2)*(E2443=E2442:E$2)))))</f>
        <v> </v>
      </c>
      <c r="J2443" s="26" t="str">
        <f>IF(OR(E2443="",E2443="!!!",F2443="NEW"),"",COUNTBLANK(OFFSET(A$1,,,SUMPRODUCT(MAX(ROW(E$2:E2443)*(E2443=E$2:E2443)))))-COUNTBLANK(OFFSET(A$1,,,SUMPRODUCT(MAX(ROW(E$1:E2442)*(E2=E$1:E2442))))))</f>
        <v> </v>
      </c>
      <c r="K2443" s="26" t="str">
        <f>IF(OR(E2443="",E2443="!!!",F2443="NEW"),"",INDEX(J$1:J2442,SUMPRODUCT(MAX(ROW(E$1:E2442)*(E2443=E$1:E2442)))))</f>
        <v> </v>
      </c>
      <c r="L2443" s="27"/>
    </row>
    <row r="2444" spans="1:12">
      <c r="A2444" s="20" t="s">
        <v>1755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21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1426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732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/>
    </row>
    <row r="2449" spans="1:12">
      <c r="A2449" s="20" t="s">
        <v>1756</v>
      </c>
    </row>
    <row r="2450" spans="1:12">
      <c r="A2450" s="20" t="s">
        <v>760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1757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763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734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830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 t="s">
        <v>1758</v>
      </c>
      <c r="E2455" s="22">
        <f>IF(D2455="?OLD","!!!","")</f>
        <v/>
      </c>
      <c r="F2455" s="23" t="str">
        <f>IF(OR(E2455="",E2455="!!!"),"",IF(NOT(ISNA(VLOOKUP(E2455,E$1:E2454,1,FALSE()))),"OLD",IF(AND(E2455&lt;&gt;"",E2455&lt;&gt;"!!!"),"NEW","")))</f>
        <v> </v>
      </c>
      <c r="G2455" s="24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5" t="str">
        <f>IF(J2455&lt;&gt;1,"",IF(I2455="SBJ","CB","?"))</f>
        <v> </v>
      </c>
      <c r="I2455" s="26" t="str">
        <f>IF(OR(E2455="",E2455="!!!",F2455="NEW"),"",INDEX(B2454:B$2,-1+SUMPRODUCT(MAX(ROW(E2454:E$2)*(E2455=E2454:E$2)))))</f>
        <v> </v>
      </c>
      <c r="J2455" s="26" t="str">
        <f>IF(OR(E2455="",E2455="!!!",F2455="NEW"),"",COUNTBLANK(OFFSET(A$1,,,SUMPRODUCT(MAX(ROW(E$2:E2455)*(E2455=E$2:E2455)))))-COUNTBLANK(OFFSET(A$1,,,SUMPRODUCT(MAX(ROW(E$1:E2454)*(E2=E$1:E2454))))))</f>
        <v> </v>
      </c>
      <c r="K2455" s="26" t="str">
        <f>IF(OR(E2455="",E2455="!!!",F2455="NEW"),"",INDEX(J$1:J2454,SUMPRODUCT(MAX(ROW(E$1:E2454)*(E2455=E$1:E2454)))))</f>
        <v> </v>
      </c>
      <c r="L2455" s="27"/>
    </row>
    <row r="2456" spans="1:12">
      <c r="A2456" s="20" t="s">
        <v>1759</v>
      </c>
      <c r="B2456" s="21" t="s">
        <v>718</v>
      </c>
      <c r="C2456" s="21" t="s">
        <v>800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 t="s">
        <v>766</v>
      </c>
      <c r="B2457" s="21" t="s">
        <v>726</v>
      </c>
      <c r="C2457" s="21" t="s">
        <v>747</v>
      </c>
      <c r="D2457" s="21" t="s">
        <v>728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1185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21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1118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1749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732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/>
    </row>
    <row r="2464" spans="1:12">
      <c r="A2464" s="20" t="s">
        <v>1760</v>
      </c>
    </row>
    <row r="2465" spans="1:12">
      <c r="A2465" s="20" t="s">
        <v>1341</v>
      </c>
      <c r="B2465" s="21" t="s">
        <v>726</v>
      </c>
      <c r="C2465" s="21" t="s">
        <v>727</v>
      </c>
      <c r="D2465" s="21" t="s">
        <v>728</v>
      </c>
      <c r="E2465" s="22">
        <f>IF(D2465="?OLD","!!!","")</f>
        <v/>
      </c>
      <c r="F2465" s="23" t="str">
        <f>IF(OR(E2465="",E2465="!!!"),"",IF(NOT(ISNA(VLOOKUP(E2465,E$1:E2464,1,FALSE()))),"OLD",IF(AND(E2465&lt;&gt;"",E2465&lt;&gt;"!!!"),"NEW","")))</f>
        <v> </v>
      </c>
      <c r="G2465" s="24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5" t="str">
        <f>IF(J2465&lt;&gt;1,"",IF(I2465="SBJ","CB","?"))</f>
        <v> </v>
      </c>
      <c r="I2465" s="26" t="str">
        <f>IF(OR(E2465="",E2465="!!!",F2465="NEW"),"",INDEX(B2464:B$2,-1+SUMPRODUCT(MAX(ROW(E2464:E$2)*(E2465=E2464:E$2)))))</f>
        <v> </v>
      </c>
      <c r="J2465" s="26" t="str">
        <f>IF(OR(E2465="",E2465="!!!",F2465="NEW"),"",COUNTBLANK(OFFSET(A$1,,,SUMPRODUCT(MAX(ROW(E$2:E2465)*(E2465=E$2:E2465)))))-COUNTBLANK(OFFSET(A$1,,,SUMPRODUCT(MAX(ROW(E$1:E2464)*(E2=E$1:E2464))))))</f>
        <v> </v>
      </c>
      <c r="K2465" s="26" t="str">
        <f>IF(OR(E2465="",E2465="!!!",F2465="NEW"),"",INDEX(J$1:J2464,SUMPRODUCT(MAX(ROW(E$1:E2464)*(E2465=E$1:E2464)))))</f>
        <v> </v>
      </c>
      <c r="L2465" s="27"/>
    </row>
    <row r="2466" spans="1:12">
      <c r="A2466" s="20" t="s">
        <v>721</v>
      </c>
      <c r="E2466" s="22">
        <f>IF(D2466="?OLD","!!!","")</f>
        <v/>
      </c>
      <c r="F2466" s="23" t="str">
        <f>IF(OR(E2466="",E2466="!!!"),"",IF(NOT(ISNA(VLOOKUP(E2466,E$1:E2465,1,FALSE()))),"OLD",IF(AND(E2466&lt;&gt;"",E2466&lt;&gt;"!!!"),"NEW","")))</f>
        <v> </v>
      </c>
      <c r="G2466" s="24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5" t="str">
        <f>IF(J2466&lt;&gt;1,"",IF(I2466="SBJ","CB","?"))</f>
        <v> </v>
      </c>
      <c r="I2466" s="26" t="str">
        <f>IF(OR(E2466="",E2466="!!!",F2466="NEW"),"",INDEX(B2465:B$2,-1+SUMPRODUCT(MAX(ROW(E2465:E$2)*(E2466=E2465:E$2)))))</f>
        <v> </v>
      </c>
      <c r="J2466" s="26" t="str">
        <f>IF(OR(E2466="",E2466="!!!",F2466="NEW"),"",COUNTBLANK(OFFSET(A$1,,,SUMPRODUCT(MAX(ROW(E$2:E2466)*(E2466=E$2:E2466)))))-COUNTBLANK(OFFSET(A$1,,,SUMPRODUCT(MAX(ROW(E$1:E2465)*(E2=E$1:E2465))))))</f>
        <v> </v>
      </c>
      <c r="K2466" s="26" t="str">
        <f>IF(OR(E2466="",E2466="!!!",F2466="NEW"),"",INDEX(J$1:J2465,SUMPRODUCT(MAX(ROW(E$1:E2465)*(E2466=E$1:E2465)))))</f>
        <v> </v>
      </c>
      <c r="L2466" s="27"/>
    </row>
    <row r="2467" spans="1:12">
      <c r="A2467" s="20" t="s">
        <v>1761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721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871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1762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 t="s">
        <v>732</v>
      </c>
      <c r="E2471" s="22">
        <f>IF(D2471="?OLD","!!!","")</f>
        <v/>
      </c>
      <c r="F2471" s="23" t="str">
        <f>IF(OR(E2471="",E2471="!!!"),"",IF(NOT(ISNA(VLOOKUP(E2471,E$1:E2470,1,FALSE()))),"OLD",IF(AND(E2471&lt;&gt;"",E2471&lt;&gt;"!!!"),"NEW","")))</f>
        <v> </v>
      </c>
      <c r="G2471" s="24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5" t="str">
        <f>IF(J2471&lt;&gt;1,"",IF(I2471="SBJ","CB","?"))</f>
        <v> </v>
      </c>
      <c r="I2471" s="26" t="str">
        <f>IF(OR(E2471="",E2471="!!!",F2471="NEW"),"",INDEX(B2470:B$2,-1+SUMPRODUCT(MAX(ROW(E2470:E$2)*(E2471=E2470:E$2)))))</f>
        <v> </v>
      </c>
      <c r="J2471" s="26" t="str">
        <f>IF(OR(E2471="",E2471="!!!",F2471="NEW"),"",COUNTBLANK(OFFSET(A$1,,,SUMPRODUCT(MAX(ROW(E$2:E2471)*(E2471=E$2:E2471)))))-COUNTBLANK(OFFSET(A$1,,,SUMPRODUCT(MAX(ROW(E$1:E2470)*(E2=E$1:E2470))))))</f>
        <v> </v>
      </c>
      <c r="K2471" s="26" t="str">
        <f>IF(OR(E2471="",E2471="!!!",F2471="NEW"),"",INDEX(J$1:J2470,SUMPRODUCT(MAX(ROW(E$1:E2470)*(E2471=E$1:E2470)))))</f>
        <v> </v>
      </c>
      <c r="L2471" s="27"/>
    </row>
    <row r="2472" spans="1:12">
      <c r="A2472" s="20"/>
    </row>
    <row r="2473" spans="1:12">
      <c r="A2473" s="20" t="s">
        <v>1763</v>
      </c>
    </row>
    <row r="2474" spans="1:12">
      <c r="A2474" s="20" t="s">
        <v>1341</v>
      </c>
      <c r="B2474" s="21" t="s">
        <v>726</v>
      </c>
      <c r="C2474" s="21" t="s">
        <v>727</v>
      </c>
      <c r="D2474" s="21" t="s">
        <v>728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1764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732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/>
    </row>
    <row r="2478" spans="1:12">
      <c r="A2478" s="20" t="s">
        <v>1765</v>
      </c>
    </row>
    <row r="2479" spans="1:12">
      <c r="A2479" s="20" t="s">
        <v>1341</v>
      </c>
      <c r="B2479" s="21" t="s">
        <v>726</v>
      </c>
      <c r="C2479" s="21" t="s">
        <v>727</v>
      </c>
      <c r="D2479" s="21" t="s">
        <v>728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1766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1767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1768</v>
      </c>
      <c r="B2482" s="21" t="s">
        <v>804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732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/>
    </row>
    <row r="2485" spans="1:12">
      <c r="A2485" s="20" t="s">
        <v>1769</v>
      </c>
    </row>
    <row r="2486" spans="1:12">
      <c r="A2486" s="20" t="s">
        <v>1341</v>
      </c>
      <c r="B2486" s="21" t="s">
        <v>726</v>
      </c>
      <c r="C2486" s="21" t="s">
        <v>727</v>
      </c>
      <c r="D2486" s="21" t="s">
        <v>728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1766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 t="s">
        <v>1770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1771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 t="s">
        <v>818</v>
      </c>
      <c r="B2490" s="21" t="s">
        <v>804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732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/>
    </row>
    <row r="2493" spans="1:12">
      <c r="A2493" s="20" t="s">
        <v>1772</v>
      </c>
    </row>
    <row r="2494" spans="1:12">
      <c r="A2494" s="20" t="s">
        <v>1341</v>
      </c>
      <c r="B2494" s="21" t="s">
        <v>726</v>
      </c>
      <c r="C2494" s="21" t="s">
        <v>727</v>
      </c>
      <c r="D2494" s="21" t="s">
        <v>728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1742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1098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 t="s">
        <v>1773</v>
      </c>
      <c r="E2497" s="22">
        <f>IF(D2497="?OLD","!!!","")</f>
        <v/>
      </c>
      <c r="F2497" s="23" t="str">
        <f>IF(OR(E2497="",E2497="!!!"),"",IF(NOT(ISNA(VLOOKUP(E2497,E$1:E2496,1,FALSE()))),"OLD",IF(AND(E2497&lt;&gt;"",E2497&lt;&gt;"!!!"),"NEW","")))</f>
        <v> </v>
      </c>
      <c r="G2497" s="24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5" t="str">
        <f>IF(J2497&lt;&gt;1,"",IF(I2497="SBJ","CB","?"))</f>
        <v> </v>
      </c>
      <c r="I2497" s="26" t="str">
        <f>IF(OR(E2497="",E2497="!!!",F2497="NEW"),"",INDEX(B2496:B$2,-1+SUMPRODUCT(MAX(ROW(E2496:E$2)*(E2497=E2496:E$2)))))</f>
        <v> </v>
      </c>
      <c r="J2497" s="26" t="str">
        <f>IF(OR(E2497="",E2497="!!!",F2497="NEW"),"",COUNTBLANK(OFFSET(A$1,,,SUMPRODUCT(MAX(ROW(E$2:E2497)*(E2497=E$2:E2497)))))-COUNTBLANK(OFFSET(A$1,,,SUMPRODUCT(MAX(ROW(E$1:E2496)*(E2=E$1:E2496))))))</f>
        <v> </v>
      </c>
      <c r="K2497" s="26" t="str">
        <f>IF(OR(E2497="",E2497="!!!",F2497="NEW"),"",INDEX(J$1:J2496,SUMPRODUCT(MAX(ROW(E$1:E2496)*(E2497=E$1:E2496)))))</f>
        <v> </v>
      </c>
      <c r="L2497" s="27"/>
    </row>
    <row r="2498" spans="1:12">
      <c r="A2498" s="20" t="s">
        <v>1188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 t="s">
        <v>732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/>
    </row>
    <row r="2501" spans="1:12">
      <c r="A2501" s="20" t="s">
        <v>1774</v>
      </c>
    </row>
    <row r="2502" spans="1:12">
      <c r="A2502" s="20" t="s">
        <v>1341</v>
      </c>
      <c r="B2502" s="21" t="s">
        <v>726</v>
      </c>
      <c r="C2502" s="21" t="s">
        <v>727</v>
      </c>
      <c r="D2502" s="21" t="s">
        <v>728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1775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1253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1776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1777</v>
      </c>
      <c r="B2506" s="21" t="s">
        <v>804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 t="s">
        <v>732</v>
      </c>
      <c r="E2507" s="22">
        <f>IF(D2507="?OLD","!!!","")</f>
        <v/>
      </c>
      <c r="F2507" s="23" t="str">
        <f>IF(OR(E2507="",E2507="!!!"),"",IF(NOT(ISNA(VLOOKUP(E2507,E$1:E2506,1,FALSE()))),"OLD",IF(AND(E2507&lt;&gt;"",E2507&lt;&gt;"!!!"),"NEW","")))</f>
        <v> </v>
      </c>
      <c r="G2507" s="24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5" t="str">
        <f>IF(J2507&lt;&gt;1,"",IF(I2507="SBJ","CB","?"))</f>
        <v> </v>
      </c>
      <c r="I2507" s="26" t="str">
        <f>IF(OR(E2507="",E2507="!!!",F2507="NEW"),"",INDEX(B2506:B$2,-1+SUMPRODUCT(MAX(ROW(E2506:E$2)*(E2507=E2506:E$2)))))</f>
        <v> </v>
      </c>
      <c r="J2507" s="26" t="str">
        <f>IF(OR(E2507="",E2507="!!!",F2507="NEW"),"",COUNTBLANK(OFFSET(A$1,,,SUMPRODUCT(MAX(ROW(E$2:E2507)*(E2507=E$2:E2507)))))-COUNTBLANK(OFFSET(A$1,,,SUMPRODUCT(MAX(ROW(E$1:E2506)*(E2=E$1:E2506))))))</f>
        <v> </v>
      </c>
      <c r="K2507" s="26" t="str">
        <f>IF(OR(E2507="",E2507="!!!",F2507="NEW"),"",INDEX(J$1:J2506,SUMPRODUCT(MAX(ROW(E$1:E2506)*(E2507=E$1:E2506)))))</f>
        <v> </v>
      </c>
      <c r="L2507" s="27"/>
    </row>
    <row r="2508" spans="1:12">
      <c r="A2508" s="20"/>
    </row>
    <row r="2509" spans="1:12">
      <c r="A2509" s="20" t="s">
        <v>1778</v>
      </c>
    </row>
    <row r="2510" spans="1:12">
      <c r="A2510" s="20" t="s">
        <v>934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 t="s">
        <v>1653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780</v>
      </c>
      <c r="B2512" s="21" t="s">
        <v>767</v>
      </c>
      <c r="C2512" s="21" t="s">
        <v>727</v>
      </c>
      <c r="D2512" s="21" t="s">
        <v>728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 t="s">
        <v>1779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721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 t="s">
        <v>779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766</v>
      </c>
      <c r="B2516" s="21" t="s">
        <v>812</v>
      </c>
      <c r="C2516" s="21" t="s">
        <v>747</v>
      </c>
      <c r="D2516" s="21" t="s">
        <v>728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825</v>
      </c>
      <c r="B2517" s="21" t="s">
        <v>796</v>
      </c>
      <c r="C2517" s="21" t="s">
        <v>747</v>
      </c>
      <c r="D2517" s="21" t="s">
        <v>728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721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779</v>
      </c>
      <c r="B2519" s="21" t="s">
        <v>826</v>
      </c>
      <c r="C2519" s="21" t="s">
        <v>719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1185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1780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755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1781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 t="s">
        <v>1782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 t="s">
        <v>1783</v>
      </c>
      <c r="B2525" s="21" t="s">
        <v>963</v>
      </c>
      <c r="E2525" s="22">
        <f>IF(D2525="?OLD","!!!","")</f>
        <v/>
      </c>
      <c r="F2525" s="23" t="str">
        <f>IF(OR(E2525="",E2525="!!!"),"",IF(NOT(ISNA(VLOOKUP(E2525,E$1:E2524,1,FALSE()))),"OLD",IF(AND(E2525&lt;&gt;"",E2525&lt;&gt;"!!!"),"NEW","")))</f>
        <v> </v>
      </c>
      <c r="G2525" s="24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5" t="str">
        <f>IF(J2525&lt;&gt;1,"",IF(I2525="SBJ","CB","?"))</f>
        <v> </v>
      </c>
      <c r="I2525" s="26" t="str">
        <f>IF(OR(E2525="",E2525="!!!",F2525="NEW"),"",INDEX(B2524:B$2,-1+SUMPRODUCT(MAX(ROW(E2524:E$2)*(E2525=E2524:E$2)))))</f>
        <v> </v>
      </c>
      <c r="J2525" s="26" t="str">
        <f>IF(OR(E2525="",E2525="!!!",F2525="NEW"),"",COUNTBLANK(OFFSET(A$1,,,SUMPRODUCT(MAX(ROW(E$2:E2525)*(E2525=E$2:E2525)))))-COUNTBLANK(OFFSET(A$1,,,SUMPRODUCT(MAX(ROW(E$1:E2524)*(E2=E$1:E2524))))))</f>
        <v> </v>
      </c>
      <c r="K2525" s="26" t="str">
        <f>IF(OR(E2525="",E2525="!!!",F2525="NEW"),"",INDEX(J$1:J2524,SUMPRODUCT(MAX(ROW(E$1:E2524)*(E2525=E$1:E2524)))))</f>
        <v> </v>
      </c>
      <c r="L2525" s="27"/>
    </row>
    <row r="2526" spans="1:12">
      <c r="A2526" s="20" t="s">
        <v>721</v>
      </c>
      <c r="E2526" s="22">
        <f>IF(D2526="?OLD","!!!","")</f>
        <v/>
      </c>
      <c r="F2526" s="23" t="str">
        <f>IF(OR(E2526="",E2526="!!!"),"",IF(NOT(ISNA(VLOOKUP(E2526,E$1:E2525,1,FALSE()))),"OLD",IF(AND(E2526&lt;&gt;"",E2526&lt;&gt;"!!!"),"NEW","")))</f>
        <v> </v>
      </c>
      <c r="G2526" s="24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5" t="str">
        <f>IF(J2526&lt;&gt;1,"",IF(I2526="SBJ","CB","?"))</f>
        <v> </v>
      </c>
      <c r="I2526" s="26" t="str">
        <f>IF(OR(E2526="",E2526="!!!",F2526="NEW"),"",INDEX(B2525:B$2,-1+SUMPRODUCT(MAX(ROW(E2525:E$2)*(E2526=E2525:E$2)))))</f>
        <v> </v>
      </c>
      <c r="J2526" s="26" t="str">
        <f>IF(OR(E2526="",E2526="!!!",F2526="NEW"),"",COUNTBLANK(OFFSET(A$1,,,SUMPRODUCT(MAX(ROW(E$2:E2526)*(E2526=E$2:E2526)))))-COUNTBLANK(OFFSET(A$1,,,SUMPRODUCT(MAX(ROW(E$1:E2525)*(E2=E$1:E2525))))))</f>
        <v> </v>
      </c>
      <c r="K2526" s="26" t="str">
        <f>IF(OR(E2526="",E2526="!!!",F2526="NEW"),"",INDEX(J$1:J2525,SUMPRODUCT(MAX(ROW(E$1:E2525)*(E2526=E$1:E2525)))))</f>
        <v> </v>
      </c>
      <c r="L2526" s="27"/>
    </row>
    <row r="2527" spans="1:12">
      <c r="A2527" s="20" t="s">
        <v>1784</v>
      </c>
      <c r="B2527" s="21" t="s">
        <v>726</v>
      </c>
      <c r="C2527" s="21" t="s">
        <v>719</v>
      </c>
      <c r="E2527" s="22">
        <f>IF(D2527="?OLD","!!!","")</f>
        <v/>
      </c>
      <c r="F2527" s="23" t="str">
        <f>IF(OR(E2527="",E2527="!!!"),"",IF(NOT(ISNA(VLOOKUP(E2527,E$1:E2526,1,FALSE()))),"OLD",IF(AND(E2527&lt;&gt;"",E2527&lt;&gt;"!!!"),"NEW","")))</f>
        <v> </v>
      </c>
      <c r="G2527" s="24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5" t="str">
        <f>IF(J2527&lt;&gt;1,"",IF(I2527="SBJ","CB","?"))</f>
        <v> </v>
      </c>
      <c r="I2527" s="26" t="str">
        <f>IF(OR(E2527="",E2527="!!!",F2527="NEW"),"",INDEX(B2526:B$2,-1+SUMPRODUCT(MAX(ROW(E2526:E$2)*(E2527=E2526:E$2)))))</f>
        <v> </v>
      </c>
      <c r="J2527" s="26" t="str">
        <f>IF(OR(E2527="",E2527="!!!",F2527="NEW"),"",COUNTBLANK(OFFSET(A$1,,,SUMPRODUCT(MAX(ROW(E$2:E2527)*(E2527=E$2:E2527)))))-COUNTBLANK(OFFSET(A$1,,,SUMPRODUCT(MAX(ROW(E$1:E2526)*(E2=E$1:E2526))))))</f>
        <v> </v>
      </c>
      <c r="K2527" s="26" t="str">
        <f>IF(OR(E2527="",E2527="!!!",F2527="NEW"),"",INDEX(J$1:J2526,SUMPRODUCT(MAX(ROW(E$1:E2526)*(E2527=E$1:E2526)))))</f>
        <v> </v>
      </c>
      <c r="L2527" s="27"/>
    </row>
    <row r="2528" spans="1:12">
      <c r="A2528" s="20" t="s">
        <v>1785</v>
      </c>
      <c r="E2528" s="22">
        <f>IF(D2528="?OLD","!!!","")</f>
        <v/>
      </c>
      <c r="F2528" s="23" t="str">
        <f>IF(OR(E2528="",E2528="!!!"),"",IF(NOT(ISNA(VLOOKUP(E2528,E$1:E2527,1,FALSE()))),"OLD",IF(AND(E2528&lt;&gt;"",E2528&lt;&gt;"!!!"),"NEW","")))</f>
        <v> </v>
      </c>
      <c r="G2528" s="24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5" t="str">
        <f>IF(J2528&lt;&gt;1,"",IF(I2528="SBJ","CB","?"))</f>
        <v> </v>
      </c>
      <c r="I2528" s="26" t="str">
        <f>IF(OR(E2528="",E2528="!!!",F2528="NEW"),"",INDEX(B2527:B$2,-1+SUMPRODUCT(MAX(ROW(E2527:E$2)*(E2528=E2527:E$2)))))</f>
        <v> </v>
      </c>
      <c r="J2528" s="26" t="str">
        <f>IF(OR(E2528="",E2528="!!!",F2528="NEW"),"",COUNTBLANK(OFFSET(A$1,,,SUMPRODUCT(MAX(ROW(E$2:E2528)*(E2528=E$2:E2528)))))-COUNTBLANK(OFFSET(A$1,,,SUMPRODUCT(MAX(ROW(E$1:E2527)*(E2=E$1:E2527))))))</f>
        <v> </v>
      </c>
      <c r="K2528" s="26" t="str">
        <f>IF(OR(E2528="",E2528="!!!",F2528="NEW"),"",INDEX(J$1:J2527,SUMPRODUCT(MAX(ROW(E$1:E2527)*(E2528=E$1:E2527)))))</f>
        <v> </v>
      </c>
      <c r="L2528" s="27"/>
    </row>
    <row r="2529" spans="1:12">
      <c r="A2529" s="20" t="s">
        <v>808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 t="s">
        <v>1786</v>
      </c>
      <c r="E2530" s="22">
        <f>IF(D2530="?OLD","!!!","")</f>
        <v/>
      </c>
      <c r="F2530" s="23" t="str">
        <f>IF(OR(E2530="",E2530="!!!"),"",IF(NOT(ISNA(VLOOKUP(E2530,E$1:E2529,1,FALSE()))),"OLD",IF(AND(E2530&lt;&gt;"",E2530&lt;&gt;"!!!"),"NEW","")))</f>
        <v> </v>
      </c>
      <c r="G2530" s="24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5" t="str">
        <f>IF(J2530&lt;&gt;1,"",IF(I2530="SBJ","CB","?"))</f>
        <v> </v>
      </c>
      <c r="I2530" s="26" t="str">
        <f>IF(OR(E2530="",E2530="!!!",F2530="NEW"),"",INDEX(B2529:B$2,-1+SUMPRODUCT(MAX(ROW(E2529:E$2)*(E2530=E2529:E$2)))))</f>
        <v> </v>
      </c>
      <c r="J2530" s="26" t="str">
        <f>IF(OR(E2530="",E2530="!!!",F2530="NEW"),"",COUNTBLANK(OFFSET(A$1,,,SUMPRODUCT(MAX(ROW(E$2:E2530)*(E2530=E$2:E2530)))))-COUNTBLANK(OFFSET(A$1,,,SUMPRODUCT(MAX(ROW(E$1:E2529)*(E2=E$1:E2529))))))</f>
        <v> </v>
      </c>
      <c r="K2530" s="26" t="str">
        <f>IF(OR(E2530="",E2530="!!!",F2530="NEW"),"",INDEX(J$1:J2529,SUMPRODUCT(MAX(ROW(E$1:E2529)*(E2530=E$1:E2529)))))</f>
        <v> </v>
      </c>
      <c r="L2530" s="27"/>
    </row>
    <row r="2531" spans="1:12">
      <c r="A2531" s="20" t="s">
        <v>721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12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1787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721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362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721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803</v>
      </c>
      <c r="B2537" s="21" t="s">
        <v>789</v>
      </c>
      <c r="C2537" s="21" t="s">
        <v>727</v>
      </c>
      <c r="D2537" s="21" t="s">
        <v>728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1788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 t="s">
        <v>1506</v>
      </c>
      <c r="E2539" s="22">
        <f>IF(D2539="?OLD","!!!","")</f>
        <v/>
      </c>
      <c r="F2539" s="23" t="str">
        <f>IF(OR(E2539="",E2539="!!!"),"",IF(NOT(ISNA(VLOOKUP(E2539,E$1:E2538,1,FALSE()))),"OLD",IF(AND(E2539&lt;&gt;"",E2539&lt;&gt;"!!!"),"NEW","")))</f>
        <v> </v>
      </c>
      <c r="G2539" s="24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5" t="str">
        <f>IF(J2539&lt;&gt;1,"",IF(I2539="SBJ","CB","?"))</f>
        <v> </v>
      </c>
      <c r="I2539" s="26" t="str">
        <f>IF(OR(E2539="",E2539="!!!",F2539="NEW"),"",INDEX(B2538:B$2,-1+SUMPRODUCT(MAX(ROW(E2538:E$2)*(E2539=E2538:E$2)))))</f>
        <v> </v>
      </c>
      <c r="J2539" s="26" t="str">
        <f>IF(OR(E2539="",E2539="!!!",F2539="NEW"),"",COUNTBLANK(OFFSET(A$1,,,SUMPRODUCT(MAX(ROW(E$2:E2539)*(E2539=E$2:E2539)))))-COUNTBLANK(OFFSET(A$1,,,SUMPRODUCT(MAX(ROW(E$1:E2538)*(E2=E$1:E2538))))))</f>
        <v> </v>
      </c>
      <c r="K2539" s="26" t="str">
        <f>IF(OR(E2539="",E2539="!!!",F2539="NEW"),"",INDEX(J$1:J2538,SUMPRODUCT(MAX(ROW(E$1:E2538)*(E2539=E$1:E2538)))))</f>
        <v> </v>
      </c>
      <c r="L2539" s="27"/>
    </row>
    <row r="2540" spans="1:12">
      <c r="A2540" s="20" t="s">
        <v>1497</v>
      </c>
      <c r="B2540" s="21" t="s">
        <v>812</v>
      </c>
      <c r="C2540" s="21" t="s">
        <v>762</v>
      </c>
      <c r="D2540" s="21" t="s">
        <v>728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 t="s">
        <v>721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880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848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780</v>
      </c>
      <c r="B2544" s="21" t="s">
        <v>826</v>
      </c>
      <c r="C2544" s="21" t="s">
        <v>727</v>
      </c>
      <c r="D2544" s="21" t="s">
        <v>728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1789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1790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991</v>
      </c>
      <c r="B2547" s="21" t="s">
        <v>963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 t="s">
        <v>839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1007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 t="s">
        <v>837</v>
      </c>
      <c r="E2550" s="22">
        <f>IF(D2550="?OLD","!!!","")</f>
        <v/>
      </c>
      <c r="F2550" s="23" t="str">
        <f>IF(OR(E2550="",E2550="!!!"),"",IF(NOT(ISNA(VLOOKUP(E2550,E$1:E2549,1,FALSE()))),"OLD",IF(AND(E2550&lt;&gt;"",E2550&lt;&gt;"!!!"),"NEW","")))</f>
        <v> </v>
      </c>
      <c r="G2550" s="24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5" t="str">
        <f>IF(J2550&lt;&gt;1,"",IF(I2550="SBJ","CB","?"))</f>
        <v> </v>
      </c>
      <c r="I2550" s="26" t="str">
        <f>IF(OR(E2550="",E2550="!!!",F2550="NEW"),"",INDEX(B2549:B$2,-1+SUMPRODUCT(MAX(ROW(E2549:E$2)*(E2550=E2549:E$2)))))</f>
        <v> </v>
      </c>
      <c r="J2550" s="26" t="str">
        <f>IF(OR(E2550="",E2550="!!!",F2550="NEW"),"",COUNTBLANK(OFFSET(A$1,,,SUMPRODUCT(MAX(ROW(E$2:E2550)*(E2550=E$2:E2550)))))-COUNTBLANK(OFFSET(A$1,,,SUMPRODUCT(MAX(ROW(E$1:E2549)*(E2=E$1:E2549))))))</f>
        <v> </v>
      </c>
      <c r="K2550" s="26" t="str">
        <f>IF(OR(E2550="",E2550="!!!",F2550="NEW"),"",INDEX(J$1:J2549,SUMPRODUCT(MAX(ROW(E$1:E2549)*(E2550=E$1:E2549)))))</f>
        <v> </v>
      </c>
      <c r="L2550" s="27"/>
    </row>
    <row r="2551" spans="1:12">
      <c r="A2551" s="20" t="s">
        <v>780</v>
      </c>
      <c r="B2551" s="21" t="s">
        <v>1442</v>
      </c>
      <c r="C2551" s="21" t="s">
        <v>727</v>
      </c>
      <c r="D2551" s="21" t="s">
        <v>728</v>
      </c>
      <c r="E2551" s="22">
        <f>IF(D2551="?OLD","!!!","")</f>
        <v/>
      </c>
      <c r="F2551" s="23" t="str">
        <f>IF(OR(E2551="",E2551="!!!"),"",IF(NOT(ISNA(VLOOKUP(E2551,E$1:E2550,1,FALSE()))),"OLD",IF(AND(E2551&lt;&gt;"",E2551&lt;&gt;"!!!"),"NEW","")))</f>
        <v> </v>
      </c>
      <c r="G2551" s="24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5" t="str">
        <f>IF(J2551&lt;&gt;1,"",IF(I2551="SBJ","CB","?"))</f>
        <v> </v>
      </c>
      <c r="I2551" s="26" t="str">
        <f>IF(OR(E2551="",E2551="!!!",F2551="NEW"),"",INDEX(B2550:B$2,-1+SUMPRODUCT(MAX(ROW(E2550:E$2)*(E2551=E2550:E$2)))))</f>
        <v> </v>
      </c>
      <c r="J2551" s="26" t="str">
        <f>IF(OR(E2551="",E2551="!!!",F2551="NEW"),"",COUNTBLANK(OFFSET(A$1,,,SUMPRODUCT(MAX(ROW(E$2:E2551)*(E2551=E$2:E2551)))))-COUNTBLANK(OFFSET(A$1,,,SUMPRODUCT(MAX(ROW(E$1:E2550)*(E2=E$1:E2550))))))</f>
        <v> </v>
      </c>
      <c r="K2551" s="26" t="str">
        <f>IF(OR(E2551="",E2551="!!!",F2551="NEW"),"",INDEX(J$1:J2550,SUMPRODUCT(MAX(ROW(E$1:E2550)*(E2551=E$1:E2550)))))</f>
        <v> </v>
      </c>
      <c r="L2551" s="27"/>
    </row>
    <row r="2552" spans="1:12">
      <c r="A2552" s="20" t="s">
        <v>1789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1790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991</v>
      </c>
      <c r="B2554" s="21" t="s">
        <v>1791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839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1007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1792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725</v>
      </c>
      <c r="B2558" s="21" t="s">
        <v>967</v>
      </c>
      <c r="C2558" s="21" t="s">
        <v>727</v>
      </c>
      <c r="D2558" s="21" t="s">
        <v>728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21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 t="s">
        <v>1793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839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/>
    </row>
    <row r="2563" spans="1:12">
      <c r="A2563" s="20" t="s">
        <v>1794</v>
      </c>
    </row>
    <row r="2564" spans="1:12">
      <c r="A2564" s="20" t="s">
        <v>940</v>
      </c>
      <c r="B2564" s="21" t="s">
        <v>726</v>
      </c>
      <c r="C2564" s="21" t="s">
        <v>727</v>
      </c>
      <c r="D2564" s="21" t="s">
        <v>728</v>
      </c>
      <c r="E2564" s="22">
        <f>IF(D2564="?OLD","!!!","")</f>
        <v/>
      </c>
      <c r="F2564" s="23" t="str">
        <f>IF(OR(E2564="",E2564="!!!"),"",IF(NOT(ISNA(VLOOKUP(E2564,E$1:E2563,1,FALSE()))),"OLD",IF(AND(E2564&lt;&gt;"",E2564&lt;&gt;"!!!"),"NEW","")))</f>
        <v> </v>
      </c>
      <c r="G2564" s="24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5" t="str">
        <f>IF(J2564&lt;&gt;1,"",IF(I2564="SBJ","CB","?"))</f>
        <v> </v>
      </c>
      <c r="I2564" s="26" t="str">
        <f>IF(OR(E2564="",E2564="!!!",F2564="NEW"),"",INDEX(B2563:B$2,-1+SUMPRODUCT(MAX(ROW(E2563:E$2)*(E2564=E2563:E$2)))))</f>
        <v> </v>
      </c>
      <c r="J2564" s="26" t="str">
        <f>IF(OR(E2564="",E2564="!!!",F2564="NEW"),"",COUNTBLANK(OFFSET(A$1,,,SUMPRODUCT(MAX(ROW(E$2:E2564)*(E2564=E$2:E2564)))))-COUNTBLANK(OFFSET(A$1,,,SUMPRODUCT(MAX(ROW(E$1:E2563)*(E2=E$1:E2563))))))</f>
        <v> </v>
      </c>
      <c r="K2564" s="26" t="str">
        <f>IF(OR(E2564="",E2564="!!!",F2564="NEW"),"",INDEX(J$1:J2563,SUMPRODUCT(MAX(ROW(E$1:E2563)*(E2564=E$1:E2563)))))</f>
        <v> </v>
      </c>
      <c r="L2564" s="27"/>
    </row>
    <row r="2565" spans="1:12">
      <c r="A2565" s="20" t="s">
        <v>871</v>
      </c>
      <c r="E2565" s="22">
        <f>IF(D2565="?OLD","!!!","")</f>
        <v/>
      </c>
      <c r="F2565" s="23" t="str">
        <f>IF(OR(E2565="",E2565="!!!"),"",IF(NOT(ISNA(VLOOKUP(E2565,E$1:E2564,1,FALSE()))),"OLD",IF(AND(E2565&lt;&gt;"",E2565&lt;&gt;"!!!"),"NEW","")))</f>
        <v> </v>
      </c>
      <c r="G2565" s="24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5" t="str">
        <f>IF(J2565&lt;&gt;1,"",IF(I2565="SBJ","CB","?"))</f>
        <v> </v>
      </c>
      <c r="I2565" s="26" t="str">
        <f>IF(OR(E2565="",E2565="!!!",F2565="NEW"),"",INDEX(B2564:B$2,-1+SUMPRODUCT(MAX(ROW(E2564:E$2)*(E2565=E2564:E$2)))))</f>
        <v> </v>
      </c>
      <c r="J2565" s="26" t="str">
        <f>IF(OR(E2565="",E2565="!!!",F2565="NEW"),"",COUNTBLANK(OFFSET(A$1,,,SUMPRODUCT(MAX(ROW(E$2:E2565)*(E2565=E$2:E2565)))))-COUNTBLANK(OFFSET(A$1,,,SUMPRODUCT(MAX(ROW(E$1:E2564)*(E2=E$1:E2564))))))</f>
        <v> </v>
      </c>
      <c r="K2565" s="26" t="str">
        <f>IF(OR(E2565="",E2565="!!!",F2565="NEW"),"",INDEX(J$1:J2564,SUMPRODUCT(MAX(ROW(E$1:E2564)*(E2565=E$1:E2564)))))</f>
        <v> </v>
      </c>
      <c r="L2565" s="27"/>
    </row>
    <row r="2566" spans="1:12">
      <c r="A2566" s="20" t="s">
        <v>1637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1194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1795</v>
      </c>
      <c r="B2568" s="21" t="s">
        <v>804</v>
      </c>
      <c r="C2568" s="21" t="s">
        <v>790</v>
      </c>
      <c r="D2568" s="21" t="s">
        <v>728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732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/>
    </row>
    <row r="2571" spans="1:12">
      <c r="A2571" s="20" t="s">
        <v>1796</v>
      </c>
    </row>
    <row r="2572" spans="1:12">
      <c r="A2572" s="20" t="s">
        <v>1123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721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871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218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721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 t="s">
        <v>779</v>
      </c>
      <c r="E2577" s="22">
        <f>IF(D2577="?OLD","!!!","")</f>
        <v/>
      </c>
      <c r="F2577" s="23" t="str">
        <f>IF(OR(E2577="",E2577="!!!"),"",IF(NOT(ISNA(VLOOKUP(E2577,E$1:E2576,1,FALSE()))),"OLD",IF(AND(E2577&lt;&gt;"",E2577&lt;&gt;"!!!"),"NEW","")))</f>
        <v> </v>
      </c>
      <c r="G2577" s="24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5" t="str">
        <f>IF(J2577&lt;&gt;1,"",IF(I2577="SBJ","CB","?"))</f>
        <v> </v>
      </c>
      <c r="I2577" s="26" t="str">
        <f>IF(OR(E2577="",E2577="!!!",F2577="NEW"),"",INDEX(B2576:B$2,-1+SUMPRODUCT(MAX(ROW(E2576:E$2)*(E2577=E2576:E$2)))))</f>
        <v> </v>
      </c>
      <c r="J2577" s="26" t="str">
        <f>IF(OR(E2577="",E2577="!!!",F2577="NEW"),"",COUNTBLANK(OFFSET(A$1,,,SUMPRODUCT(MAX(ROW(E$2:E2577)*(E2577=E$2:E2577)))))-COUNTBLANK(OFFSET(A$1,,,SUMPRODUCT(MAX(ROW(E$1:E2576)*(E2=E$1:E2576))))))</f>
        <v> </v>
      </c>
      <c r="K2577" s="26" t="str">
        <f>IF(OR(E2577="",E2577="!!!",F2577="NEW"),"",INDEX(J$1:J2576,SUMPRODUCT(MAX(ROW(E$1:E2576)*(E2577=E$1:E2576)))))</f>
        <v> </v>
      </c>
      <c r="L2577" s="27"/>
    </row>
    <row r="2578" spans="1:12">
      <c r="A2578" s="20" t="s">
        <v>843</v>
      </c>
      <c r="B2578" s="21" t="s">
        <v>767</v>
      </c>
      <c r="C2578" s="21" t="s">
        <v>727</v>
      </c>
      <c r="D2578" s="21" t="s">
        <v>728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1797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1798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1799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1800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721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924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1801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991</v>
      </c>
      <c r="B2586" s="21" t="s">
        <v>789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721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 t="s">
        <v>1802</v>
      </c>
      <c r="E2588" s="22">
        <f>IF(D2588="?OLD","!!!","")</f>
        <v/>
      </c>
      <c r="F2588" s="23" t="str">
        <f>IF(OR(E2588="",E2588="!!!"),"",IF(NOT(ISNA(VLOOKUP(E2588,E$1:E2587,1,FALSE()))),"OLD",IF(AND(E2588&lt;&gt;"",E2588&lt;&gt;"!!!"),"NEW","")))</f>
        <v> </v>
      </c>
      <c r="G2588" s="24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5" t="str">
        <f>IF(J2588&lt;&gt;1,"",IF(I2588="SBJ","CB","?"))</f>
        <v> </v>
      </c>
      <c r="I2588" s="26" t="str">
        <f>IF(OR(E2588="",E2588="!!!",F2588="NEW"),"",INDEX(B2587:B$2,-1+SUMPRODUCT(MAX(ROW(E2587:E$2)*(E2588=E2587:E$2)))))</f>
        <v> </v>
      </c>
      <c r="J2588" s="26" t="str">
        <f>IF(OR(E2588="",E2588="!!!",F2588="NEW"),"",COUNTBLANK(OFFSET(A$1,,,SUMPRODUCT(MAX(ROW(E$2:E2588)*(E2588=E$2:E2588)))))-COUNTBLANK(OFFSET(A$1,,,SUMPRODUCT(MAX(ROW(E$1:E2587)*(E2=E$1:E2587))))))</f>
        <v> </v>
      </c>
      <c r="K2588" s="26" t="str">
        <f>IF(OR(E2588="",E2588="!!!",F2588="NEW"),"",INDEX(J$1:J2587,SUMPRODUCT(MAX(ROW(E$1:E2587)*(E2588=E$1:E2587)))))</f>
        <v> </v>
      </c>
      <c r="L2588" s="27"/>
    </row>
    <row r="2589" spans="1:12">
      <c r="A2589" s="20" t="s">
        <v>1530</v>
      </c>
      <c r="E2589" s="22">
        <f>IF(D2589="?OLD","!!!","")</f>
        <v/>
      </c>
      <c r="F2589" s="23" t="str">
        <f>IF(OR(E2589="",E2589="!!!"),"",IF(NOT(ISNA(VLOOKUP(E2589,E$1:E2588,1,FALSE()))),"OLD",IF(AND(E2589&lt;&gt;"",E2589&lt;&gt;"!!!"),"NEW","")))</f>
        <v> </v>
      </c>
      <c r="G2589" s="24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5" t="str">
        <f>IF(J2589&lt;&gt;1,"",IF(I2589="SBJ","CB","?"))</f>
        <v> </v>
      </c>
      <c r="I2589" s="26" t="str">
        <f>IF(OR(E2589="",E2589="!!!",F2589="NEW"),"",INDEX(B2588:B$2,-1+SUMPRODUCT(MAX(ROW(E2588:E$2)*(E2589=E2588:E$2)))))</f>
        <v> </v>
      </c>
      <c r="J2589" s="26" t="str">
        <f>IF(OR(E2589="",E2589="!!!",F2589="NEW"),"",COUNTBLANK(OFFSET(A$1,,,SUMPRODUCT(MAX(ROW(E$2:E2589)*(E2589=E$2:E2589)))))-COUNTBLANK(OFFSET(A$1,,,SUMPRODUCT(MAX(ROW(E$1:E2588)*(E2=E$1:E2588))))))</f>
        <v> </v>
      </c>
      <c r="K2589" s="26" t="str">
        <f>IF(OR(E2589="",E2589="!!!",F2589="NEW"),"",INDEX(J$1:J2588,SUMPRODUCT(MAX(ROW(E$1:E2588)*(E2589=E$1:E2588)))))</f>
        <v> </v>
      </c>
      <c r="L2589" s="27"/>
    </row>
    <row r="2590" spans="1:12">
      <c r="A2590" s="20" t="s">
        <v>1003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1748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732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/>
    </row>
    <row r="2594" spans="1:12">
      <c r="A2594" s="20" t="s">
        <v>1803</v>
      </c>
    </row>
    <row r="2595" spans="1:12">
      <c r="A2595" s="20" t="s">
        <v>734</v>
      </c>
      <c r="E2595" s="22">
        <f>IF(D2595="?OLD","!!!","")</f>
        <v/>
      </c>
      <c r="F2595" s="23" t="str">
        <f>IF(OR(E2595="",E2595="!!!"),"",IF(NOT(ISNA(VLOOKUP(E2595,E$1:E2594,1,FALSE()))),"OLD",IF(AND(E2595&lt;&gt;"",E2595&lt;&gt;"!!!"),"NEW","")))</f>
        <v> </v>
      </c>
      <c r="G2595" s="24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5" t="str">
        <f>IF(J2595&lt;&gt;1,"",IF(I2595="SBJ","CB","?"))</f>
        <v> </v>
      </c>
      <c r="I2595" s="26" t="str">
        <f>IF(OR(E2595="",E2595="!!!",F2595="NEW"),"",INDEX(B2594:B$2,-1+SUMPRODUCT(MAX(ROW(E2594:E$2)*(E2595=E2594:E$2)))))</f>
        <v> </v>
      </c>
      <c r="J2595" s="26" t="str">
        <f>IF(OR(E2595="",E2595="!!!",F2595="NEW"),"",COUNTBLANK(OFFSET(A$1,,,SUMPRODUCT(MAX(ROW(E$2:E2595)*(E2595=E$2:E2595)))))-COUNTBLANK(OFFSET(A$1,,,SUMPRODUCT(MAX(ROW(E$1:E2594)*(E2=E$1:E2594))))))</f>
        <v> </v>
      </c>
      <c r="K2595" s="26" t="str">
        <f>IF(OR(E2595="",E2595="!!!",F2595="NEW"),"",INDEX(J$1:J2594,SUMPRODUCT(MAX(ROW(E$1:E2594)*(E2595=E$1:E2594)))))</f>
        <v> </v>
      </c>
      <c r="L2595" s="27"/>
    </row>
    <row r="2596" spans="1:12">
      <c r="A2596" s="20" t="s">
        <v>1049</v>
      </c>
      <c r="E2596" s="22">
        <f>IF(D2596="?OLD","!!!","")</f>
        <v/>
      </c>
      <c r="F2596" s="23" t="str">
        <f>IF(OR(E2596="",E2596="!!!"),"",IF(NOT(ISNA(VLOOKUP(E2596,E$1:E2595,1,FALSE()))),"OLD",IF(AND(E2596&lt;&gt;"",E2596&lt;&gt;"!!!"),"NEW","")))</f>
        <v> </v>
      </c>
      <c r="G2596" s="24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5" t="str">
        <f>IF(J2596&lt;&gt;1,"",IF(I2596="SBJ","CB","?"))</f>
        <v> </v>
      </c>
      <c r="I2596" s="26" t="str">
        <f>IF(OR(E2596="",E2596="!!!",F2596="NEW"),"",INDEX(B2595:B$2,-1+SUMPRODUCT(MAX(ROW(E2595:E$2)*(E2596=E2595:E$2)))))</f>
        <v> </v>
      </c>
      <c r="J2596" s="26" t="str">
        <f>IF(OR(E2596="",E2596="!!!",F2596="NEW"),"",COUNTBLANK(OFFSET(A$1,,,SUMPRODUCT(MAX(ROW(E$2:E2596)*(E2596=E$2:E2596)))))-COUNTBLANK(OFFSET(A$1,,,SUMPRODUCT(MAX(ROW(E$1:E2595)*(E2=E$1:E2595))))))</f>
        <v> </v>
      </c>
      <c r="K2596" s="26" t="str">
        <f>IF(OR(E2596="",E2596="!!!",F2596="NEW"),"",INDEX(J$1:J2595,SUMPRODUCT(MAX(ROW(E$1:E2595)*(E2596=E$1:E2595)))))</f>
        <v> </v>
      </c>
      <c r="L2596" s="27"/>
    </row>
    <row r="2597" spans="1:12">
      <c r="A2597" s="20" t="s">
        <v>1804</v>
      </c>
      <c r="B2597" s="21" t="s">
        <v>726</v>
      </c>
      <c r="C2597" s="21" t="s">
        <v>800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1759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1805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1806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 t="s">
        <v>732</v>
      </c>
      <c r="E2601" s="22">
        <f>IF(D2601="?OLD","!!!","")</f>
        <v/>
      </c>
      <c r="F2601" s="23" t="str">
        <f>IF(OR(E2601="",E2601="!!!"),"",IF(NOT(ISNA(VLOOKUP(E2601,E$1:E2600,1,FALSE()))),"OLD",IF(AND(E2601&lt;&gt;"",E2601&lt;&gt;"!!!"),"NEW","")))</f>
        <v> </v>
      </c>
      <c r="G2601" s="24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5" t="str">
        <f>IF(J2601&lt;&gt;1,"",IF(I2601="SBJ","CB","?"))</f>
        <v> </v>
      </c>
      <c r="I2601" s="26" t="str">
        <f>IF(OR(E2601="",E2601="!!!",F2601="NEW"),"",INDEX(B2600:B$2,-1+SUMPRODUCT(MAX(ROW(E2600:E$2)*(E2601=E2600:E$2)))))</f>
        <v> </v>
      </c>
      <c r="J2601" s="26" t="str">
        <f>IF(OR(E2601="",E2601="!!!",F2601="NEW"),"",COUNTBLANK(OFFSET(A$1,,,SUMPRODUCT(MAX(ROW(E$2:E2601)*(E2601=E$2:E2601)))))-COUNTBLANK(OFFSET(A$1,,,SUMPRODUCT(MAX(ROW(E$1:E2600)*(E2=E$1:E2600))))))</f>
        <v> </v>
      </c>
      <c r="K2601" s="26" t="str">
        <f>IF(OR(E2601="",E2601="!!!",F2601="NEW"),"",INDEX(J$1:J2600,SUMPRODUCT(MAX(ROW(E$1:E2600)*(E2601=E$1:E2600)))))</f>
        <v> </v>
      </c>
      <c r="L2601" s="27"/>
    </row>
    <row r="2602" spans="1:12">
      <c r="A2602" s="20"/>
    </row>
    <row r="2603" spans="1:12">
      <c r="A2603" s="20" t="s">
        <v>1807</v>
      </c>
    </row>
    <row r="2604" spans="1:12">
      <c r="A2604" s="20" t="s">
        <v>1808</v>
      </c>
      <c r="E2604" s="22">
        <f>IF(D2604="?OLD","!!!","")</f>
        <v/>
      </c>
      <c r="F2604" s="23" t="str">
        <f>IF(OR(E2604="",E2604="!!!"),"",IF(NOT(ISNA(VLOOKUP(E2604,E$1:E2603,1,FALSE()))),"OLD",IF(AND(E2604&lt;&gt;"",E2604&lt;&gt;"!!!"),"NEW","")))</f>
        <v> </v>
      </c>
      <c r="G2604" s="24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5" t="str">
        <f>IF(J2604&lt;&gt;1,"",IF(I2604="SBJ","CB","?"))</f>
        <v> </v>
      </c>
      <c r="I2604" s="26" t="str">
        <f>IF(OR(E2604="",E2604="!!!",F2604="NEW"),"",INDEX(B2603:B$2,-1+SUMPRODUCT(MAX(ROW(E2603:E$2)*(E2604=E2603:E$2)))))</f>
        <v> </v>
      </c>
      <c r="J2604" s="26" t="str">
        <f>IF(OR(E2604="",E2604="!!!",F2604="NEW"),"",COUNTBLANK(OFFSET(A$1,,,SUMPRODUCT(MAX(ROW(E$2:E2604)*(E2604=E$2:E2604)))))-COUNTBLANK(OFFSET(A$1,,,SUMPRODUCT(MAX(ROW(E$1:E2603)*(E2=E$1:E2603))))))</f>
        <v> </v>
      </c>
      <c r="K2604" s="26" t="str">
        <f>IF(OR(E2604="",E2604="!!!",F2604="NEW"),"",INDEX(J$1:J2603,SUMPRODUCT(MAX(ROW(E$1:E2603)*(E2604=E$1:E2603)))))</f>
        <v> </v>
      </c>
      <c r="L2604" s="27"/>
    </row>
    <row r="2605" spans="1:12">
      <c r="A2605" s="20" t="s">
        <v>1804</v>
      </c>
      <c r="B2605" s="21" t="s">
        <v>726</v>
      </c>
      <c r="C2605" s="21" t="s">
        <v>800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1254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766</v>
      </c>
      <c r="B2607" s="21" t="s">
        <v>718</v>
      </c>
      <c r="C2607" s="21" t="s">
        <v>747</v>
      </c>
      <c r="D2607" s="21" t="s">
        <v>728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1145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721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1003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 t="s">
        <v>1809</v>
      </c>
      <c r="E2611" s="22">
        <f>IF(D2611="?OLD","!!!","")</f>
        <v/>
      </c>
      <c r="F2611" s="23" t="str">
        <f>IF(OR(E2611="",E2611="!!!"),"",IF(NOT(ISNA(VLOOKUP(E2611,E$1:E2610,1,FALSE()))),"OLD",IF(AND(E2611&lt;&gt;"",E2611&lt;&gt;"!!!"),"NEW","")))</f>
        <v> </v>
      </c>
      <c r="G2611" s="24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5" t="str">
        <f>IF(J2611&lt;&gt;1,"",IF(I2611="SBJ","CB","?"))</f>
        <v> </v>
      </c>
      <c r="I2611" s="26" t="str">
        <f>IF(OR(E2611="",E2611="!!!",F2611="NEW"),"",INDEX(B2610:B$2,-1+SUMPRODUCT(MAX(ROW(E2610:E$2)*(E2611=E2610:E$2)))))</f>
        <v> </v>
      </c>
      <c r="J2611" s="26" t="str">
        <f>IF(OR(E2611="",E2611="!!!",F2611="NEW"),"",COUNTBLANK(OFFSET(A$1,,,SUMPRODUCT(MAX(ROW(E$2:E2611)*(E2611=E$2:E2611)))))-COUNTBLANK(OFFSET(A$1,,,SUMPRODUCT(MAX(ROW(E$1:E2610)*(E2=E$1:E2610))))))</f>
        <v> </v>
      </c>
      <c r="K2611" s="26" t="str">
        <f>IF(OR(E2611="",E2611="!!!",F2611="NEW"),"",INDEX(J$1:J2610,SUMPRODUCT(MAX(ROW(E$1:E2610)*(E2611=E$1:E2610)))))</f>
        <v> </v>
      </c>
      <c r="L2611" s="27"/>
    </row>
    <row r="2612" spans="1:12">
      <c r="A2612" s="20" t="s">
        <v>721</v>
      </c>
      <c r="E2612" s="22">
        <f>IF(D2612="?OLD","!!!","")</f>
        <v/>
      </c>
      <c r="F2612" s="23" t="str">
        <f>IF(OR(E2612="",E2612="!!!"),"",IF(NOT(ISNA(VLOOKUP(E2612,E$1:E2611,1,FALSE()))),"OLD",IF(AND(E2612&lt;&gt;"",E2612&lt;&gt;"!!!"),"NEW","")))</f>
        <v> </v>
      </c>
      <c r="G2612" s="24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5" t="str">
        <f>IF(J2612&lt;&gt;1,"",IF(I2612="SBJ","CB","?"))</f>
        <v> </v>
      </c>
      <c r="I2612" s="26" t="str">
        <f>IF(OR(E2612="",E2612="!!!",F2612="NEW"),"",INDEX(B2611:B$2,-1+SUMPRODUCT(MAX(ROW(E2611:E$2)*(E2612=E2611:E$2)))))</f>
        <v> </v>
      </c>
      <c r="J2612" s="26" t="str">
        <f>IF(OR(E2612="",E2612="!!!",F2612="NEW"),"",COUNTBLANK(OFFSET(A$1,,,SUMPRODUCT(MAX(ROW(E$2:E2612)*(E2612=E$2:E2612)))))-COUNTBLANK(OFFSET(A$1,,,SUMPRODUCT(MAX(ROW(E$1:E2611)*(E2=E$1:E2611))))))</f>
        <v> </v>
      </c>
      <c r="K2612" s="26" t="str">
        <f>IF(OR(E2612="",E2612="!!!",F2612="NEW"),"",INDEX(J$1:J2611,SUMPRODUCT(MAX(ROW(E$1:E2611)*(E2612=E$1:E2611)))))</f>
        <v> </v>
      </c>
      <c r="L2612" s="27"/>
    </row>
    <row r="2613" spans="1:12">
      <c r="A2613" s="20" t="s">
        <v>900</v>
      </c>
      <c r="E2613" s="22">
        <f>IF(D2613="?OLD","!!!","")</f>
        <v/>
      </c>
      <c r="F2613" s="23" t="str">
        <f>IF(OR(E2613="",E2613="!!!"),"",IF(NOT(ISNA(VLOOKUP(E2613,E$1:E2612,1,FALSE()))),"OLD",IF(AND(E2613&lt;&gt;"",E2613&lt;&gt;"!!!"),"NEW","")))</f>
        <v> </v>
      </c>
      <c r="G2613" s="24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5" t="str">
        <f>IF(J2613&lt;&gt;1,"",IF(I2613="SBJ","CB","?"))</f>
        <v> </v>
      </c>
      <c r="I2613" s="26" t="str">
        <f>IF(OR(E2613="",E2613="!!!",F2613="NEW"),"",INDEX(B2612:B$2,-1+SUMPRODUCT(MAX(ROW(E2612:E$2)*(E2613=E2612:E$2)))))</f>
        <v> </v>
      </c>
      <c r="J2613" s="26" t="str">
        <f>IF(OR(E2613="",E2613="!!!",F2613="NEW"),"",COUNTBLANK(OFFSET(A$1,,,SUMPRODUCT(MAX(ROW(E$2:E2613)*(E2613=E$2:E2613)))))-COUNTBLANK(OFFSET(A$1,,,SUMPRODUCT(MAX(ROW(E$1:E2612)*(E2=E$1:E2612))))))</f>
        <v> </v>
      </c>
      <c r="K2613" s="26" t="str">
        <f>IF(OR(E2613="",E2613="!!!",F2613="NEW"),"",INDEX(J$1:J2612,SUMPRODUCT(MAX(ROW(E$1:E2612)*(E2613=E$1:E2612)))))</f>
        <v> </v>
      </c>
      <c r="L2613" s="27"/>
    </row>
    <row r="2614" spans="1:12">
      <c r="A2614" s="20" t="s">
        <v>1810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1811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1812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755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 t="s">
        <v>1813</v>
      </c>
      <c r="E2618" s="22">
        <f>IF(D2618="?OLD","!!!","")</f>
        <v/>
      </c>
      <c r="F2618" s="23" t="str">
        <f>IF(OR(E2618="",E2618="!!!"),"",IF(NOT(ISNA(VLOOKUP(E2618,E$1:E2617,1,FALSE()))),"OLD",IF(AND(E2618&lt;&gt;"",E2618&lt;&gt;"!!!"),"NEW","")))</f>
        <v> </v>
      </c>
      <c r="G2618" s="24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5" t="str">
        <f>IF(J2618&lt;&gt;1,"",IF(I2618="SBJ","CB","?"))</f>
        <v> </v>
      </c>
      <c r="I2618" s="26" t="str">
        <f>IF(OR(E2618="",E2618="!!!",F2618="NEW"),"",INDEX(B2617:B$2,-1+SUMPRODUCT(MAX(ROW(E2617:E$2)*(E2618=E2617:E$2)))))</f>
        <v> </v>
      </c>
      <c r="J2618" s="26" t="str">
        <f>IF(OR(E2618="",E2618="!!!",F2618="NEW"),"",COUNTBLANK(OFFSET(A$1,,,SUMPRODUCT(MAX(ROW(E$2:E2618)*(E2618=E$2:E2618)))))-COUNTBLANK(OFFSET(A$1,,,SUMPRODUCT(MAX(ROW(E$1:E2617)*(E2=E$1:E2617))))))</f>
        <v> </v>
      </c>
      <c r="K2618" s="26" t="str">
        <f>IF(OR(E2618="",E2618="!!!",F2618="NEW"),"",INDEX(J$1:J2617,SUMPRODUCT(MAX(ROW(E$1:E2617)*(E2618=E$1:E2617)))))</f>
        <v> </v>
      </c>
      <c r="L2618" s="27"/>
    </row>
    <row r="2619" spans="1:12">
      <c r="A2619" s="20" t="s">
        <v>721</v>
      </c>
      <c r="E2619" s="22">
        <f>IF(D2619="?OLD","!!!","")</f>
        <v/>
      </c>
      <c r="F2619" s="23" t="str">
        <f>IF(OR(E2619="",E2619="!!!"),"",IF(NOT(ISNA(VLOOKUP(E2619,E$1:E2618,1,FALSE()))),"OLD",IF(AND(E2619&lt;&gt;"",E2619&lt;&gt;"!!!"),"NEW","")))</f>
        <v> </v>
      </c>
      <c r="G2619" s="24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5" t="str">
        <f>IF(J2619&lt;&gt;1,"",IF(I2619="SBJ","CB","?"))</f>
        <v> </v>
      </c>
      <c r="I2619" s="26" t="str">
        <f>IF(OR(E2619="",E2619="!!!",F2619="NEW"),"",INDEX(B2618:B$2,-1+SUMPRODUCT(MAX(ROW(E2618:E$2)*(E2619=E2618:E$2)))))</f>
        <v> </v>
      </c>
      <c r="J2619" s="26" t="str">
        <f>IF(OR(E2619="",E2619="!!!",F2619="NEW"),"",COUNTBLANK(OFFSET(A$1,,,SUMPRODUCT(MAX(ROW(E$2:E2619)*(E2619=E$2:E2619)))))-COUNTBLANK(OFFSET(A$1,,,SUMPRODUCT(MAX(ROW(E$1:E2618)*(E2=E$1:E2618))))))</f>
        <v> </v>
      </c>
      <c r="K2619" s="26" t="str">
        <f>IF(OR(E2619="",E2619="!!!",F2619="NEW"),"",INDEX(J$1:J2618,SUMPRODUCT(MAX(ROW(E$1:E2618)*(E2619=E$1:E2618)))))</f>
        <v> </v>
      </c>
      <c r="L2619" s="27"/>
    </row>
    <row r="2620" spans="1:12">
      <c r="A2620" s="20" t="s">
        <v>980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871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755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1814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1815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1816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732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/>
    </row>
    <row r="2628" spans="1:12">
      <c r="A2628" s="20" t="s">
        <v>1817</v>
      </c>
    </row>
    <row r="2629" spans="1:12">
      <c r="A2629" s="20" t="s">
        <v>1818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721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725</v>
      </c>
      <c r="B2631" s="21" t="s">
        <v>726</v>
      </c>
      <c r="C2631" s="21" t="s">
        <v>727</v>
      </c>
      <c r="D2631" s="21" t="s">
        <v>728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871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1637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1194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1795</v>
      </c>
      <c r="B2635" s="21" t="s">
        <v>804</v>
      </c>
      <c r="C2635" s="21" t="s">
        <v>790</v>
      </c>
      <c r="D2635" s="21" t="s">
        <v>728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721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218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 t="s">
        <v>779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 t="s">
        <v>974</v>
      </c>
      <c r="B2639" s="21" t="s">
        <v>767</v>
      </c>
      <c r="C2639" s="21" t="s">
        <v>727</v>
      </c>
      <c r="D2639" s="21" t="s">
        <v>728</v>
      </c>
      <c r="E2639" s="22">
        <f>IF(D2639="?OLD","!!!","")</f>
        <v/>
      </c>
      <c r="F2639" s="23" t="str">
        <f>IF(OR(E2639="",E2639="!!!"),"",IF(NOT(ISNA(VLOOKUP(E2639,E$1:E2638,1,FALSE()))),"OLD",IF(AND(E2639&lt;&gt;"",E2639&lt;&gt;"!!!"),"NEW","")))</f>
        <v> </v>
      </c>
      <c r="G2639" s="24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5" t="str">
        <f>IF(J2639&lt;&gt;1,"",IF(I2639="SBJ","CB","?"))</f>
        <v> </v>
      </c>
      <c r="I2639" s="26" t="str">
        <f>IF(OR(E2639="",E2639="!!!",F2639="NEW"),"",INDEX(B2638:B$2,-1+SUMPRODUCT(MAX(ROW(E2638:E$2)*(E2639=E2638:E$2)))))</f>
        <v> </v>
      </c>
      <c r="J2639" s="26" t="str">
        <f>IF(OR(E2639="",E2639="!!!",F2639="NEW"),"",COUNTBLANK(OFFSET(A$1,,,SUMPRODUCT(MAX(ROW(E$2:E2639)*(E2639=E$2:E2639)))))-COUNTBLANK(OFFSET(A$1,,,SUMPRODUCT(MAX(ROW(E$1:E2638)*(E2=E$1:E2638))))))</f>
        <v> </v>
      </c>
      <c r="K2639" s="26" t="str">
        <f>IF(OR(E2639="",E2639="!!!",F2639="NEW"),"",INDEX(J$1:J2638,SUMPRODUCT(MAX(ROW(E$1:E2638)*(E2639=E$1:E2638)))))</f>
        <v> </v>
      </c>
      <c r="L2639" s="27"/>
    </row>
    <row r="2640" spans="1:12">
      <c r="A2640" s="20" t="s">
        <v>1819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 t="s">
        <v>1820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977</v>
      </c>
      <c r="B2642" s="21" t="s">
        <v>1004</v>
      </c>
      <c r="C2642" s="21" t="s">
        <v>833</v>
      </c>
      <c r="D2642" s="21" t="s">
        <v>728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 t="s">
        <v>1821</v>
      </c>
      <c r="E2643" s="22">
        <f>IF(D2643="?OLD","!!!","")</f>
        <v/>
      </c>
      <c r="F2643" s="23" t="str">
        <f>IF(OR(E2643="",E2643="!!!"),"",IF(NOT(ISNA(VLOOKUP(E2643,E$1:E2642,1,FALSE()))),"OLD",IF(AND(E2643&lt;&gt;"",E2643&lt;&gt;"!!!"),"NEW","")))</f>
        <v> </v>
      </c>
      <c r="G2643" s="24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5" t="str">
        <f>IF(J2643&lt;&gt;1,"",IF(I2643="SBJ","CB","?"))</f>
        <v> </v>
      </c>
      <c r="I2643" s="26" t="str">
        <f>IF(OR(E2643="",E2643="!!!",F2643="NEW"),"",INDEX(B2642:B$2,-1+SUMPRODUCT(MAX(ROW(E2642:E$2)*(E2643=E2642:E$2)))))</f>
        <v> </v>
      </c>
      <c r="J2643" s="26" t="str">
        <f>IF(OR(E2643="",E2643="!!!",F2643="NEW"),"",COUNTBLANK(OFFSET(A$1,,,SUMPRODUCT(MAX(ROW(E$2:E2643)*(E2643=E$2:E2643)))))-COUNTBLANK(OFFSET(A$1,,,SUMPRODUCT(MAX(ROW(E$1:E2642)*(E2=E$1:E2642))))))</f>
        <v> </v>
      </c>
      <c r="K2643" s="26" t="str">
        <f>IF(OR(E2643="",E2643="!!!",F2643="NEW"),"",INDEX(J$1:J2642,SUMPRODUCT(MAX(ROW(E$1:E2642)*(E2643=E$1:E2642)))))</f>
        <v> </v>
      </c>
      <c r="L2643" s="27"/>
    </row>
    <row r="2644" spans="1:12">
      <c r="A2644" s="20" t="s">
        <v>1822</v>
      </c>
      <c r="E2644" s="22">
        <f>IF(D2644="?OLD","!!!","")</f>
        <v/>
      </c>
      <c r="F2644" s="23" t="str">
        <f>IF(OR(E2644="",E2644="!!!"),"",IF(NOT(ISNA(VLOOKUP(E2644,E$1:E2643,1,FALSE()))),"OLD",IF(AND(E2644&lt;&gt;"",E2644&lt;&gt;"!!!"),"NEW","")))</f>
        <v> </v>
      </c>
      <c r="G2644" s="24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5" t="str">
        <f>IF(J2644&lt;&gt;1,"",IF(I2644="SBJ","CB","?"))</f>
        <v> </v>
      </c>
      <c r="I2644" s="26" t="str">
        <f>IF(OR(E2644="",E2644="!!!",F2644="NEW"),"",INDEX(B2643:B$2,-1+SUMPRODUCT(MAX(ROW(E2643:E$2)*(E2644=E2643:E$2)))))</f>
        <v> </v>
      </c>
      <c r="J2644" s="26" t="str">
        <f>IF(OR(E2644="",E2644="!!!",F2644="NEW"),"",COUNTBLANK(OFFSET(A$1,,,SUMPRODUCT(MAX(ROW(E$2:E2644)*(E2644=E$2:E2644)))))-COUNTBLANK(OFFSET(A$1,,,SUMPRODUCT(MAX(ROW(E$1:E2643)*(E2=E$1:E2643))))))</f>
        <v> </v>
      </c>
      <c r="K2644" s="26" t="str">
        <f>IF(OR(E2644="",E2644="!!!",F2644="NEW"),"",INDEX(J$1:J2643,SUMPRODUCT(MAX(ROW(E$1:E2643)*(E2644=E$1:E2643)))))</f>
        <v> </v>
      </c>
      <c r="L2644" s="27"/>
    </row>
    <row r="2645" spans="1:12">
      <c r="A2645" s="20" t="s">
        <v>755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 t="s">
        <v>1823</v>
      </c>
      <c r="E2646" s="22">
        <f>IF(D2646="?OLD","!!!","")</f>
        <v/>
      </c>
      <c r="F2646" s="23" t="str">
        <f>IF(OR(E2646="",E2646="!!!"),"",IF(NOT(ISNA(VLOOKUP(E2646,E$1:E2645,1,FALSE()))),"OLD",IF(AND(E2646&lt;&gt;"",E2646&lt;&gt;"!!!"),"NEW","")))</f>
        <v> </v>
      </c>
      <c r="G2646" s="24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5" t="str">
        <f>IF(J2646&lt;&gt;1,"",IF(I2646="SBJ","CB","?"))</f>
        <v> </v>
      </c>
      <c r="I2646" s="26" t="str">
        <f>IF(OR(E2646="",E2646="!!!",F2646="NEW"),"",INDEX(B2645:B$2,-1+SUMPRODUCT(MAX(ROW(E2645:E$2)*(E2646=E2645:E$2)))))</f>
        <v> </v>
      </c>
      <c r="J2646" s="26" t="str">
        <f>IF(OR(E2646="",E2646="!!!",F2646="NEW"),"",COUNTBLANK(OFFSET(A$1,,,SUMPRODUCT(MAX(ROW(E$2:E2646)*(E2646=E$2:E2646)))))-COUNTBLANK(OFFSET(A$1,,,SUMPRODUCT(MAX(ROW(E$1:E2645)*(E2=E$1:E2645))))))</f>
        <v> </v>
      </c>
      <c r="K2646" s="26" t="str">
        <f>IF(OR(E2646="",E2646="!!!",F2646="NEW"),"",INDEX(J$1:J2645,SUMPRODUCT(MAX(ROW(E$1:E2645)*(E2646=E$1:E2645)))))</f>
        <v> </v>
      </c>
      <c r="L2646" s="27"/>
    </row>
    <row r="2647" spans="1:12">
      <c r="A2647" s="20" t="s">
        <v>1824</v>
      </c>
      <c r="E2647" s="22">
        <f>IF(D2647="?OLD","!!!","")</f>
        <v/>
      </c>
      <c r="F2647" s="23" t="str">
        <f>IF(OR(E2647="",E2647="!!!"),"",IF(NOT(ISNA(VLOOKUP(E2647,E$1:E2646,1,FALSE()))),"OLD",IF(AND(E2647&lt;&gt;"",E2647&lt;&gt;"!!!"),"NEW","")))</f>
        <v> </v>
      </c>
      <c r="G2647" s="24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5" t="str">
        <f>IF(J2647&lt;&gt;1,"",IF(I2647="SBJ","CB","?"))</f>
        <v> </v>
      </c>
      <c r="I2647" s="26" t="str">
        <f>IF(OR(E2647="",E2647="!!!",F2647="NEW"),"",INDEX(B2646:B$2,-1+SUMPRODUCT(MAX(ROW(E2646:E$2)*(E2647=E2646:E$2)))))</f>
        <v> </v>
      </c>
      <c r="J2647" s="26" t="str">
        <f>IF(OR(E2647="",E2647="!!!",F2647="NEW"),"",COUNTBLANK(OFFSET(A$1,,,SUMPRODUCT(MAX(ROW(E$2:E2647)*(E2647=E$2:E2647)))))-COUNTBLANK(OFFSET(A$1,,,SUMPRODUCT(MAX(ROW(E$1:E2646)*(E2=E$1:E2646))))))</f>
        <v> </v>
      </c>
      <c r="K2647" s="26" t="str">
        <f>IF(OR(E2647="",E2647="!!!",F2647="NEW"),"",INDEX(J$1:J2646,SUMPRODUCT(MAX(ROW(E$1:E2646)*(E2647=E$1:E2646)))))</f>
        <v> </v>
      </c>
      <c r="L2647" s="27"/>
    </row>
    <row r="2648" spans="1:12">
      <c r="A2648" s="20" t="s">
        <v>205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842</v>
      </c>
      <c r="B2649" s="21" t="s">
        <v>860</v>
      </c>
      <c r="C2649" s="21" t="s">
        <v>800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732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/>
    </row>
    <row r="2652" spans="1:12">
      <c r="A2652" s="20" t="s">
        <v>1825</v>
      </c>
    </row>
    <row r="2653" spans="1:12">
      <c r="A2653" s="20" t="s">
        <v>1826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1827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12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1828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1829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 t="s">
        <v>721</v>
      </c>
      <c r="E2658" s="22">
        <f>IF(D2658="?OLD","!!!","")</f>
        <v/>
      </c>
      <c r="F2658" s="23" t="str">
        <f>IF(OR(E2658="",E2658="!!!"),"",IF(NOT(ISNA(VLOOKUP(E2658,E$1:E2657,1,FALSE()))),"OLD",IF(AND(E2658&lt;&gt;"",E2658&lt;&gt;"!!!"),"NEW","")))</f>
        <v> </v>
      </c>
      <c r="G2658" s="24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5" t="str">
        <f>IF(J2658&lt;&gt;1,"",IF(I2658="SBJ","CB","?"))</f>
        <v> </v>
      </c>
      <c r="I2658" s="26" t="str">
        <f>IF(OR(E2658="",E2658="!!!",F2658="NEW"),"",INDEX(B2657:B$2,-1+SUMPRODUCT(MAX(ROW(E2657:E$2)*(E2658=E2657:E$2)))))</f>
        <v> </v>
      </c>
      <c r="J2658" s="26" t="str">
        <f>IF(OR(E2658="",E2658="!!!",F2658="NEW"),"",COUNTBLANK(OFFSET(A$1,,,SUMPRODUCT(MAX(ROW(E$2:E2658)*(E2658=E$2:E2658)))))-COUNTBLANK(OFFSET(A$1,,,SUMPRODUCT(MAX(ROW(E$1:E2657)*(E2=E$1:E2657))))))</f>
        <v> </v>
      </c>
      <c r="K2658" s="26" t="str">
        <f>IF(OR(E2658="",E2658="!!!",F2658="NEW"),"",INDEX(J$1:J2657,SUMPRODUCT(MAX(ROW(E$1:E2657)*(E2658=E$1:E2657)))))</f>
        <v> </v>
      </c>
      <c r="L2658" s="27"/>
    </row>
    <row r="2659" spans="1:12">
      <c r="A2659" s="20" t="s">
        <v>1830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 t="s">
        <v>12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1831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721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1832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12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755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1833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721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1093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1254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1160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 t="s">
        <v>721</v>
      </c>
      <c r="E2671" s="22">
        <f>IF(D2671="?OLD","!!!","")</f>
        <v/>
      </c>
      <c r="F2671" s="23" t="str">
        <f>IF(OR(E2671="",E2671="!!!"),"",IF(NOT(ISNA(VLOOKUP(E2671,E$1:E2670,1,FALSE()))),"OLD",IF(AND(E2671&lt;&gt;"",E2671&lt;&gt;"!!!"),"NEW","")))</f>
        <v> </v>
      </c>
      <c r="G2671" s="24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5" t="str">
        <f>IF(J2671&lt;&gt;1,"",IF(I2671="SBJ","CB","?"))</f>
        <v> </v>
      </c>
      <c r="I2671" s="26" t="str">
        <f>IF(OR(E2671="",E2671="!!!",F2671="NEW"),"",INDEX(B2670:B$2,-1+SUMPRODUCT(MAX(ROW(E2670:E$2)*(E2671=E2670:E$2)))))</f>
        <v> </v>
      </c>
      <c r="J2671" s="26" t="str">
        <f>IF(OR(E2671="",E2671="!!!",F2671="NEW"),"",COUNTBLANK(OFFSET(A$1,,,SUMPRODUCT(MAX(ROW(E$2:E2671)*(E2671=E$2:E2671)))))-COUNTBLANK(OFFSET(A$1,,,SUMPRODUCT(MAX(ROW(E$1:E2670)*(E2=E$1:E2670))))))</f>
        <v> </v>
      </c>
      <c r="K2671" s="26" t="str">
        <f>IF(OR(E2671="",E2671="!!!",F2671="NEW"),"",INDEX(J$1:J2670,SUMPRODUCT(MAX(ROW(E$1:E2670)*(E2671=E$1:E2670)))))</f>
        <v> </v>
      </c>
      <c r="L2671" s="27"/>
    </row>
    <row r="2672" spans="1:12">
      <c r="A2672" s="20" t="s">
        <v>808</v>
      </c>
      <c r="E2672" s="22">
        <f>IF(D2672="?OLD","!!!","")</f>
        <v/>
      </c>
      <c r="F2672" s="23" t="str">
        <f>IF(OR(E2672="",E2672="!!!"),"",IF(NOT(ISNA(VLOOKUP(E2672,E$1:E2671,1,FALSE()))),"OLD",IF(AND(E2672&lt;&gt;"",E2672&lt;&gt;"!!!"),"NEW","")))</f>
        <v> </v>
      </c>
      <c r="G2672" s="24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5" t="str">
        <f>IF(J2672&lt;&gt;1,"",IF(I2672="SBJ","CB","?"))</f>
        <v> </v>
      </c>
      <c r="I2672" s="26" t="str">
        <f>IF(OR(E2672="",E2672="!!!",F2672="NEW"),"",INDEX(B2671:B$2,-1+SUMPRODUCT(MAX(ROW(E2671:E$2)*(E2672=E2671:E$2)))))</f>
        <v> </v>
      </c>
      <c r="J2672" s="26" t="str">
        <f>IF(OR(E2672="",E2672="!!!",F2672="NEW"),"",COUNTBLANK(OFFSET(A$1,,,SUMPRODUCT(MAX(ROW(E$2:E2672)*(E2672=E$2:E2672)))))-COUNTBLANK(OFFSET(A$1,,,SUMPRODUCT(MAX(ROW(E$1:E2671)*(E2=E$1:E2671))))))</f>
        <v> </v>
      </c>
      <c r="K2672" s="26" t="str">
        <f>IF(OR(E2672="",E2672="!!!",F2672="NEW"),"",INDEX(J$1:J2671,SUMPRODUCT(MAX(ROW(E$1:E2671)*(E2672=E$1:E2671)))))</f>
        <v> </v>
      </c>
      <c r="L2672" s="27"/>
    </row>
    <row r="2673" spans="1:12">
      <c r="A2673" s="20" t="s">
        <v>1317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766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1577</v>
      </c>
      <c r="B2675" s="21" t="s">
        <v>832</v>
      </c>
      <c r="C2675" s="21" t="s">
        <v>790</v>
      </c>
      <c r="D2675" s="21" t="s">
        <v>728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 t="s">
        <v>1834</v>
      </c>
      <c r="B2676" s="21" t="s">
        <v>1442</v>
      </c>
      <c r="E2676" s="22">
        <f>IF(D2676="?OLD","!!!","")</f>
        <v/>
      </c>
      <c r="F2676" s="23" t="str">
        <f>IF(OR(E2676="",E2676="!!!"),"",IF(NOT(ISNA(VLOOKUP(E2676,E$1:E2675,1,FALSE()))),"OLD",IF(AND(E2676&lt;&gt;"",E2676&lt;&gt;"!!!"),"NEW","")))</f>
        <v> </v>
      </c>
      <c r="G2676" s="24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5" t="str">
        <f>IF(J2676&lt;&gt;1,"",IF(I2676="SBJ","CB","?"))</f>
        <v> </v>
      </c>
      <c r="I2676" s="26" t="str">
        <f>IF(OR(E2676="",E2676="!!!",F2676="NEW"),"",INDEX(B2675:B$2,-1+SUMPRODUCT(MAX(ROW(E2675:E$2)*(E2676=E2675:E$2)))))</f>
        <v> </v>
      </c>
      <c r="J2676" s="26" t="str">
        <f>IF(OR(E2676="",E2676="!!!",F2676="NEW"),"",COUNTBLANK(OFFSET(A$1,,,SUMPRODUCT(MAX(ROW(E$2:E2676)*(E2676=E$2:E2676)))))-COUNTBLANK(OFFSET(A$1,,,SUMPRODUCT(MAX(ROW(E$1:E2675)*(E2=E$1:E2675))))))</f>
        <v> </v>
      </c>
      <c r="K2676" s="26" t="str">
        <f>IF(OR(E2676="",E2676="!!!",F2676="NEW"),"",INDEX(J$1:J2675,SUMPRODUCT(MAX(ROW(E$1:E2675)*(E2676=E$1:E2675)))))</f>
        <v> </v>
      </c>
      <c r="L2676" s="27"/>
    </row>
    <row r="2677" spans="1:12">
      <c r="A2677" s="20" t="s">
        <v>1835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1836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915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1837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 t="s">
        <v>843</v>
      </c>
      <c r="B2681" s="21" t="s">
        <v>967</v>
      </c>
      <c r="C2681" s="21" t="s">
        <v>727</v>
      </c>
      <c r="D2681" s="21" t="s">
        <v>728</v>
      </c>
      <c r="E2681" s="22">
        <f>IF(D2681="?OLD","!!!","")</f>
        <v/>
      </c>
      <c r="F2681" s="23" t="str">
        <f>IF(OR(E2681="",E2681="!!!"),"",IF(NOT(ISNA(VLOOKUP(E2681,E$1:E2680,1,FALSE()))),"OLD",IF(AND(E2681&lt;&gt;"",E2681&lt;&gt;"!!!"),"NEW","")))</f>
        <v> </v>
      </c>
      <c r="G2681" s="24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5" t="str">
        <f>IF(J2681&lt;&gt;1,"",IF(I2681="SBJ","CB","?"))</f>
        <v> </v>
      </c>
      <c r="I2681" s="26" t="str">
        <f>IF(OR(E2681="",E2681="!!!",F2681="NEW"),"",INDEX(B2680:B$2,-1+SUMPRODUCT(MAX(ROW(E2680:E$2)*(E2681=E2680:E$2)))))</f>
        <v> </v>
      </c>
      <c r="J2681" s="26" t="str">
        <f>IF(OR(E2681="",E2681="!!!",F2681="NEW"),"",COUNTBLANK(OFFSET(A$1,,,SUMPRODUCT(MAX(ROW(E$2:E2681)*(E2681=E$2:E2681)))))-COUNTBLANK(OFFSET(A$1,,,SUMPRODUCT(MAX(ROW(E$1:E2680)*(E2=E$1:E2680))))))</f>
        <v> </v>
      </c>
      <c r="K2681" s="26" t="str">
        <f>IF(OR(E2681="",E2681="!!!",F2681="NEW"),"",INDEX(J$1:J2680,SUMPRODUCT(MAX(ROW(E$1:E2680)*(E2681=E$1:E2680)))))</f>
        <v> </v>
      </c>
      <c r="L2681" s="27"/>
    </row>
    <row r="2682" spans="1:12">
      <c r="A2682" s="20" t="s">
        <v>1838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1317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1145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1759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721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1317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1530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 t="s">
        <v>1839</v>
      </c>
      <c r="E2689" s="22">
        <f>IF(D2689="?OLD","!!!","")</f>
        <v/>
      </c>
      <c r="F2689" s="23" t="str">
        <f>IF(OR(E2689="",E2689="!!!"),"",IF(NOT(ISNA(VLOOKUP(E2689,E$1:E2688,1,FALSE()))),"OLD",IF(AND(E2689&lt;&gt;"",E2689&lt;&gt;"!!!"),"NEW","")))</f>
        <v> </v>
      </c>
      <c r="G2689" s="24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5" t="str">
        <f>IF(J2689&lt;&gt;1,"",IF(I2689="SBJ","CB","?"))</f>
        <v> </v>
      </c>
      <c r="I2689" s="26" t="str">
        <f>IF(OR(E2689="",E2689="!!!",F2689="NEW"),"",INDEX(B2688:B$2,-1+SUMPRODUCT(MAX(ROW(E2688:E$2)*(E2689=E2688:E$2)))))</f>
        <v> </v>
      </c>
      <c r="J2689" s="26" t="str">
        <f>IF(OR(E2689="",E2689="!!!",F2689="NEW"),"",COUNTBLANK(OFFSET(A$1,,,SUMPRODUCT(MAX(ROW(E$2:E2689)*(E2689=E$2:E2689)))))-COUNTBLANK(OFFSET(A$1,,,SUMPRODUCT(MAX(ROW(E$1:E2688)*(E2=E$1:E2688))))))</f>
        <v> </v>
      </c>
      <c r="K2689" s="26" t="str">
        <f>IF(OR(E2689="",E2689="!!!",F2689="NEW"),"",INDEX(J$1:J2688,SUMPRODUCT(MAX(ROW(E$1:E2688)*(E2689=E$1:E2688)))))</f>
        <v> </v>
      </c>
      <c r="L2689" s="27"/>
    </row>
    <row r="2690" spans="1:12">
      <c r="A2690" s="20" t="s">
        <v>1840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 t="s">
        <v>721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779</v>
      </c>
      <c r="B2692" s="21" t="s">
        <v>1114</v>
      </c>
      <c r="C2692" s="21" t="s">
        <v>719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 t="s">
        <v>847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 t="s">
        <v>755</v>
      </c>
      <c r="E2694" s="22">
        <f>IF(D2694="?OLD","!!!","")</f>
        <v/>
      </c>
      <c r="F2694" s="23" t="str">
        <f>IF(OR(E2694="",E2694="!!!"),"",IF(NOT(ISNA(VLOOKUP(E2694,E$1:E2693,1,FALSE()))),"OLD",IF(AND(E2694&lt;&gt;"",E2694&lt;&gt;"!!!"),"NEW","")))</f>
        <v> </v>
      </c>
      <c r="G2694" s="24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5" t="str">
        <f>IF(J2694&lt;&gt;1,"",IF(I2694="SBJ","CB","?"))</f>
        <v> </v>
      </c>
      <c r="I2694" s="26" t="str">
        <f>IF(OR(E2694="",E2694="!!!",F2694="NEW"),"",INDEX(B2693:B$2,-1+SUMPRODUCT(MAX(ROW(E2693:E$2)*(E2694=E2693:E$2)))))</f>
        <v> </v>
      </c>
      <c r="J2694" s="26" t="str">
        <f>IF(OR(E2694="",E2694="!!!",F2694="NEW"),"",COUNTBLANK(OFFSET(A$1,,,SUMPRODUCT(MAX(ROW(E$2:E2694)*(E2694=E$2:E2694)))))-COUNTBLANK(OFFSET(A$1,,,SUMPRODUCT(MAX(ROW(E$1:E2693)*(E2=E$1:E2693))))))</f>
        <v> </v>
      </c>
      <c r="K2694" s="26" t="str">
        <f>IF(OR(E2694="",E2694="!!!",F2694="NEW"),"",INDEX(J$1:J2693,SUMPRODUCT(MAX(ROW(E$1:E2693)*(E2694=E$1:E2693)))))</f>
        <v> </v>
      </c>
      <c r="L2694" s="27"/>
    </row>
    <row r="2695" spans="1:12">
      <c r="A2695" s="20" t="s">
        <v>997</v>
      </c>
      <c r="B2695" s="21" t="s">
        <v>1841</v>
      </c>
      <c r="C2695" s="21" t="s">
        <v>747</v>
      </c>
      <c r="D2695" s="21" t="s">
        <v>728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1842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 t="s">
        <v>839</v>
      </c>
      <c r="E2697" s="22">
        <f>IF(D2697="?OLD","!!!","")</f>
        <v/>
      </c>
      <c r="F2697" s="23" t="str">
        <f>IF(OR(E2697="",E2697="!!!"),"",IF(NOT(ISNA(VLOOKUP(E2697,E$1:E2696,1,FALSE()))),"OLD",IF(AND(E2697&lt;&gt;"",E2697&lt;&gt;"!!!"),"NEW","")))</f>
        <v> </v>
      </c>
      <c r="G2697" s="24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5" t="str">
        <f>IF(J2697&lt;&gt;1,"",IF(I2697="SBJ","CB","?"))</f>
        <v> </v>
      </c>
      <c r="I2697" s="26" t="str">
        <f>IF(OR(E2697="",E2697="!!!",F2697="NEW"),"",INDEX(B2696:B$2,-1+SUMPRODUCT(MAX(ROW(E2696:E$2)*(E2697=E2696:E$2)))))</f>
        <v> </v>
      </c>
      <c r="J2697" s="26" t="str">
        <f>IF(OR(E2697="",E2697="!!!",F2697="NEW"),"",COUNTBLANK(OFFSET(A$1,,,SUMPRODUCT(MAX(ROW(E$2:E2697)*(E2697=E$2:E2697)))))-COUNTBLANK(OFFSET(A$1,,,SUMPRODUCT(MAX(ROW(E$1:E2696)*(E2=E$1:E2696))))))</f>
        <v> </v>
      </c>
      <c r="K2697" s="26" t="str">
        <f>IF(OR(E2697="",E2697="!!!",F2697="NEW"),"",INDEX(J$1:J2696,SUMPRODUCT(MAX(ROW(E$1:E2696)*(E2697=E$1:E2696)))))</f>
        <v> </v>
      </c>
      <c r="L2697" s="27"/>
    </row>
    <row r="2698" spans="1:12">
      <c r="A2698" s="20" t="s">
        <v>1007</v>
      </c>
      <c r="E2698" s="22">
        <f>IF(D2698="?OLD","!!!","")</f>
        <v/>
      </c>
      <c r="F2698" s="23" t="str">
        <f>IF(OR(E2698="",E2698="!!!"),"",IF(NOT(ISNA(VLOOKUP(E2698,E$1:E2697,1,FALSE()))),"OLD",IF(AND(E2698&lt;&gt;"",E2698&lt;&gt;"!!!"),"NEW","")))</f>
        <v> </v>
      </c>
      <c r="G2698" s="24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5" t="str">
        <f>IF(J2698&lt;&gt;1,"",IF(I2698="SBJ","CB","?"))</f>
        <v> </v>
      </c>
      <c r="I2698" s="26" t="str">
        <f>IF(OR(E2698="",E2698="!!!",F2698="NEW"),"",INDEX(B2697:B$2,-1+SUMPRODUCT(MAX(ROW(E2697:E$2)*(E2698=E2697:E$2)))))</f>
        <v> </v>
      </c>
      <c r="J2698" s="26" t="str">
        <f>IF(OR(E2698="",E2698="!!!",F2698="NEW"),"",COUNTBLANK(OFFSET(A$1,,,SUMPRODUCT(MAX(ROW(E$2:E2698)*(E2698=E$2:E2698)))))-COUNTBLANK(OFFSET(A$1,,,SUMPRODUCT(MAX(ROW(E$1:E2697)*(E2=E$1:E2697))))))</f>
        <v> </v>
      </c>
      <c r="K2698" s="26" t="str">
        <f>IF(OR(E2698="",E2698="!!!",F2698="NEW"),"",INDEX(J$1:J2697,SUMPRODUCT(MAX(ROW(E$1:E2697)*(E2698=E$1:E2697)))))</f>
        <v> </v>
      </c>
      <c r="L2698" s="27"/>
    </row>
    <row r="2699" spans="1:12">
      <c r="A2699" s="20" t="s">
        <v>746</v>
      </c>
      <c r="B2699" s="21" t="s">
        <v>1114</v>
      </c>
      <c r="C2699" s="21" t="s">
        <v>747</v>
      </c>
      <c r="D2699" s="21" t="s">
        <v>728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748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1843</v>
      </c>
      <c r="B2701" s="21" t="s">
        <v>1109</v>
      </c>
      <c r="C2701" s="21" t="s">
        <v>891</v>
      </c>
      <c r="D2701" s="21" t="s">
        <v>728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732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/>
    </row>
    <row r="2704" spans="1:12">
      <c r="A2704" s="20" t="s">
        <v>1844</v>
      </c>
    </row>
    <row r="2705" spans="1:12">
      <c r="A2705" s="20" t="s">
        <v>746</v>
      </c>
      <c r="B2705" s="21" t="s">
        <v>726</v>
      </c>
      <c r="C2705" s="21" t="s">
        <v>747</v>
      </c>
      <c r="D2705" s="21" t="s">
        <v>728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741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1845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 t="s">
        <v>732</v>
      </c>
      <c r="E2708" s="22">
        <f>IF(D2708="?OLD","!!!","")</f>
        <v/>
      </c>
      <c r="F2708" s="23" t="str">
        <f>IF(OR(E2708="",E2708="!!!"),"",IF(NOT(ISNA(VLOOKUP(E2708,E$1:E2707,1,FALSE()))),"OLD",IF(AND(E2708&lt;&gt;"",E2708&lt;&gt;"!!!"),"NEW","")))</f>
        <v> </v>
      </c>
      <c r="G2708" s="24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5" t="str">
        <f>IF(J2708&lt;&gt;1,"",IF(I2708="SBJ","CB","?"))</f>
        <v> </v>
      </c>
      <c r="I2708" s="26" t="str">
        <f>IF(OR(E2708="",E2708="!!!",F2708="NEW"),"",INDEX(B2707:B$2,-1+SUMPRODUCT(MAX(ROW(E2707:E$2)*(E2708=E2707:E$2)))))</f>
        <v> </v>
      </c>
      <c r="J2708" s="26" t="str">
        <f>IF(OR(E2708="",E2708="!!!",F2708="NEW"),"",COUNTBLANK(OFFSET(A$1,,,SUMPRODUCT(MAX(ROW(E$2:E2708)*(E2708=E$2:E2708)))))-COUNTBLANK(OFFSET(A$1,,,SUMPRODUCT(MAX(ROW(E$1:E2707)*(E2=E$1:E2707))))))</f>
        <v> </v>
      </c>
      <c r="K2708" s="26" t="str">
        <f>IF(OR(E2708="",E2708="!!!",F2708="NEW"),"",INDEX(J$1:J2707,SUMPRODUCT(MAX(ROW(E$1:E2707)*(E2708=E$1:E2707)))))</f>
        <v> </v>
      </c>
      <c r="L2708" s="27"/>
    </row>
    <row r="2709" spans="1:12">
      <c r="A2709" s="20"/>
    </row>
    <row r="2710" spans="1:12">
      <c r="A2710" s="20" t="s">
        <v>1846</v>
      </c>
    </row>
    <row r="2711" spans="1:12">
      <c r="A2711" s="20" t="s">
        <v>746</v>
      </c>
      <c r="B2711" s="21" t="s">
        <v>726</v>
      </c>
      <c r="C2711" s="21" t="s">
        <v>747</v>
      </c>
      <c r="D2711" s="21" t="s">
        <v>728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1326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654</v>
      </c>
      <c r="B2713" s="21" t="s">
        <v>726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12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1847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1848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1752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1753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732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/>
    </row>
    <row r="2721" spans="1:12">
      <c r="A2721" s="20" t="s">
        <v>1849</v>
      </c>
    </row>
    <row r="2722" spans="1:12">
      <c r="A2722" s="20" t="s">
        <v>1341</v>
      </c>
      <c r="B2722" s="21" t="s">
        <v>726</v>
      </c>
      <c r="C2722" s="21" t="s">
        <v>727</v>
      </c>
      <c r="D2722" s="21" t="s">
        <v>728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 t="s">
        <v>1584</v>
      </c>
      <c r="E2723" s="22">
        <f>IF(D2723="?OLD","!!!","")</f>
        <v/>
      </c>
      <c r="F2723" s="23" t="str">
        <f>IF(OR(E2723="",E2723="!!!"),"",IF(NOT(ISNA(VLOOKUP(E2723,E$1:E2722,1,FALSE()))),"OLD",IF(AND(E2723&lt;&gt;"",E2723&lt;&gt;"!!!"),"NEW","")))</f>
        <v> </v>
      </c>
      <c r="G2723" s="24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5" t="str">
        <f>IF(J2723&lt;&gt;1,"",IF(I2723="SBJ","CB","?"))</f>
        <v> </v>
      </c>
      <c r="I2723" s="26" t="str">
        <f>IF(OR(E2723="",E2723="!!!",F2723="NEW"),"",INDEX(B2722:B$2,-1+SUMPRODUCT(MAX(ROW(E2722:E$2)*(E2723=E2722:E$2)))))</f>
        <v> </v>
      </c>
      <c r="J2723" s="26" t="str">
        <f>IF(OR(E2723="",E2723="!!!",F2723="NEW"),"",COUNTBLANK(OFFSET(A$1,,,SUMPRODUCT(MAX(ROW(E$2:E2723)*(E2723=E$2:E2723)))))-COUNTBLANK(OFFSET(A$1,,,SUMPRODUCT(MAX(ROW(E$1:E2722)*(E2=E$1:E2722))))))</f>
        <v> </v>
      </c>
      <c r="K2723" s="26" t="str">
        <f>IF(OR(E2723="",E2723="!!!",F2723="NEW"),"",INDEX(J$1:J2722,SUMPRODUCT(MAX(ROW(E$1:E2722)*(E2723=E$1:E2722)))))</f>
        <v> </v>
      </c>
      <c r="L2723" s="27"/>
    </row>
    <row r="2724" spans="1:12">
      <c r="A2724" s="20" t="s">
        <v>1850</v>
      </c>
      <c r="E2724" s="22">
        <f>IF(D2724="?OLD","!!!","")</f>
        <v/>
      </c>
      <c r="F2724" s="23" t="str">
        <f>IF(OR(E2724="",E2724="!!!"),"",IF(NOT(ISNA(VLOOKUP(E2724,E$1:E2723,1,FALSE()))),"OLD",IF(AND(E2724&lt;&gt;"",E2724&lt;&gt;"!!!"),"NEW","")))</f>
        <v> </v>
      </c>
      <c r="G2724" s="24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5" t="str">
        <f>IF(J2724&lt;&gt;1,"",IF(I2724="SBJ","CB","?"))</f>
        <v> </v>
      </c>
      <c r="I2724" s="26" t="str">
        <f>IF(OR(E2724="",E2724="!!!",F2724="NEW"),"",INDEX(B2723:B$2,-1+SUMPRODUCT(MAX(ROW(E2723:E$2)*(E2724=E2723:E$2)))))</f>
        <v> </v>
      </c>
      <c r="J2724" s="26" t="str">
        <f>IF(OR(E2724="",E2724="!!!",F2724="NEW"),"",COUNTBLANK(OFFSET(A$1,,,SUMPRODUCT(MAX(ROW(E$2:E2724)*(E2724=E$2:E2724)))))-COUNTBLANK(OFFSET(A$1,,,SUMPRODUCT(MAX(ROW(E$1:E2723)*(E2=E$1:E2723))))))</f>
        <v> </v>
      </c>
      <c r="K2724" s="26" t="str">
        <f>IF(OR(E2724="",E2724="!!!",F2724="NEW"),"",INDEX(J$1:J2723,SUMPRODUCT(MAX(ROW(E$1:E2723)*(E2724=E$1:E2723)))))</f>
        <v> </v>
      </c>
      <c r="L2724" s="27"/>
    </row>
    <row r="2725" spans="1:12">
      <c r="A2725" s="20" t="s">
        <v>1851</v>
      </c>
      <c r="B2725" s="21" t="s">
        <v>784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 t="s">
        <v>1852</v>
      </c>
      <c r="E2726" s="22">
        <f>IF(D2726="?OLD","!!!","")</f>
        <v/>
      </c>
      <c r="F2726" s="23" t="str">
        <f>IF(OR(E2726="",E2726="!!!"),"",IF(NOT(ISNA(VLOOKUP(E2726,E$1:E2725,1,FALSE()))),"OLD",IF(AND(E2726&lt;&gt;"",E2726&lt;&gt;"!!!"),"NEW","")))</f>
        <v> </v>
      </c>
      <c r="G2726" s="24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5" t="str">
        <f>IF(J2726&lt;&gt;1,"",IF(I2726="SBJ","CB","?"))</f>
        <v> </v>
      </c>
      <c r="I2726" s="26" t="str">
        <f>IF(OR(E2726="",E2726="!!!",F2726="NEW"),"",INDEX(B2725:B$2,-1+SUMPRODUCT(MAX(ROW(E2725:E$2)*(E2726=E2725:E$2)))))</f>
        <v> </v>
      </c>
      <c r="J2726" s="26" t="str">
        <f>IF(OR(E2726="",E2726="!!!",F2726="NEW"),"",COUNTBLANK(OFFSET(A$1,,,SUMPRODUCT(MAX(ROW(E$2:E2726)*(E2726=E$2:E2726)))))-COUNTBLANK(OFFSET(A$1,,,SUMPRODUCT(MAX(ROW(E$1:E2725)*(E2=E$1:E2725))))))</f>
        <v> </v>
      </c>
      <c r="K2726" s="26" t="str">
        <f>IF(OR(E2726="",E2726="!!!",F2726="NEW"),"",INDEX(J$1:J2725,SUMPRODUCT(MAX(ROW(E$1:E2725)*(E2726=E$1:E2725)))))</f>
        <v> </v>
      </c>
      <c r="L2726" s="27"/>
    </row>
    <row r="2727" spans="1:12">
      <c r="A2727" s="20" t="s">
        <v>1853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721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654</v>
      </c>
      <c r="B2729" s="21" t="s">
        <v>767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 t="s">
        <v>1854</v>
      </c>
      <c r="E2730" s="22">
        <f>IF(D2730="?OLD","!!!","")</f>
        <v/>
      </c>
      <c r="F2730" s="23" t="str">
        <f>IF(OR(E2730="",E2730="!!!"),"",IF(NOT(ISNA(VLOOKUP(E2730,E$1:E2729,1,FALSE()))),"OLD",IF(AND(E2730&lt;&gt;"",E2730&lt;&gt;"!!!"),"NEW","")))</f>
        <v> </v>
      </c>
      <c r="G2730" s="24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5" t="str">
        <f>IF(J2730&lt;&gt;1,"",IF(I2730="SBJ","CB","?"))</f>
        <v> </v>
      </c>
      <c r="I2730" s="26" t="str">
        <f>IF(OR(E2730="",E2730="!!!",F2730="NEW"),"",INDEX(B2729:B$2,-1+SUMPRODUCT(MAX(ROW(E2729:E$2)*(E2730=E2729:E$2)))))</f>
        <v> </v>
      </c>
      <c r="J2730" s="26" t="str">
        <f>IF(OR(E2730="",E2730="!!!",F2730="NEW"),"",COUNTBLANK(OFFSET(A$1,,,SUMPRODUCT(MAX(ROW(E$2:E2730)*(E2730=E$2:E2730)))))-COUNTBLANK(OFFSET(A$1,,,SUMPRODUCT(MAX(ROW(E$1:E2729)*(E2=E$1:E2729))))))</f>
        <v> </v>
      </c>
      <c r="K2730" s="26" t="str">
        <f>IF(OR(E2730="",E2730="!!!",F2730="NEW"),"",INDEX(J$1:J2729,SUMPRODUCT(MAX(ROW(E$1:E2729)*(E2730=E$1:E2729)))))</f>
        <v> </v>
      </c>
      <c r="L2730" s="27"/>
    </row>
    <row r="2731" spans="1:12">
      <c r="A2731" s="20" t="s">
        <v>721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654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721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1855</v>
      </c>
      <c r="B2734" s="21" t="s">
        <v>812</v>
      </c>
      <c r="C2734" s="21" t="s">
        <v>719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1856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1857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1465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 t="s">
        <v>1535</v>
      </c>
      <c r="E2738" s="22">
        <f>IF(D2738="?OLD","!!!","")</f>
        <v/>
      </c>
      <c r="F2738" s="23" t="str">
        <f>IF(OR(E2738="",E2738="!!!"),"",IF(NOT(ISNA(VLOOKUP(E2738,E$1:E2737,1,FALSE()))),"OLD",IF(AND(E2738&lt;&gt;"",E2738&lt;&gt;"!!!"),"NEW","")))</f>
        <v> </v>
      </c>
      <c r="G2738" s="24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5" t="str">
        <f>IF(J2738&lt;&gt;1,"",IF(I2738="SBJ","CB","?"))</f>
        <v> </v>
      </c>
      <c r="I2738" s="26" t="str">
        <f>IF(OR(E2738="",E2738="!!!",F2738="NEW"),"",INDEX(B2737:B$2,-1+SUMPRODUCT(MAX(ROW(E2737:E$2)*(E2738=E2737:E$2)))))</f>
        <v> </v>
      </c>
      <c r="J2738" s="26" t="str">
        <f>IF(OR(E2738="",E2738="!!!",F2738="NEW"),"",COUNTBLANK(OFFSET(A$1,,,SUMPRODUCT(MAX(ROW(E$2:E2738)*(E2738=E$2:E2738)))))-COUNTBLANK(OFFSET(A$1,,,SUMPRODUCT(MAX(ROW(E$1:E2737)*(E2=E$1:E2737))))))</f>
        <v> </v>
      </c>
      <c r="K2738" s="26" t="str">
        <f>IF(OR(E2738="",E2738="!!!",F2738="NEW"),"",INDEX(J$1:J2737,SUMPRODUCT(MAX(ROW(E$1:E2737)*(E2738=E$1:E2737)))))</f>
        <v> </v>
      </c>
      <c r="L2738" s="27"/>
    </row>
    <row r="2739" spans="1:12">
      <c r="A2739" s="20" t="s">
        <v>1858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 t="s">
        <v>1859</v>
      </c>
      <c r="B2740" s="21" t="s">
        <v>789</v>
      </c>
      <c r="C2740" s="21" t="s">
        <v>790</v>
      </c>
      <c r="D2740" s="21" t="s">
        <v>728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721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1855</v>
      </c>
      <c r="B2742" s="21" t="s">
        <v>963</v>
      </c>
      <c r="C2742" s="21" t="s">
        <v>719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1424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 t="s">
        <v>1860</v>
      </c>
      <c r="E2744" s="22">
        <f>IF(D2744="?OLD","!!!","")</f>
        <v/>
      </c>
      <c r="F2744" s="23" t="str">
        <f>IF(OR(E2744="",E2744="!!!"),"",IF(NOT(ISNA(VLOOKUP(E2744,E$1:E2743,1,FALSE()))),"OLD",IF(AND(E2744&lt;&gt;"",E2744&lt;&gt;"!!!"),"NEW","")))</f>
        <v> </v>
      </c>
      <c r="G2744" s="24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5" t="str">
        <f>IF(J2744&lt;&gt;1,"",IF(I2744="SBJ","CB","?"))</f>
        <v> </v>
      </c>
      <c r="I2744" s="26" t="str">
        <f>IF(OR(E2744="",E2744="!!!",F2744="NEW"),"",INDEX(B2743:B$2,-1+SUMPRODUCT(MAX(ROW(E2743:E$2)*(E2744=E2743:E$2)))))</f>
        <v> </v>
      </c>
      <c r="J2744" s="26" t="str">
        <f>IF(OR(E2744="",E2744="!!!",F2744="NEW"),"",COUNTBLANK(OFFSET(A$1,,,SUMPRODUCT(MAX(ROW(E$2:E2744)*(E2744=E$2:E2744)))))-COUNTBLANK(OFFSET(A$1,,,SUMPRODUCT(MAX(ROW(E$1:E2743)*(E2=E$1:E2743))))))</f>
        <v> </v>
      </c>
      <c r="K2744" s="26" t="str">
        <f>IF(OR(E2744="",E2744="!!!",F2744="NEW"),"",INDEX(J$1:J2743,SUMPRODUCT(MAX(ROW(E$1:E2743)*(E2744=E$1:E2743)))))</f>
        <v> </v>
      </c>
      <c r="L2744" s="27"/>
    </row>
    <row r="2745" spans="1:12">
      <c r="A2745" s="20" t="s">
        <v>1861</v>
      </c>
      <c r="B2745" s="21" t="s">
        <v>772</v>
      </c>
      <c r="E2745" s="22">
        <f>IF(D2745="?OLD","!!!","")</f>
        <v/>
      </c>
      <c r="F2745" s="23" t="str">
        <f>IF(OR(E2745="",E2745="!!!"),"",IF(NOT(ISNA(VLOOKUP(E2745,E$1:E2744,1,FALSE()))),"OLD",IF(AND(E2745&lt;&gt;"",E2745&lt;&gt;"!!!"),"NEW","")))</f>
        <v> </v>
      </c>
      <c r="G2745" s="24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5" t="str">
        <f>IF(J2745&lt;&gt;1,"",IF(I2745="SBJ","CB","?"))</f>
        <v> </v>
      </c>
      <c r="I2745" s="26" t="str">
        <f>IF(OR(E2745="",E2745="!!!",F2745="NEW"),"",INDEX(B2744:B$2,-1+SUMPRODUCT(MAX(ROW(E2744:E$2)*(E2745=E2744:E$2)))))</f>
        <v> </v>
      </c>
      <c r="J2745" s="26" t="str">
        <f>IF(OR(E2745="",E2745="!!!",F2745="NEW"),"",COUNTBLANK(OFFSET(A$1,,,SUMPRODUCT(MAX(ROW(E$2:E2745)*(E2745=E$2:E2745)))))-COUNTBLANK(OFFSET(A$1,,,SUMPRODUCT(MAX(ROW(E$1:E2744)*(E2=E$1:E2744))))))</f>
        <v> </v>
      </c>
      <c r="K2745" s="26" t="str">
        <f>IF(OR(E2745="",E2745="!!!",F2745="NEW"),"",INDEX(J$1:J2744,SUMPRODUCT(MAX(ROW(E$1:E2744)*(E2745=E$1:E2744)))))</f>
        <v> </v>
      </c>
      <c r="L2745" s="27"/>
    </row>
    <row r="2746" spans="1:12">
      <c r="A2746" s="20" t="s">
        <v>1862</v>
      </c>
      <c r="E2746" s="22">
        <f>IF(D2746="?OLD","!!!","")</f>
        <v/>
      </c>
      <c r="F2746" s="23" t="str">
        <f>IF(OR(E2746="",E2746="!!!"),"",IF(NOT(ISNA(VLOOKUP(E2746,E$1:E2745,1,FALSE()))),"OLD",IF(AND(E2746&lt;&gt;"",E2746&lt;&gt;"!!!"),"NEW","")))</f>
        <v> </v>
      </c>
      <c r="G2746" s="24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5" t="str">
        <f>IF(J2746&lt;&gt;1,"",IF(I2746="SBJ","CB","?"))</f>
        <v> </v>
      </c>
      <c r="I2746" s="26" t="str">
        <f>IF(OR(E2746="",E2746="!!!",F2746="NEW"),"",INDEX(B2745:B$2,-1+SUMPRODUCT(MAX(ROW(E2745:E$2)*(E2746=E2745:E$2)))))</f>
        <v> </v>
      </c>
      <c r="J2746" s="26" t="str">
        <f>IF(OR(E2746="",E2746="!!!",F2746="NEW"),"",COUNTBLANK(OFFSET(A$1,,,SUMPRODUCT(MAX(ROW(E$2:E2746)*(E2746=E$2:E2746)))))-COUNTBLANK(OFFSET(A$1,,,SUMPRODUCT(MAX(ROW(E$1:E2745)*(E2=E$1:E2745))))))</f>
        <v> </v>
      </c>
      <c r="K2746" s="26" t="str">
        <f>IF(OR(E2746="",E2746="!!!",F2746="NEW"),"",INDEX(J$1:J2745,SUMPRODUCT(MAX(ROW(E$1:E2745)*(E2746=E$1:E2745)))))</f>
        <v> </v>
      </c>
      <c r="L2746" s="27"/>
    </row>
    <row r="2747" spans="1:12">
      <c r="A2747" s="20" t="s">
        <v>732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/>
    </row>
    <row r="2749" spans="1:12">
      <c r="A2749" s="20" t="s">
        <v>1863</v>
      </c>
    </row>
    <row r="2750" spans="1:12">
      <c r="A2750" s="20" t="s">
        <v>746</v>
      </c>
      <c r="B2750" s="21" t="s">
        <v>726</v>
      </c>
      <c r="C2750" s="21" t="s">
        <v>747</v>
      </c>
      <c r="D2750" s="21" t="s">
        <v>728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871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654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 t="s">
        <v>808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871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1864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1467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732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/>
    </row>
    <row r="2759" spans="1:12">
      <c r="A2759" s="20" t="s">
        <v>1865</v>
      </c>
    </row>
    <row r="2760" spans="1:12">
      <c r="A2760" s="20" t="s">
        <v>1866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1867</v>
      </c>
      <c r="B2761" s="21" t="s">
        <v>796</v>
      </c>
      <c r="C2761" s="21" t="s">
        <v>833</v>
      </c>
      <c r="D2761" s="21" t="s">
        <v>728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1868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1869</v>
      </c>
      <c r="B2763" s="21" t="s">
        <v>726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1870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1871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871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1521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 t="s">
        <v>1872</v>
      </c>
      <c r="E2768" s="22">
        <f>IF(D2768="?OLD","!!!","")</f>
        <v/>
      </c>
      <c r="F2768" s="23" t="str">
        <f>IF(OR(E2768="",E2768="!!!"),"",IF(NOT(ISNA(VLOOKUP(E2768,E$1:E2767,1,FALSE()))),"OLD",IF(AND(E2768&lt;&gt;"",E2768&lt;&gt;"!!!"),"NEW","")))</f>
        <v> </v>
      </c>
      <c r="G2768" s="24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5" t="str">
        <f>IF(J2768&lt;&gt;1,"",IF(I2768="SBJ","CB","?"))</f>
        <v> </v>
      </c>
      <c r="I2768" s="26" t="str">
        <f>IF(OR(E2768="",E2768="!!!",F2768="NEW"),"",INDEX(B2767:B$2,-1+SUMPRODUCT(MAX(ROW(E2767:E$2)*(E2768=E2767:E$2)))))</f>
        <v> </v>
      </c>
      <c r="J2768" s="26" t="str">
        <f>IF(OR(E2768="",E2768="!!!",F2768="NEW"),"",COUNTBLANK(OFFSET(A$1,,,SUMPRODUCT(MAX(ROW(E$2:E2768)*(E2768=E$2:E2768)))))-COUNTBLANK(OFFSET(A$1,,,SUMPRODUCT(MAX(ROW(E$1:E2767)*(E2=E$1:E2767))))))</f>
        <v> </v>
      </c>
      <c r="K2768" s="26" t="str">
        <f>IF(OR(E2768="",E2768="!!!",F2768="NEW"),"",INDEX(J$1:J2767,SUMPRODUCT(MAX(ROW(E$1:E2767)*(E2768=E$1:E2767)))))</f>
        <v> </v>
      </c>
      <c r="L2768" s="27"/>
    </row>
    <row r="2769" spans="1:12">
      <c r="A2769" s="20" t="s">
        <v>1873</v>
      </c>
      <c r="E2769" s="22">
        <f>IF(D2769="?OLD","!!!","")</f>
        <v/>
      </c>
      <c r="F2769" s="23" t="str">
        <f>IF(OR(E2769="",E2769="!!!"),"",IF(NOT(ISNA(VLOOKUP(E2769,E$1:E2768,1,FALSE()))),"OLD",IF(AND(E2769&lt;&gt;"",E2769&lt;&gt;"!!!"),"NEW","")))</f>
        <v> </v>
      </c>
      <c r="G2769" s="24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5" t="str">
        <f>IF(J2769&lt;&gt;1,"",IF(I2769="SBJ","CB","?"))</f>
        <v> </v>
      </c>
      <c r="I2769" s="26" t="str">
        <f>IF(OR(E2769="",E2769="!!!",F2769="NEW"),"",INDEX(B2768:B$2,-1+SUMPRODUCT(MAX(ROW(E2768:E$2)*(E2769=E2768:E$2)))))</f>
        <v> </v>
      </c>
      <c r="J2769" s="26" t="str">
        <f>IF(OR(E2769="",E2769="!!!",F2769="NEW"),"",COUNTBLANK(OFFSET(A$1,,,SUMPRODUCT(MAX(ROW(E$2:E2769)*(E2769=E$2:E2769)))))-COUNTBLANK(OFFSET(A$1,,,SUMPRODUCT(MAX(ROW(E$1:E2768)*(E2=E$1:E2768))))))</f>
        <v> </v>
      </c>
      <c r="K2769" s="26" t="str">
        <f>IF(OR(E2769="",E2769="!!!",F2769="NEW"),"",INDEX(J$1:J2768,SUMPRODUCT(MAX(ROW(E$1:E2768)*(E2769=E$1:E2768)))))</f>
        <v> </v>
      </c>
      <c r="L2769" s="27"/>
    </row>
    <row r="2770" spans="1:12">
      <c r="A2770" s="20" t="s">
        <v>721</v>
      </c>
      <c r="E2770" s="22">
        <f>IF(D2770="?OLD","!!!","")</f>
        <v/>
      </c>
      <c r="F2770" s="23" t="str">
        <f>IF(OR(E2770="",E2770="!!!"),"",IF(NOT(ISNA(VLOOKUP(E2770,E$1:E2769,1,FALSE()))),"OLD",IF(AND(E2770&lt;&gt;"",E2770&lt;&gt;"!!!"),"NEW","")))</f>
        <v> </v>
      </c>
      <c r="G2770" s="24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5" t="str">
        <f>IF(J2770&lt;&gt;1,"",IF(I2770="SBJ","CB","?"))</f>
        <v> </v>
      </c>
      <c r="I2770" s="26" t="str">
        <f>IF(OR(E2770="",E2770="!!!",F2770="NEW"),"",INDEX(B2769:B$2,-1+SUMPRODUCT(MAX(ROW(E2769:E$2)*(E2770=E2769:E$2)))))</f>
        <v> </v>
      </c>
      <c r="J2770" s="26" t="str">
        <f>IF(OR(E2770="",E2770="!!!",F2770="NEW"),"",COUNTBLANK(OFFSET(A$1,,,SUMPRODUCT(MAX(ROW(E$2:E2770)*(E2770=E$2:E2770)))))-COUNTBLANK(OFFSET(A$1,,,SUMPRODUCT(MAX(ROW(E$1:E2769)*(E2=E$1:E2769))))))</f>
        <v> </v>
      </c>
      <c r="K2770" s="26" t="str">
        <f>IF(OR(E2770="",E2770="!!!",F2770="NEW"),"",INDEX(J$1:J2769,SUMPRODUCT(MAX(ROW(E$1:E2769)*(E2770=E$1:E2769)))))</f>
        <v> </v>
      </c>
      <c r="L2770" s="27"/>
    </row>
    <row r="2771" spans="1:12">
      <c r="A2771" s="20" t="s">
        <v>980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1521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1872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1874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1875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 t="s">
        <v>721</v>
      </c>
      <c r="E2776" s="22">
        <f>IF(D2776="?OLD","!!!","")</f>
        <v/>
      </c>
      <c r="F2776" s="23" t="str">
        <f>IF(OR(E2776="",E2776="!!!"),"",IF(NOT(ISNA(VLOOKUP(E2776,E$1:E2775,1,FALSE()))),"OLD",IF(AND(E2776&lt;&gt;"",E2776&lt;&gt;"!!!"),"NEW","")))</f>
        <v> </v>
      </c>
      <c r="G2776" s="24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5" t="str">
        <f>IF(J2776&lt;&gt;1,"",IF(I2776="SBJ","CB","?"))</f>
        <v> </v>
      </c>
      <c r="I2776" s="26" t="str">
        <f>IF(OR(E2776="",E2776="!!!",F2776="NEW"),"",INDEX(B2775:B$2,-1+SUMPRODUCT(MAX(ROW(E2775:E$2)*(E2776=E2775:E$2)))))</f>
        <v> </v>
      </c>
      <c r="J2776" s="26" t="str">
        <f>IF(OR(E2776="",E2776="!!!",F2776="NEW"),"",COUNTBLANK(OFFSET(A$1,,,SUMPRODUCT(MAX(ROW(E$2:E2776)*(E2776=E$2:E2776)))))-COUNTBLANK(OFFSET(A$1,,,SUMPRODUCT(MAX(ROW(E$1:E2775)*(E2=E$1:E2775))))))</f>
        <v> </v>
      </c>
      <c r="K2776" s="26" t="str">
        <f>IF(OR(E2776="",E2776="!!!",F2776="NEW"),"",INDEX(J$1:J2775,SUMPRODUCT(MAX(ROW(E$1:E2775)*(E2776=E$1:E2775)))))</f>
        <v> </v>
      </c>
      <c r="L2776" s="27"/>
    </row>
    <row r="2777" spans="1:12">
      <c r="A2777" s="20" t="s">
        <v>871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1521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1876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808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1877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721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980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1521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1878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1239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721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871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1521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1399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 t="s">
        <v>1879</v>
      </c>
      <c r="E2791" s="22">
        <f>IF(D2791="?OLD","!!!","")</f>
        <v/>
      </c>
      <c r="F2791" s="23" t="str">
        <f>IF(OR(E2791="",E2791="!!!"),"",IF(NOT(ISNA(VLOOKUP(E2791,E$1:E2790,1,FALSE()))),"OLD",IF(AND(E2791&lt;&gt;"",E2791&lt;&gt;"!!!"),"NEW","")))</f>
        <v> </v>
      </c>
      <c r="G2791" s="24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5" t="str">
        <f>IF(J2791&lt;&gt;1,"",IF(I2791="SBJ","CB","?"))</f>
        <v> </v>
      </c>
      <c r="I2791" s="26" t="str">
        <f>IF(OR(E2791="",E2791="!!!",F2791="NEW"),"",INDEX(B2790:B$2,-1+SUMPRODUCT(MAX(ROW(E2790:E$2)*(E2791=E2790:E$2)))))</f>
        <v> </v>
      </c>
      <c r="J2791" s="26" t="str">
        <f>IF(OR(E2791="",E2791="!!!",F2791="NEW"),"",COUNTBLANK(OFFSET(A$1,,,SUMPRODUCT(MAX(ROW(E$2:E2791)*(E2791=E$2:E2791)))))-COUNTBLANK(OFFSET(A$1,,,SUMPRODUCT(MAX(ROW(E$1:E2790)*(E2=E$1:E2790))))))</f>
        <v> </v>
      </c>
      <c r="K2791" s="26" t="str">
        <f>IF(OR(E2791="",E2791="!!!",F2791="NEW"),"",INDEX(J$1:J2790,SUMPRODUCT(MAX(ROW(E$1:E2790)*(E2791=E$1:E2790)))))</f>
        <v> </v>
      </c>
      <c r="L2791" s="27"/>
    </row>
    <row r="2792" spans="1:12">
      <c r="A2792" s="20" t="s">
        <v>721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980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1521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 t="s">
        <v>1880</v>
      </c>
      <c r="E2795" s="22">
        <f>IF(D2795="?OLD","!!!","")</f>
        <v/>
      </c>
      <c r="F2795" s="23" t="str">
        <f>IF(OR(E2795="",E2795="!!!"),"",IF(NOT(ISNA(VLOOKUP(E2795,E$1:E2794,1,FALSE()))),"OLD",IF(AND(E2795&lt;&gt;"",E2795&lt;&gt;"!!!"),"NEW","")))</f>
        <v> </v>
      </c>
      <c r="G2795" s="24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5" t="str">
        <f>IF(J2795&lt;&gt;1,"",IF(I2795="SBJ","CB","?"))</f>
        <v> </v>
      </c>
      <c r="I2795" s="26" t="str">
        <f>IF(OR(E2795="",E2795="!!!",F2795="NEW"),"",INDEX(B2794:B$2,-1+SUMPRODUCT(MAX(ROW(E2794:E$2)*(E2795=E2794:E$2)))))</f>
        <v> </v>
      </c>
      <c r="J2795" s="26" t="str">
        <f>IF(OR(E2795="",E2795="!!!",F2795="NEW"),"",COUNTBLANK(OFFSET(A$1,,,SUMPRODUCT(MAX(ROW(E$2:E2795)*(E2795=E$2:E2795)))))-COUNTBLANK(OFFSET(A$1,,,SUMPRODUCT(MAX(ROW(E$1:E2794)*(E2=E$1:E2794))))))</f>
        <v> </v>
      </c>
      <c r="K2795" s="26" t="str">
        <f>IF(OR(E2795="",E2795="!!!",F2795="NEW"),"",INDEX(J$1:J2794,SUMPRODUCT(MAX(ROW(E$1:E2794)*(E2795=E$1:E2794)))))</f>
        <v> </v>
      </c>
      <c r="L2795" s="27"/>
    </row>
    <row r="2796" spans="1:12">
      <c r="A2796" s="20" t="s">
        <v>1275</v>
      </c>
      <c r="E2796" s="22">
        <f>IF(D2796="?OLD","!!!","")</f>
        <v/>
      </c>
      <c r="F2796" s="23" t="str">
        <f>IF(OR(E2796="",E2796="!!!"),"",IF(NOT(ISNA(VLOOKUP(E2796,E$1:E2795,1,FALSE()))),"OLD",IF(AND(E2796&lt;&gt;"",E2796&lt;&gt;"!!!"),"NEW","")))</f>
        <v> </v>
      </c>
      <c r="G2796" s="24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5" t="str">
        <f>IF(J2796&lt;&gt;1,"",IF(I2796="SBJ","CB","?"))</f>
        <v> </v>
      </c>
      <c r="I2796" s="26" t="str">
        <f>IF(OR(E2796="",E2796="!!!",F2796="NEW"),"",INDEX(B2795:B$2,-1+SUMPRODUCT(MAX(ROW(E2795:E$2)*(E2796=E2795:E$2)))))</f>
        <v> </v>
      </c>
      <c r="J2796" s="26" t="str">
        <f>IF(OR(E2796="",E2796="!!!",F2796="NEW"),"",COUNTBLANK(OFFSET(A$1,,,SUMPRODUCT(MAX(ROW(E$2:E2796)*(E2796=E$2:E2796)))))-COUNTBLANK(OFFSET(A$1,,,SUMPRODUCT(MAX(ROW(E$1:E2795)*(E2=E$1:E2795))))))</f>
        <v> </v>
      </c>
      <c r="K2796" s="26" t="str">
        <f>IF(OR(E2796="",E2796="!!!",F2796="NEW"),"",INDEX(J$1:J2795,SUMPRODUCT(MAX(ROW(E$1:E2795)*(E2796=E$1:E2795)))))</f>
        <v> </v>
      </c>
      <c r="L2796" s="27"/>
    </row>
    <row r="2797" spans="1:12">
      <c r="A2797" s="20" t="s">
        <v>721</v>
      </c>
      <c r="E2797" s="22">
        <f>IF(D2797="?OLD","!!!","")</f>
        <v/>
      </c>
      <c r="F2797" s="23" t="str">
        <f>IF(OR(E2797="",E2797="!!!"),"",IF(NOT(ISNA(VLOOKUP(E2797,E$1:E2796,1,FALSE()))),"OLD",IF(AND(E2797&lt;&gt;"",E2797&lt;&gt;"!!!"),"NEW","")))</f>
        <v> </v>
      </c>
      <c r="G2797" s="24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5" t="str">
        <f>IF(J2797&lt;&gt;1,"",IF(I2797="SBJ","CB","?"))</f>
        <v> </v>
      </c>
      <c r="I2797" s="26" t="str">
        <f>IF(OR(E2797="",E2797="!!!",F2797="NEW"),"",INDEX(B2796:B$2,-1+SUMPRODUCT(MAX(ROW(E2796:E$2)*(E2797=E2796:E$2)))))</f>
        <v> </v>
      </c>
      <c r="J2797" s="26" t="str">
        <f>IF(OR(E2797="",E2797="!!!",F2797="NEW"),"",COUNTBLANK(OFFSET(A$1,,,SUMPRODUCT(MAX(ROW(E$2:E2797)*(E2797=E$2:E2797)))))-COUNTBLANK(OFFSET(A$1,,,SUMPRODUCT(MAX(ROW(E$1:E2796)*(E2=E$1:E2796))))))</f>
        <v> </v>
      </c>
      <c r="K2797" s="26" t="str">
        <f>IF(OR(E2797="",E2797="!!!",F2797="NEW"),"",INDEX(J$1:J2796,SUMPRODUCT(MAX(ROW(E$1:E2796)*(E2797=E$1:E2796)))))</f>
        <v> </v>
      </c>
      <c r="L2797" s="27"/>
    </row>
    <row r="2798" spans="1:12">
      <c r="A2798" s="20" t="s">
        <v>871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1521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1881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721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980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1521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850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721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871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1521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1882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1883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808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 t="s">
        <v>1884</v>
      </c>
      <c r="E2811" s="22">
        <f>IF(D2811="?OLD","!!!","")</f>
        <v/>
      </c>
      <c r="F2811" s="23" t="str">
        <f>IF(OR(E2811="",E2811="!!!"),"",IF(NOT(ISNA(VLOOKUP(E2811,E$1:E2810,1,FALSE()))),"OLD",IF(AND(E2811&lt;&gt;"",E2811&lt;&gt;"!!!"),"NEW","")))</f>
        <v> </v>
      </c>
      <c r="G2811" s="24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5" t="str">
        <f>IF(J2811&lt;&gt;1,"",IF(I2811="SBJ","CB","?"))</f>
        <v> </v>
      </c>
      <c r="I2811" s="26" t="str">
        <f>IF(OR(E2811="",E2811="!!!",F2811="NEW"),"",INDEX(B2810:B$2,-1+SUMPRODUCT(MAX(ROW(E2810:E$2)*(E2811=E2810:E$2)))))</f>
        <v> </v>
      </c>
      <c r="J2811" s="26" t="str">
        <f>IF(OR(E2811="",E2811="!!!",F2811="NEW"),"",COUNTBLANK(OFFSET(A$1,,,SUMPRODUCT(MAX(ROW(E$2:E2811)*(E2811=E$2:E2811)))))-COUNTBLANK(OFFSET(A$1,,,SUMPRODUCT(MAX(ROW(E$1:E2810)*(E2=E$1:E2810))))))</f>
        <v> </v>
      </c>
      <c r="K2811" s="26" t="str">
        <f>IF(OR(E2811="",E2811="!!!",F2811="NEW"),"",INDEX(J$1:J2810,SUMPRODUCT(MAX(ROW(E$1:E2810)*(E2811=E$1:E2810)))))</f>
        <v> </v>
      </c>
      <c r="L2811" s="27"/>
    </row>
    <row r="2812" spans="1:12">
      <c r="A2812" s="20" t="s">
        <v>721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980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1521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923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 t="s">
        <v>755</v>
      </c>
      <c r="E2816" s="22">
        <f>IF(D2816="?OLD","!!!","")</f>
        <v/>
      </c>
      <c r="F2816" s="23" t="str">
        <f>IF(OR(E2816="",E2816="!!!"),"",IF(NOT(ISNA(VLOOKUP(E2816,E$1:E2815,1,FALSE()))),"OLD",IF(AND(E2816&lt;&gt;"",E2816&lt;&gt;"!!!"),"NEW","")))</f>
        <v> </v>
      </c>
      <c r="G2816" s="24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5" t="str">
        <f>IF(J2816&lt;&gt;1,"",IF(I2816="SBJ","CB","?"))</f>
        <v> </v>
      </c>
      <c r="I2816" s="26" t="str">
        <f>IF(OR(E2816="",E2816="!!!",F2816="NEW"),"",INDEX(B2815:B$2,-1+SUMPRODUCT(MAX(ROW(E2815:E$2)*(E2816=E2815:E$2)))))</f>
        <v> </v>
      </c>
      <c r="J2816" s="26" t="str">
        <f>IF(OR(E2816="",E2816="!!!",F2816="NEW"),"",COUNTBLANK(OFFSET(A$1,,,SUMPRODUCT(MAX(ROW(E$2:E2816)*(E2816=E$2:E2816)))))-COUNTBLANK(OFFSET(A$1,,,SUMPRODUCT(MAX(ROW(E$1:E2815)*(E2=E$1:E2815))))))</f>
        <v> </v>
      </c>
      <c r="K2816" s="26" t="str">
        <f>IF(OR(E2816="",E2816="!!!",F2816="NEW"),"",INDEX(J$1:J2815,SUMPRODUCT(MAX(ROW(E$1:E2815)*(E2816=E$1:E2815)))))</f>
        <v> </v>
      </c>
      <c r="L2816" s="27"/>
    </row>
    <row r="2817" spans="1:12">
      <c r="A2817" s="20" t="s">
        <v>1732</v>
      </c>
      <c r="E2817" s="22">
        <f>IF(D2817="?OLD","!!!","")</f>
        <v/>
      </c>
      <c r="F2817" s="23" t="str">
        <f>IF(OR(E2817="",E2817="!!!"),"",IF(NOT(ISNA(VLOOKUP(E2817,E$1:E2816,1,FALSE()))),"OLD",IF(AND(E2817&lt;&gt;"",E2817&lt;&gt;"!!!"),"NEW","")))</f>
        <v> </v>
      </c>
      <c r="G2817" s="24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5" t="str">
        <f>IF(J2817&lt;&gt;1,"",IF(I2817="SBJ","CB","?"))</f>
        <v> </v>
      </c>
      <c r="I2817" s="26" t="str">
        <f>IF(OR(E2817="",E2817="!!!",F2817="NEW"),"",INDEX(B2816:B$2,-1+SUMPRODUCT(MAX(ROW(E2816:E$2)*(E2817=E2816:E$2)))))</f>
        <v> </v>
      </c>
      <c r="J2817" s="26" t="str">
        <f>IF(OR(E2817="",E2817="!!!",F2817="NEW"),"",COUNTBLANK(OFFSET(A$1,,,SUMPRODUCT(MAX(ROW(E$2:E2817)*(E2817=E$2:E2817)))))-COUNTBLANK(OFFSET(A$1,,,SUMPRODUCT(MAX(ROW(E$1:E2816)*(E2=E$1:E2816))))))</f>
        <v> </v>
      </c>
      <c r="K2817" s="26" t="str">
        <f>IF(OR(E2817="",E2817="!!!",F2817="NEW"),"",INDEX(J$1:J2816,SUMPRODUCT(MAX(ROW(E$1:E2816)*(E2817=E$1:E2816)))))</f>
        <v> </v>
      </c>
      <c r="L2817" s="27"/>
    </row>
    <row r="2818" spans="1:12">
      <c r="A2818" s="20" t="s">
        <v>732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/>
    </row>
    <row r="2820" spans="1:12">
      <c r="A2820" s="20" t="s">
        <v>1885</v>
      </c>
    </row>
    <row r="2821" spans="1:12">
      <c r="A2821" s="20" t="s">
        <v>1886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1801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1887</v>
      </c>
      <c r="E2823" s="22">
        <f>IF(D2823="?OLD","!!!","")</f>
        <v/>
      </c>
      <c r="F2823" s="23" t="str">
        <f>IF(OR(E2823="",E2823="!!!"),"",IF(NOT(ISNA(VLOOKUP(E2823,E$1:E2822,1,FALSE()))),"OLD",IF(AND(E2823&lt;&gt;"",E2823&lt;&gt;"!!!"),"NEW","")))</f>
        <v> </v>
      </c>
      <c r="G2823" s="24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5" t="str">
        <f>IF(J2823&lt;&gt;1,"",IF(I2823="SBJ","CB","?"))</f>
        <v> </v>
      </c>
      <c r="I2823" s="26" t="str">
        <f>IF(OR(E2823="",E2823="!!!",F2823="NEW"),"",INDEX(B2822:B$2,-1+SUMPRODUCT(MAX(ROW(E2822:E$2)*(E2823=E2822:E$2)))))</f>
        <v> </v>
      </c>
      <c r="J2823" s="26" t="str">
        <f>IF(OR(E2823="",E2823="!!!",F2823="NEW"),"",COUNTBLANK(OFFSET(A$1,,,SUMPRODUCT(MAX(ROW(E$2:E2823)*(E2823=E$2:E2823)))))-COUNTBLANK(OFFSET(A$1,,,SUMPRODUCT(MAX(ROW(E$1:E2822)*(E2=E$1:E2822))))))</f>
        <v> </v>
      </c>
      <c r="K2823" s="26" t="str">
        <f>IF(OR(E2823="",E2823="!!!",F2823="NEW"),"",INDEX(J$1:J2822,SUMPRODUCT(MAX(ROW(E$1:E2822)*(E2823=E$1:E2822)))))</f>
        <v> </v>
      </c>
      <c r="L2823" s="27"/>
    </row>
    <row r="2824" spans="1:12">
      <c r="A2824" s="20" t="s">
        <v>991</v>
      </c>
      <c r="B2824" s="21" t="s">
        <v>784</v>
      </c>
      <c r="C2824" s="21" t="s">
        <v>800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839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/>
    </row>
    <row r="2827" spans="1:12">
      <c r="A2827" s="20" t="s">
        <v>1888</v>
      </c>
    </row>
    <row r="2828" spans="1:12">
      <c r="A2828" s="20" t="s">
        <v>1889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793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1890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915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848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843</v>
      </c>
      <c r="B2833" s="21" t="s">
        <v>812</v>
      </c>
      <c r="C2833" s="21" t="s">
        <v>727</v>
      </c>
      <c r="D2833" s="21" t="s">
        <v>728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1891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 t="s">
        <v>1790</v>
      </c>
      <c r="E2835" s="22">
        <f>IF(D2835="?OLD","!!!","")</f>
        <v/>
      </c>
      <c r="F2835" s="23" t="str">
        <f>IF(OR(E2835="",E2835="!!!"),"",IF(NOT(ISNA(VLOOKUP(E2835,E$1:E2834,1,FALSE()))),"OLD",IF(AND(E2835&lt;&gt;"",E2835&lt;&gt;"!!!"),"NEW","")))</f>
        <v> </v>
      </c>
      <c r="G2835" s="24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5" t="str">
        <f>IF(J2835&lt;&gt;1,"",IF(I2835="SBJ","CB","?"))</f>
        <v> </v>
      </c>
      <c r="I2835" s="26" t="str">
        <f>IF(OR(E2835="",E2835="!!!",F2835="NEW"),"",INDEX(B2834:B$2,-1+SUMPRODUCT(MAX(ROW(E2834:E$2)*(E2835=E2834:E$2)))))</f>
        <v> </v>
      </c>
      <c r="J2835" s="26" t="str">
        <f>IF(OR(E2835="",E2835="!!!",F2835="NEW"),"",COUNTBLANK(OFFSET(A$1,,,SUMPRODUCT(MAX(ROW(E$2:E2835)*(E2835=E$2:E2835)))))-COUNTBLANK(OFFSET(A$1,,,SUMPRODUCT(MAX(ROW(E$1:E2834)*(E2=E$1:E2834))))))</f>
        <v> </v>
      </c>
      <c r="K2835" s="26" t="str">
        <f>IF(OR(E2835="",E2835="!!!",F2835="NEW"),"",INDEX(J$1:J2834,SUMPRODUCT(MAX(ROW(E$1:E2834)*(E2835=E$1:E2834)))))</f>
        <v> </v>
      </c>
      <c r="L2835" s="27"/>
    </row>
    <row r="2836" spans="1:12">
      <c r="A2836" s="20" t="s">
        <v>783</v>
      </c>
      <c r="B2836" s="21" t="s">
        <v>789</v>
      </c>
      <c r="E2836" s="22">
        <f>IF(D2836="?OLD","!!!","")</f>
        <v/>
      </c>
      <c r="F2836" s="23" t="str">
        <f>IF(OR(E2836="",E2836="!!!"),"",IF(NOT(ISNA(VLOOKUP(E2836,E$1:E2835,1,FALSE()))),"OLD",IF(AND(E2836&lt;&gt;"",E2836&lt;&gt;"!!!"),"NEW","")))</f>
        <v> </v>
      </c>
      <c r="G2836" s="24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5" t="str">
        <f>IF(J2836&lt;&gt;1,"",IF(I2836="SBJ","CB","?"))</f>
        <v> </v>
      </c>
      <c r="I2836" s="26" t="str">
        <f>IF(OR(E2836="",E2836="!!!",F2836="NEW"),"",INDEX(B2835:B$2,-1+SUMPRODUCT(MAX(ROW(E2835:E$2)*(E2836=E2835:E$2)))))</f>
        <v> </v>
      </c>
      <c r="J2836" s="26" t="str">
        <f>IF(OR(E2836="",E2836="!!!",F2836="NEW"),"",COUNTBLANK(OFFSET(A$1,,,SUMPRODUCT(MAX(ROW(E$2:E2836)*(E2836=E$2:E2836)))))-COUNTBLANK(OFFSET(A$1,,,SUMPRODUCT(MAX(ROW(E$1:E2835)*(E2=E$1:E2835))))))</f>
        <v> </v>
      </c>
      <c r="K2836" s="26" t="str">
        <f>IF(OR(E2836="",E2836="!!!",F2836="NEW"),"",INDEX(J$1:J2835,SUMPRODUCT(MAX(ROW(E$1:E2835)*(E2836=E$1:E2835)))))</f>
        <v> </v>
      </c>
      <c r="L2836" s="27"/>
    </row>
    <row r="2837" spans="1:12">
      <c r="A2837" s="20" t="s">
        <v>839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/>
    </row>
    <row r="2839" spans="1:12">
      <c r="A2839" s="20" t="s">
        <v>1892</v>
      </c>
    </row>
    <row r="2840" spans="1:12">
      <c r="A2840" s="20" t="s">
        <v>1893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 t="s">
        <v>764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 t="s">
        <v>765</v>
      </c>
      <c r="E2842" s="22">
        <f>IF(D2842="?OLD","!!!","")</f>
        <v/>
      </c>
      <c r="F2842" s="23" t="str">
        <f>IF(OR(E2842="",E2842="!!!"),"",IF(NOT(ISNA(VLOOKUP(E2842,E$1:E2841,1,FALSE()))),"OLD",IF(AND(E2842&lt;&gt;"",E2842&lt;&gt;"!!!"),"NEW","")))</f>
        <v> </v>
      </c>
      <c r="G2842" s="24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5" t="str">
        <f>IF(J2842&lt;&gt;1,"",IF(I2842="SBJ","CB","?"))</f>
        <v> </v>
      </c>
      <c r="I2842" s="26" t="str">
        <f>IF(OR(E2842="",E2842="!!!",F2842="NEW"),"",INDEX(B2841:B$2,-1+SUMPRODUCT(MAX(ROW(E2841:E$2)*(E2842=E2841:E$2)))))</f>
        <v> </v>
      </c>
      <c r="J2842" s="26" t="str">
        <f>IF(OR(E2842="",E2842="!!!",F2842="NEW"),"",COUNTBLANK(OFFSET(A$1,,,SUMPRODUCT(MAX(ROW(E$2:E2842)*(E2842=E$2:E2842)))))-COUNTBLANK(OFFSET(A$1,,,SUMPRODUCT(MAX(ROW(E$1:E2841)*(E2=E$1:E2841))))))</f>
        <v> </v>
      </c>
      <c r="K2842" s="26" t="str">
        <f>IF(OR(E2842="",E2842="!!!",F2842="NEW"),"",INDEX(J$1:J2841,SUMPRODUCT(MAX(ROW(E$1:E2841)*(E2842=E$1:E2841)))))</f>
        <v> </v>
      </c>
      <c r="L2842" s="27"/>
    </row>
    <row r="2843" spans="1:12">
      <c r="A2843" s="20" t="s">
        <v>721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 t="s">
        <v>848</v>
      </c>
      <c r="E2844" s="22">
        <f>IF(D2844="?OLD","!!!","")</f>
        <v/>
      </c>
      <c r="F2844" s="23" t="str">
        <f>IF(OR(E2844="",E2844="!!!"),"",IF(NOT(ISNA(VLOOKUP(E2844,E$1:E2843,1,FALSE()))),"OLD",IF(AND(E2844&lt;&gt;"",E2844&lt;&gt;"!!!"),"NEW","")))</f>
        <v> </v>
      </c>
      <c r="G2844" s="24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5" t="str">
        <f>IF(J2844&lt;&gt;1,"",IF(I2844="SBJ","CB","?"))</f>
        <v> </v>
      </c>
      <c r="I2844" s="26" t="str">
        <f>IF(OR(E2844="",E2844="!!!",F2844="NEW"),"",INDEX(B2843:B$2,-1+SUMPRODUCT(MAX(ROW(E2843:E$2)*(E2844=E2843:E$2)))))</f>
        <v> </v>
      </c>
      <c r="J2844" s="26" t="str">
        <f>IF(OR(E2844="",E2844="!!!",F2844="NEW"),"",COUNTBLANK(OFFSET(A$1,,,SUMPRODUCT(MAX(ROW(E$2:E2844)*(E2844=E$2:E2844)))))-COUNTBLANK(OFFSET(A$1,,,SUMPRODUCT(MAX(ROW(E$1:E2843)*(E2=E$1:E2843))))))</f>
        <v> </v>
      </c>
      <c r="K2844" s="26" t="str">
        <f>IF(OR(E2844="",E2844="!!!",F2844="NEW"),"",INDEX(J$1:J2843,SUMPRODUCT(MAX(ROW(E$1:E2843)*(E2844=E$1:E2843)))))</f>
        <v> </v>
      </c>
      <c r="L2844" s="27"/>
    </row>
    <row r="2845" spans="1:12">
      <c r="A2845" s="20" t="s">
        <v>1746</v>
      </c>
      <c r="B2845" s="21" t="s">
        <v>784</v>
      </c>
      <c r="C2845" s="21" t="s">
        <v>727</v>
      </c>
      <c r="D2845" s="21" t="s">
        <v>728</v>
      </c>
      <c r="E2845" s="22">
        <f>IF(D2845="?OLD","!!!","")</f>
        <v/>
      </c>
      <c r="F2845" s="23" t="str">
        <f>IF(OR(E2845="",E2845="!!!"),"",IF(NOT(ISNA(VLOOKUP(E2845,E$1:E2844,1,FALSE()))),"OLD",IF(AND(E2845&lt;&gt;"",E2845&lt;&gt;"!!!"),"NEW","")))</f>
        <v> </v>
      </c>
      <c r="G2845" s="24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5" t="str">
        <f>IF(J2845&lt;&gt;1,"",IF(I2845="SBJ","CB","?"))</f>
        <v> </v>
      </c>
      <c r="I2845" s="26" t="str">
        <f>IF(OR(E2845="",E2845="!!!",F2845="NEW"),"",INDEX(B2844:B$2,-1+SUMPRODUCT(MAX(ROW(E2844:E$2)*(E2845=E2844:E$2)))))</f>
        <v> </v>
      </c>
      <c r="J2845" s="26" t="str">
        <f>IF(OR(E2845="",E2845="!!!",F2845="NEW"),"",COUNTBLANK(OFFSET(A$1,,,SUMPRODUCT(MAX(ROW(E$2:E2845)*(E2845=E$2:E2845)))))-COUNTBLANK(OFFSET(A$1,,,SUMPRODUCT(MAX(ROW(E$1:E2844)*(E2=E$1:E2844))))))</f>
        <v> </v>
      </c>
      <c r="K2845" s="26" t="str">
        <f>IF(OR(E2845="",E2845="!!!",F2845="NEW"),"",INDEX(J$1:J2844,SUMPRODUCT(MAX(ROW(E$1:E2844)*(E2845=E$1:E2844)))))</f>
        <v> </v>
      </c>
      <c r="L2845" s="27"/>
    </row>
    <row r="2846" spans="1:12">
      <c r="A2846" s="20" t="s">
        <v>342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1894</v>
      </c>
      <c r="B2847" s="21" t="s">
        <v>784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721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1895</v>
      </c>
      <c r="B2849" s="21" t="s">
        <v>826</v>
      </c>
      <c r="C2849" s="21" t="s">
        <v>719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1896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 t="s">
        <v>1897</v>
      </c>
      <c r="E2851" s="22">
        <f>IF(D2851="?OLD","!!!","")</f>
        <v/>
      </c>
      <c r="F2851" s="23" t="str">
        <f>IF(OR(E2851="",E2851="!!!"),"",IF(NOT(ISNA(VLOOKUP(E2851,E$1:E2850,1,FALSE()))),"OLD",IF(AND(E2851&lt;&gt;"",E2851&lt;&gt;"!!!"),"NEW","")))</f>
        <v> </v>
      </c>
      <c r="G2851" s="24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5" t="str">
        <f>IF(J2851&lt;&gt;1,"",IF(I2851="SBJ","CB","?"))</f>
        <v> </v>
      </c>
      <c r="I2851" s="26" t="str">
        <f>IF(OR(E2851="",E2851="!!!",F2851="NEW"),"",INDEX(B2850:B$2,-1+SUMPRODUCT(MAX(ROW(E2850:E$2)*(E2851=E2850:E$2)))))</f>
        <v> </v>
      </c>
      <c r="J2851" s="26" t="str">
        <f>IF(OR(E2851="",E2851="!!!",F2851="NEW"),"",COUNTBLANK(OFFSET(A$1,,,SUMPRODUCT(MAX(ROW(E$2:E2851)*(E2851=E$2:E2851)))))-COUNTBLANK(OFFSET(A$1,,,SUMPRODUCT(MAX(ROW(E$1:E2850)*(E2=E$1:E2850))))))</f>
        <v> </v>
      </c>
      <c r="K2851" s="26" t="str">
        <f>IF(OR(E2851="",E2851="!!!",F2851="NEW"),"",INDEX(J$1:J2850,SUMPRODUCT(MAX(ROW(E$1:E2850)*(E2851=E$1:E2850)))))</f>
        <v> </v>
      </c>
      <c r="L2851" s="27"/>
    </row>
    <row r="2852" spans="1:12">
      <c r="A2852" s="20" t="s">
        <v>1898</v>
      </c>
      <c r="B2852" s="21" t="s">
        <v>1006</v>
      </c>
      <c r="C2852" s="21" t="s">
        <v>800</v>
      </c>
      <c r="E2852" s="22">
        <f>IF(D2852="?OLD","!!!","")</f>
        <v/>
      </c>
      <c r="F2852" s="23" t="str">
        <f>IF(OR(E2852="",E2852="!!!"),"",IF(NOT(ISNA(VLOOKUP(E2852,E$1:E2851,1,FALSE()))),"OLD",IF(AND(E2852&lt;&gt;"",E2852&lt;&gt;"!!!"),"NEW","")))</f>
        <v> </v>
      </c>
      <c r="G2852" s="24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5" t="str">
        <f>IF(J2852&lt;&gt;1,"",IF(I2852="SBJ","CB","?"))</f>
        <v> </v>
      </c>
      <c r="I2852" s="26" t="str">
        <f>IF(OR(E2852="",E2852="!!!",F2852="NEW"),"",INDEX(B2851:B$2,-1+SUMPRODUCT(MAX(ROW(E2851:E$2)*(E2852=E2851:E$2)))))</f>
        <v> </v>
      </c>
      <c r="J2852" s="26" t="str">
        <f>IF(OR(E2852="",E2852="!!!",F2852="NEW"),"",COUNTBLANK(OFFSET(A$1,,,SUMPRODUCT(MAX(ROW(E$2:E2852)*(E2852=E$2:E2852)))))-COUNTBLANK(OFFSET(A$1,,,SUMPRODUCT(MAX(ROW(E$1:E2851)*(E2=E$1:E2851))))))</f>
        <v> </v>
      </c>
      <c r="K2852" s="26" t="str">
        <f>IF(OR(E2852="",E2852="!!!",F2852="NEW"),"",INDEX(J$1:J2851,SUMPRODUCT(MAX(ROW(E$1:E2851)*(E2852=E$1:E2851)))))</f>
        <v> </v>
      </c>
      <c r="L2852" s="27"/>
    </row>
    <row r="2853" spans="1:12">
      <c r="A2853" s="20" t="s">
        <v>1899</v>
      </c>
      <c r="E2853" s="22">
        <f>IF(D2853="?OLD","!!!","")</f>
        <v/>
      </c>
      <c r="F2853" s="23" t="str">
        <f>IF(OR(E2853="",E2853="!!!"),"",IF(NOT(ISNA(VLOOKUP(E2853,E$1:E2852,1,FALSE()))),"OLD",IF(AND(E2853&lt;&gt;"",E2853&lt;&gt;"!!!"),"NEW","")))</f>
        <v> </v>
      </c>
      <c r="G2853" s="24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5" t="str">
        <f>IF(J2853&lt;&gt;1,"",IF(I2853="SBJ","CB","?"))</f>
        <v> </v>
      </c>
      <c r="I2853" s="26" t="str">
        <f>IF(OR(E2853="",E2853="!!!",F2853="NEW"),"",INDEX(B2852:B$2,-1+SUMPRODUCT(MAX(ROW(E2852:E$2)*(E2853=E2852:E$2)))))</f>
        <v> </v>
      </c>
      <c r="J2853" s="26" t="str">
        <f>IF(OR(E2853="",E2853="!!!",F2853="NEW"),"",COUNTBLANK(OFFSET(A$1,,,SUMPRODUCT(MAX(ROW(E$2:E2853)*(E2853=E$2:E2853)))))-COUNTBLANK(OFFSET(A$1,,,SUMPRODUCT(MAX(ROW(E$1:E2852)*(E2=E$1:E2852))))))</f>
        <v> </v>
      </c>
      <c r="K2853" s="26" t="str">
        <f>IF(OR(E2853="",E2853="!!!",F2853="NEW"),"",INDEX(J$1:J2852,SUMPRODUCT(MAX(ROW(E$1:E2852)*(E2853=E$1:E2852)))))</f>
        <v> </v>
      </c>
      <c r="L2853" s="27"/>
    </row>
    <row r="2854" spans="1:12">
      <c r="A2854" s="20" t="s">
        <v>783</v>
      </c>
      <c r="B2854" s="21" t="s">
        <v>963</v>
      </c>
      <c r="E2854" s="22">
        <f>IF(D2854="?OLD","!!!","")</f>
        <v/>
      </c>
      <c r="F2854" s="23" t="str">
        <f>IF(OR(E2854="",E2854="!!!"),"",IF(NOT(ISNA(VLOOKUP(E2854,E$1:E2853,1,FALSE()))),"OLD",IF(AND(E2854&lt;&gt;"",E2854&lt;&gt;"!!!"),"NEW","")))</f>
        <v> </v>
      </c>
      <c r="G2854" s="24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5" t="str">
        <f>IF(J2854&lt;&gt;1,"",IF(I2854="SBJ","CB","?"))</f>
        <v> </v>
      </c>
      <c r="I2854" s="26" t="str">
        <f>IF(OR(E2854="",E2854="!!!",F2854="NEW"),"",INDEX(B2853:B$2,-1+SUMPRODUCT(MAX(ROW(E2853:E$2)*(E2854=E2853:E$2)))))</f>
        <v> </v>
      </c>
      <c r="J2854" s="26" t="str">
        <f>IF(OR(E2854="",E2854="!!!",F2854="NEW"),"",COUNTBLANK(OFFSET(A$1,,,SUMPRODUCT(MAX(ROW(E$2:E2854)*(E2854=E$2:E2854)))))-COUNTBLANK(OFFSET(A$1,,,SUMPRODUCT(MAX(ROW(E$1:E2853)*(E2=E$1:E2853))))))</f>
        <v> </v>
      </c>
      <c r="K2854" s="26" t="str">
        <f>IF(OR(E2854="",E2854="!!!",F2854="NEW"),"",INDEX(J$1:J2853,SUMPRODUCT(MAX(ROW(E$1:E2853)*(E2854=E$1:E2853)))))</f>
        <v> </v>
      </c>
      <c r="L2854" s="27"/>
    </row>
    <row r="2855" spans="1:12">
      <c r="A2855" s="20" t="s">
        <v>732</v>
      </c>
      <c r="E2855" s="22">
        <f>IF(D2855="?OLD","!!!","")</f>
        <v/>
      </c>
      <c r="F2855" s="23" t="str">
        <f>IF(OR(E2855="",E2855="!!!"),"",IF(NOT(ISNA(VLOOKUP(E2855,E$1:E2854,1,FALSE()))),"OLD",IF(AND(E2855&lt;&gt;"",E2855&lt;&gt;"!!!"),"NEW","")))</f>
        <v> </v>
      </c>
      <c r="G2855" s="24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5" t="str">
        <f>IF(J2855&lt;&gt;1,"",IF(I2855="SBJ","CB","?"))</f>
        <v> </v>
      </c>
      <c r="I2855" s="26" t="str">
        <f>IF(OR(E2855="",E2855="!!!",F2855="NEW"),"",INDEX(B2854:B$2,-1+SUMPRODUCT(MAX(ROW(E2854:E$2)*(E2855=E2854:E$2)))))</f>
        <v> </v>
      </c>
      <c r="J2855" s="26" t="str">
        <f>IF(OR(E2855="",E2855="!!!",F2855="NEW"),"",COUNTBLANK(OFFSET(A$1,,,SUMPRODUCT(MAX(ROW(E$2:E2855)*(E2855=E$2:E2855)))))-COUNTBLANK(OFFSET(A$1,,,SUMPRODUCT(MAX(ROW(E$1:E2854)*(E2=E$1:E2854))))))</f>
        <v> </v>
      </c>
      <c r="K2855" s="26" t="str">
        <f>IF(OR(E2855="",E2855="!!!",F2855="NEW"),"",INDEX(J$1:J2854,SUMPRODUCT(MAX(ROW(E$1:E2854)*(E2855=E$1:E2854)))))</f>
        <v> </v>
      </c>
      <c r="L2855" s="27"/>
    </row>
    <row r="2856" spans="1:12">
      <c r="A2856" s="20"/>
    </row>
    <row r="2857" spans="1:12">
      <c r="A2857" s="20" t="s">
        <v>1900</v>
      </c>
    </row>
    <row r="2858" spans="1:12">
      <c r="A2858" s="20" t="s">
        <v>1901</v>
      </c>
      <c r="E2858" s="22">
        <f>IF(D2858="?OLD","!!!","")</f>
        <v/>
      </c>
      <c r="F2858" s="23" t="str">
        <f>IF(OR(E2858="",E2858="!!!"),"",IF(NOT(ISNA(VLOOKUP(E2858,E$1:E2857,1,FALSE()))),"OLD",IF(AND(E2858&lt;&gt;"",E2858&lt;&gt;"!!!"),"NEW","")))</f>
        <v> </v>
      </c>
      <c r="G2858" s="24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5" t="str">
        <f>IF(J2858&lt;&gt;1,"",IF(I2858="SBJ","CB","?"))</f>
        <v> </v>
      </c>
      <c r="I2858" s="26" t="str">
        <f>IF(OR(E2858="",E2858="!!!",F2858="NEW"),"",INDEX(B2857:B$2,-1+SUMPRODUCT(MAX(ROW(E2857:E$2)*(E2858=E2857:E$2)))))</f>
        <v> </v>
      </c>
      <c r="J2858" s="26" t="str">
        <f>IF(OR(E2858="",E2858="!!!",F2858="NEW"),"",COUNTBLANK(OFFSET(A$1,,,SUMPRODUCT(MAX(ROW(E$2:E2858)*(E2858=E$2:E2858)))))-COUNTBLANK(OFFSET(A$1,,,SUMPRODUCT(MAX(ROW(E$1:E2857)*(E2=E$1:E2857))))))</f>
        <v> </v>
      </c>
      <c r="K2858" s="26" t="str">
        <f>IF(OR(E2858="",E2858="!!!",F2858="NEW"),"",INDEX(J$1:J2857,SUMPRODUCT(MAX(ROW(E$1:E2857)*(E2858=E$1:E2857)))))</f>
        <v> </v>
      </c>
      <c r="L2858" s="27"/>
    </row>
    <row r="2859" spans="1:12">
      <c r="A2859" s="20" t="s">
        <v>1186</v>
      </c>
      <c r="E2859" s="22">
        <f>IF(D2859="?OLD","!!!","")</f>
        <v/>
      </c>
      <c r="F2859" s="23" t="str">
        <f>IF(OR(E2859="",E2859="!!!"),"",IF(NOT(ISNA(VLOOKUP(E2859,E$1:E2858,1,FALSE()))),"OLD",IF(AND(E2859&lt;&gt;"",E2859&lt;&gt;"!!!"),"NEW","")))</f>
        <v> </v>
      </c>
      <c r="G2859" s="24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5" t="str">
        <f>IF(J2859&lt;&gt;1,"",IF(I2859="SBJ","CB","?"))</f>
        <v> </v>
      </c>
      <c r="I2859" s="26" t="str">
        <f>IF(OR(E2859="",E2859="!!!",F2859="NEW"),"",INDEX(B2858:B$2,-1+SUMPRODUCT(MAX(ROW(E2858:E$2)*(E2859=E2858:E$2)))))</f>
        <v> </v>
      </c>
      <c r="J2859" s="26" t="str">
        <f>IF(OR(E2859="",E2859="!!!",F2859="NEW"),"",COUNTBLANK(OFFSET(A$1,,,SUMPRODUCT(MAX(ROW(E$2:E2859)*(E2859=E$2:E2859)))))-COUNTBLANK(OFFSET(A$1,,,SUMPRODUCT(MAX(ROW(E$1:E2858)*(E2=E$1:E2858))))))</f>
        <v> </v>
      </c>
      <c r="K2859" s="26" t="str">
        <f>IF(OR(E2859="",E2859="!!!",F2859="NEW"),"",INDEX(J$1:J2858,SUMPRODUCT(MAX(ROW(E$1:E2858)*(E2859=E$1:E2858)))))</f>
        <v> </v>
      </c>
      <c r="L2859" s="27"/>
    </row>
    <row r="2860" spans="1:12">
      <c r="A2860" s="20" t="s">
        <v>766</v>
      </c>
      <c r="B2860" s="21" t="s">
        <v>784</v>
      </c>
      <c r="C2860" s="21" t="s">
        <v>747</v>
      </c>
      <c r="D2860" s="21" t="s">
        <v>728</v>
      </c>
      <c r="E2860" s="22">
        <f>IF(D2860="?OLD","!!!","")</f>
        <v/>
      </c>
      <c r="F2860" s="23" t="str">
        <f>IF(OR(E2860="",E2860="!!!"),"",IF(NOT(ISNA(VLOOKUP(E2860,E$1:E2859,1,FALSE()))),"OLD",IF(AND(E2860&lt;&gt;"",E2860&lt;&gt;"!!!"),"NEW","")))</f>
        <v> </v>
      </c>
      <c r="G2860" s="24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5" t="str">
        <f>IF(J2860&lt;&gt;1,"",IF(I2860="SBJ","CB","?"))</f>
        <v> </v>
      </c>
      <c r="I2860" s="26" t="str">
        <f>IF(OR(E2860="",E2860="!!!",F2860="NEW"),"",INDEX(B2859:B$2,-1+SUMPRODUCT(MAX(ROW(E2859:E$2)*(E2860=E2859:E$2)))))</f>
        <v> </v>
      </c>
      <c r="J2860" s="26" t="str">
        <f>IF(OR(E2860="",E2860="!!!",F2860="NEW"),"",COUNTBLANK(OFFSET(A$1,,,SUMPRODUCT(MAX(ROW(E$2:E2860)*(E2860=E$2:E2860)))))-COUNTBLANK(OFFSET(A$1,,,SUMPRODUCT(MAX(ROW(E$1:E2859)*(E2=E$1:E2859))))))</f>
        <v> </v>
      </c>
      <c r="K2860" s="26" t="str">
        <f>IF(OR(E2860="",E2860="!!!",F2860="NEW"),"",INDEX(J$1:J2859,SUMPRODUCT(MAX(ROW(E$1:E2859)*(E2860=E$1:E2859)))))</f>
        <v> </v>
      </c>
      <c r="L2860" s="27"/>
    </row>
    <row r="2861" spans="1:12">
      <c r="A2861" s="20" t="s">
        <v>721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830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887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871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1902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 t="s">
        <v>769</v>
      </c>
      <c r="E2866" s="22">
        <f>IF(D2866="?OLD","!!!","")</f>
        <v/>
      </c>
      <c r="F2866" s="23" t="str">
        <f>IF(OR(E2866="",E2866="!!!"),"",IF(NOT(ISNA(VLOOKUP(E2866,E$1:E2865,1,FALSE()))),"OLD",IF(AND(E2866&lt;&gt;"",E2866&lt;&gt;"!!!"),"NEW","")))</f>
        <v> </v>
      </c>
      <c r="G2866" s="24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5" t="str">
        <f>IF(J2866&lt;&gt;1,"",IF(I2866="SBJ","CB","?"))</f>
        <v> </v>
      </c>
      <c r="I2866" s="26" t="str">
        <f>IF(OR(E2866="",E2866="!!!",F2866="NEW"),"",INDEX(B2865:B$2,-1+SUMPRODUCT(MAX(ROW(E2865:E$2)*(E2866=E2865:E$2)))))</f>
        <v> </v>
      </c>
      <c r="J2866" s="26" t="str">
        <f>IF(OR(E2866="",E2866="!!!",F2866="NEW"),"",COUNTBLANK(OFFSET(A$1,,,SUMPRODUCT(MAX(ROW(E$2:E2866)*(E2866=E$2:E2866)))))-COUNTBLANK(OFFSET(A$1,,,SUMPRODUCT(MAX(ROW(E$1:E2865)*(E2=E$1:E2865))))))</f>
        <v> </v>
      </c>
      <c r="K2866" s="26" t="str">
        <f>IF(OR(E2866="",E2866="!!!",F2866="NEW"),"",INDEX(J$1:J2865,SUMPRODUCT(MAX(ROW(E$1:E2865)*(E2866=E$1:E2865)))))</f>
        <v> </v>
      </c>
      <c r="L2866" s="27"/>
    </row>
    <row r="2867" spans="1:12">
      <c r="A2867" s="20" t="s">
        <v>1903</v>
      </c>
      <c r="E2867" s="22">
        <f>IF(D2867="?OLD","!!!","")</f>
        <v/>
      </c>
      <c r="F2867" s="23" t="str">
        <f>IF(OR(E2867="",E2867="!!!"),"",IF(NOT(ISNA(VLOOKUP(E2867,E$1:E2866,1,FALSE()))),"OLD",IF(AND(E2867&lt;&gt;"",E2867&lt;&gt;"!!!"),"NEW","")))</f>
        <v> </v>
      </c>
      <c r="G2867" s="24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5" t="str">
        <f>IF(J2867&lt;&gt;1,"",IF(I2867="SBJ","CB","?"))</f>
        <v> </v>
      </c>
      <c r="I2867" s="26" t="str">
        <f>IF(OR(E2867="",E2867="!!!",F2867="NEW"),"",INDEX(B2866:B$2,-1+SUMPRODUCT(MAX(ROW(E2866:E$2)*(E2867=E2866:E$2)))))</f>
        <v> </v>
      </c>
      <c r="J2867" s="26" t="str">
        <f>IF(OR(E2867="",E2867="!!!",F2867="NEW"),"",COUNTBLANK(OFFSET(A$1,,,SUMPRODUCT(MAX(ROW(E$2:E2867)*(E2867=E$2:E2867)))))-COUNTBLANK(OFFSET(A$1,,,SUMPRODUCT(MAX(ROW(E$1:E2866)*(E2=E$1:E2866))))))</f>
        <v> </v>
      </c>
      <c r="K2867" s="26" t="str">
        <f>IF(OR(E2867="",E2867="!!!",F2867="NEW"),"",INDEX(J$1:J2866,SUMPRODUCT(MAX(ROW(E$1:E2866)*(E2867=E$1:E2866)))))</f>
        <v> </v>
      </c>
      <c r="L2867" s="27"/>
    </row>
    <row r="2868" spans="1:12">
      <c r="A2868" s="20" t="s">
        <v>676</v>
      </c>
      <c r="E2868" s="22">
        <f>IF(D2868="?OLD","!!!","")</f>
        <v/>
      </c>
      <c r="F2868" s="23" t="str">
        <f>IF(OR(E2868="",E2868="!!!"),"",IF(NOT(ISNA(VLOOKUP(E2868,E$1:E2867,1,FALSE()))),"OLD",IF(AND(E2868&lt;&gt;"",E2868&lt;&gt;"!!!"),"NEW","")))</f>
        <v> </v>
      </c>
      <c r="G2868" s="24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5" t="str">
        <f>IF(J2868&lt;&gt;1,"",IF(I2868="SBJ","CB","?"))</f>
        <v> </v>
      </c>
      <c r="I2868" s="26" t="str">
        <f>IF(OR(E2868="",E2868="!!!",F2868="NEW"),"",INDEX(B2867:B$2,-1+SUMPRODUCT(MAX(ROW(E2867:E$2)*(E2868=E2867:E$2)))))</f>
        <v> </v>
      </c>
      <c r="J2868" s="26" t="str">
        <f>IF(OR(E2868="",E2868="!!!",F2868="NEW"),"",COUNTBLANK(OFFSET(A$1,,,SUMPRODUCT(MAX(ROW(E$2:E2868)*(E2868=E$2:E2868)))))-COUNTBLANK(OFFSET(A$1,,,SUMPRODUCT(MAX(ROW(E$1:E2867)*(E2=E$1:E2867))))))</f>
        <v> </v>
      </c>
      <c r="K2868" s="26" t="str">
        <f>IF(OR(E2868="",E2868="!!!",F2868="NEW"),"",INDEX(J$1:J2867,SUMPRODUCT(MAX(ROW(E$1:E2867)*(E2868=E$1:E2867)))))</f>
        <v> </v>
      </c>
      <c r="L2868" s="27"/>
    </row>
    <row r="2869" spans="1:12">
      <c r="A2869" s="20" t="s">
        <v>1904</v>
      </c>
      <c r="E2869" s="22">
        <f>IF(D2869="?OLD","!!!","")</f>
        <v/>
      </c>
      <c r="F2869" s="23" t="str">
        <f>IF(OR(E2869="",E2869="!!!"),"",IF(NOT(ISNA(VLOOKUP(E2869,E$1:E2868,1,FALSE()))),"OLD",IF(AND(E2869&lt;&gt;"",E2869&lt;&gt;"!!!"),"NEW","")))</f>
        <v> </v>
      </c>
      <c r="G2869" s="24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5" t="str">
        <f>IF(J2869&lt;&gt;1,"",IF(I2869="SBJ","CB","?"))</f>
        <v> </v>
      </c>
      <c r="I2869" s="26" t="str">
        <f>IF(OR(E2869="",E2869="!!!",F2869="NEW"),"",INDEX(B2868:B$2,-1+SUMPRODUCT(MAX(ROW(E2868:E$2)*(E2869=E2868:E$2)))))</f>
        <v> </v>
      </c>
      <c r="J2869" s="26" t="str">
        <f>IF(OR(E2869="",E2869="!!!",F2869="NEW"),"",COUNTBLANK(OFFSET(A$1,,,SUMPRODUCT(MAX(ROW(E$2:E2869)*(E2869=E$2:E2869)))))-COUNTBLANK(OFFSET(A$1,,,SUMPRODUCT(MAX(ROW(E$1:E2868)*(E2=E$1:E2868))))))</f>
        <v> </v>
      </c>
      <c r="K2869" s="26" t="str">
        <f>IF(OR(E2869="",E2869="!!!",F2869="NEW"),"",INDEX(J$1:J2868,SUMPRODUCT(MAX(ROW(E$1:E2868)*(E2869=E$1:E2868)))))</f>
        <v> </v>
      </c>
      <c r="L2869" s="27"/>
    </row>
    <row r="2870" spans="1:12">
      <c r="A2870" s="20" t="s">
        <v>732</v>
      </c>
      <c r="E2870" s="22">
        <f>IF(D2870="?OLD","!!!","")</f>
        <v/>
      </c>
      <c r="F2870" s="23" t="str">
        <f>IF(OR(E2870="",E2870="!!!"),"",IF(NOT(ISNA(VLOOKUP(E2870,E$1:E2869,1,FALSE()))),"OLD",IF(AND(E2870&lt;&gt;"",E2870&lt;&gt;"!!!"),"NEW","")))</f>
        <v> </v>
      </c>
      <c r="G2870" s="24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5" t="str">
        <f>IF(J2870&lt;&gt;1,"",IF(I2870="SBJ","CB","?"))</f>
        <v> </v>
      </c>
      <c r="I2870" s="26" t="str">
        <f>IF(OR(E2870="",E2870="!!!",F2870="NEW"),"",INDEX(B2869:B$2,-1+SUMPRODUCT(MAX(ROW(E2869:E$2)*(E2870=E2869:E$2)))))</f>
        <v> </v>
      </c>
      <c r="J2870" s="26" t="str">
        <f>IF(OR(E2870="",E2870="!!!",F2870="NEW"),"",COUNTBLANK(OFFSET(A$1,,,SUMPRODUCT(MAX(ROW(E$2:E2870)*(E2870=E$2:E2870)))))-COUNTBLANK(OFFSET(A$1,,,SUMPRODUCT(MAX(ROW(E$1:E2869)*(E2=E$1:E2869))))))</f>
        <v> </v>
      </c>
      <c r="K2870" s="26" t="str">
        <f>IF(OR(E2870="",E2870="!!!",F2870="NEW"),"",INDEX(J$1:J2869,SUMPRODUCT(MAX(ROW(E$1:E2869)*(E2870=E$1:E2869)))))</f>
        <v> </v>
      </c>
      <c r="L2870" s="27"/>
    </row>
    <row r="2871" spans="1:12">
      <c r="A2871" s="20"/>
    </row>
    <row r="2872" spans="1:12">
      <c r="A2872" s="20" t="s">
        <v>1905</v>
      </c>
    </row>
    <row r="2873" spans="1:12">
      <c r="A2873" s="20" t="s">
        <v>746</v>
      </c>
      <c r="B2873" s="21" t="s">
        <v>726</v>
      </c>
      <c r="C2873" s="21" t="s">
        <v>747</v>
      </c>
      <c r="D2873" s="21" t="s">
        <v>728</v>
      </c>
      <c r="E2873" s="22">
        <f>IF(D2873="?OLD","!!!","")</f>
        <v/>
      </c>
      <c r="F2873" s="23" t="str">
        <f>IF(OR(E2873="",E2873="!!!"),"",IF(NOT(ISNA(VLOOKUP(E2873,E$1:E2872,1,FALSE()))),"OLD",IF(AND(E2873&lt;&gt;"",E2873&lt;&gt;"!!!"),"NEW","")))</f>
        <v> </v>
      </c>
      <c r="G2873" s="24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5" t="str">
        <f>IF(J2873&lt;&gt;1,"",IF(I2873="SBJ","CB","?"))</f>
        <v> </v>
      </c>
      <c r="I2873" s="26" t="str">
        <f>IF(OR(E2873="",E2873="!!!",F2873="NEW"),"",INDEX(B2872:B$2,-1+SUMPRODUCT(MAX(ROW(E2872:E$2)*(E2873=E2872:E$2)))))</f>
        <v> </v>
      </c>
      <c r="J2873" s="26" t="str">
        <f>IF(OR(E2873="",E2873="!!!",F2873="NEW"),"",COUNTBLANK(OFFSET(A$1,,,SUMPRODUCT(MAX(ROW(E$2:E2873)*(E2873=E$2:E2873)))))-COUNTBLANK(OFFSET(A$1,,,SUMPRODUCT(MAX(ROW(E$1:E2872)*(E2=E$1:E2872))))))</f>
        <v> </v>
      </c>
      <c r="K2873" s="26" t="str">
        <f>IF(OR(E2873="",E2873="!!!",F2873="NEW"),"",INDEX(J$1:J2872,SUMPRODUCT(MAX(ROW(E$1:E2872)*(E2873=E$1:E2872)))))</f>
        <v> </v>
      </c>
      <c r="L2873" s="27"/>
    </row>
    <row r="2874" spans="1:12">
      <c r="A2874" s="20" t="s">
        <v>1118</v>
      </c>
      <c r="E2874" s="22">
        <f>IF(D2874="?OLD","!!!","")</f>
        <v/>
      </c>
      <c r="F2874" s="23" t="str">
        <f>IF(OR(E2874="",E2874="!!!"),"",IF(NOT(ISNA(VLOOKUP(E2874,E$1:E2873,1,FALSE()))),"OLD",IF(AND(E2874&lt;&gt;"",E2874&lt;&gt;"!!!"),"NEW","")))</f>
        <v> </v>
      </c>
      <c r="G2874" s="24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5" t="str">
        <f>IF(J2874&lt;&gt;1,"",IF(I2874="SBJ","CB","?"))</f>
        <v> </v>
      </c>
      <c r="I2874" s="26" t="str">
        <f>IF(OR(E2874="",E2874="!!!",F2874="NEW"),"",INDEX(B2873:B$2,-1+SUMPRODUCT(MAX(ROW(E2873:E$2)*(E2874=E2873:E$2)))))</f>
        <v> </v>
      </c>
      <c r="J2874" s="26" t="str">
        <f>IF(OR(E2874="",E2874="!!!",F2874="NEW"),"",COUNTBLANK(OFFSET(A$1,,,SUMPRODUCT(MAX(ROW(E$2:E2874)*(E2874=E$2:E2874)))))-COUNTBLANK(OFFSET(A$1,,,SUMPRODUCT(MAX(ROW(E$1:E2873)*(E2=E$1:E2873))))))</f>
        <v> </v>
      </c>
      <c r="K2874" s="26" t="str">
        <f>IF(OR(E2874="",E2874="!!!",F2874="NEW"),"",INDEX(J$1:J2873,SUMPRODUCT(MAX(ROW(E$1:E2873)*(E2874=E$1:E2873)))))</f>
        <v> </v>
      </c>
      <c r="L2874" s="27"/>
    </row>
    <row r="2875" spans="1:12">
      <c r="A2875" s="20" t="s">
        <v>1906</v>
      </c>
      <c r="E2875" s="22">
        <f>IF(D2875="?OLD","!!!","")</f>
        <v/>
      </c>
      <c r="F2875" s="23" t="str">
        <f>IF(OR(E2875="",E2875="!!!"),"",IF(NOT(ISNA(VLOOKUP(E2875,E$1:E2874,1,FALSE()))),"OLD",IF(AND(E2875&lt;&gt;"",E2875&lt;&gt;"!!!"),"NEW","")))</f>
        <v> </v>
      </c>
      <c r="G2875" s="24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5" t="str">
        <f>IF(J2875&lt;&gt;1,"",IF(I2875="SBJ","CB","?"))</f>
        <v> </v>
      </c>
      <c r="I2875" s="26" t="str">
        <f>IF(OR(E2875="",E2875="!!!",F2875="NEW"),"",INDEX(B2874:B$2,-1+SUMPRODUCT(MAX(ROW(E2874:E$2)*(E2875=E2874:E$2)))))</f>
        <v> </v>
      </c>
      <c r="J2875" s="26" t="str">
        <f>IF(OR(E2875="",E2875="!!!",F2875="NEW"),"",COUNTBLANK(OFFSET(A$1,,,SUMPRODUCT(MAX(ROW(E$2:E2875)*(E2875=E$2:E2875)))))-COUNTBLANK(OFFSET(A$1,,,SUMPRODUCT(MAX(ROW(E$1:E2874)*(E2=E$1:E2874))))))</f>
        <v> </v>
      </c>
      <c r="K2875" s="26" t="str">
        <f>IF(OR(E2875="",E2875="!!!",F2875="NEW"),"",INDEX(J$1:J2874,SUMPRODUCT(MAX(ROW(E$1:E2874)*(E2875=E$1:E2874)))))</f>
        <v> </v>
      </c>
      <c r="L2875" s="27"/>
    </row>
    <row r="2876" spans="1:12">
      <c r="A2876" s="20" t="s">
        <v>676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 t="s">
        <v>721</v>
      </c>
      <c r="E2877" s="22">
        <f>IF(D2877="?OLD","!!!","")</f>
        <v/>
      </c>
      <c r="F2877" s="23" t="str">
        <f>IF(OR(E2877="",E2877="!!!"),"",IF(NOT(ISNA(VLOOKUP(E2877,E$1:E2876,1,FALSE()))),"OLD",IF(AND(E2877&lt;&gt;"",E2877&lt;&gt;"!!!"),"NEW","")))</f>
        <v> </v>
      </c>
      <c r="G2877" s="24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5" t="str">
        <f>IF(J2877&lt;&gt;1,"",IF(I2877="SBJ","CB","?"))</f>
        <v> </v>
      </c>
      <c r="I2877" s="26" t="str">
        <f>IF(OR(E2877="",E2877="!!!",F2877="NEW"),"",INDEX(B2876:B$2,-1+SUMPRODUCT(MAX(ROW(E2876:E$2)*(E2877=E2876:E$2)))))</f>
        <v> </v>
      </c>
      <c r="J2877" s="26" t="str">
        <f>IF(OR(E2877="",E2877="!!!",F2877="NEW"),"",COUNTBLANK(OFFSET(A$1,,,SUMPRODUCT(MAX(ROW(E$2:E2877)*(E2877=E$2:E2877)))))-COUNTBLANK(OFFSET(A$1,,,SUMPRODUCT(MAX(ROW(E$1:E2876)*(E2=E$1:E2876))))))</f>
        <v> </v>
      </c>
      <c r="K2877" s="26" t="str">
        <f>IF(OR(E2877="",E2877="!!!",F2877="NEW"),"",INDEX(J$1:J2876,SUMPRODUCT(MAX(ROW(E$1:E2876)*(E2877=E$1:E2876)))))</f>
        <v> </v>
      </c>
      <c r="L2877" s="27"/>
    </row>
    <row r="2878" spans="1:12">
      <c r="A2878" s="20" t="s">
        <v>1907</v>
      </c>
      <c r="B2878" s="21" t="s">
        <v>784</v>
      </c>
      <c r="C2878" s="21" t="s">
        <v>727</v>
      </c>
      <c r="D2878" s="21" t="s">
        <v>728</v>
      </c>
      <c r="E2878" s="22">
        <f>IF(D2878="?OLD","!!!","")</f>
        <v/>
      </c>
      <c r="F2878" s="23" t="str">
        <f>IF(OR(E2878="",E2878="!!!"),"",IF(NOT(ISNA(VLOOKUP(E2878,E$1:E2877,1,FALSE()))),"OLD",IF(AND(E2878&lt;&gt;"",E2878&lt;&gt;"!!!"),"NEW","")))</f>
        <v> </v>
      </c>
      <c r="G2878" s="24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5" t="str">
        <f>IF(J2878&lt;&gt;1,"",IF(I2878="SBJ","CB","?"))</f>
        <v> </v>
      </c>
      <c r="I2878" s="26" t="str">
        <f>IF(OR(E2878="",E2878="!!!",F2878="NEW"),"",INDEX(B2877:B$2,-1+SUMPRODUCT(MAX(ROW(E2877:E$2)*(E2878=E2877:E$2)))))</f>
        <v> </v>
      </c>
      <c r="J2878" s="26" t="str">
        <f>IF(OR(E2878="",E2878="!!!",F2878="NEW"),"",COUNTBLANK(OFFSET(A$1,,,SUMPRODUCT(MAX(ROW(E$2:E2878)*(E2878=E$2:E2878)))))-COUNTBLANK(OFFSET(A$1,,,SUMPRODUCT(MAX(ROW(E$1:E2877)*(E2=E$1:E2877))))))</f>
        <v> </v>
      </c>
      <c r="K2878" s="26" t="str">
        <f>IF(OR(E2878="",E2878="!!!",F2878="NEW"),"",INDEX(J$1:J2877,SUMPRODUCT(MAX(ROW(E$1:E2877)*(E2878=E$1:E2877)))))</f>
        <v> </v>
      </c>
      <c r="L2878" s="27"/>
    </row>
    <row r="2879" spans="1:12">
      <c r="A2879" s="20" t="s">
        <v>1908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 t="s">
        <v>769</v>
      </c>
      <c r="E2880" s="22">
        <f>IF(D2880="?OLD","!!!","")</f>
        <v/>
      </c>
      <c r="F2880" s="23" t="str">
        <f>IF(OR(E2880="",E2880="!!!"),"",IF(NOT(ISNA(VLOOKUP(E2880,E$1:E2879,1,FALSE()))),"OLD",IF(AND(E2880&lt;&gt;"",E2880&lt;&gt;"!!!"),"NEW","")))</f>
        <v> </v>
      </c>
      <c r="G2880" s="24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5" t="str">
        <f>IF(J2880&lt;&gt;1,"",IF(I2880="SBJ","CB","?"))</f>
        <v> </v>
      </c>
      <c r="I2880" s="26" t="str">
        <f>IF(OR(E2880="",E2880="!!!",F2880="NEW"),"",INDEX(B2879:B$2,-1+SUMPRODUCT(MAX(ROW(E2879:E$2)*(E2880=E2879:E$2)))))</f>
        <v> </v>
      </c>
      <c r="J2880" s="26" t="str">
        <f>IF(OR(E2880="",E2880="!!!",F2880="NEW"),"",COUNTBLANK(OFFSET(A$1,,,SUMPRODUCT(MAX(ROW(E$2:E2880)*(E2880=E$2:E2880)))))-COUNTBLANK(OFFSET(A$1,,,SUMPRODUCT(MAX(ROW(E$1:E2879)*(E2=E$1:E2879))))))</f>
        <v> </v>
      </c>
      <c r="K2880" s="26" t="str">
        <f>IF(OR(E2880="",E2880="!!!",F2880="NEW"),"",INDEX(J$1:J2879,SUMPRODUCT(MAX(ROW(E$1:E2879)*(E2880=E$1:E2879)))))</f>
        <v> </v>
      </c>
      <c r="L2880" s="27"/>
    </row>
    <row r="2881" spans="1:12">
      <c r="A2881" s="20" t="s">
        <v>1909</v>
      </c>
      <c r="E2881" s="22">
        <f>IF(D2881="?OLD","!!!","")</f>
        <v/>
      </c>
      <c r="F2881" s="23" t="str">
        <f>IF(OR(E2881="",E2881="!!!"),"",IF(NOT(ISNA(VLOOKUP(E2881,E$1:E2880,1,FALSE()))),"OLD",IF(AND(E2881&lt;&gt;"",E2881&lt;&gt;"!!!"),"NEW","")))</f>
        <v> </v>
      </c>
      <c r="G2881" s="24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5" t="str">
        <f>IF(J2881&lt;&gt;1,"",IF(I2881="SBJ","CB","?"))</f>
        <v> </v>
      </c>
      <c r="I2881" s="26" t="str">
        <f>IF(OR(E2881="",E2881="!!!",F2881="NEW"),"",INDEX(B2880:B$2,-1+SUMPRODUCT(MAX(ROW(E2880:E$2)*(E2881=E2880:E$2)))))</f>
        <v> </v>
      </c>
      <c r="J2881" s="26" t="str">
        <f>IF(OR(E2881="",E2881="!!!",F2881="NEW"),"",COUNTBLANK(OFFSET(A$1,,,SUMPRODUCT(MAX(ROW(E$2:E2881)*(E2881=E$2:E2881)))))-COUNTBLANK(OFFSET(A$1,,,SUMPRODUCT(MAX(ROW(E$1:E2880)*(E2=E$1:E2880))))))</f>
        <v> </v>
      </c>
      <c r="K2881" s="26" t="str">
        <f>IF(OR(E2881="",E2881="!!!",F2881="NEW"),"",INDEX(J$1:J2880,SUMPRODUCT(MAX(ROW(E$1:E2880)*(E2881=E$1:E2880)))))</f>
        <v> </v>
      </c>
      <c r="L2881" s="27"/>
    </row>
    <row r="2882" spans="1:12">
      <c r="A2882" s="20" t="s">
        <v>732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/>
    </row>
    <row r="2884" spans="1:12">
      <c r="A2884" s="20" t="s">
        <v>1910</v>
      </c>
    </row>
    <row r="2885" spans="1:12">
      <c r="A2885" s="20" t="s">
        <v>1163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676</v>
      </c>
      <c r="B2886" s="21" t="s">
        <v>726</v>
      </c>
      <c r="C2886" s="21" t="s">
        <v>790</v>
      </c>
      <c r="D2886" s="21" t="s">
        <v>728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 t="s">
        <v>1911</v>
      </c>
      <c r="E2887" s="22">
        <f>IF(D2887="?OLD","!!!","")</f>
        <v/>
      </c>
      <c r="F2887" s="23" t="str">
        <f>IF(OR(E2887="",E2887="!!!"),"",IF(NOT(ISNA(VLOOKUP(E2887,E$1:E2886,1,FALSE()))),"OLD",IF(AND(E2887&lt;&gt;"",E2887&lt;&gt;"!!!"),"NEW","")))</f>
        <v> </v>
      </c>
      <c r="G2887" s="24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5" t="str">
        <f>IF(J2887&lt;&gt;1,"",IF(I2887="SBJ","CB","?"))</f>
        <v> </v>
      </c>
      <c r="I2887" s="26" t="str">
        <f>IF(OR(E2887="",E2887="!!!",F2887="NEW"),"",INDEX(B2886:B$2,-1+SUMPRODUCT(MAX(ROW(E2886:E$2)*(E2887=E2886:E$2)))))</f>
        <v> </v>
      </c>
      <c r="J2887" s="26" t="str">
        <f>IF(OR(E2887="",E2887="!!!",F2887="NEW"),"",COUNTBLANK(OFFSET(A$1,,,SUMPRODUCT(MAX(ROW(E$2:E2887)*(E2887=E$2:E2887)))))-COUNTBLANK(OFFSET(A$1,,,SUMPRODUCT(MAX(ROW(E$1:E2886)*(E2=E$1:E2886))))))</f>
        <v> </v>
      </c>
      <c r="K2887" s="26" t="str">
        <f>IF(OR(E2887="",E2887="!!!",F2887="NEW"),"",INDEX(J$1:J2886,SUMPRODUCT(MAX(ROW(E$1:E2886)*(E2887=E$1:E2886)))))</f>
        <v> </v>
      </c>
      <c r="L2887" s="27"/>
    </row>
    <row r="2888" spans="1:12">
      <c r="A2888" s="20" t="s">
        <v>1912</v>
      </c>
      <c r="E2888" s="22">
        <f>IF(D2888="?OLD","!!!","")</f>
        <v/>
      </c>
      <c r="F2888" s="23" t="str">
        <f>IF(OR(E2888="",E2888="!!!"),"",IF(NOT(ISNA(VLOOKUP(E2888,E$1:E2887,1,FALSE()))),"OLD",IF(AND(E2888&lt;&gt;"",E2888&lt;&gt;"!!!"),"NEW","")))</f>
        <v> </v>
      </c>
      <c r="G2888" s="24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5" t="str">
        <f>IF(J2888&lt;&gt;1,"",IF(I2888="SBJ","CB","?"))</f>
        <v> </v>
      </c>
      <c r="I2888" s="26" t="str">
        <f>IF(OR(E2888="",E2888="!!!",F2888="NEW"),"",INDEX(B2887:B$2,-1+SUMPRODUCT(MAX(ROW(E2887:E$2)*(E2888=E2887:E$2)))))</f>
        <v> </v>
      </c>
      <c r="J2888" s="26" t="str">
        <f>IF(OR(E2888="",E2888="!!!",F2888="NEW"),"",COUNTBLANK(OFFSET(A$1,,,SUMPRODUCT(MAX(ROW(E$2:E2888)*(E2888=E$2:E2888)))))-COUNTBLANK(OFFSET(A$1,,,SUMPRODUCT(MAX(ROW(E$1:E2887)*(E2=E$1:E2887))))))</f>
        <v> </v>
      </c>
      <c r="K2888" s="26" t="str">
        <f>IF(OR(E2888="",E2888="!!!",F2888="NEW"),"",INDEX(J$1:J2887,SUMPRODUCT(MAX(ROW(E$1:E2887)*(E2888=E$1:E2887)))))</f>
        <v> </v>
      </c>
      <c r="L2888" s="27"/>
    </row>
    <row r="2889" spans="1:12">
      <c r="A2889" s="20" t="s">
        <v>1913</v>
      </c>
      <c r="E2889" s="22">
        <f>IF(D2889="?OLD","!!!","")</f>
        <v/>
      </c>
      <c r="F2889" s="23" t="str">
        <f>IF(OR(E2889="",E2889="!!!"),"",IF(NOT(ISNA(VLOOKUP(E2889,E$1:E2888,1,FALSE()))),"OLD",IF(AND(E2889&lt;&gt;"",E2889&lt;&gt;"!!!"),"NEW","")))</f>
        <v> </v>
      </c>
      <c r="G2889" s="24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5" t="str">
        <f>IF(J2889&lt;&gt;1,"",IF(I2889="SBJ","CB","?"))</f>
        <v> </v>
      </c>
      <c r="I2889" s="26" t="str">
        <f>IF(OR(E2889="",E2889="!!!",F2889="NEW"),"",INDEX(B2888:B$2,-1+SUMPRODUCT(MAX(ROW(E2888:E$2)*(E2889=E2888:E$2)))))</f>
        <v> </v>
      </c>
      <c r="J2889" s="26" t="str">
        <f>IF(OR(E2889="",E2889="!!!",F2889="NEW"),"",COUNTBLANK(OFFSET(A$1,,,SUMPRODUCT(MAX(ROW(E$2:E2889)*(E2889=E$2:E2889)))))-COUNTBLANK(OFFSET(A$1,,,SUMPRODUCT(MAX(ROW(E$1:E2888)*(E2=E$1:E2888))))))</f>
        <v> </v>
      </c>
      <c r="K2889" s="26" t="str">
        <f>IF(OR(E2889="",E2889="!!!",F2889="NEW"),"",INDEX(J$1:J2888,SUMPRODUCT(MAX(ROW(E$1:E2888)*(E2889=E$1:E2888)))))</f>
        <v> </v>
      </c>
      <c r="L2889" s="27"/>
    </row>
    <row r="2890" spans="1:12">
      <c r="A2890" s="20" t="s">
        <v>721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1914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 t="s">
        <v>721</v>
      </c>
      <c r="E2892" s="22">
        <f>IF(D2892="?OLD","!!!","")</f>
        <v/>
      </c>
      <c r="F2892" s="23" t="str">
        <f>IF(OR(E2892="",E2892="!!!"),"",IF(NOT(ISNA(VLOOKUP(E2892,E$1:E2891,1,FALSE()))),"OLD",IF(AND(E2892&lt;&gt;"",E2892&lt;&gt;"!!!"),"NEW","")))</f>
        <v> </v>
      </c>
      <c r="G2892" s="24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5" t="str">
        <f>IF(J2892&lt;&gt;1,"",IF(I2892="SBJ","CB","?"))</f>
        <v> </v>
      </c>
      <c r="I2892" s="26" t="str">
        <f>IF(OR(E2892="",E2892="!!!",F2892="NEW"),"",INDEX(B2891:B$2,-1+SUMPRODUCT(MAX(ROW(E2891:E$2)*(E2892=E2891:E$2)))))</f>
        <v> </v>
      </c>
      <c r="J2892" s="26" t="str">
        <f>IF(OR(E2892="",E2892="!!!",F2892="NEW"),"",COUNTBLANK(OFFSET(A$1,,,SUMPRODUCT(MAX(ROW(E$2:E2892)*(E2892=E$2:E2892)))))-COUNTBLANK(OFFSET(A$1,,,SUMPRODUCT(MAX(ROW(E$1:E2891)*(E2=E$1:E2891))))))</f>
        <v> </v>
      </c>
      <c r="K2892" s="26" t="str">
        <f>IF(OR(E2892="",E2892="!!!",F2892="NEW"),"",INDEX(J$1:J2891,SUMPRODUCT(MAX(ROW(E$1:E2891)*(E2892=E$1:E2891)))))</f>
        <v> </v>
      </c>
      <c r="L2892" s="27"/>
    </row>
    <row r="2893" spans="1:12">
      <c r="A2893" s="20" t="s">
        <v>1911</v>
      </c>
      <c r="E2893" s="22">
        <f>IF(D2893="?OLD","!!!","")</f>
        <v/>
      </c>
      <c r="F2893" s="23" t="str">
        <f>IF(OR(E2893="",E2893="!!!"),"",IF(NOT(ISNA(VLOOKUP(E2893,E$1:E2892,1,FALSE()))),"OLD",IF(AND(E2893&lt;&gt;"",E2893&lt;&gt;"!!!"),"NEW","")))</f>
        <v> </v>
      </c>
      <c r="G2893" s="24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5" t="str">
        <f>IF(J2893&lt;&gt;1,"",IF(I2893="SBJ","CB","?"))</f>
        <v> </v>
      </c>
      <c r="I2893" s="26" t="str">
        <f>IF(OR(E2893="",E2893="!!!",F2893="NEW"),"",INDEX(B2892:B$2,-1+SUMPRODUCT(MAX(ROW(E2892:E$2)*(E2893=E2892:E$2)))))</f>
        <v> </v>
      </c>
      <c r="J2893" s="26" t="str">
        <f>IF(OR(E2893="",E2893="!!!",F2893="NEW"),"",COUNTBLANK(OFFSET(A$1,,,SUMPRODUCT(MAX(ROW(E$2:E2893)*(E2893=E$2:E2893)))))-COUNTBLANK(OFFSET(A$1,,,SUMPRODUCT(MAX(ROW(E$1:E2892)*(E2=E$1:E2892))))))</f>
        <v> </v>
      </c>
      <c r="K2893" s="26" t="str">
        <f>IF(OR(E2893="",E2893="!!!",F2893="NEW"),"",INDEX(J$1:J2892,SUMPRODUCT(MAX(ROW(E$1:E2892)*(E2893=E$1:E2892)))))</f>
        <v> </v>
      </c>
      <c r="L2893" s="27"/>
    </row>
    <row r="2894" spans="1:12">
      <c r="A2894" s="20" t="s">
        <v>1915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 t="s">
        <v>1916</v>
      </c>
      <c r="B2895" s="21" t="s">
        <v>784</v>
      </c>
      <c r="E2895" s="22">
        <f>IF(D2895="?OLD","!!!","")</f>
        <v/>
      </c>
      <c r="F2895" s="23" t="str">
        <f>IF(OR(E2895="",E2895="!!!"),"",IF(NOT(ISNA(VLOOKUP(E2895,E$1:E2894,1,FALSE()))),"OLD",IF(AND(E2895&lt;&gt;"",E2895&lt;&gt;"!!!"),"NEW","")))</f>
        <v> </v>
      </c>
      <c r="G2895" s="24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5" t="str">
        <f>IF(J2895&lt;&gt;1,"",IF(I2895="SBJ","CB","?"))</f>
        <v> </v>
      </c>
      <c r="I2895" s="26" t="str">
        <f>IF(OR(E2895="",E2895="!!!",F2895="NEW"),"",INDEX(B2894:B$2,-1+SUMPRODUCT(MAX(ROW(E2894:E$2)*(E2895=E2894:E$2)))))</f>
        <v> </v>
      </c>
      <c r="J2895" s="26" t="str">
        <f>IF(OR(E2895="",E2895="!!!",F2895="NEW"),"",COUNTBLANK(OFFSET(A$1,,,SUMPRODUCT(MAX(ROW(E$2:E2895)*(E2895=E$2:E2895)))))-COUNTBLANK(OFFSET(A$1,,,SUMPRODUCT(MAX(ROW(E$1:E2894)*(E2=E$1:E2894))))))</f>
        <v> </v>
      </c>
      <c r="K2895" s="26" t="str">
        <f>IF(OR(E2895="",E2895="!!!",F2895="NEW"),"",INDEX(J$1:J2894,SUMPRODUCT(MAX(ROW(E$1:E2894)*(E2895=E$1:E2894)))))</f>
        <v> </v>
      </c>
      <c r="L2895" s="27"/>
    </row>
    <row r="2896" spans="1:12">
      <c r="A2896" s="20" t="s">
        <v>721</v>
      </c>
      <c r="E2896" s="22">
        <f>IF(D2896="?OLD","!!!","")</f>
        <v/>
      </c>
      <c r="F2896" s="23" t="str">
        <f>IF(OR(E2896="",E2896="!!!"),"",IF(NOT(ISNA(VLOOKUP(E2896,E$1:E2895,1,FALSE()))),"OLD",IF(AND(E2896&lt;&gt;"",E2896&lt;&gt;"!!!"),"NEW","")))</f>
        <v> </v>
      </c>
      <c r="G2896" s="24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5" t="str">
        <f>IF(J2896&lt;&gt;1,"",IF(I2896="SBJ","CB","?"))</f>
        <v> </v>
      </c>
      <c r="I2896" s="26" t="str">
        <f>IF(OR(E2896="",E2896="!!!",F2896="NEW"),"",INDEX(B2895:B$2,-1+SUMPRODUCT(MAX(ROW(E2895:E$2)*(E2896=E2895:E$2)))))</f>
        <v> </v>
      </c>
      <c r="J2896" s="26" t="str">
        <f>IF(OR(E2896="",E2896="!!!",F2896="NEW"),"",COUNTBLANK(OFFSET(A$1,,,SUMPRODUCT(MAX(ROW(E$2:E2896)*(E2896=E$2:E2896)))))-COUNTBLANK(OFFSET(A$1,,,SUMPRODUCT(MAX(ROW(E$1:E2895)*(E2=E$1:E2895))))))</f>
        <v> </v>
      </c>
      <c r="K2896" s="26" t="str">
        <f>IF(OR(E2896="",E2896="!!!",F2896="NEW"),"",INDEX(J$1:J2895,SUMPRODUCT(MAX(ROW(E$1:E2895)*(E2896=E$1:E2895)))))</f>
        <v> </v>
      </c>
      <c r="L2896" s="27"/>
    </row>
    <row r="2897" spans="1:12">
      <c r="A2897" s="20" t="s">
        <v>808</v>
      </c>
      <c r="E2897" s="22">
        <f>IF(D2897="?OLD","!!!","")</f>
        <v/>
      </c>
      <c r="F2897" s="23" t="str">
        <f>IF(OR(E2897="",E2897="!!!"),"",IF(NOT(ISNA(VLOOKUP(E2897,E$1:E2896,1,FALSE()))),"OLD",IF(AND(E2897&lt;&gt;"",E2897&lt;&gt;"!!!"),"NEW","")))</f>
        <v> </v>
      </c>
      <c r="G2897" s="24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5" t="str">
        <f>IF(J2897&lt;&gt;1,"",IF(I2897="SBJ","CB","?"))</f>
        <v> </v>
      </c>
      <c r="I2897" s="26" t="str">
        <f>IF(OR(E2897="",E2897="!!!",F2897="NEW"),"",INDEX(B2896:B$2,-1+SUMPRODUCT(MAX(ROW(E2896:E$2)*(E2897=E2896:E$2)))))</f>
        <v> </v>
      </c>
      <c r="J2897" s="26" t="str">
        <f>IF(OR(E2897="",E2897="!!!",F2897="NEW"),"",COUNTBLANK(OFFSET(A$1,,,SUMPRODUCT(MAX(ROW(E$2:E2897)*(E2897=E$2:E2897)))))-COUNTBLANK(OFFSET(A$1,,,SUMPRODUCT(MAX(ROW(E$1:E2896)*(E2=E$1:E2896))))))</f>
        <v> </v>
      </c>
      <c r="K2897" s="26" t="str">
        <f>IF(OR(E2897="",E2897="!!!",F2897="NEW"),"",INDEX(J$1:J2896,SUMPRODUCT(MAX(ROW(E$1:E2896)*(E2897=E$1:E2896)))))</f>
        <v> </v>
      </c>
      <c r="L2897" s="27"/>
    </row>
    <row r="2898" spans="1:12">
      <c r="A2898" s="20" t="s">
        <v>721</v>
      </c>
      <c r="E2898" s="22">
        <f>IF(D2898="?OLD","!!!","")</f>
        <v/>
      </c>
      <c r="F2898" s="23" t="str">
        <f>IF(OR(E2898="",E2898="!!!"),"",IF(NOT(ISNA(VLOOKUP(E2898,E$1:E2897,1,FALSE()))),"OLD",IF(AND(E2898&lt;&gt;"",E2898&lt;&gt;"!!!"),"NEW","")))</f>
        <v> </v>
      </c>
      <c r="G2898" s="24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5" t="str">
        <f>IF(J2898&lt;&gt;1,"",IF(I2898="SBJ","CB","?"))</f>
        <v> </v>
      </c>
      <c r="I2898" s="26" t="str">
        <f>IF(OR(E2898="",E2898="!!!",F2898="NEW"),"",INDEX(B2897:B$2,-1+SUMPRODUCT(MAX(ROW(E2897:E$2)*(E2898=E2897:E$2)))))</f>
        <v> </v>
      </c>
      <c r="J2898" s="26" t="str">
        <f>IF(OR(E2898="",E2898="!!!",F2898="NEW"),"",COUNTBLANK(OFFSET(A$1,,,SUMPRODUCT(MAX(ROW(E$2:E2898)*(E2898=E$2:E2898)))))-COUNTBLANK(OFFSET(A$1,,,SUMPRODUCT(MAX(ROW(E$1:E2897)*(E2=E$1:E2897))))))</f>
        <v> </v>
      </c>
      <c r="K2898" s="26" t="str">
        <f>IF(OR(E2898="",E2898="!!!",F2898="NEW"),"",INDEX(J$1:J2897,SUMPRODUCT(MAX(ROW(E$1:E2897)*(E2898=E$1:E2897)))))</f>
        <v> </v>
      </c>
      <c r="L2898" s="27"/>
    </row>
    <row r="2899" spans="1:12">
      <c r="A2899" s="20" t="s">
        <v>900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1917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721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 t="s">
        <v>1307</v>
      </c>
      <c r="E2902" s="22">
        <f>IF(D2902="?OLD","!!!","")</f>
        <v/>
      </c>
      <c r="F2902" s="23" t="str">
        <f>IF(OR(E2902="",E2902="!!!"),"",IF(NOT(ISNA(VLOOKUP(E2902,E$1:E2901,1,FALSE()))),"OLD",IF(AND(E2902&lt;&gt;"",E2902&lt;&gt;"!!!"),"NEW","")))</f>
        <v> </v>
      </c>
      <c r="G2902" s="24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5" t="str">
        <f>IF(J2902&lt;&gt;1,"",IF(I2902="SBJ","CB","?"))</f>
        <v> </v>
      </c>
      <c r="I2902" s="26" t="str">
        <f>IF(OR(E2902="",E2902="!!!",F2902="NEW"),"",INDEX(B2901:B$2,-1+SUMPRODUCT(MAX(ROW(E2901:E$2)*(E2902=E2901:E$2)))))</f>
        <v> </v>
      </c>
      <c r="J2902" s="26" t="str">
        <f>IF(OR(E2902="",E2902="!!!",F2902="NEW"),"",COUNTBLANK(OFFSET(A$1,,,SUMPRODUCT(MAX(ROW(E$2:E2902)*(E2902=E$2:E2902)))))-COUNTBLANK(OFFSET(A$1,,,SUMPRODUCT(MAX(ROW(E$1:E2901)*(E2=E$1:E2901))))))</f>
        <v> </v>
      </c>
      <c r="K2902" s="26" t="str">
        <f>IF(OR(E2902="",E2902="!!!",F2902="NEW"),"",INDEX(J$1:J2901,SUMPRODUCT(MAX(ROW(E$1:E2901)*(E2902=E$1:E2901)))))</f>
        <v> </v>
      </c>
      <c r="L2902" s="27"/>
    </row>
    <row r="2903" spans="1:12">
      <c r="A2903" s="20" t="s">
        <v>871</v>
      </c>
      <c r="E2903" s="22">
        <f>IF(D2903="?OLD","!!!","")</f>
        <v/>
      </c>
      <c r="F2903" s="23" t="str">
        <f>IF(OR(E2903="",E2903="!!!"),"",IF(NOT(ISNA(VLOOKUP(E2903,E$1:E2902,1,FALSE()))),"OLD",IF(AND(E2903&lt;&gt;"",E2903&lt;&gt;"!!!"),"NEW","")))</f>
        <v> </v>
      </c>
      <c r="G2903" s="24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5" t="str">
        <f>IF(J2903&lt;&gt;1,"",IF(I2903="SBJ","CB","?"))</f>
        <v> </v>
      </c>
      <c r="I2903" s="26" t="str">
        <f>IF(OR(E2903="",E2903="!!!",F2903="NEW"),"",INDEX(B2902:B$2,-1+SUMPRODUCT(MAX(ROW(E2902:E$2)*(E2903=E2902:E$2)))))</f>
        <v> </v>
      </c>
      <c r="J2903" s="26" t="str">
        <f>IF(OR(E2903="",E2903="!!!",F2903="NEW"),"",COUNTBLANK(OFFSET(A$1,,,SUMPRODUCT(MAX(ROW(E$2:E2903)*(E2903=E$2:E2903)))))-COUNTBLANK(OFFSET(A$1,,,SUMPRODUCT(MAX(ROW(E$1:E2902)*(E2=E$1:E2902))))))</f>
        <v> </v>
      </c>
      <c r="K2903" s="26" t="str">
        <f>IF(OR(E2903="",E2903="!!!",F2903="NEW"),"",INDEX(J$1:J2902,SUMPRODUCT(MAX(ROW(E$1:E2902)*(E2903=E$1:E2902)))))</f>
        <v> </v>
      </c>
      <c r="L2903" s="27"/>
    </row>
    <row r="2904" spans="1:12">
      <c r="A2904" s="20" t="s">
        <v>1918</v>
      </c>
      <c r="E2904" s="22">
        <f>IF(D2904="?OLD","!!!","")</f>
        <v/>
      </c>
      <c r="F2904" s="23" t="str">
        <f>IF(OR(E2904="",E2904="!!!"),"",IF(NOT(ISNA(VLOOKUP(E2904,E$1:E2903,1,FALSE()))),"OLD",IF(AND(E2904&lt;&gt;"",E2904&lt;&gt;"!!!"),"NEW","")))</f>
        <v> </v>
      </c>
      <c r="G2904" s="24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5" t="str">
        <f>IF(J2904&lt;&gt;1,"",IF(I2904="SBJ","CB","?"))</f>
        <v> </v>
      </c>
      <c r="I2904" s="26" t="str">
        <f>IF(OR(E2904="",E2904="!!!",F2904="NEW"),"",INDEX(B2903:B$2,-1+SUMPRODUCT(MAX(ROW(E2903:E$2)*(E2904=E2903:E$2)))))</f>
        <v> </v>
      </c>
      <c r="J2904" s="26" t="str">
        <f>IF(OR(E2904="",E2904="!!!",F2904="NEW"),"",COUNTBLANK(OFFSET(A$1,,,SUMPRODUCT(MAX(ROW(E$2:E2904)*(E2904=E$2:E2904)))))-COUNTBLANK(OFFSET(A$1,,,SUMPRODUCT(MAX(ROW(E$1:E2903)*(E2=E$1:E2903))))))</f>
        <v> </v>
      </c>
      <c r="K2904" s="26" t="str">
        <f>IF(OR(E2904="",E2904="!!!",F2904="NEW"),"",INDEX(J$1:J2903,SUMPRODUCT(MAX(ROW(E$1:E2903)*(E2904=E$1:E2903)))))</f>
        <v> </v>
      </c>
      <c r="L2904" s="27"/>
    </row>
    <row r="2905" spans="1:12">
      <c r="A2905" s="20" t="s">
        <v>233</v>
      </c>
      <c r="B2905" s="21" t="s">
        <v>767</v>
      </c>
      <c r="C2905" s="21" t="s">
        <v>719</v>
      </c>
      <c r="E2905" s="22">
        <f>IF(D2905="?OLD","!!!","")</f>
        <v/>
      </c>
      <c r="F2905" s="23" t="str">
        <f>IF(OR(E2905="",E2905="!!!"),"",IF(NOT(ISNA(VLOOKUP(E2905,E$1:E2904,1,FALSE()))),"OLD",IF(AND(E2905&lt;&gt;"",E2905&lt;&gt;"!!!"),"NEW","")))</f>
        <v> </v>
      </c>
      <c r="G2905" s="24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5" t="str">
        <f>IF(J2905&lt;&gt;1,"",IF(I2905="SBJ","CB","?"))</f>
        <v> </v>
      </c>
      <c r="I2905" s="26" t="str">
        <f>IF(OR(E2905="",E2905="!!!",F2905="NEW"),"",INDEX(B2904:B$2,-1+SUMPRODUCT(MAX(ROW(E2904:E$2)*(E2905=E2904:E$2)))))</f>
        <v> </v>
      </c>
      <c r="J2905" s="26" t="str">
        <f>IF(OR(E2905="",E2905="!!!",F2905="NEW"),"",COUNTBLANK(OFFSET(A$1,,,SUMPRODUCT(MAX(ROW(E$2:E2905)*(E2905=E$2:E2905)))))-COUNTBLANK(OFFSET(A$1,,,SUMPRODUCT(MAX(ROW(E$1:E2904)*(E2=E$1:E2904))))))</f>
        <v> </v>
      </c>
      <c r="K2905" s="26" t="str">
        <f>IF(OR(E2905="",E2905="!!!",F2905="NEW"),"",INDEX(J$1:J2904,SUMPRODUCT(MAX(ROW(E$1:E2904)*(E2905=E$1:E2904)))))</f>
        <v> </v>
      </c>
      <c r="L2905" s="27"/>
    </row>
    <row r="2906" spans="1:12">
      <c r="A2906" s="20" t="s">
        <v>1919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830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1816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732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/>
    </row>
    <row r="2911" spans="1:12">
      <c r="A2911" s="20" t="s">
        <v>1920</v>
      </c>
    </row>
    <row r="2912" spans="1:12">
      <c r="A2912" s="20" t="s">
        <v>1281</v>
      </c>
      <c r="E2912" s="22">
        <f>IF(D2912="?OLD","!!!","")</f>
        <v/>
      </c>
      <c r="F2912" s="23" t="str">
        <f>IF(OR(E2912="",E2912="!!!"),"",IF(NOT(ISNA(VLOOKUP(E2912,E$1:E2911,1,FALSE()))),"OLD",IF(AND(E2912&lt;&gt;"",E2912&lt;&gt;"!!!"),"NEW","")))</f>
        <v> </v>
      </c>
      <c r="G2912" s="24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5" t="str">
        <f>IF(J2912&lt;&gt;1,"",IF(I2912="SBJ","CB","?"))</f>
        <v> </v>
      </c>
      <c r="I2912" s="26" t="str">
        <f>IF(OR(E2912="",E2912="!!!",F2912="NEW"),"",INDEX(B2911:B$2,-1+SUMPRODUCT(MAX(ROW(E2911:E$2)*(E2912=E2911:E$2)))))</f>
        <v> </v>
      </c>
      <c r="J2912" s="26" t="str">
        <f>IF(OR(E2912="",E2912="!!!",F2912="NEW"),"",COUNTBLANK(OFFSET(A$1,,,SUMPRODUCT(MAX(ROW(E$2:E2912)*(E2912=E$2:E2912)))))-COUNTBLANK(OFFSET(A$1,,,SUMPRODUCT(MAX(ROW(E$1:E2911)*(E2=E$1:E2911))))))</f>
        <v> </v>
      </c>
      <c r="K2912" s="26" t="str">
        <f>IF(OR(E2912="",E2912="!!!",F2912="NEW"),"",INDEX(J$1:J2911,SUMPRODUCT(MAX(ROW(E$1:E2911)*(E2912=E$1:E2911)))))</f>
        <v> </v>
      </c>
      <c r="L2912" s="27"/>
    </row>
    <row r="2913" spans="1:12">
      <c r="A2913" s="20" t="s">
        <v>893</v>
      </c>
      <c r="B2913" s="21" t="s">
        <v>718</v>
      </c>
      <c r="C2913" s="21" t="s">
        <v>747</v>
      </c>
      <c r="D2913" s="21" t="s">
        <v>728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1921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1922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769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1923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676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 t="s">
        <v>732</v>
      </c>
      <c r="E2919" s="22">
        <f>IF(D2919="?OLD","!!!","")</f>
        <v/>
      </c>
      <c r="F2919" s="23" t="str">
        <f>IF(OR(E2919="",E2919="!!!"),"",IF(NOT(ISNA(VLOOKUP(E2919,E$1:E2918,1,FALSE()))),"OLD",IF(AND(E2919&lt;&gt;"",E2919&lt;&gt;"!!!"),"NEW","")))</f>
        <v> </v>
      </c>
      <c r="G2919" s="24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5" t="str">
        <f>IF(J2919&lt;&gt;1,"",IF(I2919="SBJ","CB","?"))</f>
        <v> </v>
      </c>
      <c r="I2919" s="26" t="str">
        <f>IF(OR(E2919="",E2919="!!!",F2919="NEW"),"",INDEX(B2918:B$2,-1+SUMPRODUCT(MAX(ROW(E2918:E$2)*(E2919=E2918:E$2)))))</f>
        <v> </v>
      </c>
      <c r="J2919" s="26" t="str">
        <f>IF(OR(E2919="",E2919="!!!",F2919="NEW"),"",COUNTBLANK(OFFSET(A$1,,,SUMPRODUCT(MAX(ROW(E$2:E2919)*(E2919=E$2:E2919)))))-COUNTBLANK(OFFSET(A$1,,,SUMPRODUCT(MAX(ROW(E$1:E2918)*(E2=E$1:E2918))))))</f>
        <v> </v>
      </c>
      <c r="K2919" s="26" t="str">
        <f>IF(OR(E2919="",E2919="!!!",F2919="NEW"),"",INDEX(J$1:J2918,SUMPRODUCT(MAX(ROW(E$1:E2918)*(E2919=E$1:E2918)))))</f>
        <v> </v>
      </c>
      <c r="L2919" s="27"/>
    </row>
    <row r="2920" spans="1:12">
      <c r="A2920" s="20"/>
    </row>
    <row r="2921" spans="1:12">
      <c r="A2921" s="20" t="s">
        <v>1924</v>
      </c>
    </row>
    <row r="2922" spans="1:12">
      <c r="A2922" s="20" t="s">
        <v>746</v>
      </c>
      <c r="B2922" s="21" t="s">
        <v>726</v>
      </c>
      <c r="C2922" s="21" t="s">
        <v>747</v>
      </c>
      <c r="D2922" s="21" t="s">
        <v>728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 t="s">
        <v>1925</v>
      </c>
      <c r="E2923" s="22">
        <f>IF(D2923="?OLD","!!!","")</f>
        <v/>
      </c>
      <c r="F2923" s="23" t="str">
        <f>IF(OR(E2923="",E2923="!!!"),"",IF(NOT(ISNA(VLOOKUP(E2923,E$1:E2922,1,FALSE()))),"OLD",IF(AND(E2923&lt;&gt;"",E2923&lt;&gt;"!!!"),"NEW","")))</f>
        <v> </v>
      </c>
      <c r="G2923" s="24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5" t="str">
        <f>IF(J2923&lt;&gt;1,"",IF(I2923="SBJ","CB","?"))</f>
        <v> </v>
      </c>
      <c r="I2923" s="26" t="str">
        <f>IF(OR(E2923="",E2923="!!!",F2923="NEW"),"",INDEX(B2922:B$2,-1+SUMPRODUCT(MAX(ROW(E2922:E$2)*(E2923=E2922:E$2)))))</f>
        <v> </v>
      </c>
      <c r="J2923" s="26" t="str">
        <f>IF(OR(E2923="",E2923="!!!",F2923="NEW"),"",COUNTBLANK(OFFSET(A$1,,,SUMPRODUCT(MAX(ROW(E$2:E2923)*(E2923=E$2:E2923)))))-COUNTBLANK(OFFSET(A$1,,,SUMPRODUCT(MAX(ROW(E$1:E2922)*(E2=E$1:E2922))))))</f>
        <v> </v>
      </c>
      <c r="K2923" s="26" t="str">
        <f>IF(OR(E2923="",E2923="!!!",F2923="NEW"),"",INDEX(J$1:J2922,SUMPRODUCT(MAX(ROW(E$1:E2922)*(E2923=E$1:E2922)))))</f>
        <v> </v>
      </c>
      <c r="L2923" s="27"/>
    </row>
    <row r="2924" spans="1:12">
      <c r="A2924" s="20" t="s">
        <v>676</v>
      </c>
      <c r="E2924" s="22">
        <f>IF(D2924="?OLD","!!!","")</f>
        <v/>
      </c>
      <c r="F2924" s="23" t="str">
        <f>IF(OR(E2924="",E2924="!!!"),"",IF(NOT(ISNA(VLOOKUP(E2924,E$1:E2923,1,FALSE()))),"OLD",IF(AND(E2924&lt;&gt;"",E2924&lt;&gt;"!!!"),"NEW","")))</f>
        <v> </v>
      </c>
      <c r="G2924" s="24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5" t="str">
        <f>IF(J2924&lt;&gt;1,"",IF(I2924="SBJ","CB","?"))</f>
        <v> </v>
      </c>
      <c r="I2924" s="26" t="str">
        <f>IF(OR(E2924="",E2924="!!!",F2924="NEW"),"",INDEX(B2923:B$2,-1+SUMPRODUCT(MAX(ROW(E2923:E$2)*(E2924=E2923:E$2)))))</f>
        <v> </v>
      </c>
      <c r="J2924" s="26" t="str">
        <f>IF(OR(E2924="",E2924="!!!",F2924="NEW"),"",COUNTBLANK(OFFSET(A$1,,,SUMPRODUCT(MAX(ROW(E$2:E2924)*(E2924=E$2:E2924)))))-COUNTBLANK(OFFSET(A$1,,,SUMPRODUCT(MAX(ROW(E$1:E2923)*(E2=E$1:E2923))))))</f>
        <v> </v>
      </c>
      <c r="K2924" s="26" t="str">
        <f>IF(OR(E2924="",E2924="!!!",F2924="NEW"),"",INDEX(J$1:J2923,SUMPRODUCT(MAX(ROW(E$1:E2923)*(E2924=E$1:E2923)))))</f>
        <v> </v>
      </c>
      <c r="L2924" s="27"/>
    </row>
    <row r="2925" spans="1:12">
      <c r="A2925" s="20" t="s">
        <v>721</v>
      </c>
      <c r="E2925" s="22">
        <f>IF(D2925="?OLD","!!!","")</f>
        <v/>
      </c>
      <c r="F2925" s="23" t="str">
        <f>IF(OR(E2925="",E2925="!!!"),"",IF(NOT(ISNA(VLOOKUP(E2925,E$1:E2924,1,FALSE()))),"OLD",IF(AND(E2925&lt;&gt;"",E2925&lt;&gt;"!!!"),"NEW","")))</f>
        <v> </v>
      </c>
      <c r="G2925" s="24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5" t="str">
        <f>IF(J2925&lt;&gt;1,"",IF(I2925="SBJ","CB","?"))</f>
        <v> </v>
      </c>
      <c r="I2925" s="26" t="str">
        <f>IF(OR(E2925="",E2925="!!!",F2925="NEW"),"",INDEX(B2924:B$2,-1+SUMPRODUCT(MAX(ROW(E2924:E$2)*(E2925=E2924:E$2)))))</f>
        <v> </v>
      </c>
      <c r="J2925" s="26" t="str">
        <f>IF(OR(E2925="",E2925="!!!",F2925="NEW"),"",COUNTBLANK(OFFSET(A$1,,,SUMPRODUCT(MAX(ROW(E$2:E2925)*(E2925=E$2:E2925)))))-COUNTBLANK(OFFSET(A$1,,,SUMPRODUCT(MAX(ROW(E$1:E2924)*(E2=E$1:E2924))))))</f>
        <v> </v>
      </c>
      <c r="K2925" s="26" t="str">
        <f>IF(OR(E2925="",E2925="!!!",F2925="NEW"),"",INDEX(J$1:J2924,SUMPRODUCT(MAX(ROW(E$1:E2924)*(E2925=E$1:E2924)))))</f>
        <v> </v>
      </c>
      <c r="L2925" s="27"/>
    </row>
    <row r="2926" spans="1:12">
      <c r="A2926" s="20" t="s">
        <v>771</v>
      </c>
      <c r="B2926" s="21" t="s">
        <v>767</v>
      </c>
      <c r="C2926" s="21" t="s">
        <v>719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1926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769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 t="s">
        <v>737</v>
      </c>
      <c r="E2929" s="22">
        <f>IF(D2929="?OLD","!!!","")</f>
        <v/>
      </c>
      <c r="F2929" s="23" t="str">
        <f>IF(OR(E2929="",E2929="!!!"),"",IF(NOT(ISNA(VLOOKUP(E2929,E$1:E2928,1,FALSE()))),"OLD",IF(AND(E2929&lt;&gt;"",E2929&lt;&gt;"!!!"),"NEW","")))</f>
        <v> </v>
      </c>
      <c r="G2929" s="24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5" t="str">
        <f>IF(J2929&lt;&gt;1,"",IF(I2929="SBJ","CB","?"))</f>
        <v> </v>
      </c>
      <c r="I2929" s="26" t="str">
        <f>IF(OR(E2929="",E2929="!!!",F2929="NEW"),"",INDEX(B2928:B$2,-1+SUMPRODUCT(MAX(ROW(E2928:E$2)*(E2929=E2928:E$2)))))</f>
        <v> </v>
      </c>
      <c r="J2929" s="26" t="str">
        <f>IF(OR(E2929="",E2929="!!!",F2929="NEW"),"",COUNTBLANK(OFFSET(A$1,,,SUMPRODUCT(MAX(ROW(E$2:E2929)*(E2929=E$2:E2929)))))-COUNTBLANK(OFFSET(A$1,,,SUMPRODUCT(MAX(ROW(E$1:E2928)*(E2=E$1:E2928))))))</f>
        <v> </v>
      </c>
      <c r="K2929" s="26" t="str">
        <f>IF(OR(E2929="",E2929="!!!",F2929="NEW"),"",INDEX(J$1:J2928,SUMPRODUCT(MAX(ROW(E$1:E2928)*(E2929=E$1:E2928)))))</f>
        <v> </v>
      </c>
      <c r="L2929" s="27"/>
    </row>
    <row r="2930" spans="1:12">
      <c r="A2930" s="20" t="s">
        <v>1927</v>
      </c>
      <c r="E2930" s="22">
        <f>IF(D2930="?OLD","!!!","")</f>
        <v/>
      </c>
      <c r="F2930" s="23" t="str">
        <f>IF(OR(E2930="",E2930="!!!"),"",IF(NOT(ISNA(VLOOKUP(E2930,E$1:E2929,1,FALSE()))),"OLD",IF(AND(E2930&lt;&gt;"",E2930&lt;&gt;"!!!"),"NEW","")))</f>
        <v> </v>
      </c>
      <c r="G2930" s="24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5" t="str">
        <f>IF(J2930&lt;&gt;1,"",IF(I2930="SBJ","CB","?"))</f>
        <v> </v>
      </c>
      <c r="I2930" s="26" t="str">
        <f>IF(OR(E2930="",E2930="!!!",F2930="NEW"),"",INDEX(B2929:B$2,-1+SUMPRODUCT(MAX(ROW(E2929:E$2)*(E2930=E2929:E$2)))))</f>
        <v> </v>
      </c>
      <c r="J2930" s="26" t="str">
        <f>IF(OR(E2930="",E2930="!!!",F2930="NEW"),"",COUNTBLANK(OFFSET(A$1,,,SUMPRODUCT(MAX(ROW(E$2:E2930)*(E2930=E$2:E2930)))))-COUNTBLANK(OFFSET(A$1,,,SUMPRODUCT(MAX(ROW(E$1:E2929)*(E2=E$1:E2929))))))</f>
        <v> </v>
      </c>
      <c r="K2930" s="26" t="str">
        <f>IF(OR(E2930="",E2930="!!!",F2930="NEW"),"",INDEX(J$1:J2929,SUMPRODUCT(MAX(ROW(E$1:E2929)*(E2930=E$1:E2929)))))</f>
        <v> </v>
      </c>
      <c r="L2930" s="27"/>
    </row>
    <row r="2931" spans="1:12">
      <c r="A2931" s="20" t="s">
        <v>1928</v>
      </c>
      <c r="B2931" s="21" t="s">
        <v>796</v>
      </c>
      <c r="C2931" s="21" t="s">
        <v>800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1929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732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/>
    </row>
    <row r="2935" spans="1:12">
      <c r="A2935" s="20" t="s">
        <v>1930</v>
      </c>
    </row>
    <row r="2936" spans="1:12">
      <c r="A2936" s="20" t="s">
        <v>1931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769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1616</v>
      </c>
      <c r="B2938" s="21" t="s">
        <v>718</v>
      </c>
      <c r="C2938" s="21" t="s">
        <v>762</v>
      </c>
      <c r="D2938" s="21" t="s">
        <v>728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721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1834</v>
      </c>
      <c r="B2940" s="21" t="s">
        <v>726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848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267</v>
      </c>
      <c r="B2942" s="21" t="s">
        <v>796</v>
      </c>
      <c r="C2942" s="21" t="s">
        <v>762</v>
      </c>
      <c r="D2942" s="21" t="s">
        <v>728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 t="s">
        <v>721</v>
      </c>
      <c r="E2943" s="22">
        <f>IF(D2943="?OLD","!!!","")</f>
        <v/>
      </c>
      <c r="F2943" s="23" t="str">
        <f>IF(OR(E2943="",E2943="!!!"),"",IF(NOT(ISNA(VLOOKUP(E2943,E$1:E2942,1,FALSE()))),"OLD",IF(AND(E2943&lt;&gt;"",E2943&lt;&gt;"!!!"),"NEW","")))</f>
        <v> </v>
      </c>
      <c r="G2943" s="24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5" t="str">
        <f>IF(J2943&lt;&gt;1,"",IF(I2943="SBJ","CB","?"))</f>
        <v> </v>
      </c>
      <c r="I2943" s="26" t="str">
        <f>IF(OR(E2943="",E2943="!!!",F2943="NEW"),"",INDEX(B2942:B$2,-1+SUMPRODUCT(MAX(ROW(E2942:E$2)*(E2943=E2942:E$2)))))</f>
        <v> </v>
      </c>
      <c r="J2943" s="26" t="str">
        <f>IF(OR(E2943="",E2943="!!!",F2943="NEW"),"",COUNTBLANK(OFFSET(A$1,,,SUMPRODUCT(MAX(ROW(E$2:E2943)*(E2943=E$2:E2943)))))-COUNTBLANK(OFFSET(A$1,,,SUMPRODUCT(MAX(ROW(E$1:E2942)*(E2=E$1:E2942))))))</f>
        <v> </v>
      </c>
      <c r="K2943" s="26" t="str">
        <f>IF(OR(E2943="",E2943="!!!",F2943="NEW"),"",INDEX(J$1:J2942,SUMPRODUCT(MAX(ROW(E$1:E2942)*(E2943=E$1:E2942)))))</f>
        <v> </v>
      </c>
      <c r="L2943" s="27"/>
    </row>
    <row r="2944" spans="1:12">
      <c r="A2944" s="20" t="s">
        <v>818</v>
      </c>
      <c r="E2944" s="22">
        <f>IF(D2944="?OLD","!!!","")</f>
        <v/>
      </c>
      <c r="F2944" s="23" t="str">
        <f>IF(OR(E2944="",E2944="!!!"),"",IF(NOT(ISNA(VLOOKUP(E2944,E$1:E2943,1,FALSE()))),"OLD",IF(AND(E2944&lt;&gt;"",E2944&lt;&gt;"!!!"),"NEW","")))</f>
        <v> </v>
      </c>
      <c r="G2944" s="24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5" t="str">
        <f>IF(J2944&lt;&gt;1,"",IF(I2944="SBJ","CB","?"))</f>
        <v> </v>
      </c>
      <c r="I2944" s="26" t="str">
        <f>IF(OR(E2944="",E2944="!!!",F2944="NEW"),"",INDEX(B2943:B$2,-1+SUMPRODUCT(MAX(ROW(E2943:E$2)*(E2944=E2943:E$2)))))</f>
        <v> </v>
      </c>
      <c r="J2944" s="26" t="str">
        <f>IF(OR(E2944="",E2944="!!!",F2944="NEW"),"",COUNTBLANK(OFFSET(A$1,,,SUMPRODUCT(MAX(ROW(E$2:E2944)*(E2944=E$2:E2944)))))-COUNTBLANK(OFFSET(A$1,,,SUMPRODUCT(MAX(ROW(E$1:E2943)*(E2=E$1:E2943))))))</f>
        <v> </v>
      </c>
      <c r="K2944" s="26" t="str">
        <f>IF(OR(E2944="",E2944="!!!",F2944="NEW"),"",INDEX(J$1:J2943,SUMPRODUCT(MAX(ROW(E$1:E2943)*(E2944=E$1:E2943)))))</f>
        <v> </v>
      </c>
      <c r="L2944" s="27"/>
    </row>
    <row r="2945" spans="1:12">
      <c r="A2945" s="20" t="s">
        <v>721</v>
      </c>
      <c r="E2945" s="22">
        <f>IF(D2945="?OLD","!!!","")</f>
        <v/>
      </c>
      <c r="F2945" s="23" t="str">
        <f>IF(OR(E2945="",E2945="!!!"),"",IF(NOT(ISNA(VLOOKUP(E2945,E$1:E2944,1,FALSE()))),"OLD",IF(AND(E2945&lt;&gt;"",E2945&lt;&gt;"!!!"),"NEW","")))</f>
        <v> </v>
      </c>
      <c r="G2945" s="24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5" t="str">
        <f>IF(J2945&lt;&gt;1,"",IF(I2945="SBJ","CB","?"))</f>
        <v> </v>
      </c>
      <c r="I2945" s="26" t="str">
        <f>IF(OR(E2945="",E2945="!!!",F2945="NEW"),"",INDEX(B2944:B$2,-1+SUMPRODUCT(MAX(ROW(E2944:E$2)*(E2945=E2944:E$2)))))</f>
        <v> </v>
      </c>
      <c r="J2945" s="26" t="str">
        <f>IF(OR(E2945="",E2945="!!!",F2945="NEW"),"",COUNTBLANK(OFFSET(A$1,,,SUMPRODUCT(MAX(ROW(E$2:E2945)*(E2945=E$2:E2945)))))-COUNTBLANK(OFFSET(A$1,,,SUMPRODUCT(MAX(ROW(E$1:E2944)*(E2=E$1:E2944))))))</f>
        <v> </v>
      </c>
      <c r="K2945" s="26" t="str">
        <f>IF(OR(E2945="",E2945="!!!",F2945="NEW"),"",INDEX(J$1:J2944,SUMPRODUCT(MAX(ROW(E$1:E2944)*(E2945=E$1:E2944)))))</f>
        <v> </v>
      </c>
      <c r="L2945" s="27"/>
    </row>
    <row r="2946" spans="1:12">
      <c r="A2946" s="20" t="s">
        <v>1895</v>
      </c>
      <c r="B2946" s="21" t="s">
        <v>826</v>
      </c>
      <c r="C2946" s="21" t="s">
        <v>719</v>
      </c>
      <c r="E2946" s="22">
        <f>IF(D2946="?OLD","!!!","")</f>
        <v/>
      </c>
      <c r="F2946" s="23" t="str">
        <f>IF(OR(E2946="",E2946="!!!"),"",IF(NOT(ISNA(VLOOKUP(E2946,E$1:E2945,1,FALSE()))),"OLD",IF(AND(E2946&lt;&gt;"",E2946&lt;&gt;"!!!"),"NEW","")))</f>
        <v> </v>
      </c>
      <c r="G2946" s="24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5" t="str">
        <f>IF(J2946&lt;&gt;1,"",IF(I2946="SBJ","CB","?"))</f>
        <v> </v>
      </c>
      <c r="I2946" s="26" t="str">
        <f>IF(OR(E2946="",E2946="!!!",F2946="NEW"),"",INDEX(B2945:B$2,-1+SUMPRODUCT(MAX(ROW(E2945:E$2)*(E2946=E2945:E$2)))))</f>
        <v> </v>
      </c>
      <c r="J2946" s="26" t="str">
        <f>IF(OR(E2946="",E2946="!!!",F2946="NEW"),"",COUNTBLANK(OFFSET(A$1,,,SUMPRODUCT(MAX(ROW(E$2:E2946)*(E2946=E$2:E2946)))))-COUNTBLANK(OFFSET(A$1,,,SUMPRODUCT(MAX(ROW(E$1:E2945)*(E2=E$1:E2945))))))</f>
        <v> </v>
      </c>
      <c r="K2946" s="26" t="str">
        <f>IF(OR(E2946="",E2946="!!!",F2946="NEW"),"",INDEX(J$1:J2945,SUMPRODUCT(MAX(ROW(E$1:E2945)*(E2946=E$1:E2945)))))</f>
        <v> </v>
      </c>
      <c r="L2946" s="27"/>
    </row>
    <row r="2947" spans="1:12">
      <c r="A2947" s="20" t="s">
        <v>871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1932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 t="s">
        <v>769</v>
      </c>
      <c r="E2949" s="22">
        <f>IF(D2949="?OLD","!!!","")</f>
        <v/>
      </c>
      <c r="F2949" s="23" t="str">
        <f>IF(OR(E2949="",E2949="!!!"),"",IF(NOT(ISNA(VLOOKUP(E2949,E$1:E2948,1,FALSE()))),"OLD",IF(AND(E2949&lt;&gt;"",E2949&lt;&gt;"!!!"),"NEW","")))</f>
        <v> </v>
      </c>
      <c r="G2949" s="24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5" t="str">
        <f>IF(J2949&lt;&gt;1,"",IF(I2949="SBJ","CB","?"))</f>
        <v> </v>
      </c>
      <c r="I2949" s="26" t="str">
        <f>IF(OR(E2949="",E2949="!!!",F2949="NEW"),"",INDEX(B2948:B$2,-1+SUMPRODUCT(MAX(ROW(E2948:E$2)*(E2949=E2948:E$2)))))</f>
        <v> </v>
      </c>
      <c r="J2949" s="26" t="str">
        <f>IF(OR(E2949="",E2949="!!!",F2949="NEW"),"",COUNTBLANK(OFFSET(A$1,,,SUMPRODUCT(MAX(ROW(E$2:E2949)*(E2949=E$2:E2949)))))-COUNTBLANK(OFFSET(A$1,,,SUMPRODUCT(MAX(ROW(E$1:E2948)*(E2=E$1:E2948))))))</f>
        <v> </v>
      </c>
      <c r="K2949" s="26" t="str">
        <f>IF(OR(E2949="",E2949="!!!",F2949="NEW"),"",INDEX(J$1:J2948,SUMPRODUCT(MAX(ROW(E$1:E2948)*(E2949=E$1:E2948)))))</f>
        <v> </v>
      </c>
      <c r="L2949" s="27"/>
    </row>
    <row r="2950" spans="1:12">
      <c r="A2950" s="20" t="s">
        <v>1933</v>
      </c>
      <c r="E2950" s="22">
        <f>IF(D2950="?OLD","!!!","")</f>
        <v/>
      </c>
      <c r="F2950" s="23" t="str">
        <f>IF(OR(E2950="",E2950="!!!"),"",IF(NOT(ISNA(VLOOKUP(E2950,E$1:E2949,1,FALSE()))),"OLD",IF(AND(E2950&lt;&gt;"",E2950&lt;&gt;"!!!"),"NEW","")))</f>
        <v> </v>
      </c>
      <c r="G2950" s="24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5" t="str">
        <f>IF(J2950&lt;&gt;1,"",IF(I2950="SBJ","CB","?"))</f>
        <v> </v>
      </c>
      <c r="I2950" s="26" t="str">
        <f>IF(OR(E2950="",E2950="!!!",F2950="NEW"),"",INDEX(B2949:B$2,-1+SUMPRODUCT(MAX(ROW(E2949:E$2)*(E2950=E2949:E$2)))))</f>
        <v> </v>
      </c>
      <c r="J2950" s="26" t="str">
        <f>IF(OR(E2950="",E2950="!!!",F2950="NEW"),"",COUNTBLANK(OFFSET(A$1,,,SUMPRODUCT(MAX(ROW(E$2:E2950)*(E2950=E$2:E2950)))))-COUNTBLANK(OFFSET(A$1,,,SUMPRODUCT(MAX(ROW(E$1:E2949)*(E2=E$1:E2949))))))</f>
        <v> </v>
      </c>
      <c r="K2950" s="26" t="str">
        <f>IF(OR(E2950="",E2950="!!!",F2950="NEW"),"",INDEX(J$1:J2949,SUMPRODUCT(MAX(ROW(E$1:E2949)*(E2950=E$1:E2949)))))</f>
        <v> </v>
      </c>
      <c r="L2950" s="27"/>
    </row>
    <row r="2951" spans="1:12">
      <c r="A2951" s="20" t="s">
        <v>1611</v>
      </c>
      <c r="E2951" s="22">
        <f>IF(D2951="?OLD","!!!","")</f>
        <v/>
      </c>
      <c r="F2951" s="23" t="str">
        <f>IF(OR(E2951="",E2951="!!!"),"",IF(NOT(ISNA(VLOOKUP(E2951,E$1:E2950,1,FALSE()))),"OLD",IF(AND(E2951&lt;&gt;"",E2951&lt;&gt;"!!!"),"NEW","")))</f>
        <v> </v>
      </c>
      <c r="G2951" s="24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5" t="str">
        <f>IF(J2951&lt;&gt;1,"",IF(I2951="SBJ","CB","?"))</f>
        <v> </v>
      </c>
      <c r="I2951" s="26" t="str">
        <f>IF(OR(E2951="",E2951="!!!",F2951="NEW"),"",INDEX(B2950:B$2,-1+SUMPRODUCT(MAX(ROW(E2950:E$2)*(E2951=E2950:E$2)))))</f>
        <v> </v>
      </c>
      <c r="J2951" s="26" t="str">
        <f>IF(OR(E2951="",E2951="!!!",F2951="NEW"),"",COUNTBLANK(OFFSET(A$1,,,SUMPRODUCT(MAX(ROW(E$2:E2951)*(E2951=E$2:E2951)))))-COUNTBLANK(OFFSET(A$1,,,SUMPRODUCT(MAX(ROW(E$1:E2950)*(E2=E$1:E2950))))))</f>
        <v> </v>
      </c>
      <c r="K2951" s="26" t="str">
        <f>IF(OR(E2951="",E2951="!!!",F2951="NEW"),"",INDEX(J$1:J2950,SUMPRODUCT(MAX(ROW(E$1:E2950)*(E2951=E$1:E2950)))))</f>
        <v> </v>
      </c>
      <c r="L2951" s="27"/>
    </row>
    <row r="2952" spans="1:12">
      <c r="A2952" s="20" t="s">
        <v>721</v>
      </c>
      <c r="E2952" s="22">
        <f>IF(D2952="?OLD","!!!","")</f>
        <v/>
      </c>
      <c r="F2952" s="23" t="str">
        <f>IF(OR(E2952="",E2952="!!!"),"",IF(NOT(ISNA(VLOOKUP(E2952,E$1:E2951,1,FALSE()))),"OLD",IF(AND(E2952&lt;&gt;"",E2952&lt;&gt;"!!!"),"NEW","")))</f>
        <v> </v>
      </c>
      <c r="G2952" s="24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5" t="str">
        <f>IF(J2952&lt;&gt;1,"",IF(I2952="SBJ","CB","?"))</f>
        <v> </v>
      </c>
      <c r="I2952" s="26" t="str">
        <f>IF(OR(E2952="",E2952="!!!",F2952="NEW"),"",INDEX(B2951:B$2,-1+SUMPRODUCT(MAX(ROW(E2951:E$2)*(E2952=E2951:E$2)))))</f>
        <v> </v>
      </c>
      <c r="J2952" s="26" t="str">
        <f>IF(OR(E2952="",E2952="!!!",F2952="NEW"),"",COUNTBLANK(OFFSET(A$1,,,SUMPRODUCT(MAX(ROW(E$2:E2952)*(E2952=E$2:E2952)))))-COUNTBLANK(OFFSET(A$1,,,SUMPRODUCT(MAX(ROW(E$1:E2951)*(E2=E$1:E2951))))))</f>
        <v> </v>
      </c>
      <c r="K2952" s="26" t="str">
        <f>IF(OR(E2952="",E2952="!!!",F2952="NEW"),"",INDEX(J$1:J2951,SUMPRODUCT(MAX(ROW(E$1:E2951)*(E2952=E$1:E2951)))))</f>
        <v> </v>
      </c>
      <c r="L2952" s="27"/>
    </row>
    <row r="2953" spans="1:12">
      <c r="A2953" s="20" t="s">
        <v>818</v>
      </c>
      <c r="B2953" s="21" t="s">
        <v>826</v>
      </c>
      <c r="E2953" s="22">
        <f>IF(D2953="?OLD","!!!","")</f>
        <v/>
      </c>
      <c r="F2953" s="23" t="str">
        <f>IF(OR(E2953="",E2953="!!!"),"",IF(NOT(ISNA(VLOOKUP(E2953,E$1:E2952,1,FALSE()))),"OLD",IF(AND(E2953&lt;&gt;"",E2953&lt;&gt;"!!!"),"NEW","")))</f>
        <v> </v>
      </c>
      <c r="G2953" s="24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5" t="str">
        <f>IF(J2953&lt;&gt;1,"",IF(I2953="SBJ","CB","?"))</f>
        <v> </v>
      </c>
      <c r="I2953" s="26" t="str">
        <f>IF(OR(E2953="",E2953="!!!",F2953="NEW"),"",INDEX(B2952:B$2,-1+SUMPRODUCT(MAX(ROW(E2952:E$2)*(E2953=E2952:E$2)))))</f>
        <v> </v>
      </c>
      <c r="J2953" s="26" t="str">
        <f>IF(OR(E2953="",E2953="!!!",F2953="NEW"),"",COUNTBLANK(OFFSET(A$1,,,SUMPRODUCT(MAX(ROW(E$2:E2953)*(E2953=E$2:E2953)))))-COUNTBLANK(OFFSET(A$1,,,SUMPRODUCT(MAX(ROW(E$1:E2952)*(E2=E$1:E2952))))))</f>
        <v> </v>
      </c>
      <c r="K2953" s="26" t="str">
        <f>IF(OR(E2953="",E2953="!!!",F2953="NEW"),"",INDEX(J$1:J2952,SUMPRODUCT(MAX(ROW(E$1:E2952)*(E2953=E$1:E2952)))))</f>
        <v> </v>
      </c>
      <c r="L2953" s="27"/>
    </row>
    <row r="2954" spans="1:12">
      <c r="A2954" s="20" t="s">
        <v>721</v>
      </c>
      <c r="E2954" s="22">
        <f>IF(D2954="?OLD","!!!","")</f>
        <v/>
      </c>
      <c r="F2954" s="23" t="str">
        <f>IF(OR(E2954="",E2954="!!!"),"",IF(NOT(ISNA(VLOOKUP(E2954,E$1:E2953,1,FALSE()))),"OLD",IF(AND(E2954&lt;&gt;"",E2954&lt;&gt;"!!!"),"NEW","")))</f>
        <v> </v>
      </c>
      <c r="G2954" s="24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5" t="str">
        <f>IF(J2954&lt;&gt;1,"",IF(I2954="SBJ","CB","?"))</f>
        <v> </v>
      </c>
      <c r="I2954" s="26" t="str">
        <f>IF(OR(E2954="",E2954="!!!",F2954="NEW"),"",INDEX(B2953:B$2,-1+SUMPRODUCT(MAX(ROW(E2953:E$2)*(E2954=E2953:E$2)))))</f>
        <v> </v>
      </c>
      <c r="J2954" s="26" t="str">
        <f>IF(OR(E2954="",E2954="!!!",F2954="NEW"),"",COUNTBLANK(OFFSET(A$1,,,SUMPRODUCT(MAX(ROW(E$2:E2954)*(E2954=E$2:E2954)))))-COUNTBLANK(OFFSET(A$1,,,SUMPRODUCT(MAX(ROW(E$1:E2953)*(E2=E$1:E2953))))))</f>
        <v> </v>
      </c>
      <c r="K2954" s="26" t="str">
        <f>IF(OR(E2954="",E2954="!!!",F2954="NEW"),"",INDEX(J$1:J2953,SUMPRODUCT(MAX(ROW(E$1:E2953)*(E2954=E$1:E2953)))))</f>
        <v> </v>
      </c>
      <c r="L2954" s="27"/>
    </row>
    <row r="2955" spans="1:12">
      <c r="A2955" s="20" t="s">
        <v>1895</v>
      </c>
      <c r="B2955" s="21" t="s">
        <v>1442</v>
      </c>
      <c r="C2955" s="21" t="s">
        <v>719</v>
      </c>
      <c r="E2955" s="22">
        <f>IF(D2955="?OLD","!!!","")</f>
        <v/>
      </c>
      <c r="F2955" s="23" t="str">
        <f>IF(OR(E2955="",E2955="!!!"),"",IF(NOT(ISNA(VLOOKUP(E2955,E$1:E2954,1,FALSE()))),"OLD",IF(AND(E2955&lt;&gt;"",E2955&lt;&gt;"!!!"),"NEW","")))</f>
        <v> </v>
      </c>
      <c r="G2955" s="24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5" t="str">
        <f>IF(J2955&lt;&gt;1,"",IF(I2955="SBJ","CB","?"))</f>
        <v> </v>
      </c>
      <c r="I2955" s="26" t="str">
        <f>IF(OR(E2955="",E2955="!!!",F2955="NEW"),"",INDEX(B2954:B$2,-1+SUMPRODUCT(MAX(ROW(E2954:E$2)*(E2955=E2954:E$2)))))</f>
        <v> </v>
      </c>
      <c r="J2955" s="26" t="str">
        <f>IF(OR(E2955="",E2955="!!!",F2955="NEW"),"",COUNTBLANK(OFFSET(A$1,,,SUMPRODUCT(MAX(ROW(E$2:E2955)*(E2955=E$2:E2955)))))-COUNTBLANK(OFFSET(A$1,,,SUMPRODUCT(MAX(ROW(E$1:E2954)*(E2=E$1:E2954))))))</f>
        <v> </v>
      </c>
      <c r="K2955" s="26" t="str">
        <f>IF(OR(E2955="",E2955="!!!",F2955="NEW"),"",INDEX(J$1:J2954,SUMPRODUCT(MAX(ROW(E$1:E2954)*(E2955=E$1:E2954)))))</f>
        <v> </v>
      </c>
      <c r="L2955" s="27"/>
    </row>
    <row r="2956" spans="1:12">
      <c r="A2956" s="20" t="s">
        <v>1934</v>
      </c>
      <c r="E2956" s="22">
        <f>IF(D2956="?OLD","!!!","")</f>
        <v/>
      </c>
      <c r="F2956" s="23" t="str">
        <f>IF(OR(E2956="",E2956="!!!"),"",IF(NOT(ISNA(VLOOKUP(E2956,E$1:E2955,1,FALSE()))),"OLD",IF(AND(E2956&lt;&gt;"",E2956&lt;&gt;"!!!"),"NEW","")))</f>
        <v> </v>
      </c>
      <c r="G2956" s="24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5" t="str">
        <f>IF(J2956&lt;&gt;1,"",IF(I2956="SBJ","CB","?"))</f>
        <v> </v>
      </c>
      <c r="I2956" s="26" t="str">
        <f>IF(OR(E2956="",E2956="!!!",F2956="NEW"),"",INDEX(B2955:B$2,-1+SUMPRODUCT(MAX(ROW(E2955:E$2)*(E2956=E2955:E$2)))))</f>
        <v> </v>
      </c>
      <c r="J2956" s="26" t="str">
        <f>IF(OR(E2956="",E2956="!!!",F2956="NEW"),"",COUNTBLANK(OFFSET(A$1,,,SUMPRODUCT(MAX(ROW(E$2:E2956)*(E2956=E$2:E2956)))))-COUNTBLANK(OFFSET(A$1,,,SUMPRODUCT(MAX(ROW(E$1:E2955)*(E2=E$1:E2955))))))</f>
        <v> </v>
      </c>
      <c r="K2956" s="26" t="str">
        <f>IF(OR(E2956="",E2956="!!!",F2956="NEW"),"",INDEX(J$1:J2955,SUMPRODUCT(MAX(ROW(E$1:E2955)*(E2956=E$1:E2955)))))</f>
        <v> </v>
      </c>
      <c r="L2956" s="27"/>
    </row>
    <row r="2957" spans="1:12">
      <c r="A2957" s="20" t="s">
        <v>721</v>
      </c>
      <c r="E2957" s="22">
        <f>IF(D2957="?OLD","!!!","")</f>
        <v/>
      </c>
      <c r="F2957" s="23" t="str">
        <f>IF(OR(E2957="",E2957="!!!"),"",IF(NOT(ISNA(VLOOKUP(E2957,E$1:E2956,1,FALSE()))),"OLD",IF(AND(E2957&lt;&gt;"",E2957&lt;&gt;"!!!"),"NEW","")))</f>
        <v> </v>
      </c>
      <c r="G2957" s="24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5" t="str">
        <f>IF(J2957&lt;&gt;1,"",IF(I2957="SBJ","CB","?"))</f>
        <v> </v>
      </c>
      <c r="I2957" s="26" t="str">
        <f>IF(OR(E2957="",E2957="!!!",F2957="NEW"),"",INDEX(B2956:B$2,-1+SUMPRODUCT(MAX(ROW(E2956:E$2)*(E2957=E2956:E$2)))))</f>
        <v> </v>
      </c>
      <c r="J2957" s="26" t="str">
        <f>IF(OR(E2957="",E2957="!!!",F2957="NEW"),"",COUNTBLANK(OFFSET(A$1,,,SUMPRODUCT(MAX(ROW(E$2:E2957)*(E2957=E$2:E2957)))))-COUNTBLANK(OFFSET(A$1,,,SUMPRODUCT(MAX(ROW(E$1:E2956)*(E2=E$1:E2956))))))</f>
        <v> </v>
      </c>
      <c r="K2957" s="26" t="str">
        <f>IF(OR(E2957="",E2957="!!!",F2957="NEW"),"",INDEX(J$1:J2956,SUMPRODUCT(MAX(ROW(E$1:E2956)*(E2957=E$1:E2956)))))</f>
        <v> </v>
      </c>
      <c r="L2957" s="27"/>
    </row>
    <row r="2958" spans="1:12">
      <c r="A2958" s="20" t="s">
        <v>980</v>
      </c>
      <c r="E2958" s="22">
        <f>IF(D2958="?OLD","!!!","")</f>
        <v/>
      </c>
      <c r="F2958" s="23" t="str">
        <f>IF(OR(E2958="",E2958="!!!"),"",IF(NOT(ISNA(VLOOKUP(E2958,E$1:E2957,1,FALSE()))),"OLD",IF(AND(E2958&lt;&gt;"",E2958&lt;&gt;"!!!"),"NEW","")))</f>
        <v> </v>
      </c>
      <c r="G2958" s="24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5" t="str">
        <f>IF(J2958&lt;&gt;1,"",IF(I2958="SBJ","CB","?"))</f>
        <v> </v>
      </c>
      <c r="I2958" s="26" t="str">
        <f>IF(OR(E2958="",E2958="!!!",F2958="NEW"),"",INDEX(B2957:B$2,-1+SUMPRODUCT(MAX(ROW(E2957:E$2)*(E2958=E2957:E$2)))))</f>
        <v> </v>
      </c>
      <c r="J2958" s="26" t="str">
        <f>IF(OR(E2958="",E2958="!!!",F2958="NEW"),"",COUNTBLANK(OFFSET(A$1,,,SUMPRODUCT(MAX(ROW(E$2:E2958)*(E2958=E$2:E2958)))))-COUNTBLANK(OFFSET(A$1,,,SUMPRODUCT(MAX(ROW(E$1:E2957)*(E2=E$1:E2957))))))</f>
        <v> </v>
      </c>
      <c r="K2958" s="26" t="str">
        <f>IF(OR(E2958="",E2958="!!!",F2958="NEW"),"",INDEX(J$1:J2957,SUMPRODUCT(MAX(ROW(E$1:E2957)*(E2958=E$1:E2957)))))</f>
        <v> </v>
      </c>
      <c r="L2958" s="27"/>
    </row>
    <row r="2959" spans="1:12">
      <c r="A2959" s="20" t="s">
        <v>871</v>
      </c>
      <c r="E2959" s="22">
        <f>IF(D2959="?OLD","!!!","")</f>
        <v/>
      </c>
      <c r="F2959" s="23" t="str">
        <f>IF(OR(E2959="",E2959="!!!"),"",IF(NOT(ISNA(VLOOKUP(E2959,E$1:E2958,1,FALSE()))),"OLD",IF(AND(E2959&lt;&gt;"",E2959&lt;&gt;"!!!"),"NEW","")))</f>
        <v> </v>
      </c>
      <c r="G2959" s="24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5" t="str">
        <f>IF(J2959&lt;&gt;1,"",IF(I2959="SBJ","CB","?"))</f>
        <v> </v>
      </c>
      <c r="I2959" s="26" t="str">
        <f>IF(OR(E2959="",E2959="!!!",F2959="NEW"),"",INDEX(B2958:B$2,-1+SUMPRODUCT(MAX(ROW(E2958:E$2)*(E2959=E2958:E$2)))))</f>
        <v> </v>
      </c>
      <c r="J2959" s="26" t="str">
        <f>IF(OR(E2959="",E2959="!!!",F2959="NEW"),"",COUNTBLANK(OFFSET(A$1,,,SUMPRODUCT(MAX(ROW(E$2:E2959)*(E2959=E$2:E2959)))))-COUNTBLANK(OFFSET(A$1,,,SUMPRODUCT(MAX(ROW(E$1:E2958)*(E2=E$1:E2958))))))</f>
        <v> </v>
      </c>
      <c r="K2959" s="26" t="str">
        <f>IF(OR(E2959="",E2959="!!!",F2959="NEW"),"",INDEX(J$1:J2958,SUMPRODUCT(MAX(ROW(E$1:E2958)*(E2959=E$1:E2958)))))</f>
        <v> </v>
      </c>
      <c r="L2959" s="27"/>
    </row>
    <row r="2960" spans="1:12">
      <c r="A2960" s="20" t="s">
        <v>1935</v>
      </c>
      <c r="E2960" s="22">
        <f>IF(D2960="?OLD","!!!","")</f>
        <v/>
      </c>
      <c r="F2960" s="23" t="str">
        <f>IF(OR(E2960="",E2960="!!!"),"",IF(NOT(ISNA(VLOOKUP(E2960,E$1:E2959,1,FALSE()))),"OLD",IF(AND(E2960&lt;&gt;"",E2960&lt;&gt;"!!!"),"NEW","")))</f>
        <v> </v>
      </c>
      <c r="G2960" s="24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5" t="str">
        <f>IF(J2960&lt;&gt;1,"",IF(I2960="SBJ","CB","?"))</f>
        <v> </v>
      </c>
      <c r="I2960" s="26" t="str">
        <f>IF(OR(E2960="",E2960="!!!",F2960="NEW"),"",INDEX(B2959:B$2,-1+SUMPRODUCT(MAX(ROW(E2959:E$2)*(E2960=E2959:E$2)))))</f>
        <v> </v>
      </c>
      <c r="J2960" s="26" t="str">
        <f>IF(OR(E2960="",E2960="!!!",F2960="NEW"),"",COUNTBLANK(OFFSET(A$1,,,SUMPRODUCT(MAX(ROW(E$2:E2960)*(E2960=E$2:E2960)))))-COUNTBLANK(OFFSET(A$1,,,SUMPRODUCT(MAX(ROW(E$1:E2959)*(E2=E$1:E2959))))))</f>
        <v> </v>
      </c>
      <c r="K2960" s="26" t="str">
        <f>IF(OR(E2960="",E2960="!!!",F2960="NEW"),"",INDEX(J$1:J2959,SUMPRODUCT(MAX(ROW(E$1:E2959)*(E2960=E$1:E2959)))))</f>
        <v> </v>
      </c>
      <c r="L2960" s="27"/>
    </row>
    <row r="2961" spans="1:12">
      <c r="A2961" s="20" t="s">
        <v>721</v>
      </c>
      <c r="E2961" s="22">
        <f>IF(D2961="?OLD","!!!","")</f>
        <v/>
      </c>
      <c r="F2961" s="23" t="str">
        <f>IF(OR(E2961="",E2961="!!!"),"",IF(NOT(ISNA(VLOOKUP(E2961,E$1:E2960,1,FALSE()))),"OLD",IF(AND(E2961&lt;&gt;"",E2961&lt;&gt;"!!!"),"NEW","")))</f>
        <v> </v>
      </c>
      <c r="G2961" s="24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5" t="str">
        <f>IF(J2961&lt;&gt;1,"",IF(I2961="SBJ","CB","?"))</f>
        <v> </v>
      </c>
      <c r="I2961" s="26" t="str">
        <f>IF(OR(E2961="",E2961="!!!",F2961="NEW"),"",INDEX(B2960:B$2,-1+SUMPRODUCT(MAX(ROW(E2960:E$2)*(E2961=E2960:E$2)))))</f>
        <v> </v>
      </c>
      <c r="J2961" s="26" t="str">
        <f>IF(OR(E2961="",E2961="!!!",F2961="NEW"),"",COUNTBLANK(OFFSET(A$1,,,SUMPRODUCT(MAX(ROW(E$2:E2961)*(E2961=E$2:E2961)))))-COUNTBLANK(OFFSET(A$1,,,SUMPRODUCT(MAX(ROW(E$1:E2960)*(E2=E$1:E2960))))))</f>
        <v> </v>
      </c>
      <c r="K2961" s="26" t="str">
        <f>IF(OR(E2961="",E2961="!!!",F2961="NEW"),"",INDEX(J$1:J2960,SUMPRODUCT(MAX(ROW(E$1:E2960)*(E2961=E$1:E2960)))))</f>
        <v> </v>
      </c>
      <c r="L2961" s="27"/>
    </row>
    <row r="2962" spans="1:12">
      <c r="A2962" s="20" t="s">
        <v>818</v>
      </c>
      <c r="E2962" s="22">
        <f>IF(D2962="?OLD","!!!","")</f>
        <v/>
      </c>
      <c r="F2962" s="23" t="str">
        <f>IF(OR(E2962="",E2962="!!!"),"",IF(NOT(ISNA(VLOOKUP(E2962,E$1:E2961,1,FALSE()))),"OLD",IF(AND(E2962&lt;&gt;"",E2962&lt;&gt;"!!!"),"NEW","")))</f>
        <v> </v>
      </c>
      <c r="G2962" s="24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5" t="str">
        <f>IF(J2962&lt;&gt;1,"",IF(I2962="SBJ","CB","?"))</f>
        <v> </v>
      </c>
      <c r="I2962" s="26" t="str">
        <f>IF(OR(E2962="",E2962="!!!",F2962="NEW"),"",INDEX(B2961:B$2,-1+SUMPRODUCT(MAX(ROW(E2961:E$2)*(E2962=E2961:E$2)))))</f>
        <v> </v>
      </c>
      <c r="J2962" s="26" t="str">
        <f>IF(OR(E2962="",E2962="!!!",F2962="NEW"),"",COUNTBLANK(OFFSET(A$1,,,SUMPRODUCT(MAX(ROW(E$2:E2962)*(E2962=E$2:E2962)))))-COUNTBLANK(OFFSET(A$1,,,SUMPRODUCT(MAX(ROW(E$1:E2961)*(E2=E$1:E2961))))))</f>
        <v> </v>
      </c>
      <c r="K2962" s="26" t="str">
        <f>IF(OR(E2962="",E2962="!!!",F2962="NEW"),"",INDEX(J$1:J2961,SUMPRODUCT(MAX(ROW(E$1:E2961)*(E2962=E$1:E2961)))))</f>
        <v> </v>
      </c>
      <c r="L2962" s="27"/>
    </row>
    <row r="2963" spans="1:12">
      <c r="A2963" s="20" t="s">
        <v>721</v>
      </c>
      <c r="E2963" s="22">
        <f>IF(D2963="?OLD","!!!","")</f>
        <v/>
      </c>
      <c r="F2963" s="23" t="str">
        <f>IF(OR(E2963="",E2963="!!!"),"",IF(NOT(ISNA(VLOOKUP(E2963,E$1:E2962,1,FALSE()))),"OLD",IF(AND(E2963&lt;&gt;"",E2963&lt;&gt;"!!!"),"NEW","")))</f>
        <v> </v>
      </c>
      <c r="G2963" s="24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5" t="str">
        <f>IF(J2963&lt;&gt;1,"",IF(I2963="SBJ","CB","?"))</f>
        <v> </v>
      </c>
      <c r="I2963" s="26" t="str">
        <f>IF(OR(E2963="",E2963="!!!",F2963="NEW"),"",INDEX(B2962:B$2,-1+SUMPRODUCT(MAX(ROW(E2962:E$2)*(E2963=E2962:E$2)))))</f>
        <v> </v>
      </c>
      <c r="J2963" s="26" t="str">
        <f>IF(OR(E2963="",E2963="!!!",F2963="NEW"),"",COUNTBLANK(OFFSET(A$1,,,SUMPRODUCT(MAX(ROW(E$2:E2963)*(E2963=E$2:E2963)))))-COUNTBLANK(OFFSET(A$1,,,SUMPRODUCT(MAX(ROW(E$1:E2962)*(E2=E$1:E2962))))))</f>
        <v> </v>
      </c>
      <c r="K2963" s="26" t="str">
        <f>IF(OR(E2963="",E2963="!!!",F2963="NEW"),"",INDEX(J$1:J2962,SUMPRODUCT(MAX(ROW(E$1:E2962)*(E2963=E$1:E2962)))))</f>
        <v> </v>
      </c>
      <c r="L2963" s="27"/>
    </row>
    <row r="2964" spans="1:12">
      <c r="A2964" s="20" t="s">
        <v>1895</v>
      </c>
      <c r="B2964" s="21" t="s">
        <v>1114</v>
      </c>
      <c r="C2964" s="21" t="s">
        <v>719</v>
      </c>
      <c r="E2964" s="22">
        <f>IF(D2964="?OLD","!!!","")</f>
        <v/>
      </c>
      <c r="F2964" s="23" t="str">
        <f>IF(OR(E2964="",E2964="!!!"),"",IF(NOT(ISNA(VLOOKUP(E2964,E$1:E2963,1,FALSE()))),"OLD",IF(AND(E2964&lt;&gt;"",E2964&lt;&gt;"!!!"),"NEW","")))</f>
        <v> </v>
      </c>
      <c r="G2964" s="24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5" t="str">
        <f>IF(J2964&lt;&gt;1,"",IF(I2964="SBJ","CB","?"))</f>
        <v> </v>
      </c>
      <c r="I2964" s="26" t="str">
        <f>IF(OR(E2964="",E2964="!!!",F2964="NEW"),"",INDEX(B2963:B$2,-1+SUMPRODUCT(MAX(ROW(E2963:E$2)*(E2964=E2963:E$2)))))</f>
        <v> </v>
      </c>
      <c r="J2964" s="26" t="str">
        <f>IF(OR(E2964="",E2964="!!!",F2964="NEW"),"",COUNTBLANK(OFFSET(A$1,,,SUMPRODUCT(MAX(ROW(E$2:E2964)*(E2964=E$2:E2964)))))-COUNTBLANK(OFFSET(A$1,,,SUMPRODUCT(MAX(ROW(E$1:E2963)*(E2=E$1:E2963))))))</f>
        <v> </v>
      </c>
      <c r="K2964" s="26" t="str">
        <f>IF(OR(E2964="",E2964="!!!",F2964="NEW"),"",INDEX(J$1:J2963,SUMPRODUCT(MAX(ROW(E$1:E2963)*(E2964=E$1:E2963)))))</f>
        <v> </v>
      </c>
      <c r="L2964" s="27"/>
    </row>
    <row r="2965" spans="1:12">
      <c r="A2965" s="20" t="s">
        <v>1936</v>
      </c>
      <c r="E2965" s="22">
        <f>IF(D2965="?OLD","!!!","")</f>
        <v/>
      </c>
      <c r="F2965" s="23" t="str">
        <f>IF(OR(E2965="",E2965="!!!"),"",IF(NOT(ISNA(VLOOKUP(E2965,E$1:E2964,1,FALSE()))),"OLD",IF(AND(E2965&lt;&gt;"",E2965&lt;&gt;"!!!"),"NEW","")))</f>
        <v> </v>
      </c>
      <c r="G2965" s="24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5" t="str">
        <f>IF(J2965&lt;&gt;1,"",IF(I2965="SBJ","CB","?"))</f>
        <v> </v>
      </c>
      <c r="I2965" s="26" t="str">
        <f>IF(OR(E2965="",E2965="!!!",F2965="NEW"),"",INDEX(B2964:B$2,-1+SUMPRODUCT(MAX(ROW(E2964:E$2)*(E2965=E2964:E$2)))))</f>
        <v> </v>
      </c>
      <c r="J2965" s="26" t="str">
        <f>IF(OR(E2965="",E2965="!!!",F2965="NEW"),"",COUNTBLANK(OFFSET(A$1,,,SUMPRODUCT(MAX(ROW(E$2:E2965)*(E2965=E$2:E2965)))))-COUNTBLANK(OFFSET(A$1,,,SUMPRODUCT(MAX(ROW(E$1:E2964)*(E2=E$1:E2964))))))</f>
        <v> </v>
      </c>
      <c r="K2965" s="26" t="str">
        <f>IF(OR(E2965="",E2965="!!!",F2965="NEW"),"",INDEX(J$1:J2964,SUMPRODUCT(MAX(ROW(E$1:E2964)*(E2965=E$1:E2964)))))</f>
        <v> </v>
      </c>
      <c r="L2965" s="27"/>
    </row>
    <row r="2966" spans="1:12">
      <c r="A2966" s="20" t="s">
        <v>1553</v>
      </c>
      <c r="E2966" s="22">
        <f>IF(D2966="?OLD","!!!","")</f>
        <v/>
      </c>
      <c r="F2966" s="23" t="str">
        <f>IF(OR(E2966="",E2966="!!!"),"",IF(NOT(ISNA(VLOOKUP(E2966,E$1:E2965,1,FALSE()))),"OLD",IF(AND(E2966&lt;&gt;"",E2966&lt;&gt;"!!!"),"NEW","")))</f>
        <v> </v>
      </c>
      <c r="G2966" s="24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5" t="str">
        <f>IF(J2966&lt;&gt;1,"",IF(I2966="SBJ","CB","?"))</f>
        <v> </v>
      </c>
      <c r="I2966" s="26" t="str">
        <f>IF(OR(E2966="",E2966="!!!",F2966="NEW"),"",INDEX(B2965:B$2,-1+SUMPRODUCT(MAX(ROW(E2965:E$2)*(E2966=E2965:E$2)))))</f>
        <v> </v>
      </c>
      <c r="J2966" s="26" t="str">
        <f>IF(OR(E2966="",E2966="!!!",F2966="NEW"),"",COUNTBLANK(OFFSET(A$1,,,SUMPRODUCT(MAX(ROW(E$2:E2966)*(E2966=E$2:E2966)))))-COUNTBLANK(OFFSET(A$1,,,SUMPRODUCT(MAX(ROW(E$1:E2965)*(E2=E$1:E2965))))))</f>
        <v> </v>
      </c>
      <c r="K2966" s="26" t="str">
        <f>IF(OR(E2966="",E2966="!!!",F2966="NEW"),"",INDEX(J$1:J2965,SUMPRODUCT(MAX(ROW(E$1:E2965)*(E2966=E$1:E2965)))))</f>
        <v> </v>
      </c>
      <c r="L2966" s="27"/>
    </row>
    <row r="2967" spans="1:12">
      <c r="A2967" s="20" t="s">
        <v>721</v>
      </c>
      <c r="E2967" s="22">
        <f>IF(D2967="?OLD","!!!","")</f>
        <v/>
      </c>
      <c r="F2967" s="23" t="str">
        <f>IF(OR(E2967="",E2967="!!!"),"",IF(NOT(ISNA(VLOOKUP(E2967,E$1:E2966,1,FALSE()))),"OLD",IF(AND(E2967&lt;&gt;"",E2967&lt;&gt;"!!!"),"NEW","")))</f>
        <v> </v>
      </c>
      <c r="G2967" s="24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5" t="str">
        <f>IF(J2967&lt;&gt;1,"",IF(I2967="SBJ","CB","?"))</f>
        <v> </v>
      </c>
      <c r="I2967" s="26" t="str">
        <f>IF(OR(E2967="",E2967="!!!",F2967="NEW"),"",INDEX(B2966:B$2,-1+SUMPRODUCT(MAX(ROW(E2966:E$2)*(E2967=E2966:E$2)))))</f>
        <v> </v>
      </c>
      <c r="J2967" s="26" t="str">
        <f>IF(OR(E2967="",E2967="!!!",F2967="NEW"),"",COUNTBLANK(OFFSET(A$1,,,SUMPRODUCT(MAX(ROW(E$2:E2967)*(E2967=E$2:E2967)))))-COUNTBLANK(OFFSET(A$1,,,SUMPRODUCT(MAX(ROW(E$1:E2966)*(E2=E$1:E2966))))))</f>
        <v> </v>
      </c>
      <c r="K2967" s="26" t="str">
        <f>IF(OR(E2967="",E2967="!!!",F2967="NEW"),"",INDEX(J$1:J2966,SUMPRODUCT(MAX(ROW(E$1:E2966)*(E2967=E$1:E2966)))))</f>
        <v> </v>
      </c>
      <c r="L2967" s="27"/>
    </row>
    <row r="2968" spans="1:12">
      <c r="A2968" s="20" t="s">
        <v>980</v>
      </c>
      <c r="E2968" s="22">
        <f>IF(D2968="?OLD","!!!","")</f>
        <v/>
      </c>
      <c r="F2968" s="23" t="str">
        <f>IF(OR(E2968="",E2968="!!!"),"",IF(NOT(ISNA(VLOOKUP(E2968,E$1:E2967,1,FALSE()))),"OLD",IF(AND(E2968&lt;&gt;"",E2968&lt;&gt;"!!!"),"NEW","")))</f>
        <v> </v>
      </c>
      <c r="G2968" s="24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5" t="str">
        <f>IF(J2968&lt;&gt;1,"",IF(I2968="SBJ","CB","?"))</f>
        <v> </v>
      </c>
      <c r="I2968" s="26" t="str">
        <f>IF(OR(E2968="",E2968="!!!",F2968="NEW"),"",INDEX(B2967:B$2,-1+SUMPRODUCT(MAX(ROW(E2967:E$2)*(E2968=E2967:E$2)))))</f>
        <v> </v>
      </c>
      <c r="J2968" s="26" t="str">
        <f>IF(OR(E2968="",E2968="!!!",F2968="NEW"),"",COUNTBLANK(OFFSET(A$1,,,SUMPRODUCT(MAX(ROW(E$2:E2968)*(E2968=E$2:E2968)))))-COUNTBLANK(OFFSET(A$1,,,SUMPRODUCT(MAX(ROW(E$1:E2967)*(E2=E$1:E2967))))))</f>
        <v> </v>
      </c>
      <c r="K2968" s="26" t="str">
        <f>IF(OR(E2968="",E2968="!!!",F2968="NEW"),"",INDEX(J$1:J2967,SUMPRODUCT(MAX(ROW(E$1:E2967)*(E2968=E$1:E2967)))))</f>
        <v> </v>
      </c>
      <c r="L2968" s="27"/>
    </row>
    <row r="2969" spans="1:12">
      <c r="A2969" s="20" t="s">
        <v>871</v>
      </c>
      <c r="E2969" s="22">
        <f>IF(D2969="?OLD","!!!","")</f>
        <v/>
      </c>
      <c r="F2969" s="23" t="str">
        <f>IF(OR(E2969="",E2969="!!!"),"",IF(NOT(ISNA(VLOOKUP(E2969,E$1:E2968,1,FALSE()))),"OLD",IF(AND(E2969&lt;&gt;"",E2969&lt;&gt;"!!!"),"NEW","")))</f>
        <v> </v>
      </c>
      <c r="G2969" s="24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5" t="str">
        <f>IF(J2969&lt;&gt;1,"",IF(I2969="SBJ","CB","?"))</f>
        <v> </v>
      </c>
      <c r="I2969" s="26" t="str">
        <f>IF(OR(E2969="",E2969="!!!",F2969="NEW"),"",INDEX(B2968:B$2,-1+SUMPRODUCT(MAX(ROW(E2968:E$2)*(E2969=E2968:E$2)))))</f>
        <v> </v>
      </c>
      <c r="J2969" s="26" t="str">
        <f>IF(OR(E2969="",E2969="!!!",F2969="NEW"),"",COUNTBLANK(OFFSET(A$1,,,SUMPRODUCT(MAX(ROW(E$2:E2969)*(E2969=E$2:E2969)))))-COUNTBLANK(OFFSET(A$1,,,SUMPRODUCT(MAX(ROW(E$1:E2968)*(E2=E$1:E2968))))))</f>
        <v> </v>
      </c>
      <c r="K2969" s="26" t="str">
        <f>IF(OR(E2969="",E2969="!!!",F2969="NEW"),"",INDEX(J$1:J2968,SUMPRODUCT(MAX(ROW(E$1:E2968)*(E2969=E$1:E2968)))))</f>
        <v> </v>
      </c>
      <c r="L2969" s="27"/>
    </row>
    <row r="2970" spans="1:12">
      <c r="A2970" s="20" t="s">
        <v>1554</v>
      </c>
      <c r="E2970" s="22">
        <f>IF(D2970="?OLD","!!!","")</f>
        <v/>
      </c>
      <c r="F2970" s="23" t="str">
        <f>IF(OR(E2970="",E2970="!!!"),"",IF(NOT(ISNA(VLOOKUP(E2970,E$1:E2969,1,FALSE()))),"OLD",IF(AND(E2970&lt;&gt;"",E2970&lt;&gt;"!!!"),"NEW","")))</f>
        <v> </v>
      </c>
      <c r="G2970" s="24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5" t="str">
        <f>IF(J2970&lt;&gt;1,"",IF(I2970="SBJ","CB","?"))</f>
        <v> </v>
      </c>
      <c r="I2970" s="26" t="str">
        <f>IF(OR(E2970="",E2970="!!!",F2970="NEW"),"",INDEX(B2969:B$2,-1+SUMPRODUCT(MAX(ROW(E2969:E$2)*(E2970=E2969:E$2)))))</f>
        <v> </v>
      </c>
      <c r="J2970" s="26" t="str">
        <f>IF(OR(E2970="",E2970="!!!",F2970="NEW"),"",COUNTBLANK(OFFSET(A$1,,,SUMPRODUCT(MAX(ROW(E$2:E2970)*(E2970=E$2:E2970)))))-COUNTBLANK(OFFSET(A$1,,,SUMPRODUCT(MAX(ROW(E$1:E2969)*(E2=E$1:E2969))))))</f>
        <v> </v>
      </c>
      <c r="K2970" s="26" t="str">
        <f>IF(OR(E2970="",E2970="!!!",F2970="NEW"),"",INDEX(J$1:J2969,SUMPRODUCT(MAX(ROW(E$1:E2969)*(E2970=E$1:E2969)))))</f>
        <v> </v>
      </c>
      <c r="L2970" s="27"/>
    </row>
    <row r="2971" spans="1:12">
      <c r="A2971" s="20" t="s">
        <v>721</v>
      </c>
      <c r="E2971" s="22">
        <f>IF(D2971="?OLD","!!!","")</f>
        <v/>
      </c>
      <c r="F2971" s="23" t="str">
        <f>IF(OR(E2971="",E2971="!!!"),"",IF(NOT(ISNA(VLOOKUP(E2971,E$1:E2970,1,FALSE()))),"OLD",IF(AND(E2971&lt;&gt;"",E2971&lt;&gt;"!!!"),"NEW","")))</f>
        <v> </v>
      </c>
      <c r="G2971" s="24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5" t="str">
        <f>IF(J2971&lt;&gt;1,"",IF(I2971="SBJ","CB","?"))</f>
        <v> </v>
      </c>
      <c r="I2971" s="26" t="str">
        <f>IF(OR(E2971="",E2971="!!!",F2971="NEW"),"",INDEX(B2970:B$2,-1+SUMPRODUCT(MAX(ROW(E2970:E$2)*(E2971=E2970:E$2)))))</f>
        <v> </v>
      </c>
      <c r="J2971" s="26" t="str">
        <f>IF(OR(E2971="",E2971="!!!",F2971="NEW"),"",COUNTBLANK(OFFSET(A$1,,,SUMPRODUCT(MAX(ROW(E$2:E2971)*(E2971=E$2:E2971)))))-COUNTBLANK(OFFSET(A$1,,,SUMPRODUCT(MAX(ROW(E$1:E2970)*(E2=E$1:E2970))))))</f>
        <v> </v>
      </c>
      <c r="K2971" s="26" t="str">
        <f>IF(OR(E2971="",E2971="!!!",F2971="NEW"),"",INDEX(J$1:J2970,SUMPRODUCT(MAX(ROW(E$1:E2970)*(E2971=E$1:E2970)))))</f>
        <v> </v>
      </c>
      <c r="L2971" s="27"/>
    </row>
    <row r="2972" spans="1:12">
      <c r="A2972" s="20" t="s">
        <v>1834</v>
      </c>
      <c r="E2972" s="22">
        <f>IF(D2972="?OLD","!!!","")</f>
        <v/>
      </c>
      <c r="F2972" s="23" t="str">
        <f>IF(OR(E2972="",E2972="!!!"),"",IF(NOT(ISNA(VLOOKUP(E2972,E$1:E2971,1,FALSE()))),"OLD",IF(AND(E2972&lt;&gt;"",E2972&lt;&gt;"!!!"),"NEW","")))</f>
        <v> </v>
      </c>
      <c r="G2972" s="24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5" t="str">
        <f>IF(J2972&lt;&gt;1,"",IF(I2972="SBJ","CB","?"))</f>
        <v> </v>
      </c>
      <c r="I2972" s="26" t="str">
        <f>IF(OR(E2972="",E2972="!!!",F2972="NEW"),"",INDEX(B2971:B$2,-1+SUMPRODUCT(MAX(ROW(E2971:E$2)*(E2972=E2971:E$2)))))</f>
        <v> </v>
      </c>
      <c r="J2972" s="26" t="str">
        <f>IF(OR(E2972="",E2972="!!!",F2972="NEW"),"",COUNTBLANK(OFFSET(A$1,,,SUMPRODUCT(MAX(ROW(E$2:E2972)*(E2972=E$2:E2972)))))-COUNTBLANK(OFFSET(A$1,,,SUMPRODUCT(MAX(ROW(E$1:E2971)*(E2=E$1:E2971))))))</f>
        <v> </v>
      </c>
      <c r="K2972" s="26" t="str">
        <f>IF(OR(E2972="",E2972="!!!",F2972="NEW"),"",INDEX(J$1:J2971,SUMPRODUCT(MAX(ROW(E$1:E2971)*(E2972=E$1:E2971)))))</f>
        <v> </v>
      </c>
      <c r="L2972" s="27"/>
    </row>
    <row r="2973" spans="1:12">
      <c r="A2973" s="20" t="s">
        <v>721</v>
      </c>
      <c r="E2973" s="22">
        <f>IF(D2973="?OLD","!!!","")</f>
        <v/>
      </c>
      <c r="F2973" s="23" t="str">
        <f>IF(OR(E2973="",E2973="!!!"),"",IF(NOT(ISNA(VLOOKUP(E2973,E$1:E2972,1,FALSE()))),"OLD",IF(AND(E2973&lt;&gt;"",E2973&lt;&gt;"!!!"),"NEW","")))</f>
        <v> </v>
      </c>
      <c r="G2973" s="24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5" t="str">
        <f>IF(J2973&lt;&gt;1,"",IF(I2973="SBJ","CB","?"))</f>
        <v> </v>
      </c>
      <c r="I2973" s="26" t="str">
        <f>IF(OR(E2973="",E2973="!!!",F2973="NEW"),"",INDEX(B2972:B$2,-1+SUMPRODUCT(MAX(ROW(E2972:E$2)*(E2973=E2972:E$2)))))</f>
        <v> </v>
      </c>
      <c r="J2973" s="26" t="str">
        <f>IF(OR(E2973="",E2973="!!!",F2973="NEW"),"",COUNTBLANK(OFFSET(A$1,,,SUMPRODUCT(MAX(ROW(E$2:E2973)*(E2973=E$2:E2973)))))-COUNTBLANK(OFFSET(A$1,,,SUMPRODUCT(MAX(ROW(E$1:E2972)*(E2=E$1:E2972))))))</f>
        <v> </v>
      </c>
      <c r="K2973" s="26" t="str">
        <f>IF(OR(E2973="",E2973="!!!",F2973="NEW"),"",INDEX(J$1:J2972,SUMPRODUCT(MAX(ROW(E$1:E2972)*(E2973=E$1:E2972)))))</f>
        <v> </v>
      </c>
      <c r="L2973" s="27"/>
    </row>
    <row r="2974" spans="1:12">
      <c r="A2974" s="20" t="s">
        <v>1895</v>
      </c>
      <c r="B2974" s="21" t="s">
        <v>1483</v>
      </c>
      <c r="C2974" s="21" t="s">
        <v>719</v>
      </c>
      <c r="E2974" s="22">
        <f>IF(D2974="?OLD","!!!","")</f>
        <v/>
      </c>
      <c r="F2974" s="23" t="str">
        <f>IF(OR(E2974="",E2974="!!!"),"",IF(NOT(ISNA(VLOOKUP(E2974,E$1:E2973,1,FALSE()))),"OLD",IF(AND(E2974&lt;&gt;"",E2974&lt;&gt;"!!!"),"NEW","")))</f>
        <v> </v>
      </c>
      <c r="G2974" s="24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5" t="str">
        <f>IF(J2974&lt;&gt;1,"",IF(I2974="SBJ","CB","?"))</f>
        <v> </v>
      </c>
      <c r="I2974" s="26" t="str">
        <f>IF(OR(E2974="",E2974="!!!",F2974="NEW"),"",INDEX(B2973:B$2,-1+SUMPRODUCT(MAX(ROW(E2973:E$2)*(E2974=E2973:E$2)))))</f>
        <v> </v>
      </c>
      <c r="J2974" s="26" t="str">
        <f>IF(OR(E2974="",E2974="!!!",F2974="NEW"),"",COUNTBLANK(OFFSET(A$1,,,SUMPRODUCT(MAX(ROW(E$2:E2974)*(E2974=E$2:E2974)))))-COUNTBLANK(OFFSET(A$1,,,SUMPRODUCT(MAX(ROW(E$1:E2973)*(E2=E$1:E2973))))))</f>
        <v> </v>
      </c>
      <c r="K2974" s="26" t="str">
        <f>IF(OR(E2974="",E2974="!!!",F2974="NEW"),"",INDEX(J$1:J2973,SUMPRODUCT(MAX(ROW(E$1:E2973)*(E2974=E$1:E2973)))))</f>
        <v> </v>
      </c>
      <c r="L2974" s="27"/>
    </row>
    <row r="2975" spans="1:12">
      <c r="A2975" s="20" t="s">
        <v>871</v>
      </c>
      <c r="E2975" s="22">
        <f>IF(D2975="?OLD","!!!","")</f>
        <v/>
      </c>
      <c r="F2975" s="23" t="str">
        <f>IF(OR(E2975="",E2975="!!!"),"",IF(NOT(ISNA(VLOOKUP(E2975,E$1:E2974,1,FALSE()))),"OLD",IF(AND(E2975&lt;&gt;"",E2975&lt;&gt;"!!!"),"NEW","")))</f>
        <v> </v>
      </c>
      <c r="G2975" s="24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5" t="str">
        <f>IF(J2975&lt;&gt;1,"",IF(I2975="SBJ","CB","?"))</f>
        <v> </v>
      </c>
      <c r="I2975" s="26" t="str">
        <f>IF(OR(E2975="",E2975="!!!",F2975="NEW"),"",INDEX(B2974:B$2,-1+SUMPRODUCT(MAX(ROW(E2974:E$2)*(E2975=E2974:E$2)))))</f>
        <v> </v>
      </c>
      <c r="J2975" s="26" t="str">
        <f>IF(OR(E2975="",E2975="!!!",F2975="NEW"),"",COUNTBLANK(OFFSET(A$1,,,SUMPRODUCT(MAX(ROW(E$2:E2975)*(E2975=E$2:E2975)))))-COUNTBLANK(OFFSET(A$1,,,SUMPRODUCT(MAX(ROW(E$1:E2974)*(E2=E$1:E2974))))))</f>
        <v> </v>
      </c>
      <c r="K2975" s="26" t="str">
        <f>IF(OR(E2975="",E2975="!!!",F2975="NEW"),"",INDEX(J$1:J2974,SUMPRODUCT(MAX(ROW(E$1:E2974)*(E2975=E$1:E2974)))))</f>
        <v> </v>
      </c>
      <c r="L2975" s="27"/>
    </row>
    <row r="2976" spans="1:12">
      <c r="A2976" s="20" t="s">
        <v>736</v>
      </c>
      <c r="E2976" s="22">
        <f>IF(D2976="?OLD","!!!","")</f>
        <v/>
      </c>
      <c r="F2976" s="23" t="str">
        <f>IF(OR(E2976="",E2976="!!!"),"",IF(NOT(ISNA(VLOOKUP(E2976,E$1:E2975,1,FALSE()))),"OLD",IF(AND(E2976&lt;&gt;"",E2976&lt;&gt;"!!!"),"NEW","")))</f>
        <v> </v>
      </c>
      <c r="G2976" s="24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5" t="str">
        <f>IF(J2976&lt;&gt;1,"",IF(I2976="SBJ","CB","?"))</f>
        <v> </v>
      </c>
      <c r="I2976" s="26" t="str">
        <f>IF(OR(E2976="",E2976="!!!",F2976="NEW"),"",INDEX(B2975:B$2,-1+SUMPRODUCT(MAX(ROW(E2975:E$2)*(E2976=E2975:E$2)))))</f>
        <v> </v>
      </c>
      <c r="J2976" s="26" t="str">
        <f>IF(OR(E2976="",E2976="!!!",F2976="NEW"),"",COUNTBLANK(OFFSET(A$1,,,SUMPRODUCT(MAX(ROW(E$2:E2976)*(E2976=E$2:E2976)))))-COUNTBLANK(OFFSET(A$1,,,SUMPRODUCT(MAX(ROW(E$1:E2975)*(E2=E$1:E2975))))))</f>
        <v> </v>
      </c>
      <c r="K2976" s="26" t="str">
        <f>IF(OR(E2976="",E2976="!!!",F2976="NEW"),"",INDEX(J$1:J2975,SUMPRODUCT(MAX(ROW(E$1:E2975)*(E2976=E$1:E2975)))))</f>
        <v> </v>
      </c>
      <c r="L2976" s="27"/>
    </row>
    <row r="2977" spans="1:12">
      <c r="A2977" s="20" t="s">
        <v>1937</v>
      </c>
      <c r="E2977" s="22">
        <f>IF(D2977="?OLD","!!!","")</f>
        <v/>
      </c>
      <c r="F2977" s="23" t="str">
        <f>IF(OR(E2977="",E2977="!!!"),"",IF(NOT(ISNA(VLOOKUP(E2977,E$1:E2976,1,FALSE()))),"OLD",IF(AND(E2977&lt;&gt;"",E2977&lt;&gt;"!!!"),"NEW","")))</f>
        <v> </v>
      </c>
      <c r="G2977" s="24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5" t="str">
        <f>IF(J2977&lt;&gt;1,"",IF(I2977="SBJ","CB","?"))</f>
        <v> </v>
      </c>
      <c r="I2977" s="26" t="str">
        <f>IF(OR(E2977="",E2977="!!!",F2977="NEW"),"",INDEX(B2976:B$2,-1+SUMPRODUCT(MAX(ROW(E2976:E$2)*(E2977=E2976:E$2)))))</f>
        <v> </v>
      </c>
      <c r="J2977" s="26" t="str">
        <f>IF(OR(E2977="",E2977="!!!",F2977="NEW"),"",COUNTBLANK(OFFSET(A$1,,,SUMPRODUCT(MAX(ROW(E$2:E2977)*(E2977=E$2:E2977)))))-COUNTBLANK(OFFSET(A$1,,,SUMPRODUCT(MAX(ROW(E$1:E2976)*(E2=E$1:E2976))))))</f>
        <v> </v>
      </c>
      <c r="K2977" s="26" t="str">
        <f>IF(OR(E2977="",E2977="!!!",F2977="NEW"),"",INDEX(J$1:J2976,SUMPRODUCT(MAX(ROW(E$1:E2976)*(E2977=E$1:E2976)))))</f>
        <v> </v>
      </c>
      <c r="L2977" s="27"/>
    </row>
    <row r="2978" spans="1:12">
      <c r="A2978" s="20" t="s">
        <v>721</v>
      </c>
      <c r="E2978" s="22">
        <f>IF(D2978="?OLD","!!!","")</f>
        <v/>
      </c>
      <c r="F2978" s="23" t="str">
        <f>IF(OR(E2978="",E2978="!!!"),"",IF(NOT(ISNA(VLOOKUP(E2978,E$1:E2977,1,FALSE()))),"OLD",IF(AND(E2978&lt;&gt;"",E2978&lt;&gt;"!!!"),"NEW","")))</f>
        <v> </v>
      </c>
      <c r="G2978" s="24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5" t="str">
        <f>IF(J2978&lt;&gt;1,"",IF(I2978="SBJ","CB","?"))</f>
        <v> </v>
      </c>
      <c r="I2978" s="26" t="str">
        <f>IF(OR(E2978="",E2978="!!!",F2978="NEW"),"",INDEX(B2977:B$2,-1+SUMPRODUCT(MAX(ROW(E2977:E$2)*(E2978=E2977:E$2)))))</f>
        <v> </v>
      </c>
      <c r="J2978" s="26" t="str">
        <f>IF(OR(E2978="",E2978="!!!",F2978="NEW"),"",COUNTBLANK(OFFSET(A$1,,,SUMPRODUCT(MAX(ROW(E$2:E2978)*(E2978=E$2:E2978)))))-COUNTBLANK(OFFSET(A$1,,,SUMPRODUCT(MAX(ROW(E$1:E2977)*(E2=E$1:E2977))))))</f>
        <v> </v>
      </c>
      <c r="K2978" s="26" t="str">
        <f>IF(OR(E2978="",E2978="!!!",F2978="NEW"),"",INDEX(J$1:J2977,SUMPRODUCT(MAX(ROW(E$1:E2977)*(E2978=E$1:E2977)))))</f>
        <v> </v>
      </c>
      <c r="L2978" s="27"/>
    </row>
    <row r="2979" spans="1:12">
      <c r="A2979" s="20" t="s">
        <v>880</v>
      </c>
      <c r="E2979" s="22">
        <f>IF(D2979="?OLD","!!!","")</f>
        <v/>
      </c>
      <c r="F2979" s="23" t="str">
        <f>IF(OR(E2979="",E2979="!!!"),"",IF(NOT(ISNA(VLOOKUP(E2979,E$1:E2978,1,FALSE()))),"OLD",IF(AND(E2979&lt;&gt;"",E2979&lt;&gt;"!!!"),"NEW","")))</f>
        <v> </v>
      </c>
      <c r="G2979" s="24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5" t="str">
        <f>IF(J2979&lt;&gt;1,"",IF(I2979="SBJ","CB","?"))</f>
        <v> </v>
      </c>
      <c r="I2979" s="26" t="str">
        <f>IF(OR(E2979="",E2979="!!!",F2979="NEW"),"",INDEX(B2978:B$2,-1+SUMPRODUCT(MAX(ROW(E2978:E$2)*(E2979=E2978:E$2)))))</f>
        <v> </v>
      </c>
      <c r="J2979" s="26" t="str">
        <f>IF(OR(E2979="",E2979="!!!",F2979="NEW"),"",COUNTBLANK(OFFSET(A$1,,,SUMPRODUCT(MAX(ROW(E$2:E2979)*(E2979=E$2:E2979)))))-COUNTBLANK(OFFSET(A$1,,,SUMPRODUCT(MAX(ROW(E$1:E2978)*(E2=E$1:E2978))))))</f>
        <v> </v>
      </c>
      <c r="K2979" s="26" t="str">
        <f>IF(OR(E2979="",E2979="!!!",F2979="NEW"),"",INDEX(J$1:J2978,SUMPRODUCT(MAX(ROW(E$1:E2978)*(E2979=E$1:E2978)))))</f>
        <v> </v>
      </c>
      <c r="L2979" s="27"/>
    </row>
    <row r="2980" spans="1:12">
      <c r="A2980" s="20" t="s">
        <v>808</v>
      </c>
      <c r="E2980" s="22">
        <f>IF(D2980="?OLD","!!!","")</f>
        <v/>
      </c>
      <c r="F2980" s="23" t="str">
        <f>IF(OR(E2980="",E2980="!!!"),"",IF(NOT(ISNA(VLOOKUP(E2980,E$1:E2979,1,FALSE()))),"OLD",IF(AND(E2980&lt;&gt;"",E2980&lt;&gt;"!!!"),"NEW","")))</f>
        <v> </v>
      </c>
      <c r="G2980" s="24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5" t="str">
        <f>IF(J2980&lt;&gt;1,"",IF(I2980="SBJ","CB","?"))</f>
        <v> </v>
      </c>
      <c r="I2980" s="26" t="str">
        <f>IF(OR(E2980="",E2980="!!!",F2980="NEW"),"",INDEX(B2979:B$2,-1+SUMPRODUCT(MAX(ROW(E2979:E$2)*(E2980=E2979:E$2)))))</f>
        <v> </v>
      </c>
      <c r="J2980" s="26" t="str">
        <f>IF(OR(E2980="",E2980="!!!",F2980="NEW"),"",COUNTBLANK(OFFSET(A$1,,,SUMPRODUCT(MAX(ROW(E$2:E2980)*(E2980=E$2:E2980)))))-COUNTBLANK(OFFSET(A$1,,,SUMPRODUCT(MAX(ROW(E$1:E2979)*(E2=E$1:E2979))))))</f>
        <v> </v>
      </c>
      <c r="K2980" s="26" t="str">
        <f>IF(OR(E2980="",E2980="!!!",F2980="NEW"),"",INDEX(J$1:J2979,SUMPRODUCT(MAX(ROW(E$1:E2979)*(E2980=E$1:E2979)))))</f>
        <v> </v>
      </c>
      <c r="L2980" s="27"/>
    </row>
    <row r="2981" spans="1:12">
      <c r="A2981" s="20" t="s">
        <v>1938</v>
      </c>
      <c r="E2981" s="22">
        <f>IF(D2981="?OLD","!!!","")</f>
        <v/>
      </c>
      <c r="F2981" s="23" t="str">
        <f>IF(OR(E2981="",E2981="!!!"),"",IF(NOT(ISNA(VLOOKUP(E2981,E$1:E2980,1,FALSE()))),"OLD",IF(AND(E2981&lt;&gt;"",E2981&lt;&gt;"!!!"),"NEW","")))</f>
        <v> </v>
      </c>
      <c r="G2981" s="24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5" t="str">
        <f>IF(J2981&lt;&gt;1,"",IF(I2981="SBJ","CB","?"))</f>
        <v> </v>
      </c>
      <c r="I2981" s="26" t="str">
        <f>IF(OR(E2981="",E2981="!!!",F2981="NEW"),"",INDEX(B2980:B$2,-1+SUMPRODUCT(MAX(ROW(E2980:E$2)*(E2981=E2980:E$2)))))</f>
        <v> </v>
      </c>
      <c r="J2981" s="26" t="str">
        <f>IF(OR(E2981="",E2981="!!!",F2981="NEW"),"",COUNTBLANK(OFFSET(A$1,,,SUMPRODUCT(MAX(ROW(E$2:E2981)*(E2981=E$2:E2981)))))-COUNTBLANK(OFFSET(A$1,,,SUMPRODUCT(MAX(ROW(E$1:E2980)*(E2=E$1:E2980))))))</f>
        <v> </v>
      </c>
      <c r="K2981" s="26" t="str">
        <f>IF(OR(E2981="",E2981="!!!",F2981="NEW"),"",INDEX(J$1:J2980,SUMPRODUCT(MAX(ROW(E$1:E2980)*(E2981=E$1:E2980)))))</f>
        <v> </v>
      </c>
      <c r="L2981" s="27"/>
    </row>
    <row r="2982" spans="1:12">
      <c r="A2982" s="20" t="s">
        <v>1391</v>
      </c>
      <c r="E2982" s="22">
        <f>IF(D2982="?OLD","!!!","")</f>
        <v/>
      </c>
      <c r="F2982" s="23" t="str">
        <f>IF(OR(E2982="",E2982="!!!"),"",IF(NOT(ISNA(VLOOKUP(E2982,E$1:E2981,1,FALSE()))),"OLD",IF(AND(E2982&lt;&gt;"",E2982&lt;&gt;"!!!"),"NEW","")))</f>
        <v> </v>
      </c>
      <c r="G2982" s="24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5" t="str">
        <f>IF(J2982&lt;&gt;1,"",IF(I2982="SBJ","CB","?"))</f>
        <v> </v>
      </c>
      <c r="I2982" s="26" t="str">
        <f>IF(OR(E2982="",E2982="!!!",F2982="NEW"),"",INDEX(B2981:B$2,-1+SUMPRODUCT(MAX(ROW(E2981:E$2)*(E2982=E2981:E$2)))))</f>
        <v> </v>
      </c>
      <c r="J2982" s="26" t="str">
        <f>IF(OR(E2982="",E2982="!!!",F2982="NEW"),"",COUNTBLANK(OFFSET(A$1,,,SUMPRODUCT(MAX(ROW(E$2:E2982)*(E2982=E$2:E2982)))))-COUNTBLANK(OFFSET(A$1,,,SUMPRODUCT(MAX(ROW(E$1:E2981)*(E2=E$1:E2981))))))</f>
        <v> </v>
      </c>
      <c r="K2982" s="26" t="str">
        <f>IF(OR(E2982="",E2982="!!!",F2982="NEW"),"",INDEX(J$1:J2981,SUMPRODUCT(MAX(ROW(E$1:E2981)*(E2982=E$1:E2981)))))</f>
        <v> </v>
      </c>
      <c r="L2982" s="27"/>
    </row>
    <row r="2983" spans="1:12">
      <c r="A2983" s="20" t="s">
        <v>1939</v>
      </c>
      <c r="E2983" s="22">
        <f>IF(D2983="?OLD","!!!","")</f>
        <v/>
      </c>
      <c r="F2983" s="23" t="str">
        <f>IF(OR(E2983="",E2983="!!!"),"",IF(NOT(ISNA(VLOOKUP(E2983,E$1:E2982,1,FALSE()))),"OLD",IF(AND(E2983&lt;&gt;"",E2983&lt;&gt;"!!!"),"NEW","")))</f>
        <v> </v>
      </c>
      <c r="G2983" s="24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5" t="str">
        <f>IF(J2983&lt;&gt;1,"",IF(I2983="SBJ","CB","?"))</f>
        <v> </v>
      </c>
      <c r="I2983" s="26" t="str">
        <f>IF(OR(E2983="",E2983="!!!",F2983="NEW"),"",INDEX(B2982:B$2,-1+SUMPRODUCT(MAX(ROW(E2982:E$2)*(E2983=E2982:E$2)))))</f>
        <v> </v>
      </c>
      <c r="J2983" s="26" t="str">
        <f>IF(OR(E2983="",E2983="!!!",F2983="NEW"),"",COUNTBLANK(OFFSET(A$1,,,SUMPRODUCT(MAX(ROW(E$2:E2983)*(E2983=E$2:E2983)))))-COUNTBLANK(OFFSET(A$1,,,SUMPRODUCT(MAX(ROW(E$1:E2982)*(E2=E$1:E2982))))))</f>
        <v> </v>
      </c>
      <c r="K2983" s="26" t="str">
        <f>IF(OR(E2983="",E2983="!!!",F2983="NEW"),"",INDEX(J$1:J2982,SUMPRODUCT(MAX(ROW(E$1:E2982)*(E2983=E$1:E2982)))))</f>
        <v> </v>
      </c>
      <c r="L2983" s="27"/>
    </row>
    <row r="2984" spans="1:12">
      <c r="A2984" s="20" t="s">
        <v>721</v>
      </c>
      <c r="E2984" s="22">
        <f>IF(D2984="?OLD","!!!","")</f>
        <v/>
      </c>
      <c r="F2984" s="23" t="str">
        <f>IF(OR(E2984="",E2984="!!!"),"",IF(NOT(ISNA(VLOOKUP(E2984,E$1:E2983,1,FALSE()))),"OLD",IF(AND(E2984&lt;&gt;"",E2984&lt;&gt;"!!!"),"NEW","")))</f>
        <v> </v>
      </c>
      <c r="G2984" s="24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5" t="str">
        <f>IF(J2984&lt;&gt;1,"",IF(I2984="SBJ","CB","?"))</f>
        <v> </v>
      </c>
      <c r="I2984" s="26" t="str">
        <f>IF(OR(E2984="",E2984="!!!",F2984="NEW"),"",INDEX(B2983:B$2,-1+SUMPRODUCT(MAX(ROW(E2983:E$2)*(E2984=E2983:E$2)))))</f>
        <v> </v>
      </c>
      <c r="J2984" s="26" t="str">
        <f>IF(OR(E2984="",E2984="!!!",F2984="NEW"),"",COUNTBLANK(OFFSET(A$1,,,SUMPRODUCT(MAX(ROW(E$2:E2984)*(E2984=E$2:E2984)))))-COUNTBLANK(OFFSET(A$1,,,SUMPRODUCT(MAX(ROW(E$1:E2983)*(E2=E$1:E2983))))))</f>
        <v> </v>
      </c>
      <c r="K2984" s="26" t="str">
        <f>IF(OR(E2984="",E2984="!!!",F2984="NEW"),"",INDEX(J$1:J2983,SUMPRODUCT(MAX(ROW(E$1:E2983)*(E2984=E$1:E2983)))))</f>
        <v> </v>
      </c>
      <c r="L2984" s="27"/>
    </row>
    <row r="2985" spans="1:12">
      <c r="A2985" s="20" t="s">
        <v>980</v>
      </c>
      <c r="E2985" s="22">
        <f>IF(D2985="?OLD","!!!","")</f>
        <v/>
      </c>
      <c r="F2985" s="23" t="str">
        <f>IF(OR(E2985="",E2985="!!!"),"",IF(NOT(ISNA(VLOOKUP(E2985,E$1:E2984,1,FALSE()))),"OLD",IF(AND(E2985&lt;&gt;"",E2985&lt;&gt;"!!!"),"NEW","")))</f>
        <v> </v>
      </c>
      <c r="G2985" s="24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5" t="str">
        <f>IF(J2985&lt;&gt;1,"",IF(I2985="SBJ","CB","?"))</f>
        <v> </v>
      </c>
      <c r="I2985" s="26" t="str">
        <f>IF(OR(E2985="",E2985="!!!",F2985="NEW"),"",INDEX(B2984:B$2,-1+SUMPRODUCT(MAX(ROW(E2984:E$2)*(E2985=E2984:E$2)))))</f>
        <v> </v>
      </c>
      <c r="J2985" s="26" t="str">
        <f>IF(OR(E2985="",E2985="!!!",F2985="NEW"),"",COUNTBLANK(OFFSET(A$1,,,SUMPRODUCT(MAX(ROW(E$2:E2985)*(E2985=E$2:E2985)))))-COUNTBLANK(OFFSET(A$1,,,SUMPRODUCT(MAX(ROW(E$1:E2984)*(E2=E$1:E2984))))))</f>
        <v> </v>
      </c>
      <c r="K2985" s="26" t="str">
        <f>IF(OR(E2985="",E2985="!!!",F2985="NEW"),"",INDEX(J$1:J2984,SUMPRODUCT(MAX(ROW(E$1:E2984)*(E2985=E$1:E2984)))))</f>
        <v> </v>
      </c>
      <c r="L2985" s="27"/>
    </row>
    <row r="2986" spans="1:12">
      <c r="A2986" s="20" t="s">
        <v>1940</v>
      </c>
      <c r="E2986" s="22">
        <f>IF(D2986="?OLD","!!!","")</f>
        <v/>
      </c>
      <c r="F2986" s="23" t="str">
        <f>IF(OR(E2986="",E2986="!!!"),"",IF(NOT(ISNA(VLOOKUP(E2986,E$1:E2985,1,FALSE()))),"OLD",IF(AND(E2986&lt;&gt;"",E2986&lt;&gt;"!!!"),"NEW","")))</f>
        <v> </v>
      </c>
      <c r="G2986" s="24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5" t="str">
        <f>IF(J2986&lt;&gt;1,"",IF(I2986="SBJ","CB","?"))</f>
        <v> </v>
      </c>
      <c r="I2986" s="26" t="str">
        <f>IF(OR(E2986="",E2986="!!!",F2986="NEW"),"",INDEX(B2985:B$2,-1+SUMPRODUCT(MAX(ROW(E2985:E$2)*(E2986=E2985:E$2)))))</f>
        <v> </v>
      </c>
      <c r="J2986" s="26" t="str">
        <f>IF(OR(E2986="",E2986="!!!",F2986="NEW"),"",COUNTBLANK(OFFSET(A$1,,,SUMPRODUCT(MAX(ROW(E$2:E2986)*(E2986=E$2:E2986)))))-COUNTBLANK(OFFSET(A$1,,,SUMPRODUCT(MAX(ROW(E$1:E2985)*(E2=E$1:E2985))))))</f>
        <v> </v>
      </c>
      <c r="K2986" s="26" t="str">
        <f>IF(OR(E2986="",E2986="!!!",F2986="NEW"),"",INDEX(J$1:J2985,SUMPRODUCT(MAX(ROW(E$1:E2985)*(E2986=E$1:E2985)))))</f>
        <v> </v>
      </c>
      <c r="L2986" s="27"/>
    </row>
    <row r="2987" spans="1:12">
      <c r="A2987" s="20" t="s">
        <v>1941</v>
      </c>
      <c r="E2987" s="22">
        <f>IF(D2987="?OLD","!!!","")</f>
        <v/>
      </c>
      <c r="F2987" s="23" t="str">
        <f>IF(OR(E2987="",E2987="!!!"),"",IF(NOT(ISNA(VLOOKUP(E2987,E$1:E2986,1,FALSE()))),"OLD",IF(AND(E2987&lt;&gt;"",E2987&lt;&gt;"!!!"),"NEW","")))</f>
        <v> </v>
      </c>
      <c r="G2987" s="24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5" t="str">
        <f>IF(J2987&lt;&gt;1,"",IF(I2987="SBJ","CB","?"))</f>
        <v> </v>
      </c>
      <c r="I2987" s="26" t="str">
        <f>IF(OR(E2987="",E2987="!!!",F2987="NEW"),"",INDEX(B2986:B$2,-1+SUMPRODUCT(MAX(ROW(E2986:E$2)*(E2987=E2986:E$2)))))</f>
        <v> </v>
      </c>
      <c r="J2987" s="26" t="str">
        <f>IF(OR(E2987="",E2987="!!!",F2987="NEW"),"",COUNTBLANK(OFFSET(A$1,,,SUMPRODUCT(MAX(ROW(E$2:E2987)*(E2987=E$2:E2987)))))-COUNTBLANK(OFFSET(A$1,,,SUMPRODUCT(MAX(ROW(E$1:E2986)*(E2=E$1:E2986))))))</f>
        <v> </v>
      </c>
      <c r="K2987" s="26" t="str">
        <f>IF(OR(E2987="",E2987="!!!",F2987="NEW"),"",INDEX(J$1:J2986,SUMPRODUCT(MAX(ROW(E$1:E2986)*(E2987=E$1:E2986)))))</f>
        <v> </v>
      </c>
      <c r="L2987" s="27"/>
    </row>
    <row r="2988" spans="1:12">
      <c r="A2988" s="20" t="s">
        <v>1938</v>
      </c>
      <c r="E2988" s="22">
        <f>IF(D2988="?OLD","!!!","")</f>
        <v/>
      </c>
      <c r="F2988" s="23" t="str">
        <f>IF(OR(E2988="",E2988="!!!"),"",IF(NOT(ISNA(VLOOKUP(E2988,E$1:E2987,1,FALSE()))),"OLD",IF(AND(E2988&lt;&gt;"",E2988&lt;&gt;"!!!"),"NEW","")))</f>
        <v> </v>
      </c>
      <c r="G2988" s="24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5" t="str">
        <f>IF(J2988&lt;&gt;1,"",IF(I2988="SBJ","CB","?"))</f>
        <v> </v>
      </c>
      <c r="I2988" s="26" t="str">
        <f>IF(OR(E2988="",E2988="!!!",F2988="NEW"),"",INDEX(B2987:B$2,-1+SUMPRODUCT(MAX(ROW(E2987:E$2)*(E2988=E2987:E$2)))))</f>
        <v> </v>
      </c>
      <c r="J2988" s="26" t="str">
        <f>IF(OR(E2988="",E2988="!!!",F2988="NEW"),"",COUNTBLANK(OFFSET(A$1,,,SUMPRODUCT(MAX(ROW(E$2:E2988)*(E2988=E$2:E2988)))))-COUNTBLANK(OFFSET(A$1,,,SUMPRODUCT(MAX(ROW(E$1:E2987)*(E2=E$1:E2987))))))</f>
        <v> </v>
      </c>
      <c r="K2988" s="26" t="str">
        <f>IF(OR(E2988="",E2988="!!!",F2988="NEW"),"",INDEX(J$1:J2987,SUMPRODUCT(MAX(ROW(E$1:E2987)*(E2988=E$1:E2987)))))</f>
        <v> </v>
      </c>
      <c r="L2988" s="27"/>
    </row>
    <row r="2989" spans="1:12">
      <c r="A2989" s="20" t="s">
        <v>755</v>
      </c>
      <c r="E2989" s="22">
        <f>IF(D2989="?OLD","!!!","")</f>
        <v/>
      </c>
      <c r="F2989" s="23" t="str">
        <f>IF(OR(E2989="",E2989="!!!"),"",IF(NOT(ISNA(VLOOKUP(E2989,E$1:E2988,1,FALSE()))),"OLD",IF(AND(E2989&lt;&gt;"",E2989&lt;&gt;"!!!"),"NEW","")))</f>
        <v> </v>
      </c>
      <c r="G2989" s="24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5" t="str">
        <f>IF(J2989&lt;&gt;1,"",IF(I2989="SBJ","CB","?"))</f>
        <v> </v>
      </c>
      <c r="I2989" s="26" t="str">
        <f>IF(OR(E2989="",E2989="!!!",F2989="NEW"),"",INDEX(B2988:B$2,-1+SUMPRODUCT(MAX(ROW(E2988:E$2)*(E2989=E2988:E$2)))))</f>
        <v> </v>
      </c>
      <c r="J2989" s="26" t="str">
        <f>IF(OR(E2989="",E2989="!!!",F2989="NEW"),"",COUNTBLANK(OFFSET(A$1,,,SUMPRODUCT(MAX(ROW(E$2:E2989)*(E2989=E$2:E2989)))))-COUNTBLANK(OFFSET(A$1,,,SUMPRODUCT(MAX(ROW(E$1:E2988)*(E2=E$1:E2988))))))</f>
        <v> </v>
      </c>
      <c r="K2989" s="26" t="str">
        <f>IF(OR(E2989="",E2989="!!!",F2989="NEW"),"",INDEX(J$1:J2988,SUMPRODUCT(MAX(ROW(E$1:E2988)*(E2989=E$1:E2988)))))</f>
        <v> </v>
      </c>
      <c r="L2989" s="27"/>
    </row>
    <row r="2990" spans="1:12">
      <c r="A2990" s="20" t="s">
        <v>1942</v>
      </c>
      <c r="E2990" s="22">
        <f>IF(D2990="?OLD","!!!","")</f>
        <v/>
      </c>
      <c r="F2990" s="23" t="str">
        <f>IF(OR(E2990="",E2990="!!!"),"",IF(NOT(ISNA(VLOOKUP(E2990,E$1:E2989,1,FALSE()))),"OLD",IF(AND(E2990&lt;&gt;"",E2990&lt;&gt;"!!!"),"NEW","")))</f>
        <v> </v>
      </c>
      <c r="G2990" s="24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5" t="str">
        <f>IF(J2990&lt;&gt;1,"",IF(I2990="SBJ","CB","?"))</f>
        <v> </v>
      </c>
      <c r="I2990" s="26" t="str">
        <f>IF(OR(E2990="",E2990="!!!",F2990="NEW"),"",INDEX(B2989:B$2,-1+SUMPRODUCT(MAX(ROW(E2989:E$2)*(E2990=E2989:E$2)))))</f>
        <v> </v>
      </c>
      <c r="J2990" s="26" t="str">
        <f>IF(OR(E2990="",E2990="!!!",F2990="NEW"),"",COUNTBLANK(OFFSET(A$1,,,SUMPRODUCT(MAX(ROW(E$2:E2990)*(E2990=E$2:E2990)))))-COUNTBLANK(OFFSET(A$1,,,SUMPRODUCT(MAX(ROW(E$1:E2989)*(E2=E$1:E2989))))))</f>
        <v> </v>
      </c>
      <c r="K2990" s="26" t="str">
        <f>IF(OR(E2990="",E2990="!!!",F2990="NEW"),"",INDEX(J$1:J2989,SUMPRODUCT(MAX(ROW(E$1:E2989)*(E2990=E$1:E2989)))))</f>
        <v> </v>
      </c>
      <c r="L2990" s="27"/>
    </row>
    <row r="2991" spans="1:12">
      <c r="A2991" s="20" t="s">
        <v>1188</v>
      </c>
      <c r="E2991" s="22">
        <f>IF(D2991="?OLD","!!!","")</f>
        <v/>
      </c>
      <c r="F2991" s="23" t="str">
        <f>IF(OR(E2991="",E2991="!!!"),"",IF(NOT(ISNA(VLOOKUP(E2991,E$1:E2990,1,FALSE()))),"OLD",IF(AND(E2991&lt;&gt;"",E2991&lt;&gt;"!!!"),"NEW","")))</f>
        <v> </v>
      </c>
      <c r="G2991" s="24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5" t="str">
        <f>IF(J2991&lt;&gt;1,"",IF(I2991="SBJ","CB","?"))</f>
        <v> </v>
      </c>
      <c r="I2991" s="26" t="str">
        <f>IF(OR(E2991="",E2991="!!!",F2991="NEW"),"",INDEX(B2990:B$2,-1+SUMPRODUCT(MAX(ROW(E2990:E$2)*(E2991=E2990:E$2)))))</f>
        <v> </v>
      </c>
      <c r="J2991" s="26" t="str">
        <f>IF(OR(E2991="",E2991="!!!",F2991="NEW"),"",COUNTBLANK(OFFSET(A$1,,,SUMPRODUCT(MAX(ROW(E$2:E2991)*(E2991=E$2:E2991)))))-COUNTBLANK(OFFSET(A$1,,,SUMPRODUCT(MAX(ROW(E$1:E2990)*(E2=E$1:E2990))))))</f>
        <v> </v>
      </c>
      <c r="K2991" s="26" t="str">
        <f>IF(OR(E2991="",E2991="!!!",F2991="NEW"),"",INDEX(J$1:J2990,SUMPRODUCT(MAX(ROW(E$1:E2990)*(E2991=E$1:E2990)))))</f>
        <v> </v>
      </c>
      <c r="L2991" s="27"/>
    </row>
    <row r="2992" spans="1:12">
      <c r="A2992" s="20" t="s">
        <v>732</v>
      </c>
      <c r="E2992" s="22">
        <f>IF(D2992="?OLD","!!!","")</f>
        <v/>
      </c>
      <c r="F2992" s="23" t="str">
        <f>IF(OR(E2992="",E2992="!!!"),"",IF(NOT(ISNA(VLOOKUP(E2992,E$1:E2991,1,FALSE()))),"OLD",IF(AND(E2992&lt;&gt;"",E2992&lt;&gt;"!!!"),"NEW","")))</f>
        <v> </v>
      </c>
      <c r="G2992" s="24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5" t="str">
        <f>IF(J2992&lt;&gt;1,"",IF(I2992="SBJ","CB","?"))</f>
        <v> </v>
      </c>
      <c r="I2992" s="26" t="str">
        <f>IF(OR(E2992="",E2992="!!!",F2992="NEW"),"",INDEX(B2991:B$2,-1+SUMPRODUCT(MAX(ROW(E2991:E$2)*(E2992=E2991:E$2)))))</f>
        <v> </v>
      </c>
      <c r="J2992" s="26" t="str">
        <f>IF(OR(E2992="",E2992="!!!",F2992="NEW"),"",COUNTBLANK(OFFSET(A$1,,,SUMPRODUCT(MAX(ROW(E$2:E2992)*(E2992=E$2:E2992)))))-COUNTBLANK(OFFSET(A$1,,,SUMPRODUCT(MAX(ROW(E$1:E2991)*(E2=E$1:E2991))))))</f>
        <v> </v>
      </c>
      <c r="K2992" s="26" t="str">
        <f>IF(OR(E2992="",E2992="!!!",F2992="NEW"),"",INDEX(J$1:J2991,SUMPRODUCT(MAX(ROW(E$1:E2991)*(E2992=E$1:E2991)))))</f>
        <v> </v>
      </c>
      <c r="L2992" s="27"/>
    </row>
    <row r="2993" spans="1:12">
      <c r="A2993" s="20"/>
    </row>
    <row r="2994" spans="1:12">
      <c r="A2994" s="20" t="s">
        <v>1943</v>
      </c>
    </row>
    <row r="2995" spans="1:12">
      <c r="A2995" s="20" t="s">
        <v>934</v>
      </c>
      <c r="E2995" s="22">
        <f>IF(D2995="?OLD","!!!","")</f>
        <v/>
      </c>
      <c r="F2995" s="23" t="str">
        <f>IF(OR(E2995="",E2995="!!!"),"",IF(NOT(ISNA(VLOOKUP(E2995,E$1:E2994,1,FALSE()))),"OLD",IF(AND(E2995&lt;&gt;"",E2995&lt;&gt;"!!!"),"NEW","")))</f>
        <v> </v>
      </c>
      <c r="G2995" s="24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5" t="str">
        <f>IF(J2995&lt;&gt;1,"",IF(I2995="SBJ","CB","?"))</f>
        <v> </v>
      </c>
      <c r="I2995" s="26" t="str">
        <f>IF(OR(E2995="",E2995="!!!",F2995="NEW"),"",INDEX(B2994:B$2,-1+SUMPRODUCT(MAX(ROW(E2994:E$2)*(E2995=E2994:E$2)))))</f>
        <v> </v>
      </c>
      <c r="J2995" s="26" t="str">
        <f>IF(OR(E2995="",E2995="!!!",F2995="NEW"),"",COUNTBLANK(OFFSET(A$1,,,SUMPRODUCT(MAX(ROW(E$2:E2995)*(E2995=E$2:E2995)))))-COUNTBLANK(OFFSET(A$1,,,SUMPRODUCT(MAX(ROW(E$1:E2994)*(E2=E$1:E2994))))))</f>
        <v> </v>
      </c>
      <c r="K2995" s="26" t="str">
        <f>IF(OR(E2995="",E2995="!!!",F2995="NEW"),"",INDEX(J$1:J2994,SUMPRODUCT(MAX(ROW(E$1:E2994)*(E2995=E$1:E2994)))))</f>
        <v> </v>
      </c>
      <c r="L2995" s="27"/>
    </row>
    <row r="2996" spans="1:12">
      <c r="A2996" s="20" t="s">
        <v>1944</v>
      </c>
      <c r="E2996" s="22">
        <f>IF(D2996="?OLD","!!!","")</f>
        <v/>
      </c>
      <c r="F2996" s="23" t="str">
        <f>IF(OR(E2996="",E2996="!!!"),"",IF(NOT(ISNA(VLOOKUP(E2996,E$1:E2995,1,FALSE()))),"OLD",IF(AND(E2996&lt;&gt;"",E2996&lt;&gt;"!!!"),"NEW","")))</f>
        <v> </v>
      </c>
      <c r="G2996" s="24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5" t="str">
        <f>IF(J2996&lt;&gt;1,"",IF(I2996="SBJ","CB","?"))</f>
        <v> </v>
      </c>
      <c r="I2996" s="26" t="str">
        <f>IF(OR(E2996="",E2996="!!!",F2996="NEW"),"",INDEX(B2995:B$2,-1+SUMPRODUCT(MAX(ROW(E2995:E$2)*(E2996=E2995:E$2)))))</f>
        <v> </v>
      </c>
      <c r="J2996" s="26" t="str">
        <f>IF(OR(E2996="",E2996="!!!",F2996="NEW"),"",COUNTBLANK(OFFSET(A$1,,,SUMPRODUCT(MAX(ROW(E$2:E2996)*(E2996=E$2:E2996)))))-COUNTBLANK(OFFSET(A$1,,,SUMPRODUCT(MAX(ROW(E$1:E2995)*(E2=E$1:E2995))))))</f>
        <v> </v>
      </c>
      <c r="K2996" s="26" t="str">
        <f>IF(OR(E2996="",E2996="!!!",F2996="NEW"),"",INDEX(J$1:J2995,SUMPRODUCT(MAX(ROW(E$1:E2995)*(E2996=E$1:E2995)))))</f>
        <v> </v>
      </c>
      <c r="L2996" s="27"/>
    </row>
    <row r="2997" spans="1:12">
      <c r="A2997" s="20" t="s">
        <v>462</v>
      </c>
      <c r="E2997" s="22">
        <f>IF(D2997="?OLD","!!!","")</f>
        <v/>
      </c>
      <c r="F2997" s="23" t="str">
        <f>IF(OR(E2997="",E2997="!!!"),"",IF(NOT(ISNA(VLOOKUP(E2997,E$1:E2996,1,FALSE()))),"OLD",IF(AND(E2997&lt;&gt;"",E2997&lt;&gt;"!!!"),"NEW","")))</f>
        <v> </v>
      </c>
      <c r="G2997" s="24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5" t="str">
        <f>IF(J2997&lt;&gt;1,"",IF(I2997="SBJ","CB","?"))</f>
        <v> </v>
      </c>
      <c r="I2997" s="26" t="str">
        <f>IF(OR(E2997="",E2997="!!!",F2997="NEW"),"",INDEX(B2996:B$2,-1+SUMPRODUCT(MAX(ROW(E2996:E$2)*(E2997=E2996:E$2)))))</f>
        <v> </v>
      </c>
      <c r="J2997" s="26" t="str">
        <f>IF(OR(E2997="",E2997="!!!",F2997="NEW"),"",COUNTBLANK(OFFSET(A$1,,,SUMPRODUCT(MAX(ROW(E$2:E2997)*(E2997=E$2:E2997)))))-COUNTBLANK(OFFSET(A$1,,,SUMPRODUCT(MAX(ROW(E$1:E2996)*(E2=E$1:E2996))))))</f>
        <v> </v>
      </c>
      <c r="K2997" s="26" t="str">
        <f>IF(OR(E2997="",E2997="!!!",F2997="NEW"),"",INDEX(J$1:J2996,SUMPRODUCT(MAX(ROW(E$1:E2996)*(E2997=E$1:E2996)))))</f>
        <v> </v>
      </c>
      <c r="L2997" s="27"/>
    </row>
    <row r="2998" spans="1:12">
      <c r="A2998" s="20" t="s">
        <v>769</v>
      </c>
      <c r="E2998" s="22">
        <f>IF(D2998="?OLD","!!!","")</f>
        <v/>
      </c>
      <c r="F2998" s="23" t="str">
        <f>IF(OR(E2998="",E2998="!!!"),"",IF(NOT(ISNA(VLOOKUP(E2998,E$1:E2997,1,FALSE()))),"OLD",IF(AND(E2998&lt;&gt;"",E2998&lt;&gt;"!!!"),"NEW","")))</f>
        <v> </v>
      </c>
      <c r="G2998" s="24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5" t="str">
        <f>IF(J2998&lt;&gt;1,"",IF(I2998="SBJ","CB","?"))</f>
        <v> </v>
      </c>
      <c r="I2998" s="26" t="str">
        <f>IF(OR(E2998="",E2998="!!!",F2998="NEW"),"",INDEX(B2997:B$2,-1+SUMPRODUCT(MAX(ROW(E2997:E$2)*(E2998=E2997:E$2)))))</f>
        <v> </v>
      </c>
      <c r="J2998" s="26" t="str">
        <f>IF(OR(E2998="",E2998="!!!",F2998="NEW"),"",COUNTBLANK(OFFSET(A$1,,,SUMPRODUCT(MAX(ROW(E$2:E2998)*(E2998=E$2:E2998)))))-COUNTBLANK(OFFSET(A$1,,,SUMPRODUCT(MAX(ROW(E$1:E2997)*(E2=E$1:E2997))))))</f>
        <v> </v>
      </c>
      <c r="K2998" s="26" t="str">
        <f>IF(OR(E2998="",E2998="!!!",F2998="NEW"),"",INDEX(J$1:J2997,SUMPRODUCT(MAX(ROW(E$1:E2997)*(E2998=E$1:E2997)))))</f>
        <v> </v>
      </c>
      <c r="L2998" s="27"/>
    </row>
    <row r="2999" spans="1:12">
      <c r="A2999" s="20" t="s">
        <v>1945</v>
      </c>
      <c r="E2999" s="22">
        <f>IF(D2999="?OLD","!!!","")</f>
        <v/>
      </c>
      <c r="F2999" s="23" t="str">
        <f>IF(OR(E2999="",E2999="!!!"),"",IF(NOT(ISNA(VLOOKUP(E2999,E$1:E2998,1,FALSE()))),"OLD",IF(AND(E2999&lt;&gt;"",E2999&lt;&gt;"!!!"),"NEW","")))</f>
        <v> </v>
      </c>
      <c r="G2999" s="24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5" t="str">
        <f>IF(J2999&lt;&gt;1,"",IF(I2999="SBJ","CB","?"))</f>
        <v> </v>
      </c>
      <c r="I2999" s="26" t="str">
        <f>IF(OR(E2999="",E2999="!!!",F2999="NEW"),"",INDEX(B2998:B$2,-1+SUMPRODUCT(MAX(ROW(E2998:E$2)*(E2999=E2998:E$2)))))</f>
        <v> </v>
      </c>
      <c r="J2999" s="26" t="str">
        <f>IF(OR(E2999="",E2999="!!!",F2999="NEW"),"",COUNTBLANK(OFFSET(A$1,,,SUMPRODUCT(MAX(ROW(E$2:E2999)*(E2999=E$2:E2999)))))-COUNTBLANK(OFFSET(A$1,,,SUMPRODUCT(MAX(ROW(E$1:E2998)*(E2=E$1:E2998))))))</f>
        <v> </v>
      </c>
      <c r="K2999" s="26" t="str">
        <f>IF(OR(E2999="",E2999="!!!",F2999="NEW"),"",INDEX(J$1:J2998,SUMPRODUCT(MAX(ROW(E$1:E2998)*(E2999=E$1:E2998)))))</f>
        <v> </v>
      </c>
      <c r="L2999" s="27"/>
    </row>
    <row r="3000" spans="1:12">
      <c r="A3000" s="20" t="s">
        <v>721</v>
      </c>
      <c r="E3000" s="22">
        <f>IF(D3000="?OLD","!!!","")</f>
        <v/>
      </c>
      <c r="F3000" s="23" t="str">
        <f>IF(OR(E3000="",E3000="!!!"),"",IF(NOT(ISNA(VLOOKUP(E3000,E$1:E2999,1,FALSE()))),"OLD",IF(AND(E3000&lt;&gt;"",E3000&lt;&gt;"!!!"),"NEW","")))</f>
        <v> </v>
      </c>
      <c r="G3000" s="24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5" t="str">
        <f>IF(J3000&lt;&gt;1,"",IF(I3000="SBJ","CB","?"))</f>
        <v> </v>
      </c>
      <c r="I3000" s="26" t="str">
        <f>IF(OR(E3000="",E3000="!!!",F3000="NEW"),"",INDEX(B2999:B$2,-1+SUMPRODUCT(MAX(ROW(E2999:E$2)*(E3000=E2999:E$2)))))</f>
        <v> </v>
      </c>
      <c r="J3000" s="26" t="str">
        <f>IF(OR(E3000="",E3000="!!!",F3000="NEW"),"",COUNTBLANK(OFFSET(A$1,,,SUMPRODUCT(MAX(ROW(E$2:E3000)*(E3000=E$2:E3000)))))-COUNTBLANK(OFFSET(A$1,,,SUMPRODUCT(MAX(ROW(E$1:E2999)*(E2=E$1:E2999))))))</f>
        <v> </v>
      </c>
      <c r="K3000" s="26" t="str">
        <f>IF(OR(E3000="",E3000="!!!",F3000="NEW"),"",INDEX(J$1:J2999,SUMPRODUCT(MAX(ROW(E$1:E2999)*(E3000=E$1:E2999)))))</f>
        <v> </v>
      </c>
      <c r="L3000" s="27"/>
    </row>
    <row r="3001" spans="1:12">
      <c r="A3001" s="20" t="s">
        <v>905</v>
      </c>
      <c r="B3001" s="21" t="s">
        <v>726</v>
      </c>
      <c r="C3001" s="21" t="s">
        <v>727</v>
      </c>
      <c r="D3001" s="21" t="s">
        <v>728</v>
      </c>
      <c r="E3001" s="22">
        <f>IF(D3001="?OLD","!!!","")</f>
        <v/>
      </c>
      <c r="F3001" s="23" t="str">
        <f>IF(OR(E3001="",E3001="!!!"),"",IF(NOT(ISNA(VLOOKUP(E3001,E$1:E3000,1,FALSE()))),"OLD",IF(AND(E3001&lt;&gt;"",E3001&lt;&gt;"!!!"),"NEW","")))</f>
        <v> </v>
      </c>
      <c r="G3001" s="24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5" t="str">
        <f>IF(J3001&lt;&gt;1,"",IF(I3001="SBJ","CB","?"))</f>
        <v> </v>
      </c>
      <c r="I3001" s="26" t="str">
        <f>IF(OR(E3001="",E3001="!!!",F3001="NEW"),"",INDEX(B3000:B$2,-1+SUMPRODUCT(MAX(ROW(E3000:E$2)*(E3001=E3000:E$2)))))</f>
        <v> </v>
      </c>
      <c r="J3001" s="26" t="str">
        <f>IF(OR(E3001="",E3001="!!!",F3001="NEW"),"",COUNTBLANK(OFFSET(A$1,,,SUMPRODUCT(MAX(ROW(E$2:E3001)*(E3001=E$2:E3001)))))-COUNTBLANK(OFFSET(A$1,,,SUMPRODUCT(MAX(ROW(E$1:E3000)*(E2=E$1:E3000))))))</f>
        <v> </v>
      </c>
      <c r="K3001" s="26" t="str">
        <f>IF(OR(E3001="",E3001="!!!",F3001="NEW"),"",INDEX(J$1:J3000,SUMPRODUCT(MAX(ROW(E$1:E3000)*(E3001=E$1:E3000)))))</f>
        <v> </v>
      </c>
      <c r="L3001" s="27"/>
    </row>
    <row r="3002" spans="1:12">
      <c r="A3002" s="20" t="s">
        <v>1946</v>
      </c>
      <c r="E3002" s="22">
        <f>IF(D3002="?OLD","!!!","")</f>
        <v/>
      </c>
      <c r="F3002" s="23" t="str">
        <f>IF(OR(E3002="",E3002="!!!"),"",IF(NOT(ISNA(VLOOKUP(E3002,E$1:E3001,1,FALSE()))),"OLD",IF(AND(E3002&lt;&gt;"",E3002&lt;&gt;"!!!"),"NEW","")))</f>
        <v> </v>
      </c>
      <c r="G3002" s="24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5" t="str">
        <f>IF(J3002&lt;&gt;1,"",IF(I3002="SBJ","CB","?"))</f>
        <v> </v>
      </c>
      <c r="I3002" s="26" t="str">
        <f>IF(OR(E3002="",E3002="!!!",F3002="NEW"),"",INDEX(B3001:B$2,-1+SUMPRODUCT(MAX(ROW(E3001:E$2)*(E3002=E3001:E$2)))))</f>
        <v> </v>
      </c>
      <c r="J3002" s="26" t="str">
        <f>IF(OR(E3002="",E3002="!!!",F3002="NEW"),"",COUNTBLANK(OFFSET(A$1,,,SUMPRODUCT(MAX(ROW(E$2:E3002)*(E3002=E$2:E3002)))))-COUNTBLANK(OFFSET(A$1,,,SUMPRODUCT(MAX(ROW(E$1:E3001)*(E2=E$1:E3001))))))</f>
        <v> </v>
      </c>
      <c r="K3002" s="26" t="str">
        <f>IF(OR(E3002="",E3002="!!!",F3002="NEW"),"",INDEX(J$1:J3001,SUMPRODUCT(MAX(ROW(E$1:E3001)*(E3002=E$1:E3001)))))</f>
        <v> </v>
      </c>
      <c r="L3002" s="27"/>
    </row>
    <row r="3003" spans="1:12">
      <c r="A3003" s="20" t="s">
        <v>834</v>
      </c>
      <c r="E3003" s="22">
        <f>IF(D3003="?OLD","!!!","")</f>
        <v/>
      </c>
      <c r="F3003" s="23" t="str">
        <f>IF(OR(E3003="",E3003="!!!"),"",IF(NOT(ISNA(VLOOKUP(E3003,E$1:E3002,1,FALSE()))),"OLD",IF(AND(E3003&lt;&gt;"",E3003&lt;&gt;"!!!"),"NEW","")))</f>
        <v> </v>
      </c>
      <c r="G3003" s="24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5" t="str">
        <f>IF(J3003&lt;&gt;1,"",IF(I3003="SBJ","CB","?"))</f>
        <v> </v>
      </c>
      <c r="I3003" s="26" t="str">
        <f>IF(OR(E3003="",E3003="!!!",F3003="NEW"),"",INDEX(B3002:B$2,-1+SUMPRODUCT(MAX(ROW(E3002:E$2)*(E3003=E3002:E$2)))))</f>
        <v> </v>
      </c>
      <c r="J3003" s="26" t="str">
        <f>IF(OR(E3003="",E3003="!!!",F3003="NEW"),"",COUNTBLANK(OFFSET(A$1,,,SUMPRODUCT(MAX(ROW(E$2:E3003)*(E3003=E$2:E3003)))))-COUNTBLANK(OFFSET(A$1,,,SUMPRODUCT(MAX(ROW(E$1:E3002)*(E2=E$1:E3002))))))</f>
        <v> </v>
      </c>
      <c r="K3003" s="26" t="str">
        <f>IF(OR(E3003="",E3003="!!!",F3003="NEW"),"",INDEX(J$1:J3002,SUMPRODUCT(MAX(ROW(E$1:E3002)*(E3003=E$1:E3002)))))</f>
        <v> </v>
      </c>
      <c r="L3003" s="27"/>
    </row>
    <row r="3004" spans="1:12">
      <c r="A3004" s="20" t="s">
        <v>1947</v>
      </c>
      <c r="E3004" s="22">
        <f>IF(D3004="?OLD","!!!","")</f>
        <v/>
      </c>
      <c r="F3004" s="23" t="str">
        <f>IF(OR(E3004="",E3004="!!!"),"",IF(NOT(ISNA(VLOOKUP(E3004,E$1:E3003,1,FALSE()))),"OLD",IF(AND(E3004&lt;&gt;"",E3004&lt;&gt;"!!!"),"NEW","")))</f>
        <v> </v>
      </c>
      <c r="G3004" s="24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5" t="str">
        <f>IF(J3004&lt;&gt;1,"",IF(I3004="SBJ","CB","?"))</f>
        <v> </v>
      </c>
      <c r="I3004" s="26" t="str">
        <f>IF(OR(E3004="",E3004="!!!",F3004="NEW"),"",INDEX(B3003:B$2,-1+SUMPRODUCT(MAX(ROW(E3003:E$2)*(E3004=E3003:E$2)))))</f>
        <v> </v>
      </c>
      <c r="J3004" s="26" t="str">
        <f>IF(OR(E3004="",E3004="!!!",F3004="NEW"),"",COUNTBLANK(OFFSET(A$1,,,SUMPRODUCT(MAX(ROW(E$2:E3004)*(E3004=E$2:E3004)))))-COUNTBLANK(OFFSET(A$1,,,SUMPRODUCT(MAX(ROW(E$1:E3003)*(E2=E$1:E3003))))))</f>
        <v> </v>
      </c>
      <c r="K3004" s="26" t="str">
        <f>IF(OR(E3004="",E3004="!!!",F3004="NEW"),"",INDEX(J$1:J3003,SUMPRODUCT(MAX(ROW(E$1:E3003)*(E3004=E$1:E3003)))))</f>
        <v> </v>
      </c>
      <c r="L3004" s="27"/>
    </row>
    <row r="3005" spans="1:12">
      <c r="A3005" s="20" t="s">
        <v>721</v>
      </c>
      <c r="E3005" s="22">
        <f>IF(D3005="?OLD","!!!","")</f>
        <v/>
      </c>
      <c r="F3005" s="23" t="str">
        <f>IF(OR(E3005="",E3005="!!!"),"",IF(NOT(ISNA(VLOOKUP(E3005,E$1:E3004,1,FALSE()))),"OLD",IF(AND(E3005&lt;&gt;"",E3005&lt;&gt;"!!!"),"NEW","")))</f>
        <v> </v>
      </c>
      <c r="G3005" s="24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5" t="str">
        <f>IF(J3005&lt;&gt;1,"",IF(I3005="SBJ","CB","?"))</f>
        <v> </v>
      </c>
      <c r="I3005" s="26" t="str">
        <f>IF(OR(E3005="",E3005="!!!",F3005="NEW"),"",INDEX(B3004:B$2,-1+SUMPRODUCT(MAX(ROW(E3004:E$2)*(E3005=E3004:E$2)))))</f>
        <v> </v>
      </c>
      <c r="J3005" s="26" t="str">
        <f>IF(OR(E3005="",E3005="!!!",F3005="NEW"),"",COUNTBLANK(OFFSET(A$1,,,SUMPRODUCT(MAX(ROW(E$2:E3005)*(E3005=E$2:E3005)))))-COUNTBLANK(OFFSET(A$1,,,SUMPRODUCT(MAX(ROW(E$1:E3004)*(E2=E$1:E3004))))))</f>
        <v> </v>
      </c>
      <c r="K3005" s="26" t="str">
        <f>IF(OR(E3005="",E3005="!!!",F3005="NEW"),"",INDEX(J$1:J3004,SUMPRODUCT(MAX(ROW(E$1:E3004)*(E3005=E$1:E3004)))))</f>
        <v> </v>
      </c>
      <c r="L3005" s="27"/>
    </row>
    <row r="3006" spans="1:12">
      <c r="A3006" s="20" t="s">
        <v>1003</v>
      </c>
      <c r="E3006" s="22">
        <f>IF(D3006="?OLD","!!!","")</f>
        <v/>
      </c>
      <c r="F3006" s="23" t="str">
        <f>IF(OR(E3006="",E3006="!!!"),"",IF(NOT(ISNA(VLOOKUP(E3006,E$1:E3005,1,FALSE()))),"OLD",IF(AND(E3006&lt;&gt;"",E3006&lt;&gt;"!!!"),"NEW","")))</f>
        <v> </v>
      </c>
      <c r="G3006" s="24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5" t="str">
        <f>IF(J3006&lt;&gt;1,"",IF(I3006="SBJ","CB","?"))</f>
        <v> </v>
      </c>
      <c r="I3006" s="26" t="str">
        <f>IF(OR(E3006="",E3006="!!!",F3006="NEW"),"",INDEX(B3005:B$2,-1+SUMPRODUCT(MAX(ROW(E3005:E$2)*(E3006=E3005:E$2)))))</f>
        <v> </v>
      </c>
      <c r="J3006" s="26" t="str">
        <f>IF(OR(E3006="",E3006="!!!",F3006="NEW"),"",COUNTBLANK(OFFSET(A$1,,,SUMPRODUCT(MAX(ROW(E$2:E3006)*(E3006=E$2:E3006)))))-COUNTBLANK(OFFSET(A$1,,,SUMPRODUCT(MAX(ROW(E$1:E3005)*(E2=E$1:E3005))))))</f>
        <v> </v>
      </c>
      <c r="K3006" s="26" t="str">
        <f>IF(OR(E3006="",E3006="!!!",F3006="NEW"),"",INDEX(J$1:J3005,SUMPRODUCT(MAX(ROW(E$1:E3005)*(E3006=E$1:E3005)))))</f>
        <v> </v>
      </c>
      <c r="L3006" s="27"/>
    </row>
    <row r="3007" spans="1:12">
      <c r="A3007" s="20" t="s">
        <v>725</v>
      </c>
      <c r="B3007" s="21" t="s">
        <v>767</v>
      </c>
      <c r="C3007" s="21" t="s">
        <v>727</v>
      </c>
      <c r="D3007" s="21" t="s">
        <v>728</v>
      </c>
      <c r="E3007" s="22">
        <f>IF(D3007="?OLD","!!!","")</f>
        <v/>
      </c>
      <c r="F3007" s="23" t="str">
        <f>IF(OR(E3007="",E3007="!!!"),"",IF(NOT(ISNA(VLOOKUP(E3007,E$1:E3006,1,FALSE()))),"OLD",IF(AND(E3007&lt;&gt;"",E3007&lt;&gt;"!!!"),"NEW","")))</f>
        <v> </v>
      </c>
      <c r="G3007" s="24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5" t="str">
        <f>IF(J3007&lt;&gt;1,"",IF(I3007="SBJ","CB","?"))</f>
        <v> </v>
      </c>
      <c r="I3007" s="26" t="str">
        <f>IF(OR(E3007="",E3007="!!!",F3007="NEW"),"",INDEX(B3006:B$2,-1+SUMPRODUCT(MAX(ROW(E3006:E$2)*(E3007=E3006:E$2)))))</f>
        <v> </v>
      </c>
      <c r="J3007" s="26" t="str">
        <f>IF(OR(E3007="",E3007="!!!",F3007="NEW"),"",COUNTBLANK(OFFSET(A$1,,,SUMPRODUCT(MAX(ROW(E$2:E3007)*(E3007=E$2:E3007)))))-COUNTBLANK(OFFSET(A$1,,,SUMPRODUCT(MAX(ROW(E$1:E3006)*(E2=E$1:E3006))))))</f>
        <v> </v>
      </c>
      <c r="K3007" s="26" t="str">
        <f>IF(OR(E3007="",E3007="!!!",F3007="NEW"),"",INDEX(J$1:J3006,SUMPRODUCT(MAX(ROW(E$1:E3006)*(E3007=E$1:E3006)))))</f>
        <v> </v>
      </c>
      <c r="L3007" s="27"/>
    </row>
    <row r="3008" spans="1:12">
      <c r="A3008" s="20" t="s">
        <v>1809</v>
      </c>
      <c r="E3008" s="22">
        <f>IF(D3008="?OLD","!!!","")</f>
        <v/>
      </c>
      <c r="F3008" s="23" t="str">
        <f>IF(OR(E3008="",E3008="!!!"),"",IF(NOT(ISNA(VLOOKUP(E3008,E$1:E3007,1,FALSE()))),"OLD",IF(AND(E3008&lt;&gt;"",E3008&lt;&gt;"!!!"),"NEW","")))</f>
        <v> </v>
      </c>
      <c r="G3008" s="24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5" t="str">
        <f>IF(J3008&lt;&gt;1,"",IF(I3008="SBJ","CB","?"))</f>
        <v> </v>
      </c>
      <c r="I3008" s="26" t="str">
        <f>IF(OR(E3008="",E3008="!!!",F3008="NEW"),"",INDEX(B3007:B$2,-1+SUMPRODUCT(MAX(ROW(E3007:E$2)*(E3008=E3007:E$2)))))</f>
        <v> </v>
      </c>
      <c r="J3008" s="26" t="str">
        <f>IF(OR(E3008="",E3008="!!!",F3008="NEW"),"",COUNTBLANK(OFFSET(A$1,,,SUMPRODUCT(MAX(ROW(E$2:E3008)*(E3008=E$2:E3008)))))-COUNTBLANK(OFFSET(A$1,,,SUMPRODUCT(MAX(ROW(E$1:E3007)*(E2=E$1:E3007))))))</f>
        <v> </v>
      </c>
      <c r="K3008" s="26" t="str">
        <f>IF(OR(E3008="",E3008="!!!",F3008="NEW"),"",INDEX(J$1:J3007,SUMPRODUCT(MAX(ROW(E$1:E3007)*(E3008=E$1:E3007)))))</f>
        <v> </v>
      </c>
      <c r="L3008" s="27"/>
    </row>
    <row r="3009" spans="1:12">
      <c r="A3009" s="20" t="s">
        <v>1733</v>
      </c>
      <c r="E3009" s="22">
        <f>IF(D3009="?OLD","!!!","")</f>
        <v/>
      </c>
      <c r="F3009" s="23" t="str">
        <f>IF(OR(E3009="",E3009="!!!"),"",IF(NOT(ISNA(VLOOKUP(E3009,E$1:E3008,1,FALSE()))),"OLD",IF(AND(E3009&lt;&gt;"",E3009&lt;&gt;"!!!"),"NEW","")))</f>
        <v> </v>
      </c>
      <c r="G3009" s="24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5" t="str">
        <f>IF(J3009&lt;&gt;1,"",IF(I3009="SBJ","CB","?"))</f>
        <v> </v>
      </c>
      <c r="I3009" s="26" t="str">
        <f>IF(OR(E3009="",E3009="!!!",F3009="NEW"),"",INDEX(B3008:B$2,-1+SUMPRODUCT(MAX(ROW(E3008:E$2)*(E3009=E3008:E$2)))))</f>
        <v> </v>
      </c>
      <c r="J3009" s="26" t="str">
        <f>IF(OR(E3009="",E3009="!!!",F3009="NEW"),"",COUNTBLANK(OFFSET(A$1,,,SUMPRODUCT(MAX(ROW(E$2:E3009)*(E3009=E$2:E3009)))))-COUNTBLANK(OFFSET(A$1,,,SUMPRODUCT(MAX(ROW(E$1:E3008)*(E2=E$1:E3008))))))</f>
        <v> </v>
      </c>
      <c r="K3009" s="26" t="str">
        <f>IF(OR(E3009="",E3009="!!!",F3009="NEW"),"",INDEX(J$1:J3008,SUMPRODUCT(MAX(ROW(E$1:E3008)*(E3009=E$1:E3008)))))</f>
        <v> </v>
      </c>
      <c r="L3009" s="27"/>
    </row>
    <row r="3010" spans="1:12">
      <c r="A3010" s="20" t="s">
        <v>732</v>
      </c>
      <c r="E3010" s="22">
        <f>IF(D3010="?OLD","!!!","")</f>
        <v/>
      </c>
      <c r="F3010" s="23" t="str">
        <f>IF(OR(E3010="",E3010="!!!"),"",IF(NOT(ISNA(VLOOKUP(E3010,E$1:E3009,1,FALSE()))),"OLD",IF(AND(E3010&lt;&gt;"",E3010&lt;&gt;"!!!"),"NEW","")))</f>
        <v> </v>
      </c>
      <c r="G3010" s="24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5" t="str">
        <f>IF(J3010&lt;&gt;1,"",IF(I3010="SBJ","CB","?"))</f>
        <v> </v>
      </c>
      <c r="I3010" s="26" t="str">
        <f>IF(OR(E3010="",E3010="!!!",F3010="NEW"),"",INDEX(B3009:B$2,-1+SUMPRODUCT(MAX(ROW(E3009:E$2)*(E3010=E3009:E$2)))))</f>
        <v> </v>
      </c>
      <c r="J3010" s="26" t="str">
        <f>IF(OR(E3010="",E3010="!!!",F3010="NEW"),"",COUNTBLANK(OFFSET(A$1,,,SUMPRODUCT(MAX(ROW(E$2:E3010)*(E3010=E$2:E3010)))))-COUNTBLANK(OFFSET(A$1,,,SUMPRODUCT(MAX(ROW(E$1:E3009)*(E2=E$1:E3009))))))</f>
        <v> </v>
      </c>
      <c r="K3010" s="26" t="str">
        <f>IF(OR(E3010="",E3010="!!!",F3010="NEW"),"",INDEX(J$1:J3009,SUMPRODUCT(MAX(ROW(E$1:E3009)*(E3010=E$1:E3009)))))</f>
        <v> </v>
      </c>
      <c r="L3010" s="27"/>
    </row>
    <row r="3011" spans="1:12">
      <c r="A3011" s="20"/>
    </row>
    <row r="3012" spans="1:12">
      <c r="A3012" s="20" t="s">
        <v>1948</v>
      </c>
    </row>
    <row r="3013" spans="1:12">
      <c r="A3013" s="20" t="s">
        <v>934</v>
      </c>
      <c r="E3013" s="22">
        <f>IF(D3013="?OLD","!!!","")</f>
        <v/>
      </c>
      <c r="F3013" s="23" t="str">
        <f>IF(OR(E3013="",E3013="!!!"),"",IF(NOT(ISNA(VLOOKUP(E3013,E$1:E3012,1,FALSE()))),"OLD",IF(AND(E3013&lt;&gt;"",E3013&lt;&gt;"!!!"),"NEW","")))</f>
        <v> </v>
      </c>
      <c r="G3013" s="24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5" t="str">
        <f>IF(J3013&lt;&gt;1,"",IF(I3013="SBJ","CB","?"))</f>
        <v> </v>
      </c>
      <c r="I3013" s="26" t="str">
        <f>IF(OR(E3013="",E3013="!!!",F3013="NEW"),"",INDEX(B3012:B$2,-1+SUMPRODUCT(MAX(ROW(E3012:E$2)*(E3013=E3012:E$2)))))</f>
        <v> </v>
      </c>
      <c r="J3013" s="26" t="str">
        <f>IF(OR(E3013="",E3013="!!!",F3013="NEW"),"",COUNTBLANK(OFFSET(A$1,,,SUMPRODUCT(MAX(ROW(E$2:E3013)*(E3013=E$2:E3013)))))-COUNTBLANK(OFFSET(A$1,,,SUMPRODUCT(MAX(ROW(E$1:E3012)*(E2=E$1:E3012))))))</f>
        <v> </v>
      </c>
      <c r="K3013" s="26" t="str">
        <f>IF(OR(E3013="",E3013="!!!",F3013="NEW"),"",INDEX(J$1:J3012,SUMPRODUCT(MAX(ROW(E$1:E3012)*(E3013=E$1:E3012)))))</f>
        <v> </v>
      </c>
      <c r="L3013" s="27"/>
    </row>
    <row r="3014" spans="1:12">
      <c r="A3014" s="20" t="s">
        <v>1096</v>
      </c>
      <c r="E3014" s="22">
        <f>IF(D3014="?OLD","!!!","")</f>
        <v/>
      </c>
      <c r="F3014" s="23" t="str">
        <f>IF(OR(E3014="",E3014="!!!"),"",IF(NOT(ISNA(VLOOKUP(E3014,E$1:E3013,1,FALSE()))),"OLD",IF(AND(E3014&lt;&gt;"",E3014&lt;&gt;"!!!"),"NEW","")))</f>
        <v> </v>
      </c>
      <c r="G3014" s="24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5" t="str">
        <f>IF(J3014&lt;&gt;1,"",IF(I3014="SBJ","CB","?"))</f>
        <v> </v>
      </c>
      <c r="I3014" s="26" t="str">
        <f>IF(OR(E3014="",E3014="!!!",F3014="NEW"),"",INDEX(B3013:B$2,-1+SUMPRODUCT(MAX(ROW(E3013:E$2)*(E3014=E3013:E$2)))))</f>
        <v> </v>
      </c>
      <c r="J3014" s="26" t="str">
        <f>IF(OR(E3014="",E3014="!!!",F3014="NEW"),"",COUNTBLANK(OFFSET(A$1,,,SUMPRODUCT(MAX(ROW(E$2:E3014)*(E3014=E$2:E3014)))))-COUNTBLANK(OFFSET(A$1,,,SUMPRODUCT(MAX(ROW(E$1:E3013)*(E2=E$1:E3013))))))</f>
        <v> </v>
      </c>
      <c r="K3014" s="26" t="str">
        <f>IF(OR(E3014="",E3014="!!!",F3014="NEW"),"",INDEX(J$1:J3013,SUMPRODUCT(MAX(ROW(E$1:E3013)*(E3014=E$1:E3013)))))</f>
        <v> </v>
      </c>
      <c r="L3014" s="27"/>
    </row>
    <row r="3015" spans="1:12">
      <c r="A3015" s="20" t="s">
        <v>779</v>
      </c>
      <c r="B3015" s="21" t="s">
        <v>767</v>
      </c>
      <c r="C3015" s="21" t="s">
        <v>719</v>
      </c>
      <c r="E3015" s="22">
        <f>IF(D3015="?OLD","!!!","")</f>
        <v/>
      </c>
      <c r="F3015" s="23" t="str">
        <f>IF(OR(E3015="",E3015="!!!"),"",IF(NOT(ISNA(VLOOKUP(E3015,E$1:E3014,1,FALSE()))),"OLD",IF(AND(E3015&lt;&gt;"",E3015&lt;&gt;"!!!"),"NEW","")))</f>
        <v> </v>
      </c>
      <c r="G3015" s="24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5" t="str">
        <f>IF(J3015&lt;&gt;1,"",IF(I3015="SBJ","CB","?"))</f>
        <v> </v>
      </c>
      <c r="I3015" s="26" t="str">
        <f>IF(OR(E3015="",E3015="!!!",F3015="NEW"),"",INDEX(B3014:B$2,-1+SUMPRODUCT(MAX(ROW(E3014:E$2)*(E3015=E3014:E$2)))))</f>
        <v> </v>
      </c>
      <c r="J3015" s="26" t="str">
        <f>IF(OR(E3015="",E3015="!!!",F3015="NEW"),"",COUNTBLANK(OFFSET(A$1,,,SUMPRODUCT(MAX(ROW(E$2:E3015)*(E3015=E$2:E3015)))))-COUNTBLANK(OFFSET(A$1,,,SUMPRODUCT(MAX(ROW(E$1:E3014)*(E2=E$1:E3014))))))</f>
        <v> </v>
      </c>
      <c r="K3015" s="26" t="str">
        <f>IF(OR(E3015="",E3015="!!!",F3015="NEW"),"",INDEX(J$1:J3014,SUMPRODUCT(MAX(ROW(E$1:E3014)*(E3015=E$1:E3014)))))</f>
        <v> </v>
      </c>
      <c r="L3015" s="27"/>
    </row>
    <row r="3016" spans="1:12">
      <c r="A3016" s="20" t="s">
        <v>721</v>
      </c>
      <c r="E3016" s="22">
        <f>IF(D3016="?OLD","!!!","")</f>
        <v/>
      </c>
      <c r="F3016" s="23" t="str">
        <f>IF(OR(E3016="",E3016="!!!"),"",IF(NOT(ISNA(VLOOKUP(E3016,E$1:E3015,1,FALSE()))),"OLD",IF(AND(E3016&lt;&gt;"",E3016&lt;&gt;"!!!"),"NEW","")))</f>
        <v> </v>
      </c>
      <c r="G3016" s="24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5" t="str">
        <f>IF(J3016&lt;&gt;1,"",IF(I3016="SBJ","CB","?"))</f>
        <v> </v>
      </c>
      <c r="I3016" s="26" t="str">
        <f>IF(OR(E3016="",E3016="!!!",F3016="NEW"),"",INDEX(B3015:B$2,-1+SUMPRODUCT(MAX(ROW(E3015:E$2)*(E3016=E3015:E$2)))))</f>
        <v> </v>
      </c>
      <c r="J3016" s="26" t="str">
        <f>IF(OR(E3016="",E3016="!!!",F3016="NEW"),"",COUNTBLANK(OFFSET(A$1,,,SUMPRODUCT(MAX(ROW(E$2:E3016)*(E3016=E$2:E3016)))))-COUNTBLANK(OFFSET(A$1,,,SUMPRODUCT(MAX(ROW(E$1:E3015)*(E2=E$1:E3015))))))</f>
        <v> </v>
      </c>
      <c r="K3016" s="26" t="str">
        <f>IF(OR(E3016="",E3016="!!!",F3016="NEW"),"",INDEX(J$1:J3015,SUMPRODUCT(MAX(ROW(E$1:E3015)*(E3016=E$1:E3015)))))</f>
        <v> </v>
      </c>
      <c r="L3016" s="27"/>
    </row>
    <row r="3017" spans="1:12">
      <c r="A3017" s="20" t="s">
        <v>988</v>
      </c>
      <c r="E3017" s="22">
        <f>IF(D3017="?OLD","!!!","")</f>
        <v/>
      </c>
      <c r="F3017" s="23" t="str">
        <f>IF(OR(E3017="",E3017="!!!"),"",IF(NOT(ISNA(VLOOKUP(E3017,E$1:E3016,1,FALSE()))),"OLD",IF(AND(E3017&lt;&gt;"",E3017&lt;&gt;"!!!"),"NEW","")))</f>
        <v> </v>
      </c>
      <c r="G3017" s="24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5" t="str">
        <f>IF(J3017&lt;&gt;1,"",IF(I3017="SBJ","CB","?"))</f>
        <v> </v>
      </c>
      <c r="I3017" s="26" t="str">
        <f>IF(OR(E3017="",E3017="!!!",F3017="NEW"),"",INDEX(B3016:B$2,-1+SUMPRODUCT(MAX(ROW(E3016:E$2)*(E3017=E3016:E$2)))))</f>
        <v> </v>
      </c>
      <c r="J3017" s="26" t="str">
        <f>IF(OR(E3017="",E3017="!!!",F3017="NEW"),"",COUNTBLANK(OFFSET(A$1,,,SUMPRODUCT(MAX(ROW(E$2:E3017)*(E3017=E$2:E3017)))))-COUNTBLANK(OFFSET(A$1,,,SUMPRODUCT(MAX(ROW(E$1:E3016)*(E2=E$1:E3016))))))</f>
        <v> </v>
      </c>
      <c r="K3017" s="26" t="str">
        <f>IF(OR(E3017="",E3017="!!!",F3017="NEW"),"",INDEX(J$1:J3016,SUMPRODUCT(MAX(ROW(E$1:E3016)*(E3017=E$1:E3016)))))</f>
        <v> </v>
      </c>
      <c r="L3017" s="27"/>
    </row>
    <row r="3018" spans="1:12">
      <c r="A3018" s="20" t="s">
        <v>1403</v>
      </c>
      <c r="B3018" s="21" t="s">
        <v>718</v>
      </c>
      <c r="C3018" s="21" t="s">
        <v>727</v>
      </c>
      <c r="D3018" s="21" t="s">
        <v>728</v>
      </c>
      <c r="E3018" s="22">
        <f>IF(D3018="?OLD","!!!","")</f>
        <v/>
      </c>
      <c r="F3018" s="23" t="str">
        <f>IF(OR(E3018="",E3018="!!!"),"",IF(NOT(ISNA(VLOOKUP(E3018,E$1:E3017,1,FALSE()))),"OLD",IF(AND(E3018&lt;&gt;"",E3018&lt;&gt;"!!!"),"NEW","")))</f>
        <v> </v>
      </c>
      <c r="G3018" s="24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5" t="str">
        <f>IF(J3018&lt;&gt;1,"",IF(I3018="SBJ","CB","?"))</f>
        <v> </v>
      </c>
      <c r="I3018" s="26" t="str">
        <f>IF(OR(E3018="",E3018="!!!",F3018="NEW"),"",INDEX(B3017:B$2,-1+SUMPRODUCT(MAX(ROW(E3017:E$2)*(E3018=E3017:E$2)))))</f>
        <v> </v>
      </c>
      <c r="J3018" s="26" t="str">
        <f>IF(OR(E3018="",E3018="!!!",F3018="NEW"),"",COUNTBLANK(OFFSET(A$1,,,SUMPRODUCT(MAX(ROW(E$2:E3018)*(E3018=E$2:E3018)))))-COUNTBLANK(OFFSET(A$1,,,SUMPRODUCT(MAX(ROW(E$1:E3017)*(E2=E$1:E3017))))))</f>
        <v> </v>
      </c>
      <c r="K3018" s="26" t="str">
        <f>IF(OR(E3018="",E3018="!!!",F3018="NEW"),"",INDEX(J$1:J3017,SUMPRODUCT(MAX(ROW(E$1:E3017)*(E3018=E$1:E3017)))))</f>
        <v> </v>
      </c>
      <c r="L3018" s="27"/>
    </row>
    <row r="3019" spans="1:12">
      <c r="A3019" s="20" t="s">
        <v>698</v>
      </c>
      <c r="E3019" s="22">
        <f>IF(D3019="?OLD","!!!","")</f>
        <v/>
      </c>
      <c r="F3019" s="23" t="str">
        <f>IF(OR(E3019="",E3019="!!!"),"",IF(NOT(ISNA(VLOOKUP(E3019,E$1:E3018,1,FALSE()))),"OLD",IF(AND(E3019&lt;&gt;"",E3019&lt;&gt;"!!!"),"NEW","")))</f>
        <v> </v>
      </c>
      <c r="G3019" s="24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5" t="str">
        <f>IF(J3019&lt;&gt;1,"",IF(I3019="SBJ","CB","?"))</f>
        <v> </v>
      </c>
      <c r="I3019" s="26" t="str">
        <f>IF(OR(E3019="",E3019="!!!",F3019="NEW"),"",INDEX(B3018:B$2,-1+SUMPRODUCT(MAX(ROW(E3018:E$2)*(E3019=E3018:E$2)))))</f>
        <v> </v>
      </c>
      <c r="J3019" s="26" t="str">
        <f>IF(OR(E3019="",E3019="!!!",F3019="NEW"),"",COUNTBLANK(OFFSET(A$1,,,SUMPRODUCT(MAX(ROW(E$2:E3019)*(E3019=E$2:E3019)))))-COUNTBLANK(OFFSET(A$1,,,SUMPRODUCT(MAX(ROW(E$1:E3018)*(E2=E$1:E3018))))))</f>
        <v> </v>
      </c>
      <c r="K3019" s="26" t="str">
        <f>IF(OR(E3019="",E3019="!!!",F3019="NEW"),"",INDEX(J$1:J3018,SUMPRODUCT(MAX(ROW(E$1:E3018)*(E3019=E$1:E3018)))))</f>
        <v> </v>
      </c>
      <c r="L3019" s="27"/>
    </row>
    <row r="3020" spans="1:12">
      <c r="A3020" s="20" t="s">
        <v>793</v>
      </c>
      <c r="E3020" s="22">
        <f>IF(D3020="?OLD","!!!","")</f>
        <v/>
      </c>
      <c r="F3020" s="23" t="str">
        <f>IF(OR(E3020="",E3020="!!!"),"",IF(NOT(ISNA(VLOOKUP(E3020,E$1:E3019,1,FALSE()))),"OLD",IF(AND(E3020&lt;&gt;"",E3020&lt;&gt;"!!!"),"NEW","")))</f>
        <v> </v>
      </c>
      <c r="G3020" s="24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5" t="str">
        <f>IF(J3020&lt;&gt;1,"",IF(I3020="SBJ","CB","?"))</f>
        <v> </v>
      </c>
      <c r="I3020" s="26" t="str">
        <f>IF(OR(E3020="",E3020="!!!",F3020="NEW"),"",INDEX(B3019:B$2,-1+SUMPRODUCT(MAX(ROW(E3019:E$2)*(E3020=E3019:E$2)))))</f>
        <v> </v>
      </c>
      <c r="J3020" s="26" t="str">
        <f>IF(OR(E3020="",E3020="!!!",F3020="NEW"),"",COUNTBLANK(OFFSET(A$1,,,SUMPRODUCT(MAX(ROW(E$2:E3020)*(E3020=E$2:E3020)))))-COUNTBLANK(OFFSET(A$1,,,SUMPRODUCT(MAX(ROW(E$1:E3019)*(E2=E$1:E3019))))))</f>
        <v> </v>
      </c>
      <c r="K3020" s="26" t="str">
        <f>IF(OR(E3020="",E3020="!!!",F3020="NEW"),"",INDEX(J$1:J3019,SUMPRODUCT(MAX(ROW(E$1:E3019)*(E3020=E$1:E3019)))))</f>
        <v> </v>
      </c>
      <c r="L3020" s="27"/>
    </row>
    <row r="3021" spans="1:12">
      <c r="A3021" s="20" t="s">
        <v>1237</v>
      </c>
      <c r="B3021" s="21" t="s">
        <v>718</v>
      </c>
      <c r="C3021" s="21" t="s">
        <v>747</v>
      </c>
      <c r="D3021" s="21" t="s">
        <v>728</v>
      </c>
      <c r="E3021" s="22">
        <f>IF(D3021="?OLD","!!!","")</f>
        <v/>
      </c>
      <c r="F3021" s="23" t="str">
        <f>IF(OR(E3021="",E3021="!!!"),"",IF(NOT(ISNA(VLOOKUP(E3021,E$1:E3020,1,FALSE()))),"OLD",IF(AND(E3021&lt;&gt;"",E3021&lt;&gt;"!!!"),"NEW","")))</f>
        <v> </v>
      </c>
      <c r="G3021" s="24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5" t="str">
        <f>IF(J3021&lt;&gt;1,"",IF(I3021="SBJ","CB","?"))</f>
        <v> </v>
      </c>
      <c r="I3021" s="26" t="str">
        <f>IF(OR(E3021="",E3021="!!!",F3021="NEW"),"",INDEX(B3020:B$2,-1+SUMPRODUCT(MAX(ROW(E3020:E$2)*(E3021=E3020:E$2)))))</f>
        <v> </v>
      </c>
      <c r="J3021" s="26" t="str">
        <f>IF(OR(E3021="",E3021="!!!",F3021="NEW"),"",COUNTBLANK(OFFSET(A$1,,,SUMPRODUCT(MAX(ROW(E$2:E3021)*(E3021=E$2:E3021)))))-COUNTBLANK(OFFSET(A$1,,,SUMPRODUCT(MAX(ROW(E$1:E3020)*(E2=E$1:E3020))))))</f>
        <v> </v>
      </c>
      <c r="K3021" s="26" t="str">
        <f>IF(OR(E3021="",E3021="!!!",F3021="NEW"),"",INDEX(J$1:J3020,SUMPRODUCT(MAX(ROW(E$1:E3020)*(E3021=E$1:E3020)))))</f>
        <v> </v>
      </c>
      <c r="L3021" s="27"/>
    </row>
    <row r="3022" spans="1:12">
      <c r="A3022" s="20" t="s">
        <v>1949</v>
      </c>
      <c r="B3022" s="21" t="s">
        <v>726</v>
      </c>
      <c r="E3022" s="22">
        <f>IF(D3022="?OLD","!!!","")</f>
        <v/>
      </c>
      <c r="F3022" s="23" t="str">
        <f>IF(OR(E3022="",E3022="!!!"),"",IF(NOT(ISNA(VLOOKUP(E3022,E$1:E3021,1,FALSE()))),"OLD",IF(AND(E3022&lt;&gt;"",E3022&lt;&gt;"!!!"),"NEW","")))</f>
        <v> </v>
      </c>
      <c r="G3022" s="24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5" t="str">
        <f>IF(J3022&lt;&gt;1,"",IF(I3022="SBJ","CB","?"))</f>
        <v> </v>
      </c>
      <c r="I3022" s="26" t="str">
        <f>IF(OR(E3022="",E3022="!!!",F3022="NEW"),"",INDEX(B3021:B$2,-1+SUMPRODUCT(MAX(ROW(E3021:E$2)*(E3022=E3021:E$2)))))</f>
        <v> </v>
      </c>
      <c r="J3022" s="26" t="str">
        <f>IF(OR(E3022="",E3022="!!!",F3022="NEW"),"",COUNTBLANK(OFFSET(A$1,,,SUMPRODUCT(MAX(ROW(E$2:E3022)*(E3022=E$2:E3022)))))-COUNTBLANK(OFFSET(A$1,,,SUMPRODUCT(MAX(ROW(E$1:E3021)*(E2=E$1:E3021))))))</f>
        <v> </v>
      </c>
      <c r="K3022" s="26" t="str">
        <f>IF(OR(E3022="",E3022="!!!",F3022="NEW"),"",INDEX(J$1:J3021,SUMPRODUCT(MAX(ROW(E$1:E3021)*(E3022=E$1:E3021)))))</f>
        <v> </v>
      </c>
      <c r="L3022" s="27"/>
    </row>
    <row r="3023" spans="1:12">
      <c r="A3023" s="20" t="s">
        <v>721</v>
      </c>
      <c r="E3023" s="22">
        <f>IF(D3023="?OLD","!!!","")</f>
        <v/>
      </c>
      <c r="F3023" s="23" t="str">
        <f>IF(OR(E3023="",E3023="!!!"),"",IF(NOT(ISNA(VLOOKUP(E3023,E$1:E3022,1,FALSE()))),"OLD",IF(AND(E3023&lt;&gt;"",E3023&lt;&gt;"!!!"),"NEW","")))</f>
        <v> </v>
      </c>
      <c r="G3023" s="24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5" t="str">
        <f>IF(J3023&lt;&gt;1,"",IF(I3023="SBJ","CB","?"))</f>
        <v> </v>
      </c>
      <c r="I3023" s="26" t="str">
        <f>IF(OR(E3023="",E3023="!!!",F3023="NEW"),"",INDEX(B3022:B$2,-1+SUMPRODUCT(MAX(ROW(E3022:E$2)*(E3023=E3022:E$2)))))</f>
        <v> </v>
      </c>
      <c r="J3023" s="26" t="str">
        <f>IF(OR(E3023="",E3023="!!!",F3023="NEW"),"",COUNTBLANK(OFFSET(A$1,,,SUMPRODUCT(MAX(ROW(E$2:E3023)*(E3023=E$2:E3023)))))-COUNTBLANK(OFFSET(A$1,,,SUMPRODUCT(MAX(ROW(E$1:E3022)*(E2=E$1:E3022))))))</f>
        <v> </v>
      </c>
      <c r="K3023" s="26" t="str">
        <f>IF(OR(E3023="",E3023="!!!",F3023="NEW"),"",INDEX(J$1:J3022,SUMPRODUCT(MAX(ROW(E$1:E3022)*(E3023=E$1:E3022)))))</f>
        <v> </v>
      </c>
      <c r="L3023" s="27"/>
    </row>
    <row r="3024" spans="1:12">
      <c r="A3024" s="20" t="s">
        <v>218</v>
      </c>
      <c r="E3024" s="22">
        <f>IF(D3024="?OLD","!!!","")</f>
        <v/>
      </c>
      <c r="F3024" s="23" t="str">
        <f>IF(OR(E3024="",E3024="!!!"),"",IF(NOT(ISNA(VLOOKUP(E3024,E$1:E3023,1,FALSE()))),"OLD",IF(AND(E3024&lt;&gt;"",E3024&lt;&gt;"!!!"),"NEW","")))</f>
        <v> </v>
      </c>
      <c r="G3024" s="24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5" t="str">
        <f>IF(J3024&lt;&gt;1,"",IF(I3024="SBJ","CB","?"))</f>
        <v> </v>
      </c>
      <c r="I3024" s="26" t="str">
        <f>IF(OR(E3024="",E3024="!!!",F3024="NEW"),"",INDEX(B3023:B$2,-1+SUMPRODUCT(MAX(ROW(E3023:E$2)*(E3024=E3023:E$2)))))</f>
        <v> </v>
      </c>
      <c r="J3024" s="26" t="str">
        <f>IF(OR(E3024="",E3024="!!!",F3024="NEW"),"",COUNTBLANK(OFFSET(A$1,,,SUMPRODUCT(MAX(ROW(E$2:E3024)*(E3024=E$2:E3024)))))-COUNTBLANK(OFFSET(A$1,,,SUMPRODUCT(MAX(ROW(E$1:E3023)*(E2=E$1:E3023))))))</f>
        <v> </v>
      </c>
      <c r="K3024" s="26" t="str">
        <f>IF(OR(E3024="",E3024="!!!",F3024="NEW"),"",INDEX(J$1:J3023,SUMPRODUCT(MAX(ROW(E$1:E3023)*(E3024=E$1:E3023)))))</f>
        <v> </v>
      </c>
      <c r="L3024" s="27"/>
    </row>
    <row r="3025" spans="1:12">
      <c r="A3025" s="20" t="s">
        <v>779</v>
      </c>
      <c r="E3025" s="22">
        <f>IF(D3025="?OLD","!!!","")</f>
        <v/>
      </c>
      <c r="F3025" s="23" t="str">
        <f>IF(OR(E3025="",E3025="!!!"),"",IF(NOT(ISNA(VLOOKUP(E3025,E$1:E3024,1,FALSE()))),"OLD",IF(AND(E3025&lt;&gt;"",E3025&lt;&gt;"!!!"),"NEW","")))</f>
        <v> </v>
      </c>
      <c r="G3025" s="24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5" t="str">
        <f>IF(J3025&lt;&gt;1,"",IF(I3025="SBJ","CB","?"))</f>
        <v> </v>
      </c>
      <c r="I3025" s="26" t="str">
        <f>IF(OR(E3025="",E3025="!!!",F3025="NEW"),"",INDEX(B3024:B$2,-1+SUMPRODUCT(MAX(ROW(E3024:E$2)*(E3025=E3024:E$2)))))</f>
        <v> </v>
      </c>
      <c r="J3025" s="26" t="str">
        <f>IF(OR(E3025="",E3025="!!!",F3025="NEW"),"",COUNTBLANK(OFFSET(A$1,,,SUMPRODUCT(MAX(ROW(E$2:E3025)*(E3025=E$2:E3025)))))-COUNTBLANK(OFFSET(A$1,,,SUMPRODUCT(MAX(ROW(E$1:E3024)*(E2=E$1:E3024))))))</f>
        <v> </v>
      </c>
      <c r="K3025" s="26" t="str">
        <f>IF(OR(E3025="",E3025="!!!",F3025="NEW"),"",INDEX(J$1:J3024,SUMPRODUCT(MAX(ROW(E$1:E3024)*(E3025=E$1:E3024)))))</f>
        <v> </v>
      </c>
      <c r="L3025" s="27"/>
    </row>
    <row r="3026" spans="1:12">
      <c r="A3026" s="20" t="s">
        <v>721</v>
      </c>
      <c r="E3026" s="22">
        <f>IF(D3026="?OLD","!!!","")</f>
        <v/>
      </c>
      <c r="F3026" s="23" t="str">
        <f>IF(OR(E3026="",E3026="!!!"),"",IF(NOT(ISNA(VLOOKUP(E3026,E$1:E3025,1,FALSE()))),"OLD",IF(AND(E3026&lt;&gt;"",E3026&lt;&gt;"!!!"),"NEW","")))</f>
        <v> </v>
      </c>
      <c r="G3026" s="24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5" t="str">
        <f>IF(J3026&lt;&gt;1,"",IF(I3026="SBJ","CB","?"))</f>
        <v> </v>
      </c>
      <c r="I3026" s="26" t="str">
        <f>IF(OR(E3026="",E3026="!!!",F3026="NEW"),"",INDEX(B3025:B$2,-1+SUMPRODUCT(MAX(ROW(E3025:E$2)*(E3026=E3025:E$2)))))</f>
        <v> </v>
      </c>
      <c r="J3026" s="26" t="str">
        <f>IF(OR(E3026="",E3026="!!!",F3026="NEW"),"",COUNTBLANK(OFFSET(A$1,,,SUMPRODUCT(MAX(ROW(E$2:E3026)*(E3026=E$2:E3026)))))-COUNTBLANK(OFFSET(A$1,,,SUMPRODUCT(MAX(ROW(E$1:E3025)*(E2=E$1:E3025))))))</f>
        <v> </v>
      </c>
      <c r="K3026" s="26" t="str">
        <f>IF(OR(E3026="",E3026="!!!",F3026="NEW"),"",INDEX(J$1:J3025,SUMPRODUCT(MAX(ROW(E$1:E3025)*(E3026=E$1:E3025)))))</f>
        <v> </v>
      </c>
      <c r="L3026" s="27"/>
    </row>
    <row r="3027" spans="1:12">
      <c r="A3027" s="20" t="s">
        <v>1944</v>
      </c>
      <c r="E3027" s="22">
        <f>IF(D3027="?OLD","!!!","")</f>
        <v/>
      </c>
      <c r="F3027" s="23" t="str">
        <f>IF(OR(E3027="",E3027="!!!"),"",IF(NOT(ISNA(VLOOKUP(E3027,E$1:E3026,1,FALSE()))),"OLD",IF(AND(E3027&lt;&gt;"",E3027&lt;&gt;"!!!"),"NEW","")))</f>
        <v> </v>
      </c>
      <c r="G3027" s="24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5" t="str">
        <f>IF(J3027&lt;&gt;1,"",IF(I3027="SBJ","CB","?"))</f>
        <v> </v>
      </c>
      <c r="I3027" s="26" t="str">
        <f>IF(OR(E3027="",E3027="!!!",F3027="NEW"),"",INDEX(B3026:B$2,-1+SUMPRODUCT(MAX(ROW(E3026:E$2)*(E3027=E3026:E$2)))))</f>
        <v> </v>
      </c>
      <c r="J3027" s="26" t="str">
        <f>IF(OR(E3027="",E3027="!!!",F3027="NEW"),"",COUNTBLANK(OFFSET(A$1,,,SUMPRODUCT(MAX(ROW(E$2:E3027)*(E3027=E$2:E3027)))))-COUNTBLANK(OFFSET(A$1,,,SUMPRODUCT(MAX(ROW(E$1:E3026)*(E2=E$1:E3026))))))</f>
        <v> </v>
      </c>
      <c r="K3027" s="26" t="str">
        <f>IF(OR(E3027="",E3027="!!!",F3027="NEW"),"",INDEX(J$1:J3026,SUMPRODUCT(MAX(ROW(E$1:E3026)*(E3027=E$1:E3026)))))</f>
        <v> </v>
      </c>
      <c r="L3027" s="27"/>
    </row>
    <row r="3028" spans="1:12">
      <c r="A3028" s="20" t="s">
        <v>766</v>
      </c>
      <c r="B3028" s="21" t="s">
        <v>812</v>
      </c>
      <c r="C3028" s="21" t="s">
        <v>747</v>
      </c>
      <c r="D3028" s="21" t="s">
        <v>728</v>
      </c>
      <c r="E3028" s="22">
        <f>IF(D3028="?OLD","!!!","")</f>
        <v/>
      </c>
      <c r="F3028" s="23" t="str">
        <f>IF(OR(E3028="",E3028="!!!"),"",IF(NOT(ISNA(VLOOKUP(E3028,E$1:E3027,1,FALSE()))),"OLD",IF(AND(E3028&lt;&gt;"",E3028&lt;&gt;"!!!"),"NEW","")))</f>
        <v> </v>
      </c>
      <c r="G3028" s="24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5" t="str">
        <f>IF(J3028&lt;&gt;1,"",IF(I3028="SBJ","CB","?"))</f>
        <v> </v>
      </c>
      <c r="I3028" s="26" t="str">
        <f>IF(OR(E3028="",E3028="!!!",F3028="NEW"),"",INDEX(B3027:B$2,-1+SUMPRODUCT(MAX(ROW(E3027:E$2)*(E3028=E3027:E$2)))))</f>
        <v> </v>
      </c>
      <c r="J3028" s="26" t="str">
        <f>IF(OR(E3028="",E3028="!!!",F3028="NEW"),"",COUNTBLANK(OFFSET(A$1,,,SUMPRODUCT(MAX(ROW(E$2:E3028)*(E3028=E$2:E3028)))))-COUNTBLANK(OFFSET(A$1,,,SUMPRODUCT(MAX(ROW(E$1:E3027)*(E2=E$1:E3027))))))</f>
        <v> </v>
      </c>
      <c r="K3028" s="26" t="str">
        <f>IF(OR(E3028="",E3028="!!!",F3028="NEW"),"",INDEX(J$1:J3027,SUMPRODUCT(MAX(ROW(E$1:E3027)*(E3028=E$1:E3027)))))</f>
        <v> </v>
      </c>
      <c r="L3028" s="27"/>
    </row>
    <row r="3029" spans="1:12">
      <c r="A3029" s="20" t="s">
        <v>1950</v>
      </c>
      <c r="E3029" s="22">
        <f>IF(D3029="?OLD","!!!","")</f>
        <v/>
      </c>
      <c r="F3029" s="23" t="str">
        <f>IF(OR(E3029="",E3029="!!!"),"",IF(NOT(ISNA(VLOOKUP(E3029,E$1:E3028,1,FALSE()))),"OLD",IF(AND(E3029&lt;&gt;"",E3029&lt;&gt;"!!!"),"NEW","")))</f>
        <v> </v>
      </c>
      <c r="G3029" s="24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5" t="str">
        <f>IF(J3029&lt;&gt;1,"",IF(I3029="SBJ","CB","?"))</f>
        <v> </v>
      </c>
      <c r="I3029" s="26" t="str">
        <f>IF(OR(E3029="",E3029="!!!",F3029="NEW"),"",INDEX(B3028:B$2,-1+SUMPRODUCT(MAX(ROW(E3028:E$2)*(E3029=E3028:E$2)))))</f>
        <v> </v>
      </c>
      <c r="J3029" s="26" t="str">
        <f>IF(OR(E3029="",E3029="!!!",F3029="NEW"),"",COUNTBLANK(OFFSET(A$1,,,SUMPRODUCT(MAX(ROW(E$2:E3029)*(E3029=E$2:E3029)))))-COUNTBLANK(OFFSET(A$1,,,SUMPRODUCT(MAX(ROW(E$1:E3028)*(E2=E$1:E3028))))))</f>
        <v> </v>
      </c>
      <c r="K3029" s="26" t="str">
        <f>IF(OR(E3029="",E3029="!!!",F3029="NEW"),"",INDEX(J$1:J3028,SUMPRODUCT(MAX(ROW(E$1:E3028)*(E3029=E$1:E3028)))))</f>
        <v> </v>
      </c>
      <c r="L3029" s="27"/>
    </row>
    <row r="3030" spans="1:12">
      <c r="A3030" s="20" t="s">
        <v>1951</v>
      </c>
      <c r="E3030" s="22">
        <f>IF(D3030="?OLD","!!!","")</f>
        <v/>
      </c>
      <c r="F3030" s="23" t="str">
        <f>IF(OR(E3030="",E3030="!!!"),"",IF(NOT(ISNA(VLOOKUP(E3030,E$1:E3029,1,FALSE()))),"OLD",IF(AND(E3030&lt;&gt;"",E3030&lt;&gt;"!!!"),"NEW","")))</f>
        <v> </v>
      </c>
      <c r="G3030" s="24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5" t="str">
        <f>IF(J3030&lt;&gt;1,"",IF(I3030="SBJ","CB","?"))</f>
        <v> </v>
      </c>
      <c r="I3030" s="26" t="str">
        <f>IF(OR(E3030="",E3030="!!!",F3030="NEW"),"",INDEX(B3029:B$2,-1+SUMPRODUCT(MAX(ROW(E3029:E$2)*(E3030=E3029:E$2)))))</f>
        <v> </v>
      </c>
      <c r="J3030" s="26" t="str">
        <f>IF(OR(E3030="",E3030="!!!",F3030="NEW"),"",COUNTBLANK(OFFSET(A$1,,,SUMPRODUCT(MAX(ROW(E$2:E3030)*(E3030=E$2:E3030)))))-COUNTBLANK(OFFSET(A$1,,,SUMPRODUCT(MAX(ROW(E$1:E3029)*(E2=E$1:E3029))))))</f>
        <v> </v>
      </c>
      <c r="K3030" s="26" t="str">
        <f>IF(OR(E3030="",E3030="!!!",F3030="NEW"),"",INDEX(J$1:J3029,SUMPRODUCT(MAX(ROW(E$1:E3029)*(E3030=E$1:E3029)))))</f>
        <v> </v>
      </c>
      <c r="L3030" s="27"/>
    </row>
    <row r="3031" spans="1:12">
      <c r="A3031" s="20" t="s">
        <v>1952</v>
      </c>
      <c r="E3031" s="22">
        <f>IF(D3031="?OLD","!!!","")</f>
        <v/>
      </c>
      <c r="F3031" s="23" t="str">
        <f>IF(OR(E3031="",E3031="!!!"),"",IF(NOT(ISNA(VLOOKUP(E3031,E$1:E3030,1,FALSE()))),"OLD",IF(AND(E3031&lt;&gt;"",E3031&lt;&gt;"!!!"),"NEW","")))</f>
        <v> </v>
      </c>
      <c r="G3031" s="24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5" t="str">
        <f>IF(J3031&lt;&gt;1,"",IF(I3031="SBJ","CB","?"))</f>
        <v> </v>
      </c>
      <c r="I3031" s="26" t="str">
        <f>IF(OR(E3031="",E3031="!!!",F3031="NEW"),"",INDEX(B3030:B$2,-1+SUMPRODUCT(MAX(ROW(E3030:E$2)*(E3031=E3030:E$2)))))</f>
        <v> </v>
      </c>
      <c r="J3031" s="26" t="str">
        <f>IF(OR(E3031="",E3031="!!!",F3031="NEW"),"",COUNTBLANK(OFFSET(A$1,,,SUMPRODUCT(MAX(ROW(E$2:E3031)*(E3031=E$2:E3031)))))-COUNTBLANK(OFFSET(A$1,,,SUMPRODUCT(MAX(ROW(E$1:E3030)*(E2=E$1:E3030))))))</f>
        <v> </v>
      </c>
      <c r="K3031" s="26" t="str">
        <f>IF(OR(E3031="",E3031="!!!",F3031="NEW"),"",INDEX(J$1:J3030,SUMPRODUCT(MAX(ROW(E$1:E3030)*(E3031=E$1:E3030)))))</f>
        <v> </v>
      </c>
      <c r="L3031" s="27"/>
    </row>
    <row r="3032" spans="1:12">
      <c r="A3032" s="20" t="s">
        <v>721</v>
      </c>
      <c r="E3032" s="22">
        <f>IF(D3032="?OLD","!!!","")</f>
        <v/>
      </c>
      <c r="F3032" s="23" t="str">
        <f>IF(OR(E3032="",E3032="!!!"),"",IF(NOT(ISNA(VLOOKUP(E3032,E$1:E3031,1,FALSE()))),"OLD",IF(AND(E3032&lt;&gt;"",E3032&lt;&gt;"!!!"),"NEW","")))</f>
        <v> </v>
      </c>
      <c r="G3032" s="24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5" t="str">
        <f>IF(J3032&lt;&gt;1,"",IF(I3032="SBJ","CB","?"))</f>
        <v> </v>
      </c>
      <c r="I3032" s="26" t="str">
        <f>IF(OR(E3032="",E3032="!!!",F3032="NEW"),"",INDEX(B3031:B$2,-1+SUMPRODUCT(MAX(ROW(E3031:E$2)*(E3032=E3031:E$2)))))</f>
        <v> </v>
      </c>
      <c r="J3032" s="26" t="str">
        <f>IF(OR(E3032="",E3032="!!!",F3032="NEW"),"",COUNTBLANK(OFFSET(A$1,,,SUMPRODUCT(MAX(ROW(E$2:E3032)*(E3032=E$2:E3032)))))-COUNTBLANK(OFFSET(A$1,,,SUMPRODUCT(MAX(ROW(E$1:E3031)*(E2=E$1:E3031))))))</f>
        <v> </v>
      </c>
      <c r="K3032" s="26" t="str">
        <f>IF(OR(E3032="",E3032="!!!",F3032="NEW"),"",INDEX(J$1:J3031,SUMPRODUCT(MAX(ROW(E$1:E3031)*(E3032=E$1:E3031)))))</f>
        <v> </v>
      </c>
      <c r="L3032" s="27"/>
    </row>
    <row r="3033" spans="1:12">
      <c r="A3033" s="20" t="s">
        <v>825</v>
      </c>
      <c r="E3033" s="22">
        <f>IF(D3033="?OLD","!!!","")</f>
        <v/>
      </c>
      <c r="F3033" s="23" t="str">
        <f>IF(OR(E3033="",E3033="!!!"),"",IF(NOT(ISNA(VLOOKUP(E3033,E$1:E3032,1,FALSE()))),"OLD",IF(AND(E3033&lt;&gt;"",E3033&lt;&gt;"!!!"),"NEW","")))</f>
        <v> </v>
      </c>
      <c r="G3033" s="24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5" t="str">
        <f>IF(J3033&lt;&gt;1,"",IF(I3033="SBJ","CB","?"))</f>
        <v> </v>
      </c>
      <c r="I3033" s="26" t="str">
        <f>IF(OR(E3033="",E3033="!!!",F3033="NEW"),"",INDEX(B3032:B$2,-1+SUMPRODUCT(MAX(ROW(E3032:E$2)*(E3033=E3032:E$2)))))</f>
        <v> </v>
      </c>
      <c r="J3033" s="26" t="str">
        <f>IF(OR(E3033="",E3033="!!!",F3033="NEW"),"",COUNTBLANK(OFFSET(A$1,,,SUMPRODUCT(MAX(ROW(E$2:E3033)*(E3033=E$2:E3033)))))-COUNTBLANK(OFFSET(A$1,,,SUMPRODUCT(MAX(ROW(E$1:E3032)*(E2=E$1:E3032))))))</f>
        <v> </v>
      </c>
      <c r="K3033" s="26" t="str">
        <f>IF(OR(E3033="",E3033="!!!",F3033="NEW"),"",INDEX(J$1:J3032,SUMPRODUCT(MAX(ROW(E$1:E3032)*(E3033=E$1:E3032)))))</f>
        <v> </v>
      </c>
      <c r="L3033" s="27"/>
    </row>
    <row r="3034" spans="1:12">
      <c r="A3034" s="20" t="s">
        <v>905</v>
      </c>
      <c r="B3034" s="21" t="s">
        <v>767</v>
      </c>
      <c r="C3034" s="21" t="s">
        <v>727</v>
      </c>
      <c r="D3034" s="21" t="s">
        <v>728</v>
      </c>
      <c r="E3034" s="22">
        <f>IF(D3034="?OLD","!!!","")</f>
        <v/>
      </c>
      <c r="F3034" s="23" t="str">
        <f>IF(OR(E3034="",E3034="!!!"),"",IF(NOT(ISNA(VLOOKUP(E3034,E$1:E3033,1,FALSE()))),"OLD",IF(AND(E3034&lt;&gt;"",E3034&lt;&gt;"!!!"),"NEW","")))</f>
        <v> </v>
      </c>
      <c r="G3034" s="24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5" t="str">
        <f>IF(J3034&lt;&gt;1,"",IF(I3034="SBJ","CB","?"))</f>
        <v> </v>
      </c>
      <c r="I3034" s="26" t="str">
        <f>IF(OR(E3034="",E3034="!!!",F3034="NEW"),"",INDEX(B3033:B$2,-1+SUMPRODUCT(MAX(ROW(E3033:E$2)*(E3034=E3033:E$2)))))</f>
        <v> </v>
      </c>
      <c r="J3034" s="26" t="str">
        <f>IF(OR(E3034="",E3034="!!!",F3034="NEW"),"",COUNTBLANK(OFFSET(A$1,,,SUMPRODUCT(MAX(ROW(E$2:E3034)*(E3034=E$2:E3034)))))-COUNTBLANK(OFFSET(A$1,,,SUMPRODUCT(MAX(ROW(E$1:E3033)*(E2=E$1:E3033))))))</f>
        <v> </v>
      </c>
      <c r="K3034" s="26" t="str">
        <f>IF(OR(E3034="",E3034="!!!",F3034="NEW"),"",INDEX(J$1:J3033,SUMPRODUCT(MAX(ROW(E$1:E3033)*(E3034=E$1:E3033)))))</f>
        <v> </v>
      </c>
      <c r="L3034" s="27"/>
    </row>
    <row r="3035" spans="1:12">
      <c r="A3035" s="20" t="s">
        <v>1953</v>
      </c>
      <c r="E3035" s="22">
        <f>IF(D3035="?OLD","!!!","")</f>
        <v/>
      </c>
      <c r="F3035" s="23" t="str">
        <f>IF(OR(E3035="",E3035="!!!"),"",IF(NOT(ISNA(VLOOKUP(E3035,E$1:E3034,1,FALSE()))),"OLD",IF(AND(E3035&lt;&gt;"",E3035&lt;&gt;"!!!"),"NEW","")))</f>
        <v> </v>
      </c>
      <c r="G3035" s="24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5" t="str">
        <f>IF(J3035&lt;&gt;1,"",IF(I3035="SBJ","CB","?"))</f>
        <v> </v>
      </c>
      <c r="I3035" s="26" t="str">
        <f>IF(OR(E3035="",E3035="!!!",F3035="NEW"),"",INDEX(B3034:B$2,-1+SUMPRODUCT(MAX(ROW(E3034:E$2)*(E3035=E3034:E$2)))))</f>
        <v> </v>
      </c>
      <c r="J3035" s="26" t="str">
        <f>IF(OR(E3035="",E3035="!!!",F3035="NEW"),"",COUNTBLANK(OFFSET(A$1,,,SUMPRODUCT(MAX(ROW(E$2:E3035)*(E3035=E$2:E3035)))))-COUNTBLANK(OFFSET(A$1,,,SUMPRODUCT(MAX(ROW(E$1:E3034)*(E2=E$1:E3034))))))</f>
        <v> </v>
      </c>
      <c r="K3035" s="26" t="str">
        <f>IF(OR(E3035="",E3035="!!!",F3035="NEW"),"",INDEX(J$1:J3034,SUMPRODUCT(MAX(ROW(E$1:E3034)*(E3035=E$1:E3034)))))</f>
        <v> </v>
      </c>
      <c r="L3035" s="27"/>
    </row>
    <row r="3036" spans="1:12">
      <c r="A3036" s="20" t="s">
        <v>1954</v>
      </c>
      <c r="E3036" s="22">
        <f>IF(D3036="?OLD","!!!","")</f>
        <v/>
      </c>
      <c r="F3036" s="23" t="str">
        <f>IF(OR(E3036="",E3036="!!!"),"",IF(NOT(ISNA(VLOOKUP(E3036,E$1:E3035,1,FALSE()))),"OLD",IF(AND(E3036&lt;&gt;"",E3036&lt;&gt;"!!!"),"NEW","")))</f>
        <v> </v>
      </c>
      <c r="G3036" s="24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5" t="str">
        <f>IF(J3036&lt;&gt;1,"",IF(I3036="SBJ","CB","?"))</f>
        <v> </v>
      </c>
      <c r="I3036" s="26" t="str">
        <f>IF(OR(E3036="",E3036="!!!",F3036="NEW"),"",INDEX(B3035:B$2,-1+SUMPRODUCT(MAX(ROW(E3035:E$2)*(E3036=E3035:E$2)))))</f>
        <v> </v>
      </c>
      <c r="J3036" s="26" t="str">
        <f>IF(OR(E3036="",E3036="!!!",F3036="NEW"),"",COUNTBLANK(OFFSET(A$1,,,SUMPRODUCT(MAX(ROW(E$2:E3036)*(E3036=E$2:E3036)))))-COUNTBLANK(OFFSET(A$1,,,SUMPRODUCT(MAX(ROW(E$1:E3035)*(E2=E$1:E3035))))))</f>
        <v> </v>
      </c>
      <c r="K3036" s="26" t="str">
        <f>IF(OR(E3036="",E3036="!!!",F3036="NEW"),"",INDEX(J$1:J3035,SUMPRODUCT(MAX(ROW(E$1:E3035)*(E3036=E$1:E3035)))))</f>
        <v> </v>
      </c>
      <c r="L3036" s="27"/>
    </row>
    <row r="3037" spans="1:12">
      <c r="A3037" s="20" t="s">
        <v>732</v>
      </c>
      <c r="E3037" s="22">
        <f>IF(D3037="?OLD","!!!","")</f>
        <v/>
      </c>
      <c r="F3037" s="23" t="str">
        <f>IF(OR(E3037="",E3037="!!!"),"",IF(NOT(ISNA(VLOOKUP(E3037,E$1:E3036,1,FALSE()))),"OLD",IF(AND(E3037&lt;&gt;"",E3037&lt;&gt;"!!!"),"NEW","")))</f>
        <v> </v>
      </c>
      <c r="G3037" s="24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5" t="str">
        <f>IF(J3037&lt;&gt;1,"",IF(I3037="SBJ","CB","?"))</f>
        <v> </v>
      </c>
      <c r="I3037" s="26" t="str">
        <f>IF(OR(E3037="",E3037="!!!",F3037="NEW"),"",INDEX(B3036:B$2,-1+SUMPRODUCT(MAX(ROW(E3036:E$2)*(E3037=E3036:E$2)))))</f>
        <v> </v>
      </c>
      <c r="J3037" s="26" t="str">
        <f>IF(OR(E3037="",E3037="!!!",F3037="NEW"),"",COUNTBLANK(OFFSET(A$1,,,SUMPRODUCT(MAX(ROW(E$2:E3037)*(E3037=E$2:E3037)))))-COUNTBLANK(OFFSET(A$1,,,SUMPRODUCT(MAX(ROW(E$1:E3036)*(E2=E$1:E3036))))))</f>
        <v> </v>
      </c>
      <c r="K3037" s="26" t="str">
        <f>IF(OR(E3037="",E3037="!!!",F3037="NEW"),"",INDEX(J$1:J3036,SUMPRODUCT(MAX(ROW(E$1:E3036)*(E3037=E$1:E3036)))))</f>
        <v> </v>
      </c>
      <c r="L3037" s="27"/>
    </row>
    <row r="3038" spans="1:12">
      <c r="A3038" s="20"/>
    </row>
    <row r="3039" spans="1:12">
      <c r="A3039" s="20" t="s">
        <v>1955</v>
      </c>
    </row>
    <row r="3040" spans="1:12">
      <c r="A3040" s="20" t="s">
        <v>703</v>
      </c>
      <c r="E3040" s="22">
        <f>IF(D3040="?OLD","!!!","")</f>
        <v/>
      </c>
      <c r="F3040" s="23" t="str">
        <f>IF(OR(E3040="",E3040="!!!"),"",IF(NOT(ISNA(VLOOKUP(E3040,E$1:E3039,1,FALSE()))),"OLD",IF(AND(E3040&lt;&gt;"",E3040&lt;&gt;"!!!"),"NEW","")))</f>
        <v> </v>
      </c>
      <c r="G3040" s="24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5" t="str">
        <f>IF(J3040&lt;&gt;1,"",IF(I3040="SBJ","CB","?"))</f>
        <v> </v>
      </c>
      <c r="I3040" s="26" t="str">
        <f>IF(OR(E3040="",E3040="!!!",F3040="NEW"),"",INDEX(B3039:B$2,-1+SUMPRODUCT(MAX(ROW(E3039:E$2)*(E3040=E3039:E$2)))))</f>
        <v> </v>
      </c>
      <c r="J3040" s="26" t="str">
        <f>IF(OR(E3040="",E3040="!!!",F3040="NEW"),"",COUNTBLANK(OFFSET(A$1,,,SUMPRODUCT(MAX(ROW(E$2:E3040)*(E3040=E$2:E3040)))))-COUNTBLANK(OFFSET(A$1,,,SUMPRODUCT(MAX(ROW(E$1:E3039)*(E2=E$1:E3039))))))</f>
        <v> </v>
      </c>
      <c r="K3040" s="26" t="str">
        <f>IF(OR(E3040="",E3040="!!!",F3040="NEW"),"",INDEX(J$1:J3039,SUMPRODUCT(MAX(ROW(E$1:E3039)*(E3040=E$1:E3039)))))</f>
        <v> </v>
      </c>
      <c r="L3040" s="27"/>
    </row>
    <row r="3041" spans="1:1">
      <c r="A304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2024-12-05T18:03:58Z</dcterms:created>
  <dcterms:modified xsi:type="dcterms:W3CDTF">2024-12-05T18:03:58Z</dcterms:modified>
</cp:coreProperties>
</file>