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<sst xmlns="http://schemas.openxmlformats.org/spreadsheetml/2006/main" count="4156" uniqueCount="1511">
  <si>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</si>
  <si>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</si>
  <si>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</si>
  <si>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</si>
  <si>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</si>
  <si>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</si>
  <si>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</si>
  <si>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</si>
  <si>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</si>
  <si>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</si>
  <si>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</si>
  <si>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</si>
  <si>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</si>
  <si>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собираться</t>
  </si>
  <si>
    <t>Я собираюсь немного поговорить о стратегии и её связи с технологией .</t>
  </si>
  <si>
    <t>file://conllu/ru/teddy-1558.conllu#s1_0</t>
  </si>
  <si>
    <t>склонный</t>
  </si>
  <si>
    <t>Мы склонны думать о бизнес стратегии как о некоем абстрактном объекте по существу экономической мысли , возможно , скорее вневременном .</t>
  </si>
  <si>
    <t>file://conllu/ru/teddy-1558.conllu#s2_0</t>
  </si>
  <si>
    <t>3</t>
  </si>
  <si>
    <t>Я собираюсь возразить , что фактически , бизнес стратегия всегда основывалась на допущениях о технологии , что эти допущения меняются и фактически , меняются довольно существенно , и что как следствие то , к чему это нас приводит , является другой концепцией того , что мы понимаем под бизнес стратегией .</t>
  </si>
  <si>
    <t>file://conllu/ru/teddy-1558.conllu#s3_0</t>
  </si>
  <si>
    <t>4</t>
  </si>
  <si>
    <t>позволить</t>
  </si>
  <si>
    <t>Позвольте мне начать , если позволите , с небольшого экскурса в историю .</t>
  </si>
  <si>
    <t>file://conllu/ru/teddy-1558.conllu#s4_0</t>
  </si>
  <si>
    <t>5</t>
  </si>
  <si>
    <t>7</t>
  </si>
  <si>
    <t>обязать</t>
  </si>
  <si>
    <t>Идея стратегии в бизнесе своими основами обязана двум гигантам разума : Брюсу Хендерсону , основателю BCG , и Майклу Портеру , профессору Гарвардской Бизнес Школы .</t>
  </si>
  <si>
    <t>file://conllu/ru/teddy-1558.conllu#s5_0</t>
  </si>
  <si>
    <t>6</t>
  </si>
  <si>
    <t>быть (быть идея)</t>
  </si>
  <si>
    <t>Центральной идеей Хендерсона было то , что можно было бы назвать наполеоновской идеей концентрации массы против слабости , для прорыва обороны противника .</t>
  </si>
  <si>
    <t>file://conllu/ru/teddy-1558.conllu#s6_0</t>
  </si>
  <si>
    <t>8</t>
  </si>
  <si>
    <t>существовать (существовать понять)</t>
  </si>
  <si>
    <t>Хендерсон понял , что в мире бизнеса существует много явлений , которые описываются тем , что экономисты назвали бы возрастающей доходностью — масштаб , опыт .</t>
  </si>
  <si>
    <t>file://conllu/ru/teddy-1558.conllu#s7_0</t>
  </si>
  <si>
    <t>11</t>
  </si>
  <si>
    <t>становиться</t>
  </si>
  <si>
    <t>Чем больше вы делаете что-то , тем непропорционально лучше вы становитесь .</t>
  </si>
  <si>
    <t>file://conllu/ru/teddy-1558.conllu#s8_0</t>
  </si>
  <si>
    <t>9</t>
  </si>
  <si>
    <t>обнаружить</t>
  </si>
  <si>
    <t>И поэтому он обнаружил логику для инвестирования в такие типы огромной массы для достижения конкурентного преимущества .</t>
  </si>
  <si>
    <t>file://conllu/ru/teddy-1558.conllu#s9_0</t>
  </si>
  <si>
    <t>10</t>
  </si>
  <si>
    <t>быть (быть введение)</t>
  </si>
  <si>
    <t>И это было первое введение по существу военной концепции стратегии в мир бизнеса .</t>
  </si>
  <si>
    <t>file://conllu/ru/teddy-1558.conllu#s10_0</t>
  </si>
  <si>
    <t>уточнить (уточнить согласиться)</t>
  </si>
  <si>
    <t>Портер согласился с этой предпосылкой , но он уточнил её .</t>
  </si>
  <si>
    <t>file://conllu/ru/teddy-1558.conllu#s11_0</t>
  </si>
  <si>
    <t>12</t>
  </si>
  <si>
    <t>указать</t>
  </si>
  <si>
    <t>Он правильно указал на то , что это всё очень хорошо , но компании должны сделать несколько шагов к ним .</t>
  </si>
  <si>
    <t>file://conllu/ru/teddy-1558.conllu#s12_0</t>
  </si>
  <si>
    <t>13</t>
  </si>
  <si>
    <t>обладать</t>
  </si>
  <si>
    <t>Они обладают различными компонентами и каждый из этих компонентов может управляться разными типами стратегии .</t>
  </si>
  <si>
    <t>file://conllu/ru/teddy-1558.conllu#s13_0</t>
  </si>
  <si>
    <t>14</t>
  </si>
  <si>
    <t>мочь</t>
  </si>
  <si>
    <t>Компания или бизнес может иметь преимущество в некоторых активностях , но не иметь преимущества в других .</t>
  </si>
  <si>
    <t>file://conllu/ru/teddy-1558.conllu#s14_0</t>
  </si>
  <si>
    <t>15</t>
  </si>
  <si>
    <t>25</t>
  </si>
  <si>
    <t>добавлять</t>
  </si>
  <si>
    <t>Он сформулировал концепцию цепи создания стоимости , по существу последовательность шагов , при помощи которых , скажем , исходный материал становится компонентом , его добавляют в готовый продукт , после чего , например , происходит дистрибуция / Он утверждал , что добавленная стоимость , приобретённая каждым из этих компонентов , и что добавленная стоимость целого была в некотором смысле суммой или средним от добавленной стоимости их частей .</t>
  </si>
  <si>
    <t>file://conllu/ru/teddy-1558.conllu#s15_0</t>
  </si>
  <si>
    <t>16</t>
  </si>
  <si>
    <t>основываться</t>
  </si>
  <si>
    <t>И эта идея цепи создания стоимости основывалась на понимании того , что бизнес связывают воедино транзакционные издержки , которые по существу вам необходимо координировать .</t>
  </si>
  <si>
    <t>file://conllu/ru/teddy-1558.conllu#s16_0</t>
  </si>
  <si>
    <t>17</t>
  </si>
  <si>
    <t>эффективный</t>
  </si>
  <si>
    <t>Организации более эффективны в координации чем рынки , очень часто , и следовательно природа , роль и границы сотрудничества определяются транзакционными издержками .</t>
  </si>
  <si>
    <t>file://conllu/ru/teddy-1558.conllu#s17_0</t>
  </si>
  <si>
    <t>18</t>
  </si>
  <si>
    <t>31</t>
  </si>
  <si>
    <t>возвести</t>
  </si>
  <si>
    <t>Именно на этих двух идеях , идее Хендерсона о возрастающей стоимости от масштаба и опыта и идее Портера о цепи создания стоимости , охватывающей гетерогенные элементы , и было впоследствии возведено всё величественное здание бизнес стратегии .</t>
  </si>
  <si>
    <t>file://conllu/ru/teddy-1558.conllu#s18_0</t>
  </si>
  <si>
    <t>19</t>
  </si>
  <si>
    <t>Теперь я собираюсь заявить о том , что эти исходные условия стали фактически недействительными .</t>
  </si>
  <si>
    <t>file://conllu/ru/teddy-1558.conllu#s19_0</t>
  </si>
  <si>
    <t>20</t>
  </si>
  <si>
    <t>смотреть (смотреть давать)</t>
  </si>
  <si>
    <t>Для начала , давайте посмотрим на транзакционные издержки .</t>
  </si>
  <si>
    <t>file://conllu/ru/teddy-1558.conllu#s20_0</t>
  </si>
  <si>
    <t>21</t>
  </si>
  <si>
    <t>содержать</t>
  </si>
  <si>
    <t>Транзакционные издержки содержат два компонента .</t>
  </si>
  <si>
    <t>file://conllu/ru/teddy-1558.conllu#s21_0</t>
  </si>
  <si>
    <t>22</t>
  </si>
  <si>
    <t>иметь</t>
  </si>
  <si>
    <t>Один имеет дело с обработкой информации , а другой — со связью .</t>
  </si>
  <si>
    <t>file://conllu/ru/teddy-1558.conllu#s22_0</t>
  </si>
  <si>
    <t>23</t>
  </si>
  <si>
    <t>особенность</t>
  </si>
  <si>
    <t>Это экономические особенности обработки и связи , развившиеся в течение длительного периода времени .</t>
  </si>
  <si>
    <t>file://conllu/ru/teddy-1558.conllu#s23_0</t>
  </si>
  <si>
    <t>24</t>
  </si>
  <si>
    <t>трансформироваться</t>
  </si>
  <si>
    <t>Как нам всем известно из многих источников , они радикально трансформировались с тех пор , когда Портер и Хендерсон впервые сформулировали свои теории .</t>
  </si>
  <si>
    <t>file://conllu/ru/teddy-1558.conllu#s24_0</t>
  </si>
  <si>
    <t>падать</t>
  </si>
  <si>
    <t>В частности , с середины 90-х , расходы на связь падают даже быстрее , чем транзакционные расходы , вследствие чего коммуникации , Интернет , испытали взрывной рост .</t>
  </si>
  <si>
    <t>file://conllu/ru/teddy-1558.conllu#s25_0</t>
  </si>
  <si>
    <t>26</t>
  </si>
  <si>
    <t>Эти падающие транзакционные расходы имеют глубокие последствия , поскольку если транзакционные издержки являются клеем , который связывает цепи создания стоимости , и они падают , то экономить на этом становится сложнее .</t>
  </si>
  <si>
    <t>file://conllu/ru/teddy-1558.conllu#s26_0</t>
  </si>
  <si>
    <t>27</t>
  </si>
  <si>
    <t>уменьшать</t>
  </si>
  <si>
    <t>Уменьшается потребность в вертикально интегрированной организации и цепи создания стоимости могут по крайней мере разрушиться .</t>
  </si>
  <si>
    <t>file://conllu/ru/teddy-1558.conllu#s27_0</t>
  </si>
  <si>
    <t>28</t>
  </si>
  <si>
    <t>должен</t>
  </si>
  <si>
    <t>Они не обязательно должны , но могут .</t>
  </si>
  <si>
    <t>file://conllu/ru/teddy-1558.conllu#s28_0</t>
  </si>
  <si>
    <t>29</t>
  </si>
  <si>
    <t>получать</t>
  </si>
  <si>
    <t>В частности , соперник в одном бизнесе получает возможность использовать свою позицию в одном шаге цепи увеличения стоимости для проникновения , или атаки , или для исключения соперника в другом шаге .</t>
  </si>
  <si>
    <t>file://conllu/ru/teddy-1558.conllu#s29_0</t>
  </si>
  <si>
    <t>30</t>
  </si>
  <si>
    <t>предположение</t>
  </si>
  <si>
    <t>Это не просто абстрактное предположение .</t>
  </si>
  <si>
    <t>file://conllu/ru/teddy-1558.conllu#s30_0</t>
  </si>
  <si>
    <t>существовать</t>
  </si>
  <si>
    <t>Существует много очень конкретных историй того , что это действительно произошло .</t>
  </si>
  <si>
    <t>file://conllu/ru/teddy-1558.conllu#s31_0</t>
  </si>
  <si>
    <t>32</t>
  </si>
  <si>
    <t>являться</t>
  </si>
  <si>
    <t>Классическим примером является энциклопедический бизнес .</t>
  </si>
  <si>
    <t>file://conllu/ru/teddy-1558.conllu#s32_0</t>
  </si>
  <si>
    <t>33</t>
  </si>
  <si>
    <t>быть (быть бизнес)</t>
  </si>
  <si>
    <t>Энциклопедический бизнес в дни книг в кожаном переплёте был в целом дистрибьюторским бизнесом .</t>
  </si>
  <si>
    <t>file://conllu/ru/teddy-1558.conllu#s33_0</t>
  </si>
  <si>
    <t>34</t>
  </si>
  <si>
    <t>быть (быть часть)</t>
  </si>
  <si>
    <t>Большей частью стоимости были комиссионные продавца .</t>
  </si>
  <si>
    <t>file://conllu/ru/teddy-1558.conllu#s34_0</t>
  </si>
  <si>
    <t>35</t>
  </si>
  <si>
    <t>появиться</t>
  </si>
  <si>
    <t>Появились CD ROM и затем Интернет , новые технологии сделали распространение знаний на много порядков дешевле и энциклопедическая отрасль пришла в упадок .</t>
  </si>
  <si>
    <t>file://conllu/ru/teddy-1558.conllu#s35_0</t>
  </si>
  <si>
    <t>36</t>
  </si>
  <si>
    <t>история</t>
  </si>
  <si>
    <t>Сейчас , разумеется , это очень известная история .</t>
  </si>
  <si>
    <t>file://conllu/ru/teddy-1558.conllu#s36_0</t>
  </si>
  <si>
    <t>37</t>
  </si>
  <si>
    <t>быть (быть история)</t>
  </si>
  <si>
    <t>Фактически , в более общем смысле это была история первого поколения экономики Интернет .</t>
  </si>
  <si>
    <t>file://conllu/ru/teddy-1558.conllu#s37_0</t>
  </si>
  <si>
    <t>38</t>
  </si>
  <si>
    <t>Это история о падающих транзакционных издержках , рвущих цепи создания стоимости и позволяющие исключать посредников , или что мы называем деконструкцией .</t>
  </si>
  <si>
    <t>file://conllu/ru/teddy-1558.conllu#s38_0</t>
  </si>
  <si>
    <t>39</t>
  </si>
  <si>
    <t>задать</t>
  </si>
  <si>
    <t>Мне однажды задали вопрос : что заменит энциклопедии когда у Британники не будет больше бизнес модели ?</t>
  </si>
  <si>
    <t>file://conllu/ru/teddy-1558.conllu#s39_0</t>
  </si>
  <si>
    <t>40</t>
  </si>
  <si>
    <t>быть (быть незадолго)</t>
  </si>
  <si>
    <t>И это было незадолго до того , как ответ сделался очевидным .</t>
  </si>
  <si>
    <t>file://conllu/ru/teddy-1558.conllu#s40_0</t>
  </si>
  <si>
    <t>41</t>
  </si>
  <si>
    <t>знать</t>
  </si>
  <si>
    <t>Сейчас мы , разумеется , знаем что это : это Википедия .</t>
  </si>
  <si>
    <t>file://conllu/ru/teddy-1558.conllu#s41_0</t>
  </si>
  <si>
    <t>42</t>
  </si>
  <si>
    <t>Особенным в Википедии является не её дистрибуция . является то , как она сделана .</t>
  </si>
  <si>
    <t>file://conllu/ru/teddy-1558.conllu#s42_0</t>
  </si>
  <si>
    <t>43</t>
  </si>
  <si>
    <t>Википедия , разумеется , является энциклопедией , созданной её пользователями .</t>
  </si>
  <si>
    <t>file://conllu/ru/teddy-1558.conllu#s43_0</t>
  </si>
  <si>
    <t>44</t>
  </si>
  <si>
    <t>определять</t>
  </si>
  <si>
    <t>И это , фактически , определяет то , что можно назвать вторым десятилетием экономики Интернет , десятилетием , в течение которого Интернет как существительное превратился в Интернет глагол .</t>
  </si>
  <si>
    <t>file://conllu/ru/teddy-1558.conllu#s44_0</t>
  </si>
  <si>
    <t>45</t>
  </si>
  <si>
    <t>стать</t>
  </si>
  <si>
    <t>Он стал набором разговоров , эрой , в которой созданное пользователями содержимое и социальные сети стали преобладающим явлением .</t>
  </si>
  <si>
    <t>file://conllu/ru/teddy-1558.conllu#s45_0</t>
  </si>
  <si>
    <t>46</t>
  </si>
  <si>
    <t>значить</t>
  </si>
  <si>
    <t>Что это на самом деле значило в терминах модели Потера Хендерсона , так это схлопывание некоторых типов экономик масштаба .</t>
  </si>
  <si>
    <t>file://conllu/ru/teddy-1558.conllu#s46_0</t>
  </si>
  <si>
    <t>47</t>
  </si>
  <si>
    <t>оказаться</t>
  </si>
  <si>
    <t>Оказалось , что десятки тысяч автономных личностей , пишущих энциклопедию , могут выполнить настолько же хорошую работу , и очевидно значительно дешевле , как и профессионалы в иерархической организации .</t>
  </si>
  <si>
    <t>file://conllu/ru/teddy-1558.conllu#s47_0</t>
  </si>
  <si>
    <t>48</t>
  </si>
  <si>
    <t>случиться</t>
  </si>
  <si>
    <t>Случилось то , что один слой этой цепи создания стоимости стал распадаться , по мере того , как индивидуумы заняли то место , в котором организации больше не требовались .</t>
  </si>
  <si>
    <t>file://conllu/ru/teddy-1558.conllu#s48_0</t>
  </si>
  <si>
    <t>49</t>
  </si>
  <si>
    <t>Однако?</t>
  </si>
  <si>
    <t>быть</t>
  </si>
  <si>
    <t>Однако есть ещё один вопрос , который очевидно вытекает их этого графика , который звучит — хорошо , мы прошли через два десятилетия — отличает ли что-то третье ?</t>
  </si>
  <si>
    <t>file://conllu/ru/teddy-1558.conllu#s49_0</t>
  </si>
  <si>
    <t>50</t>
  </si>
  <si>
    <t>утверждать</t>
  </si>
  <si>
    <t>И я утверждаю , что да , на самом деле кое-что действительно отличает третий , и это накладывается в точности на тип логики Портера Хендерсона , о которой мы говорили .</t>
  </si>
  <si>
    <t>file://conllu/ru/teddy-1558.conllu#s50_0</t>
  </si>
  <si>
    <t>51</t>
  </si>
  <si>
    <t>касаться</t>
  </si>
  <si>
    <t>И это касается данных .</t>
  </si>
  <si>
    <t>file://conllu/ru/teddy-1558.conllu#s51_0</t>
  </si>
  <si>
    <t>52</t>
  </si>
  <si>
    <t>2000-й</t>
  </si>
  <si>
    <t>Если мы вернёмся назад , примерно в 2000-е , множество людей говорили об информационной революции и действительно , мировой объём данных рос , рос очень быстро , но в тот момент он был почти полностью аналоговым .</t>
  </si>
  <si>
    <t>file://conllu/ru/teddy-1558.conllu#s52_0</t>
  </si>
  <si>
    <t>53</t>
  </si>
  <si>
    <t>видеть</t>
  </si>
  <si>
    <t>Если мы переместимся в 2007-й , то увидим , что не только мировой объём данных пережил взрывной рост , но также произошла массивная замена аналоговых данных на цифровые .</t>
  </si>
  <si>
    <t>file://conllu/ru/teddy-1558.conllu#s53_0</t>
  </si>
  <si>
    <t>54</t>
  </si>
  <si>
    <t>смотреть (смотреть видеть)</t>
  </si>
  <si>
    <t>И даже ещё важнее чем это , если вы внимательно посмотрите на этот график , вы увидите , что примерно половина этих цифровых данных является информацией , которая содержит IP адрес .</t>
  </si>
  <si>
    <t>file://conllu/ru/teddy-1558.conllu#s54_0</t>
  </si>
  <si>
    <t>55</t>
  </si>
  <si>
    <t>хранить</t>
  </si>
  <si>
    <t>Она хранится на сервере или на ПК .</t>
  </si>
  <si>
    <t>file://conllu/ru/teddy-1558.conllu#s55_0</t>
  </si>
  <si>
    <t>56</t>
  </si>
  <si>
    <t>означать</t>
  </si>
  <si>
    <t>Но обладание IP адресом означает , что данные могут быть связаны с любыми другими данными , имеющими IP адрес .</t>
  </si>
  <si>
    <t>file://conllu/ru/teddy-1558.conllu#s56_0</t>
  </si>
  <si>
    <t>57</t>
  </si>
  <si>
    <t>Это означает?</t>
  </si>
  <si>
    <t>Это означает , что становится возможным совместить половину знаний мира для выявления шаблонов , совершенно новой вещи .</t>
  </si>
  <si>
    <t>file://conllu/ru/teddy-1558.conllu#s57_0</t>
  </si>
  <si>
    <t>58</t>
  </si>
  <si>
    <t>выглядеть</t>
  </si>
  <si>
    <t>Если мы прогоним числа до сегодняшнего момента , то это будет выглядеть примерно так .</t>
  </si>
  <si>
    <t>file://conllu/ru/teddy-1558.conllu#s58_0</t>
  </si>
  <si>
    <t>59</t>
  </si>
  <si>
    <t>уверенный</t>
  </si>
  <si>
    <t>На самом деле мы не уверены .</t>
  </si>
  <si>
    <t>file://conllu/ru/teddy-1558.conllu#s59_0</t>
  </si>
  <si>
    <t>60</t>
  </si>
  <si>
    <t>Если мы прогоним числа до 2020 года , то , разумеется , у нас будет точное число , благодаря IDC .</t>
  </si>
  <si>
    <t>file://conllu/ru/teddy-1558.conllu#s60_0</t>
  </si>
  <si>
    <t>61</t>
  </si>
  <si>
    <t>любопытный</t>
  </si>
  <si>
    <t>Любопытно , что будущее настолько более предсказуемо , чем настоящее .</t>
  </si>
  <si>
    <t>file://conllu/ru/teddy-1558.conllu#s61_0</t>
  </si>
  <si>
    <t>62</t>
  </si>
  <si>
    <t>И это означает стократное увеличение объёма информации , связанной с IP адресом .</t>
  </si>
  <si>
    <t>file://conllu/ru/teddy-1558.conllu#s62_0</t>
  </si>
  <si>
    <t>63</t>
  </si>
  <si>
    <t>привести</t>
  </si>
  <si>
    <t>Если число связей , которые мы можем установить , Пропорционально количеству пар точек данных , то стократное увеличение объёма данных Приведёт к десятитысечекратному увеличению числа шаблонов , которые мы можем обнаружить в этих данных , это только в последние 10 или 11 лет .</t>
  </si>
  <si>
    <t>file://conllu/ru/teddy-1558.conllu#s63_0</t>
  </si>
  <si>
    <t>64</t>
  </si>
  <si>
    <t>Это , я утверждаю , является сильной трансформацией , основательной трансформацией экономики мира , в котором мы живём .</t>
  </si>
  <si>
    <t>file://conllu/ru/teddy-1558.conllu#s64_0</t>
  </si>
  <si>
    <t>65</t>
  </si>
  <si>
    <t>расшифровывать</t>
  </si>
  <si>
    <t>Первый человеческий геном , геном Джеймса Ватсона , был расшифрован в момент кульминации Проекта Человеческого Генома в 2000 году , и потребовалось около 200 миллионов долларов и примерно 10 лет работы для расшифровки генома всего лишь одного человека .</t>
  </si>
  <si>
    <t>file://conllu/ru/teddy-1558.conllu#s65_0</t>
  </si>
  <si>
    <t>66</t>
  </si>
  <si>
    <t>снизиться</t>
  </si>
  <si>
    <t>С тех пор стоимость расшифровки генома снизилась .</t>
  </si>
  <si>
    <t>file://conllu/ru/teddy-1558.conllu#s66_0</t>
  </si>
  <si>
    <t>67</t>
  </si>
  <si>
    <t>В течение последних лет она снизилась чрезвычайно сильно , до значения , когда эта стоимость составляет менее 1000 долларов , и достоверно предсказано , что к 2015 году она будет ниже 100 долларов — снижение стоимости расшифровки генома на пять или шесть порядков в течение всего лишь 15-летнего срока , экстраординарное явление .</t>
  </si>
  <si>
    <t>file://conllu/ru/teddy-1558.conllu#s67_0</t>
  </si>
  <si>
    <t>68</t>
  </si>
  <si>
    <t>быть (быть проект)</t>
  </si>
  <si>
    <t>В дни , когда расшифровка генома стоила миллионы , или даже десятки тысяч , это был преимущественно исследовательский проект .</t>
  </si>
  <si>
    <t>file://conllu/ru/teddy-1558.conllu#s68_0</t>
  </si>
  <si>
    <t>69</t>
  </si>
  <si>
    <t>выбирать</t>
  </si>
  <si>
    <t>Учёные выбирали некоторых типичных людей и могли видеть шаблоны и пытались сделать обобщения о человеческой природе и болезнях из абстрактных шаблонов , которые они находили у этих избранных индивидуумов .</t>
  </si>
  <si>
    <t>file://conllu/ru/teddy-1558.conllu#s69_0</t>
  </si>
  <si>
    <t>70</t>
  </si>
  <si>
    <t>Но когда геном может быть расшифрован за 100 баксов , 99 долларов , пока вы ждёте , что происходит ?</t>
  </si>
  <si>
    <t>file://conllu/ru/teddy-1558.conllu#s70_0</t>
  </si>
  <si>
    <t>71</t>
  </si>
  <si>
    <t>Это становится розничной торговлей .</t>
  </si>
  <si>
    <t>file://conllu/ru/teddy-1558.conllu#s71_0</t>
  </si>
  <si>
    <t>72</t>
  </si>
  <si>
    <t>Это становится выше всего клинического .</t>
  </si>
  <si>
    <t>file://conllu/ru/teddy-1558.conllu#s72_0</t>
  </si>
  <si>
    <t>73</t>
  </si>
  <si>
    <t>приходить</t>
  </si>
  <si>
    <t>Вы приходите к доктору с простудой и если он или она не сделали этого ранее , то первое , что они сделают , они расшифруют ваш геном , и с этого момента они уже начинают не с некоего абстрактного знания геномной медицины и попыток понять , насколько оно применимо к вам , а с вашего конкретного генома .</t>
  </si>
  <si>
    <t>file://conllu/ru/teddy-1558.conllu#s73_0</t>
  </si>
  <si>
    <t>74</t>
  </si>
  <si>
    <t>подумать</t>
  </si>
  <si>
    <t>Подумайте о силе этого .</t>
  </si>
  <si>
    <t>file://conllu/ru/teddy-1558.conllu#s74_0</t>
  </si>
  <si>
    <t>75</t>
  </si>
  <si>
    <t>Подумайте , к чему может привести совмещение данных генома с клиническими данными , с данными о взаимодействиях лекарств , с внешними данными , которые устройства типа нашего телефона и медицинские датчики будут собирать во всё большем объёме .</t>
  </si>
  <si>
    <t>file://conllu/ru/teddy-1558.conllu#s75_0</t>
  </si>
  <si>
    <t>76</t>
  </si>
  <si>
    <t>Подумайте , что случится , когда мы соберём все эти данные и сможем совместить их вместе для поиска шаблонов , которые мы не видели ранее .</t>
  </si>
  <si>
    <t>file://conllu/ru/teddy-1558.conllu#s76_0</t>
  </si>
  <si>
    <t>77</t>
  </si>
  <si>
    <t>займёть</t>
  </si>
  <si>
    <t>Это , я полагаю , займёт некоторое время , но это приведёт к революции в медицине .</t>
  </si>
  <si>
    <t>file://conllu/ru/teddy-1558.conllu#s77_0</t>
  </si>
  <si>
    <t>78</t>
  </si>
  <si>
    <t>говорить</t>
  </si>
  <si>
    <t>Поразительно , масса людей говорит об этом .</t>
  </si>
  <si>
    <t>file://conllu/ru/teddy-1558.conllu#s78_0</t>
  </si>
  <si>
    <t>79</t>
  </si>
  <si>
    <t>Но есть одна вещь , которая не привлекает большого внимания .</t>
  </si>
  <si>
    <t>file://conllu/ru/teddy-1558.conllu#s79_0</t>
  </si>
  <si>
    <t>80</t>
  </si>
  <si>
    <t>как</t>
  </si>
  <si>
    <t>Как эта модель колоссального совместного использования среди всех типов баз данных совместима с бизнес моделями институтов , организаций и корпораций , которые заняты сегодня в этом бизнесе ?</t>
  </si>
  <si>
    <t>file://conllu/ru/teddy-1558.conllu#s80_0</t>
  </si>
  <si>
    <t>81</t>
  </si>
  <si>
    <t>основать</t>
  </si>
  <si>
    <t>Если ваш бизнес основан на собственных данных , если ваше конкурентное преимущество определяется вашими данными , как , чёрт побери , эта компания или это общество собирается достигнуть цели которая скрыта в технологии ?</t>
  </si>
  <si>
    <t>file://conllu/ru/teddy-1558.conllu#s81_0</t>
  </si>
  <si>
    <t>82</t>
  </si>
  <si>
    <t>никак</t>
  </si>
  <si>
    <t>Никак .</t>
  </si>
  <si>
    <t>file://conllu/ru/teddy-1558.conllu#s82_0</t>
  </si>
  <si>
    <t>83</t>
  </si>
  <si>
    <t>происходить</t>
  </si>
  <si>
    <t>По существу , что здесь происходит , и геномика является одним из примеров , это то , что технология управляет естественным масштабированием активности за пределы институционных границ , в пределах которых мы думаем об этом , и в частности , за пределы институционных границ в терминах , которыми сформулирована бизнес стратегия , как дисциплина .</t>
  </si>
  <si>
    <t>file://conllu/ru/teddy-1558.conllu#s83_0</t>
  </si>
  <si>
    <t>84</t>
  </si>
  <si>
    <t>то</t>
  </si>
  <si>
    <t>Основная история здесь в том , что то , что было вертикально интегрированной , олигополистической конкуренцией среди по существу аналогичных типов соперников эволюционирует , тем или иным способом , от вертикальной структуры к горизонтальной .</t>
  </si>
  <si>
    <t>file://conllu/ru/teddy-1558.conllu#s84_0</t>
  </si>
  <si>
    <t>85</t>
  </si>
  <si>
    <t>Почему это происходит ?</t>
  </si>
  <si>
    <t>file://conllu/ru/teddy-1558.conllu#s85_0</t>
  </si>
  <si>
    <t>86</t>
  </si>
  <si>
    <t>Потому?</t>
  </si>
  <si>
    <t>Потому что транзакционные издержки катастрофически падают и потому что масштаб поляризуется .</t>
  </si>
  <si>
    <t>file://conllu/ru/teddy-1558.conllu#s86_0</t>
  </si>
  <si>
    <t>87</t>
  </si>
  <si>
    <t>ослаблять</t>
  </si>
  <si>
    <t>Катастрофическое падение транзакционных издержек ослабляет клей , который связывает цепи создания стоимости и позволяет им разделяться .</t>
  </si>
  <si>
    <t>file://conllu/ru/teddy-1558.conllu#s87_0</t>
  </si>
  <si>
    <t>88</t>
  </si>
  <si>
    <t>позволять</t>
  </si>
  <si>
    <t>Поляризация экономик масштаба в сторону очень маленьких — маленькие прекрасны — позволяет масштабируемым сообществам заменить традиционное корпоративное производство .</t>
  </si>
  <si>
    <t>file://conllu/ru/teddy-1558.conllu#s88_0</t>
  </si>
  <si>
    <t>89</t>
  </si>
  <si>
    <t>направлять</t>
  </si>
  <si>
    <t>Масштабирование в противоположном направлении , в направлении таких вещей , как большие данные , направляет структуру бизнеса в сторону создания новых типов организаций , которые могут достичь этого масштаба .</t>
  </si>
  <si>
    <t>file://conllu/ru/teddy-1558.conllu#s89_0</t>
  </si>
  <si>
    <t>90</t>
  </si>
  <si>
    <t>Но в любом случае , типичная вертикальная структура становится более горизонтальной .</t>
  </si>
  <si>
    <t>file://conllu/ru/teddy-1558.conllu#s90_0</t>
  </si>
  <si>
    <t>91</t>
  </si>
  <si>
    <t>данные</t>
  </si>
  <si>
    <t>Логика не только за большими данными .</t>
  </si>
  <si>
    <t>file://conllu/ru/teddy-1558.conllu#s91_0</t>
  </si>
  <si>
    <t>92</t>
  </si>
  <si>
    <t>Если бы мы посмотрели , например , на телекоммуникационную отрасль , вы могли бы рассказать то же самое про оптоволокно .</t>
  </si>
  <si>
    <t>file://conllu/ru/teddy-1558.conllu#s92_0</t>
  </si>
  <si>
    <t>93</t>
  </si>
  <si>
    <t>Если мы посмотрим на фармацевтику , или университетские исследования , вы можете рассказать то же самое о так называемой «большой науке» .</t>
  </si>
  <si>
    <t>file://conllu/ru/teddy-1558.conllu#s93_0</t>
  </si>
  <si>
    <t>94</t>
  </si>
  <si>
    <t>феномен</t>
  </si>
  <si>
    <t>И в противоположном направлении , если мы посмотрим , например , на энергетический сектор , где все разговоры идут о том , как домовладения станут эффективными производителями зелёной энергии и эффективными потребителями энергии , это , фактически , обратный феномен .</t>
  </si>
  <si>
    <t>file://conllu/ru/teddy-1558.conllu#s94_0</t>
  </si>
  <si>
    <t>95</t>
  </si>
  <si>
    <t>фрагментация</t>
  </si>
  <si>
    <t>Это фрагментация масштаба , потому что очень маленькое может заменить традиционный масштаб корпораций .</t>
  </si>
  <si>
    <t>file://conllu/ru/teddy-1558.conllu#s95_0</t>
  </si>
  <si>
    <t>96</t>
  </si>
  <si>
    <t>идь</t>
  </si>
  <si>
    <t>В любом случае , мы идём к гармонизации структуры индустрий и это подразумевает фундаментальные изменения в том , как мы думаем о стратегии .</t>
  </si>
  <si>
    <t>file://conllu/ru/teddy-1558.conllu#s96_0</t>
  </si>
  <si>
    <t>97</t>
  </si>
  <si>
    <t>Это означает , например , что мы должны думать о стратегии как о курировании этих типов горизонтальной структуры , где такие вещи , как определение бизнеса и даже определение отрасли на самом деле являются результатом стратегии , а не тем , что предполагает стратегия . что мы должны выяснить , как обеспечить одновременно совместную работу и конкуренцию .</t>
  </si>
  <si>
    <t>file://conllu/ru/teddy-1558.conllu#s97_0</t>
  </si>
  <si>
    <t>98</t>
  </si>
  <si>
    <t>Подумайте о геноме .</t>
  </si>
  <si>
    <t>file://conllu/ru/teddy-1558.conllu#s98_0</t>
  </si>
  <si>
    <t>99</t>
  </si>
  <si>
    <t>Мы должны совместить очень большое и очень малое одновременно .</t>
  </si>
  <si>
    <t>file://conllu/ru/teddy-1558.conllu#s99_0</t>
  </si>
  <si>
    <t>100</t>
  </si>
  <si>
    <t>нужный</t>
  </si>
  <si>
    <t>И нам нужны отраслевые структуры , которые совместят очень , очень разные мотивации , от любительских мотиваций людей в сообществах до , может быть , общественных мотиваций инфраструктуры , созданной правительствами , или работающими совместно организациями , созданными компаниями , которые в иных случаях конкурируют , потому что это единственный способ , которым они могут достичь масштаба .</t>
  </si>
  <si>
    <t>file://conllu/ru/teddy-1558.conllu#s100_0</t>
  </si>
  <si>
    <t>101</t>
  </si>
  <si>
    <t>делать</t>
  </si>
  <si>
    <t>Эти типы преобразований делают традиционные определения бизнес стратегии устаревшими .</t>
  </si>
  <si>
    <t>file://conllu/ru/teddy-1558.conllu#s101_0</t>
  </si>
  <si>
    <t>102</t>
  </si>
  <si>
    <t>вести</t>
  </si>
  <si>
    <t>Они ведут нас в совершенно новый мир .</t>
  </si>
  <si>
    <t>file://conllu/ru/teddy-1558.conllu#s102_0</t>
  </si>
  <si>
    <t>103</t>
  </si>
  <si>
    <t>думать (думать требовать)</t>
  </si>
  <si>
    <t>Они требуют от нас , неважно , находимся ли мы в общественном секторе или частном секторе , думать фундаментально иначе о структуре бизнеса и , наконец , это делает стратегию вновь интересной .</t>
  </si>
  <si>
    <t>file://conllu/ru/teddy-1558.conllu#s103_0</t>
  </si>
  <si>
    <t>104</t>
  </si>
  <si>
    <t>спасибо</t>
  </si>
  <si>
    <t>Спасибо .</t>
  </si>
  <si>
    <t>file://conllu/ru/teddy-1558.conllu#s104_0</t>
  </si>
  <si>
    <t>105</t>
  </si>
  <si>
    <t>аплодисменты</t>
  </si>
  <si>
    <t>( Аплодисменты )</t>
  </si>
  <si>
    <t>file://conllu/ru/teddy-1558.conllu#s105_0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</si>
  <si>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</si>
  <si>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</si>
  <si>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</si>
  <si>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</si>
  <si>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</si>
  <si>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</si>
  <si>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</si>
  <si>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</si>
  <si>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</si>
  <si>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</si>
  <si>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</si>
  <si>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Я собираюсь немного поговорить о стратегии и её связи с технологией.</t>
  </si>
  <si>
    <t>Я</t>
  </si>
  <si>
    <t>SBJ</t>
  </si>
  <si>
    <t>pron</t>
  </si>
  <si>
    <t>?OLD</t>
  </si>
  <si>
    <t>собираюсь</t>
  </si>
  <si>
    <t>немного</t>
  </si>
  <si>
    <t>поговорить</t>
  </si>
  <si>
    <t>о</t>
  </si>
  <si>
    <t>стратегии</t>
  </si>
  <si>
    <t>и</t>
  </si>
  <si>
    <t>её</t>
  </si>
  <si>
    <t>other_4</t>
  </si>
  <si>
    <t>связи</t>
  </si>
  <si>
    <t>other_3</t>
  </si>
  <si>
    <t>def-np.poss</t>
  </si>
  <si>
    <t>с</t>
  </si>
  <si>
    <t>технологией</t>
  </si>
  <si>
    <t>.</t>
  </si>
  <si>
    <t># text = Мы склонны думать о бизнес-стратегии как о некоем абстрактном объекте по существу экономической мысли, возможно, скорее вневременном.</t>
  </si>
  <si>
    <t>Мы</t>
  </si>
  <si>
    <t>склонны</t>
  </si>
  <si>
    <t>думать</t>
  </si>
  <si>
    <t>бизнес</t>
  </si>
  <si>
    <t>OBJ_2</t>
  </si>
  <si>
    <t>некоем</t>
  </si>
  <si>
    <t>абстрактном</t>
  </si>
  <si>
    <t>объекте</t>
  </si>
  <si>
    <t>indef-np</t>
  </si>
  <si>
    <t>по</t>
  </si>
  <si>
    <t>существу</t>
  </si>
  <si>
    <t>экономической</t>
  </si>
  <si>
    <t>мысли</t>
  </si>
  <si>
    <t>,</t>
  </si>
  <si>
    <t>возможно</t>
  </si>
  <si>
    <t>скорее</t>
  </si>
  <si>
    <t>вневременном</t>
  </si>
  <si>
    <t># text = Я собираюсь возразить, что фактически, бизнес-стратегия всегда основывалась на допущениях о технологии, что эти допущения меняются и фактически, меняются довольно существенно, и что как следствие то, к чему это нас приводит, является другой концепцией того, что мы понимаем под бизнес-стратегией.</t>
  </si>
  <si>
    <t>возразить</t>
  </si>
  <si>
    <t>что</t>
  </si>
  <si>
    <t>фактически</t>
  </si>
  <si>
    <t>стратегия</t>
  </si>
  <si>
    <t>SBJ_3</t>
  </si>
  <si>
    <t>всегда</t>
  </si>
  <si>
    <t>основывалась</t>
  </si>
  <si>
    <t>на</t>
  </si>
  <si>
    <t>допущениях</t>
  </si>
  <si>
    <t>технологии</t>
  </si>
  <si>
    <t>эти</t>
  </si>
  <si>
    <t>допущения</t>
  </si>
  <si>
    <t>SBJ_4</t>
  </si>
  <si>
    <t>def-np.dem</t>
  </si>
  <si>
    <t>меняются</t>
  </si>
  <si>
    <t>довольно</t>
  </si>
  <si>
    <t>существенно</t>
  </si>
  <si>
    <t>следствие</t>
  </si>
  <si>
    <t>SBJ_5</t>
  </si>
  <si>
    <t>pron.pds</t>
  </si>
  <si>
    <t>к</t>
  </si>
  <si>
    <t>чему</t>
  </si>
  <si>
    <t>other_7</t>
  </si>
  <si>
    <t>pron.pint</t>
  </si>
  <si>
    <t>это</t>
  </si>
  <si>
    <t>OBJ_7</t>
  </si>
  <si>
    <t>нас</t>
  </si>
  <si>
    <t>приводит</t>
  </si>
  <si>
    <t>является</t>
  </si>
  <si>
    <t>другой</t>
  </si>
  <si>
    <t>концепцией</t>
  </si>
  <si>
    <t>other_5</t>
  </si>
  <si>
    <t>того</t>
  </si>
  <si>
    <t>other_6</t>
  </si>
  <si>
    <t>мы</t>
  </si>
  <si>
    <t>SBJ_8</t>
  </si>
  <si>
    <t>понимаем</t>
  </si>
  <si>
    <t>под</t>
  </si>
  <si>
    <t>стратегией</t>
  </si>
  <si>
    <t># text = Позвольте мне начать, если позволите, с небольшого экскурса в историю.</t>
  </si>
  <si>
    <t>Позвольте</t>
  </si>
  <si>
    <t>мне</t>
  </si>
  <si>
    <t>OBJ</t>
  </si>
  <si>
    <t>начать</t>
  </si>
  <si>
    <t>если</t>
  </si>
  <si>
    <t>позволите</t>
  </si>
  <si>
    <t>небольшого</t>
  </si>
  <si>
    <t>экскурса</t>
  </si>
  <si>
    <t>в</t>
  </si>
  <si>
    <t>историю</t>
  </si>
  <si>
    <t># text = Идея стратегии в бизнесе своими основами обязана двум гигантам разума: Брюсу Хендерсону, основателю BCG, и Майклу Портеру, профессору Гарвардской Бизнес Школы.</t>
  </si>
  <si>
    <t>Идея</t>
  </si>
  <si>
    <t>бизнесе</t>
  </si>
  <si>
    <t>своими</t>
  </si>
  <si>
    <t>основами</t>
  </si>
  <si>
    <t>обязана</t>
  </si>
  <si>
    <t>двум</t>
  </si>
  <si>
    <t>гигантам</t>
  </si>
  <si>
    <t>indef-np.quant</t>
  </si>
  <si>
    <t>разума</t>
  </si>
  <si>
    <t>:</t>
  </si>
  <si>
    <t>Брюсу</t>
  </si>
  <si>
    <t>ne</t>
  </si>
  <si>
    <t>Хендерсону</t>
  </si>
  <si>
    <t>основателю</t>
  </si>
  <si>
    <t>BCG</t>
  </si>
  <si>
    <t>Майклу</t>
  </si>
  <si>
    <t>Портеру</t>
  </si>
  <si>
    <t>профессору</t>
  </si>
  <si>
    <t>Гарвардской</t>
  </si>
  <si>
    <t>Бизнес</t>
  </si>
  <si>
    <t>Школы</t>
  </si>
  <si>
    <t># text = Центральной идеей Хендерсона было то, что можно было бы назвать наполеоновской идеей концентрации массы против слабости, для прорыва обороны противника.</t>
  </si>
  <si>
    <t>Центральной</t>
  </si>
  <si>
    <t>идеей</t>
  </si>
  <si>
    <t>other</t>
  </si>
  <si>
    <t>Хендерсона</t>
  </si>
  <si>
    <t>было</t>
  </si>
  <si>
    <t>OBJ_4</t>
  </si>
  <si>
    <t>можно</t>
  </si>
  <si>
    <t>бы</t>
  </si>
  <si>
    <t>назвать</t>
  </si>
  <si>
    <t>наполеоновской</t>
  </si>
  <si>
    <t>концентрации</t>
  </si>
  <si>
    <t>массы</t>
  </si>
  <si>
    <t>против</t>
  </si>
  <si>
    <t>слабости</t>
  </si>
  <si>
    <t>для</t>
  </si>
  <si>
    <t>прорыва</t>
  </si>
  <si>
    <t>обороны</t>
  </si>
  <si>
    <t>противника</t>
  </si>
  <si>
    <t># text = Хендерсон понял, что в мире бизнеса существует много явлений, которые описываются тем, что экономисты назвали бы возрастающей доходностью — масштаб, опыт.</t>
  </si>
  <si>
    <t>Хендерсон</t>
  </si>
  <si>
    <t>понял</t>
  </si>
  <si>
    <t>мире</t>
  </si>
  <si>
    <t>бизнеса</t>
  </si>
  <si>
    <t>существует</t>
  </si>
  <si>
    <t>много</t>
  </si>
  <si>
    <t>SBJ_2</t>
  </si>
  <si>
    <t>явлений</t>
  </si>
  <si>
    <t>которые</t>
  </si>
  <si>
    <t>описываются</t>
  </si>
  <si>
    <t>тем</t>
  </si>
  <si>
    <t>экономисты</t>
  </si>
  <si>
    <t>SBJ_7</t>
  </si>
  <si>
    <t>назвали</t>
  </si>
  <si>
    <t>возрастающей</t>
  </si>
  <si>
    <t>доходностью</t>
  </si>
  <si>
    <t>—</t>
  </si>
  <si>
    <t>масштаб</t>
  </si>
  <si>
    <t>опыт</t>
  </si>
  <si>
    <t># text = Чем больше вы делаете что-то, тем непропорционально лучше вы становитесь.</t>
  </si>
  <si>
    <t>Чем</t>
  </si>
  <si>
    <t>больше</t>
  </si>
  <si>
    <t>вы</t>
  </si>
  <si>
    <t>делаете</t>
  </si>
  <si>
    <t>что-то</t>
  </si>
  <si>
    <t>непропорционально</t>
  </si>
  <si>
    <t>лучше</t>
  </si>
  <si>
    <t>становитесь</t>
  </si>
  <si>
    <t># text = И поэтому он обнаружил логику для инвестирования в такие типы огромной массы для достижения конкурентного преимущества.</t>
  </si>
  <si>
    <t>И</t>
  </si>
  <si>
    <t>поэтому</t>
  </si>
  <si>
    <t>он</t>
  </si>
  <si>
    <t>обнаружил</t>
  </si>
  <si>
    <t>логику</t>
  </si>
  <si>
    <t>инвестирования</t>
  </si>
  <si>
    <t>такие</t>
  </si>
  <si>
    <t>типы</t>
  </si>
  <si>
    <t>огромной</t>
  </si>
  <si>
    <t>достижения</t>
  </si>
  <si>
    <t>конкурентного</t>
  </si>
  <si>
    <t>преимущества</t>
  </si>
  <si>
    <t># text = И это было первое введение по существу военной концепции стратегии в мир бизнеса.</t>
  </si>
  <si>
    <t>первое</t>
  </si>
  <si>
    <t>введение</t>
  </si>
  <si>
    <t>военной</t>
  </si>
  <si>
    <t>концепции</t>
  </si>
  <si>
    <t>мир</t>
  </si>
  <si>
    <t># text = Портер согласился с этой предпосылкой, но он уточнил её.</t>
  </si>
  <si>
    <t>Портер</t>
  </si>
  <si>
    <t>согласился</t>
  </si>
  <si>
    <t>этой</t>
  </si>
  <si>
    <t>предпосылкой</t>
  </si>
  <si>
    <t>но</t>
  </si>
  <si>
    <t>уточнил</t>
  </si>
  <si>
    <t># text = Он правильно указал на то, что это всё очень хорошо, но компании должны сделать несколько шагов к ним.</t>
  </si>
  <si>
    <t>Он</t>
  </si>
  <si>
    <t>правильно</t>
  </si>
  <si>
    <t>указал</t>
  </si>
  <si>
    <t>всё</t>
  </si>
  <si>
    <t>очень</t>
  </si>
  <si>
    <t>хорошо</t>
  </si>
  <si>
    <t>компании</t>
  </si>
  <si>
    <t>должны</t>
  </si>
  <si>
    <t>сделать</t>
  </si>
  <si>
    <t>несколько</t>
  </si>
  <si>
    <t>шагов</t>
  </si>
  <si>
    <t>ним</t>
  </si>
  <si>
    <t># text = Они обладают различными компонентами и каждый из этих компонентов может управляться разными типами стратегии.</t>
  </si>
  <si>
    <t>Они</t>
  </si>
  <si>
    <t>обладают</t>
  </si>
  <si>
    <t>различными</t>
  </si>
  <si>
    <t>компонентами</t>
  </si>
  <si>
    <t>каждый</t>
  </si>
  <si>
    <t>из</t>
  </si>
  <si>
    <t>этих</t>
  </si>
  <si>
    <t>компонентов</t>
  </si>
  <si>
    <t>может</t>
  </si>
  <si>
    <t>управляться</t>
  </si>
  <si>
    <t>разными</t>
  </si>
  <si>
    <t>типами</t>
  </si>
  <si>
    <t># text = Компания или бизнес может иметь преимущество в некоторых активностях, но не иметь преимущества в других.</t>
  </si>
  <si>
    <t>Компания</t>
  </si>
  <si>
    <t>или</t>
  </si>
  <si>
    <t>преимущество</t>
  </si>
  <si>
    <t>некоторых</t>
  </si>
  <si>
    <t>активностях</t>
  </si>
  <si>
    <t>не</t>
  </si>
  <si>
    <t>других</t>
  </si>
  <si>
    <t># text = Он сформулировал концепцию цепи создания стоимости, по существу последовательность шагов, при помощи которых, скажем, исходный материал становится компонентом, его добавляют в готовый продукт, после чего, например, происходит дистрибуция/ Он утверждал, что добавленная стоимость, приобретённая каждым из этих компонентов, и что добавленная стоимость целого была в некотором смысле суммой или средним от добавленной стоимости их частей.</t>
  </si>
  <si>
    <t>сформулировал</t>
  </si>
  <si>
    <t>концепцию</t>
  </si>
  <si>
    <t>цепи</t>
  </si>
  <si>
    <t>создания</t>
  </si>
  <si>
    <t>стоимости</t>
  </si>
  <si>
    <t>последовательность</t>
  </si>
  <si>
    <t>при</t>
  </si>
  <si>
    <t>помощи</t>
  </si>
  <si>
    <t>которых</t>
  </si>
  <si>
    <t>скажем</t>
  </si>
  <si>
    <t>исходный</t>
  </si>
  <si>
    <t>материал</t>
  </si>
  <si>
    <t>становится</t>
  </si>
  <si>
    <t>компонентом</t>
  </si>
  <si>
    <t>его</t>
  </si>
  <si>
    <t>добавляют</t>
  </si>
  <si>
    <t>готовый</t>
  </si>
  <si>
    <t>продукт</t>
  </si>
  <si>
    <t>после</t>
  </si>
  <si>
    <t>чего</t>
  </si>
  <si>
    <t>other_2</t>
  </si>
  <si>
    <t>например</t>
  </si>
  <si>
    <t>происходит</t>
  </si>
  <si>
    <t>дистрибуция</t>
  </si>
  <si>
    <t>/</t>
  </si>
  <si>
    <t>утверждал</t>
  </si>
  <si>
    <t>добавленная</t>
  </si>
  <si>
    <t>стоимость</t>
  </si>
  <si>
    <t>приобретённая</t>
  </si>
  <si>
    <t>каждым</t>
  </si>
  <si>
    <t>other_8</t>
  </si>
  <si>
    <t>целого</t>
  </si>
  <si>
    <t>была</t>
  </si>
  <si>
    <t>некотором</t>
  </si>
  <si>
    <t>смысле</t>
  </si>
  <si>
    <t>суммой</t>
  </si>
  <si>
    <t>средним</t>
  </si>
  <si>
    <t>от</t>
  </si>
  <si>
    <t>добавленной</t>
  </si>
  <si>
    <t>их</t>
  </si>
  <si>
    <t>other_10</t>
  </si>
  <si>
    <t>pron.ppos</t>
  </si>
  <si>
    <t>частей</t>
  </si>
  <si>
    <t># text = И эта идея цепи создания стоимости основывалась на понимании того, что бизнес связывают воедино транзакционные издержки, которые по существу вам необходимо координировать.</t>
  </si>
  <si>
    <t>эта</t>
  </si>
  <si>
    <t>идея</t>
  </si>
  <si>
    <t>понимании</t>
  </si>
  <si>
    <t>связывают</t>
  </si>
  <si>
    <t>воедино</t>
  </si>
  <si>
    <t>транзакционные</t>
  </si>
  <si>
    <t>издержки</t>
  </si>
  <si>
    <t>вам</t>
  </si>
  <si>
    <t>OBJ_6</t>
  </si>
  <si>
    <t>необходимо</t>
  </si>
  <si>
    <t>координировать</t>
  </si>
  <si>
    <t># text = Организации более эффективны в координации чем рынки, очень часто, и следовательно природа, роль и границы сотрудничества определяются транзакционными издержками.</t>
  </si>
  <si>
    <t>Организации</t>
  </si>
  <si>
    <t>более</t>
  </si>
  <si>
    <t>эффективны</t>
  </si>
  <si>
    <t>координации</t>
  </si>
  <si>
    <t>чем</t>
  </si>
  <si>
    <t>рынки</t>
  </si>
  <si>
    <t>часто</t>
  </si>
  <si>
    <t>следовательно</t>
  </si>
  <si>
    <t>природа</t>
  </si>
  <si>
    <t>роль</t>
  </si>
  <si>
    <t>границы</t>
  </si>
  <si>
    <t>сотрудничества</t>
  </si>
  <si>
    <t>определяются</t>
  </si>
  <si>
    <t>транзакционными</t>
  </si>
  <si>
    <t>издержками</t>
  </si>
  <si>
    <t># text = Именно на этих двух идеях, идее Хендерсона о возрастающей стоимости от масштаба и опыта и идее Портера о цепи создания стоимости, охватывающей гетерогенные элементы, и было впоследствии возведено всё величественное здание бизнес-стратегии.</t>
  </si>
  <si>
    <t>Именно</t>
  </si>
  <si>
    <t>двух</t>
  </si>
  <si>
    <t>идеях</t>
  </si>
  <si>
    <t>идее</t>
  </si>
  <si>
    <t>масштаба</t>
  </si>
  <si>
    <t>опыта</t>
  </si>
  <si>
    <t>Портера</t>
  </si>
  <si>
    <t>охватывающей</t>
  </si>
  <si>
    <t>гетерогенные</t>
  </si>
  <si>
    <t>элементы</t>
  </si>
  <si>
    <t>OBJ_11</t>
  </si>
  <si>
    <t>впоследствии</t>
  </si>
  <si>
    <t>возведено</t>
  </si>
  <si>
    <t>величественное</t>
  </si>
  <si>
    <t>здание</t>
  </si>
  <si>
    <t># text = Теперь я собираюсь заявить о том, что эти исходные условия стали фактически недействительными.</t>
  </si>
  <si>
    <t>Теперь</t>
  </si>
  <si>
    <t>я</t>
  </si>
  <si>
    <t>заявить</t>
  </si>
  <si>
    <t>том</t>
  </si>
  <si>
    <t>исходные</t>
  </si>
  <si>
    <t>условия</t>
  </si>
  <si>
    <t>стали</t>
  </si>
  <si>
    <t>недействительными</t>
  </si>
  <si>
    <t># text = Для начала, давайте посмотрим на транзакционные издержки.</t>
  </si>
  <si>
    <t>Для</t>
  </si>
  <si>
    <t>начала</t>
  </si>
  <si>
    <t>давайте</t>
  </si>
  <si>
    <t>посмотрим</t>
  </si>
  <si>
    <t># text = Транзакционные издержки содержат два компонента.</t>
  </si>
  <si>
    <t>Транзакционные</t>
  </si>
  <si>
    <t>содержат</t>
  </si>
  <si>
    <t>два</t>
  </si>
  <si>
    <t>компонента</t>
  </si>
  <si>
    <t># text = Один имеет дело с обработкой информации, а другой — со связью.</t>
  </si>
  <si>
    <t>Один</t>
  </si>
  <si>
    <t>имеет</t>
  </si>
  <si>
    <t>дело</t>
  </si>
  <si>
    <t>обработкой</t>
  </si>
  <si>
    <t>информации</t>
  </si>
  <si>
    <t>а</t>
  </si>
  <si>
    <t>со</t>
  </si>
  <si>
    <t>связью</t>
  </si>
  <si>
    <t># text = Это экономические особенности обработки и связи, развившиеся в течение длительного периода времени.</t>
  </si>
  <si>
    <t>Это</t>
  </si>
  <si>
    <t>экономические</t>
  </si>
  <si>
    <t>особенности</t>
  </si>
  <si>
    <t>обработки</t>
  </si>
  <si>
    <t>развившиеся</t>
  </si>
  <si>
    <t>течение</t>
  </si>
  <si>
    <t>длительного</t>
  </si>
  <si>
    <t>периода</t>
  </si>
  <si>
    <t>времени</t>
  </si>
  <si>
    <t># text = Как нам всем известно из многих источников, они радикально трансформировались с тех пор, когда Портер и Хендерсон впервые сформулировали свои теории.</t>
  </si>
  <si>
    <t>Как</t>
  </si>
  <si>
    <t>нам</t>
  </si>
  <si>
    <t>всем</t>
  </si>
  <si>
    <t>известно</t>
  </si>
  <si>
    <t>многих</t>
  </si>
  <si>
    <t>источников</t>
  </si>
  <si>
    <t>они</t>
  </si>
  <si>
    <t>радикально</t>
  </si>
  <si>
    <t>трансформировались</t>
  </si>
  <si>
    <t>тех</t>
  </si>
  <si>
    <t>пор</t>
  </si>
  <si>
    <t>когда</t>
  </si>
  <si>
    <t>впервые</t>
  </si>
  <si>
    <t>сформулировали</t>
  </si>
  <si>
    <t>свои</t>
  </si>
  <si>
    <t>теории</t>
  </si>
  <si>
    <t>OBJ_3</t>
  </si>
  <si>
    <t># text = В частности, с середины 90-х, расходы на связь падают даже быстрее, чем транзакционные расходы, вследствие чего коммуникации, Интернет, испытали взрывной рост.</t>
  </si>
  <si>
    <t>В</t>
  </si>
  <si>
    <t>частности</t>
  </si>
  <si>
    <t>середины</t>
  </si>
  <si>
    <t>90-х</t>
  </si>
  <si>
    <t>расходы</t>
  </si>
  <si>
    <t>связь</t>
  </si>
  <si>
    <t>падают</t>
  </si>
  <si>
    <t>даже</t>
  </si>
  <si>
    <t>быстрее</t>
  </si>
  <si>
    <t>вследствие</t>
  </si>
  <si>
    <t>коммуникации</t>
  </si>
  <si>
    <t>Интернет</t>
  </si>
  <si>
    <t>испытали</t>
  </si>
  <si>
    <t>взрывной</t>
  </si>
  <si>
    <t>рост</t>
  </si>
  <si>
    <t># text = Эти падающие транзакционные расходы имеют глубокие последствия, поскольку если транзакционные издержки являются клеем, который связывает цепи создания стоимости, и они падают, то экономить на этом становится сложнее.</t>
  </si>
  <si>
    <t>Эти</t>
  </si>
  <si>
    <t>падающие</t>
  </si>
  <si>
    <t>имеют</t>
  </si>
  <si>
    <t>глубокие</t>
  </si>
  <si>
    <t>последствия</t>
  </si>
  <si>
    <t>поскольку</t>
  </si>
  <si>
    <t>являются</t>
  </si>
  <si>
    <t>клеем</t>
  </si>
  <si>
    <t>который</t>
  </si>
  <si>
    <t>связывает</t>
  </si>
  <si>
    <t>OBJ_5</t>
  </si>
  <si>
    <t>экономить</t>
  </si>
  <si>
    <t>этом</t>
  </si>
  <si>
    <t>сложнее</t>
  </si>
  <si>
    <t># text = Уменьшается потребность в вертикально интегрированной организации и цепи создания стоимости могут по крайней мере разрушиться.</t>
  </si>
  <si>
    <t>Уменьшается</t>
  </si>
  <si>
    <t>потребность</t>
  </si>
  <si>
    <t>вертикально</t>
  </si>
  <si>
    <t>интегрированной</t>
  </si>
  <si>
    <t>организации</t>
  </si>
  <si>
    <t>могут</t>
  </si>
  <si>
    <t>крайней</t>
  </si>
  <si>
    <t>мере</t>
  </si>
  <si>
    <t>разрушиться</t>
  </si>
  <si>
    <t># text = Они не обязательно должны, но могут.</t>
  </si>
  <si>
    <t>обязательно</t>
  </si>
  <si>
    <t># text = В частности, соперник в одном бизнесе получает возможность использовать свою позицию в одном шаге цепи увеличения стоимости для проникновения, или атаки, или для исключения соперника в другом шаге.</t>
  </si>
  <si>
    <t>соперник</t>
  </si>
  <si>
    <t>одном</t>
  </si>
  <si>
    <t>получает</t>
  </si>
  <si>
    <t>возможность</t>
  </si>
  <si>
    <t>использовать</t>
  </si>
  <si>
    <t>свою</t>
  </si>
  <si>
    <t>позицию</t>
  </si>
  <si>
    <t>шаге</t>
  </si>
  <si>
    <t>увеличения</t>
  </si>
  <si>
    <t>проникновения</t>
  </si>
  <si>
    <t>атаки</t>
  </si>
  <si>
    <t>исключения</t>
  </si>
  <si>
    <t>соперника</t>
  </si>
  <si>
    <t>другом</t>
  </si>
  <si>
    <t># text = Это не просто абстрактное предположение.</t>
  </si>
  <si>
    <t>просто</t>
  </si>
  <si>
    <t>абстрактное</t>
  </si>
  <si>
    <t># text = Существует много очень конкретных историй того, что это действительно произошло.</t>
  </si>
  <si>
    <t>Существует</t>
  </si>
  <si>
    <t>конкретных</t>
  </si>
  <si>
    <t>историй</t>
  </si>
  <si>
    <t>действительно</t>
  </si>
  <si>
    <t>произошло</t>
  </si>
  <si>
    <t># text = Классическим примером является энциклопедический бизнес.</t>
  </si>
  <si>
    <t>Классическим</t>
  </si>
  <si>
    <t>примером</t>
  </si>
  <si>
    <t>энциклопедический</t>
  </si>
  <si>
    <t># text = Энциклопедический бизнес в дни книг в кожаном переплёте был в целом дистрибьюторским бизнесом.</t>
  </si>
  <si>
    <t>Энциклопедический</t>
  </si>
  <si>
    <t>дни</t>
  </si>
  <si>
    <t>книг</t>
  </si>
  <si>
    <t>кожаном</t>
  </si>
  <si>
    <t>переплёте</t>
  </si>
  <si>
    <t>был</t>
  </si>
  <si>
    <t>целом</t>
  </si>
  <si>
    <t>дистрибьюторским</t>
  </si>
  <si>
    <t>бизнесом</t>
  </si>
  <si>
    <t># text = Большей частью стоимости были комиссионные продавца.</t>
  </si>
  <si>
    <t>Большей</t>
  </si>
  <si>
    <t>частью</t>
  </si>
  <si>
    <t>были</t>
  </si>
  <si>
    <t>комиссионные</t>
  </si>
  <si>
    <t>продавца</t>
  </si>
  <si>
    <t># text = Появились CD-ROM и затем Интернет, новые технологии сделали распространение знаний на много порядков дешевле и энциклопедическая отрасль пришла в упадок.</t>
  </si>
  <si>
    <t>Появились</t>
  </si>
  <si>
    <t>CD</t>
  </si>
  <si>
    <t>ROM</t>
  </si>
  <si>
    <t>затем</t>
  </si>
  <si>
    <t>новые</t>
  </si>
  <si>
    <t>сделали</t>
  </si>
  <si>
    <t>распространение</t>
  </si>
  <si>
    <t>знаний</t>
  </si>
  <si>
    <t>порядков</t>
  </si>
  <si>
    <t>дешевле</t>
  </si>
  <si>
    <t>энциклопедическая</t>
  </si>
  <si>
    <t>отрасль</t>
  </si>
  <si>
    <t>пришла</t>
  </si>
  <si>
    <t>упадок</t>
  </si>
  <si>
    <t># text = Сейчас, разумеется, это очень известная история.</t>
  </si>
  <si>
    <t>Сейчас</t>
  </si>
  <si>
    <t>разумеется</t>
  </si>
  <si>
    <t>известная</t>
  </si>
  <si>
    <t># text = Фактически, в более общем смысле это была история первого поколения экономики Интернет.</t>
  </si>
  <si>
    <t>Фактически</t>
  </si>
  <si>
    <t>общем</t>
  </si>
  <si>
    <t>первого</t>
  </si>
  <si>
    <t>поколения</t>
  </si>
  <si>
    <t>экономики</t>
  </si>
  <si>
    <t># text = Это история о падающих транзакционных издержках, рвущих цепи создания стоимости и позволяющие исключать посредников, или что мы называем деконструкцией.</t>
  </si>
  <si>
    <t>падающих</t>
  </si>
  <si>
    <t>транзакционных</t>
  </si>
  <si>
    <t>издержках</t>
  </si>
  <si>
    <t>рвущих</t>
  </si>
  <si>
    <t>позволяющие</t>
  </si>
  <si>
    <t>исключать</t>
  </si>
  <si>
    <t>посредников</t>
  </si>
  <si>
    <t>называем</t>
  </si>
  <si>
    <t>деконструкцией</t>
  </si>
  <si>
    <t># text = Мне однажды задали вопрос: что заменит энциклопедии когда у Британники не будет больше бизнес-модели?</t>
  </si>
  <si>
    <t>Мне</t>
  </si>
  <si>
    <t>однажды</t>
  </si>
  <si>
    <t>задали</t>
  </si>
  <si>
    <t>вопрос</t>
  </si>
  <si>
    <t>заменит</t>
  </si>
  <si>
    <t>энциклопедии</t>
  </si>
  <si>
    <t>у</t>
  </si>
  <si>
    <t>Британники</t>
  </si>
  <si>
    <t>будет</t>
  </si>
  <si>
    <t>модели</t>
  </si>
  <si>
    <t>?</t>
  </si>
  <si>
    <t># text = И это было незадолго до того, как ответ сделался очевидным.</t>
  </si>
  <si>
    <t>незадолго</t>
  </si>
  <si>
    <t>до</t>
  </si>
  <si>
    <t>ответ</t>
  </si>
  <si>
    <t>сделался</t>
  </si>
  <si>
    <t>очевидным</t>
  </si>
  <si>
    <t># text = Сейчас мы, разумеется, знаем что это: это Википедия.</t>
  </si>
  <si>
    <t>знаем</t>
  </si>
  <si>
    <t>Википедия</t>
  </si>
  <si>
    <t># text = Особенным в Википедии является не её дистрибуция. является то, как она сделана.</t>
  </si>
  <si>
    <t>Особенным</t>
  </si>
  <si>
    <t>Википедии</t>
  </si>
  <si>
    <t>она</t>
  </si>
  <si>
    <t>сделана</t>
  </si>
  <si>
    <t># text = Википедия, разумеется, является энциклопедией, созданной её пользователями.</t>
  </si>
  <si>
    <t>энциклопедией</t>
  </si>
  <si>
    <t>созданной</t>
  </si>
  <si>
    <t>пользователями</t>
  </si>
  <si>
    <t># text = И это, фактически, определяет то, что можно назвать вторым десятилетием экономики Интернет, десятилетием, в течение которого Интернет как существительное превратился в Интернет-глагол.</t>
  </si>
  <si>
    <t>определяет</t>
  </si>
  <si>
    <t>вторым</t>
  </si>
  <si>
    <t>десятилетием</t>
  </si>
  <si>
    <t>которого</t>
  </si>
  <si>
    <t>существительное</t>
  </si>
  <si>
    <t>SBJ_6</t>
  </si>
  <si>
    <t>превратился</t>
  </si>
  <si>
    <t>глагол</t>
  </si>
  <si>
    <t># text = Он стал набором разговоров, эрой, в которой созданное пользователями содержимое и социальные сети стали преобладающим явлением.</t>
  </si>
  <si>
    <t>стал</t>
  </si>
  <si>
    <t>набором</t>
  </si>
  <si>
    <t>разговоров</t>
  </si>
  <si>
    <t>эрой</t>
  </si>
  <si>
    <t>которой</t>
  </si>
  <si>
    <t>созданное</t>
  </si>
  <si>
    <t>содержимое</t>
  </si>
  <si>
    <t>социальные</t>
  </si>
  <si>
    <t>сети</t>
  </si>
  <si>
    <t>преобладающим</t>
  </si>
  <si>
    <t>явлением</t>
  </si>
  <si>
    <t># text = Что это на самом деле значило в терминах модели Потера-Хендерсона, так это схлопывание некоторых типов экономик масштаба.</t>
  </si>
  <si>
    <t>Что</t>
  </si>
  <si>
    <t>самом</t>
  </si>
  <si>
    <t>деле</t>
  </si>
  <si>
    <t>значило</t>
  </si>
  <si>
    <t>терминах</t>
  </si>
  <si>
    <t>Потера</t>
  </si>
  <si>
    <t>так</t>
  </si>
  <si>
    <t>схлопывание</t>
  </si>
  <si>
    <t>типов</t>
  </si>
  <si>
    <t>экономик</t>
  </si>
  <si>
    <t># text = Оказалось, что десятки тысяч автономных личностей, пишущих энциклопедию, могут выполнить настолько же хорошую работу, и очевидно значительно дешевле, как и профессионалы в иерархической организации.</t>
  </si>
  <si>
    <t>Оказалось</t>
  </si>
  <si>
    <t>десятки</t>
  </si>
  <si>
    <t>тысяч</t>
  </si>
  <si>
    <t>автономных</t>
  </si>
  <si>
    <t>личностей</t>
  </si>
  <si>
    <t>пишущих</t>
  </si>
  <si>
    <t>энциклопедию</t>
  </si>
  <si>
    <t>выполнить</t>
  </si>
  <si>
    <t>настолько</t>
  </si>
  <si>
    <t>же</t>
  </si>
  <si>
    <t>хорошую</t>
  </si>
  <si>
    <t>работу</t>
  </si>
  <si>
    <t>очевидно</t>
  </si>
  <si>
    <t>значительно</t>
  </si>
  <si>
    <t>профессионалы</t>
  </si>
  <si>
    <t>иерархической</t>
  </si>
  <si>
    <t># text = Случилось то, что один слой этой цепи создания стоимости стал распадаться, по мере того, как индивидуумы заняли то место, в котором организации больше не требовались.</t>
  </si>
  <si>
    <t>Случилось</t>
  </si>
  <si>
    <t>один</t>
  </si>
  <si>
    <t>слой</t>
  </si>
  <si>
    <t>распадаться</t>
  </si>
  <si>
    <t>индивидуумы</t>
  </si>
  <si>
    <t>заняли</t>
  </si>
  <si>
    <t>место</t>
  </si>
  <si>
    <t>котором</t>
  </si>
  <si>
    <t>требовались</t>
  </si>
  <si>
    <t># text = Однако есть ещё один вопрос, который очевидно вытекает их этого графика, который звучит — хорошо, мы прошли через два десятилетия — отличает ли что-то третье?</t>
  </si>
  <si>
    <t>Однако</t>
  </si>
  <si>
    <t>есть</t>
  </si>
  <si>
    <t>ещё</t>
  </si>
  <si>
    <t>вытекает</t>
  </si>
  <si>
    <t>этого</t>
  </si>
  <si>
    <t>графика</t>
  </si>
  <si>
    <t>звучит</t>
  </si>
  <si>
    <t>прошли</t>
  </si>
  <si>
    <t>через</t>
  </si>
  <si>
    <t>десятилетия</t>
  </si>
  <si>
    <t>отличает</t>
  </si>
  <si>
    <t>ли</t>
  </si>
  <si>
    <t>третье</t>
  </si>
  <si>
    <t># text = И я утверждаю, что да, на самом деле кое-что действительно отличает третий, и это накладывается в точности на тип логики Портера-Хендерсона, о которой мы говорили.</t>
  </si>
  <si>
    <t>утверждаю</t>
  </si>
  <si>
    <t>да</t>
  </si>
  <si>
    <t>кое-что</t>
  </si>
  <si>
    <t>третий</t>
  </si>
  <si>
    <t>накладывается</t>
  </si>
  <si>
    <t>точности</t>
  </si>
  <si>
    <t>тип</t>
  </si>
  <si>
    <t>логики</t>
  </si>
  <si>
    <t>говорили</t>
  </si>
  <si>
    <t># text = И это касается данных.</t>
  </si>
  <si>
    <t>касается</t>
  </si>
  <si>
    <t>данных</t>
  </si>
  <si>
    <t># text = Если мы вернёмся назад, примерно в 2000-е, множество людей говорили об информационной революции и действительно, мировой объём данных рос, рос очень быстро, но в тот момент он был почти полностью аналоговым.</t>
  </si>
  <si>
    <t>Если</t>
  </si>
  <si>
    <t>вернёмся</t>
  </si>
  <si>
    <t>назад</t>
  </si>
  <si>
    <t>примерно</t>
  </si>
  <si>
    <t>2000-е</t>
  </si>
  <si>
    <t>множество</t>
  </si>
  <si>
    <t>людей</t>
  </si>
  <si>
    <t>об</t>
  </si>
  <si>
    <t>информационной</t>
  </si>
  <si>
    <t>революции</t>
  </si>
  <si>
    <t>мировой</t>
  </si>
  <si>
    <t>объём</t>
  </si>
  <si>
    <t>рос</t>
  </si>
  <si>
    <t>быстро</t>
  </si>
  <si>
    <t>тот</t>
  </si>
  <si>
    <t>момент</t>
  </si>
  <si>
    <t>почти</t>
  </si>
  <si>
    <t>полностью</t>
  </si>
  <si>
    <t>аналоговым</t>
  </si>
  <si>
    <t># text = Если мы переместимся в 2007-й, то увидим, что не только мировой объём данных пережил взрывной рост, но также произошла массивная замена аналоговых данных на цифровые.</t>
  </si>
  <si>
    <t>переместимся</t>
  </si>
  <si>
    <t>2007-й</t>
  </si>
  <si>
    <t>увидим</t>
  </si>
  <si>
    <t>только</t>
  </si>
  <si>
    <t>пережил</t>
  </si>
  <si>
    <t>также</t>
  </si>
  <si>
    <t>произошла</t>
  </si>
  <si>
    <t>массивная</t>
  </si>
  <si>
    <t>замена</t>
  </si>
  <si>
    <t>аналоговых</t>
  </si>
  <si>
    <t>цифровые</t>
  </si>
  <si>
    <t># text = И даже ещё важнее чем это, если вы внимательно посмотрите на этот график, вы увидите, что примерно половина этих цифровых данных является информацией, которая содержит IP адрес.</t>
  </si>
  <si>
    <t>важнее</t>
  </si>
  <si>
    <t>внимательно</t>
  </si>
  <si>
    <t>посмотрите</t>
  </si>
  <si>
    <t>этот</t>
  </si>
  <si>
    <t>график</t>
  </si>
  <si>
    <t>увидите</t>
  </si>
  <si>
    <t>половина</t>
  </si>
  <si>
    <t>цифровых</t>
  </si>
  <si>
    <t>информацией</t>
  </si>
  <si>
    <t>которая</t>
  </si>
  <si>
    <t>содержит</t>
  </si>
  <si>
    <t>IP</t>
  </si>
  <si>
    <t>адрес</t>
  </si>
  <si>
    <t># text = Она хранится на сервере или на ПК.</t>
  </si>
  <si>
    <t>Она</t>
  </si>
  <si>
    <t>хранится</t>
  </si>
  <si>
    <t>сервере</t>
  </si>
  <si>
    <t>ПК</t>
  </si>
  <si>
    <t># text = Но обладание IP адресом означает, что данные могут быть связаны с любыми другими данными, имеющими IP адрес.</t>
  </si>
  <si>
    <t>Но</t>
  </si>
  <si>
    <t>обладание</t>
  </si>
  <si>
    <t>адресом</t>
  </si>
  <si>
    <t>означает</t>
  </si>
  <si>
    <t>связаны</t>
  </si>
  <si>
    <t>любыми</t>
  </si>
  <si>
    <t>другими</t>
  </si>
  <si>
    <t>данными</t>
  </si>
  <si>
    <t>имеющими</t>
  </si>
  <si>
    <t># text = Это означает, что становится возможным совместить половину знаний мира для выявления шаблонов, совершенно новой вещи.</t>
  </si>
  <si>
    <t>возможным</t>
  </si>
  <si>
    <t>совместить</t>
  </si>
  <si>
    <t>половину</t>
  </si>
  <si>
    <t>мира</t>
  </si>
  <si>
    <t>выявления</t>
  </si>
  <si>
    <t>шаблонов</t>
  </si>
  <si>
    <t>совершенно</t>
  </si>
  <si>
    <t>новой</t>
  </si>
  <si>
    <t>вещи</t>
  </si>
  <si>
    <t># text = Если мы прогоним числа до сегодняшнего момента, то это будет выглядеть примерно так.</t>
  </si>
  <si>
    <t>прогоним</t>
  </si>
  <si>
    <t>числа</t>
  </si>
  <si>
    <t>сегодняшнего</t>
  </si>
  <si>
    <t>момента</t>
  </si>
  <si>
    <t># text = На самом деле мы не уверены.</t>
  </si>
  <si>
    <t>На</t>
  </si>
  <si>
    <t>уверены</t>
  </si>
  <si>
    <t># text = Если мы прогоним числа до 2020 года, то, разумеется, у нас будет точное число, благодаря IDC.</t>
  </si>
  <si>
    <t>2020</t>
  </si>
  <si>
    <t>года</t>
  </si>
  <si>
    <t>точное</t>
  </si>
  <si>
    <t>число</t>
  </si>
  <si>
    <t>благодаря</t>
  </si>
  <si>
    <t>IDC</t>
  </si>
  <si>
    <t># text = Любопытно, что будущее настолько более предсказуемо, чем настоящее.</t>
  </si>
  <si>
    <t>Любопытно</t>
  </si>
  <si>
    <t>будущее</t>
  </si>
  <si>
    <t>предсказуемо</t>
  </si>
  <si>
    <t>настоящее</t>
  </si>
  <si>
    <t># text = И это означает стократное увеличение объёма информации, связанной с IP адресом.</t>
  </si>
  <si>
    <t>стократное</t>
  </si>
  <si>
    <t>увеличение</t>
  </si>
  <si>
    <t>объёма</t>
  </si>
  <si>
    <t>связанной</t>
  </si>
  <si>
    <t># text = Если число связей, которые мы можем установить, Пропорционально количеству пар точек данных, то стократное увеличение объёма данных Приведёт к десятитысечекратному увеличению числа шаблонов, которые мы можем обнаружить в этих данных, это только в последние 10 или 11 лет.</t>
  </si>
  <si>
    <t>связей</t>
  </si>
  <si>
    <t>можем</t>
  </si>
  <si>
    <t>установить</t>
  </si>
  <si>
    <t>Пропорционально</t>
  </si>
  <si>
    <t>количеству</t>
  </si>
  <si>
    <t>пар</t>
  </si>
  <si>
    <t>точек</t>
  </si>
  <si>
    <t>Приведёт</t>
  </si>
  <si>
    <t>десятитысечекратному</t>
  </si>
  <si>
    <t>увеличению</t>
  </si>
  <si>
    <t>последние</t>
  </si>
  <si>
    <t>лет</t>
  </si>
  <si>
    <t># text = Это, я утверждаю, является сильной трансформацией, основательной трансформацией экономики мира, в котором мы живём.</t>
  </si>
  <si>
    <t>сильной</t>
  </si>
  <si>
    <t>трансформацией</t>
  </si>
  <si>
    <t>основательной</t>
  </si>
  <si>
    <t>живём</t>
  </si>
  <si>
    <t># text = Первый человеческий геном, геном Джеймса Ватсона, был расшифрован в момент кульминации Проекта Человеческого Генома в 2000 году, и потребовалось около 200 миллионов долларов и примерно 10 лет работы для расшифровки генома всего лишь одного человека.</t>
  </si>
  <si>
    <t>Первый</t>
  </si>
  <si>
    <t>человеческий</t>
  </si>
  <si>
    <t>геном</t>
  </si>
  <si>
    <t>Джеймса</t>
  </si>
  <si>
    <t>Ватсона</t>
  </si>
  <si>
    <t>расшифрован</t>
  </si>
  <si>
    <t>кульминации</t>
  </si>
  <si>
    <t>Проекта</t>
  </si>
  <si>
    <t>Человеческого</t>
  </si>
  <si>
    <t>Генома</t>
  </si>
  <si>
    <t>2000</t>
  </si>
  <si>
    <t>году</t>
  </si>
  <si>
    <t>потребовалось</t>
  </si>
  <si>
    <t>около</t>
  </si>
  <si>
    <t>200</t>
  </si>
  <si>
    <t>миллионов</t>
  </si>
  <si>
    <t>долларов</t>
  </si>
  <si>
    <t>работы</t>
  </si>
  <si>
    <t>расшифровки</t>
  </si>
  <si>
    <t>генома</t>
  </si>
  <si>
    <t>всего</t>
  </si>
  <si>
    <t>лишь</t>
  </si>
  <si>
    <t>одного</t>
  </si>
  <si>
    <t>человека</t>
  </si>
  <si>
    <t># text = С тех пор стоимость расшифровки генома снизилась.</t>
  </si>
  <si>
    <t>С</t>
  </si>
  <si>
    <t>снизилась</t>
  </si>
  <si>
    <t># text = В течение последних лет она снизилась чрезвычайно сильно, до значения, когда эта стоимость составляет менее 1000 долларов, и достоверно предсказано, что к 2015 году она будет ниже 100 долларов — снижение стоимости расшифровки генома на пять или шесть порядков в течение всего лишь 15-летнего срока, экстраординарное явление.</t>
  </si>
  <si>
    <t>последних</t>
  </si>
  <si>
    <t>чрезвычайно</t>
  </si>
  <si>
    <t>сильно</t>
  </si>
  <si>
    <t>значения</t>
  </si>
  <si>
    <t>составляет</t>
  </si>
  <si>
    <t>менее</t>
  </si>
  <si>
    <t>1000</t>
  </si>
  <si>
    <t>достоверно</t>
  </si>
  <si>
    <t>предсказано</t>
  </si>
  <si>
    <t>2015</t>
  </si>
  <si>
    <t>ниже</t>
  </si>
  <si>
    <t>снижение</t>
  </si>
  <si>
    <t>пять</t>
  </si>
  <si>
    <t>шесть</t>
  </si>
  <si>
    <t>15-летнего</t>
  </si>
  <si>
    <t>срока</t>
  </si>
  <si>
    <t>экстраординарное</t>
  </si>
  <si>
    <t>явление</t>
  </si>
  <si>
    <t># text = В дни, когда расшифровка генома стоила миллионы, или даже десятки тысяч, это был преимущественно исследовательский проект.</t>
  </si>
  <si>
    <t>расшифровка</t>
  </si>
  <si>
    <t>стоила</t>
  </si>
  <si>
    <t>миллионы</t>
  </si>
  <si>
    <t>преимущественно</t>
  </si>
  <si>
    <t>исследовательский</t>
  </si>
  <si>
    <t>проект</t>
  </si>
  <si>
    <t># text = Учёные выбирали некоторых типичных людей и могли видеть шаблоны и пытались сделать обобщения о человеческой природе и болезнях из абстрактных шаблонов, которые они находили у этих избранных индивидуумов.</t>
  </si>
  <si>
    <t>Учёные</t>
  </si>
  <si>
    <t>выбирали</t>
  </si>
  <si>
    <t>типичных</t>
  </si>
  <si>
    <t>могли</t>
  </si>
  <si>
    <t>шаблоны</t>
  </si>
  <si>
    <t>пытались</t>
  </si>
  <si>
    <t>обобщения</t>
  </si>
  <si>
    <t>человеческой</t>
  </si>
  <si>
    <t>природе</t>
  </si>
  <si>
    <t>болезнях</t>
  </si>
  <si>
    <t>абстрактных</t>
  </si>
  <si>
    <t>находили</t>
  </si>
  <si>
    <t>избранных</t>
  </si>
  <si>
    <t>индивидуумов</t>
  </si>
  <si>
    <t># text = Но когда геном может быть расшифрован за 100 баксов, 99 долларов, пока вы ждёте, что происходит?</t>
  </si>
  <si>
    <t>за</t>
  </si>
  <si>
    <t>баксов</t>
  </si>
  <si>
    <t>пока</t>
  </si>
  <si>
    <t>ждёте</t>
  </si>
  <si>
    <t># text = Это становится розничной торговлей.</t>
  </si>
  <si>
    <t>розничной</t>
  </si>
  <si>
    <t>торговлей</t>
  </si>
  <si>
    <t># text = Это становится выше всего клинического.</t>
  </si>
  <si>
    <t>выше</t>
  </si>
  <si>
    <t>клинического</t>
  </si>
  <si>
    <t># text = Вы приходите к доктору с простудой и если он или она не сделали этого ранее, то первое, что они сделают, они расшифруют ваш геном, и с этого момента они уже начинают не с некоего абстрактного знания геномной медицины и попыток понять, насколько оно применимо к вам, а с вашего конкретного генома.</t>
  </si>
  <si>
    <t>Вы</t>
  </si>
  <si>
    <t>приходите</t>
  </si>
  <si>
    <t>доктору</t>
  </si>
  <si>
    <t>простудой</t>
  </si>
  <si>
    <t>ранее</t>
  </si>
  <si>
    <t>сделают</t>
  </si>
  <si>
    <t>расшифруют</t>
  </si>
  <si>
    <t>ваш</t>
  </si>
  <si>
    <t>уже</t>
  </si>
  <si>
    <t>начинают</t>
  </si>
  <si>
    <t>некоего</t>
  </si>
  <si>
    <t>абстрактного</t>
  </si>
  <si>
    <t>знания</t>
  </si>
  <si>
    <t>геномной</t>
  </si>
  <si>
    <t>медицины</t>
  </si>
  <si>
    <t>попыток</t>
  </si>
  <si>
    <t>понять</t>
  </si>
  <si>
    <t>насколько</t>
  </si>
  <si>
    <t>оно</t>
  </si>
  <si>
    <t>применимо</t>
  </si>
  <si>
    <t>вашего</t>
  </si>
  <si>
    <t>конкретного</t>
  </si>
  <si>
    <t># text = Подумайте о силе этого.</t>
  </si>
  <si>
    <t>Подумайте</t>
  </si>
  <si>
    <t>силе</t>
  </si>
  <si>
    <t># text = Подумайте, к чему может привести совмещение данных генома с клиническими данными, с данными о взаимодействиях лекарств, с внешними данными, которые устройства типа нашего телефона и медицинские датчики будут собирать во всё большем объёме.</t>
  </si>
  <si>
    <t>совмещение</t>
  </si>
  <si>
    <t>клиническими</t>
  </si>
  <si>
    <t>взаимодействиях</t>
  </si>
  <si>
    <t>лекарств</t>
  </si>
  <si>
    <t>внешними</t>
  </si>
  <si>
    <t>устройства</t>
  </si>
  <si>
    <t>типа</t>
  </si>
  <si>
    <t>нашего</t>
  </si>
  <si>
    <t>other_9</t>
  </si>
  <si>
    <t>телефона</t>
  </si>
  <si>
    <t>медицинские</t>
  </si>
  <si>
    <t>датчики</t>
  </si>
  <si>
    <t>будут</t>
  </si>
  <si>
    <t>собирать</t>
  </si>
  <si>
    <t>во</t>
  </si>
  <si>
    <t>большем</t>
  </si>
  <si>
    <t>объёме</t>
  </si>
  <si>
    <t># text = Подумайте, что случится, когда мы соберём все эти данные и сможем совместить их вместе для поиска шаблонов, которые мы не видели ранее.</t>
  </si>
  <si>
    <t>случится</t>
  </si>
  <si>
    <t>соберём</t>
  </si>
  <si>
    <t>все</t>
  </si>
  <si>
    <t>сможем</t>
  </si>
  <si>
    <t>вместе</t>
  </si>
  <si>
    <t>поиска</t>
  </si>
  <si>
    <t>OBJ_9</t>
  </si>
  <si>
    <t>SBJ_9</t>
  </si>
  <si>
    <t>видели</t>
  </si>
  <si>
    <t># text = Это, я полагаю, займёт некоторое время, но это приведёт к революции в медицине.</t>
  </si>
  <si>
    <t>полагаю</t>
  </si>
  <si>
    <t>займёт</t>
  </si>
  <si>
    <t>некоторое</t>
  </si>
  <si>
    <t>время</t>
  </si>
  <si>
    <t>приведёт</t>
  </si>
  <si>
    <t>медицине</t>
  </si>
  <si>
    <t># text = Поразительно, масса людей говорит об этом.</t>
  </si>
  <si>
    <t>Поразительно</t>
  </si>
  <si>
    <t>масса</t>
  </si>
  <si>
    <t>говорит</t>
  </si>
  <si>
    <t># text = Но есть одна вещь, которая не привлекает большого внимания.</t>
  </si>
  <si>
    <t>одна</t>
  </si>
  <si>
    <t>вещь</t>
  </si>
  <si>
    <t>привлекает</t>
  </si>
  <si>
    <t>большого</t>
  </si>
  <si>
    <t>внимания</t>
  </si>
  <si>
    <t># text = Как эта модель колоссального совместного использования среди всех типов баз данных совместима с бизнес-моделями институтов, организаций и корпораций, которые заняты сегодня в этом бизнесе?</t>
  </si>
  <si>
    <t>модель</t>
  </si>
  <si>
    <t>колоссального</t>
  </si>
  <si>
    <t>совместного</t>
  </si>
  <si>
    <t>использования</t>
  </si>
  <si>
    <t>среди</t>
  </si>
  <si>
    <t>всех</t>
  </si>
  <si>
    <t>баз</t>
  </si>
  <si>
    <t>совместима</t>
  </si>
  <si>
    <t>моделями</t>
  </si>
  <si>
    <t>институтов</t>
  </si>
  <si>
    <t>организаций</t>
  </si>
  <si>
    <t>корпораций</t>
  </si>
  <si>
    <t>SBJ_10</t>
  </si>
  <si>
    <t>заняты</t>
  </si>
  <si>
    <t>сегодня</t>
  </si>
  <si>
    <t># text = Если ваш бизнес основан на собственных данных, если ваше конкурентное преимущество определяется вашими данными, как, чёрт побери, эта компания или это общество собирается достигнуть цели которая скрыта в технологии?</t>
  </si>
  <si>
    <t>основан</t>
  </si>
  <si>
    <t>собственных</t>
  </si>
  <si>
    <t>ваше</t>
  </si>
  <si>
    <t>конкурентное</t>
  </si>
  <si>
    <t>определяется</t>
  </si>
  <si>
    <t>вашими</t>
  </si>
  <si>
    <t>чёрт</t>
  </si>
  <si>
    <t>побери</t>
  </si>
  <si>
    <t>компания</t>
  </si>
  <si>
    <t>общество</t>
  </si>
  <si>
    <t>собирается</t>
  </si>
  <si>
    <t>достигнуть</t>
  </si>
  <si>
    <t>цели</t>
  </si>
  <si>
    <t>скрыта</t>
  </si>
  <si>
    <t># text = Никак.</t>
  </si>
  <si>
    <t>Никак</t>
  </si>
  <si>
    <t># text = По существу, что здесь происходит, и геномика является одним из примеров, это то, что технология управляет естественным масштабированием активности за пределы институционных границ, в пределах которых мы думаем об этом, и в частности, за пределы институционных границ в терминах, которыми сформулирована бизнес-стратегия, как дисциплина.</t>
  </si>
  <si>
    <t>По</t>
  </si>
  <si>
    <t>здесь</t>
  </si>
  <si>
    <t>геномика</t>
  </si>
  <si>
    <t>одним</t>
  </si>
  <si>
    <t>примеров</t>
  </si>
  <si>
    <t>технология</t>
  </si>
  <si>
    <t>управляет</t>
  </si>
  <si>
    <t>естественным</t>
  </si>
  <si>
    <t>масштабированием</t>
  </si>
  <si>
    <t>активности</t>
  </si>
  <si>
    <t>пределы</t>
  </si>
  <si>
    <t>институционных</t>
  </si>
  <si>
    <t>границ</t>
  </si>
  <si>
    <t>пределах</t>
  </si>
  <si>
    <t>думаем</t>
  </si>
  <si>
    <t>которыми</t>
  </si>
  <si>
    <t>сформулирована</t>
  </si>
  <si>
    <t>дисциплина</t>
  </si>
  <si>
    <t># text = Основная история здесь в том, что то, что было вертикально интегрированной, олигополистической конкуренцией среди по существу аналогичных типов соперников эволюционирует, тем или иным способом, от вертикальной структуры к горизонтальной.</t>
  </si>
  <si>
    <t>Основная</t>
  </si>
  <si>
    <t>олигополистической</t>
  </si>
  <si>
    <t>конкуренцией</t>
  </si>
  <si>
    <t>аналогичных</t>
  </si>
  <si>
    <t>соперников</t>
  </si>
  <si>
    <t>эволюционирует</t>
  </si>
  <si>
    <t>иным</t>
  </si>
  <si>
    <t>способом</t>
  </si>
  <si>
    <t>вертикальной</t>
  </si>
  <si>
    <t>структуры</t>
  </si>
  <si>
    <t>горизонтальной</t>
  </si>
  <si>
    <t># text = Почему это происходит?</t>
  </si>
  <si>
    <t>Почему</t>
  </si>
  <si>
    <t># text = Потому что транзакционные издержки катастрофически падают и потому что масштаб поляризуется.</t>
  </si>
  <si>
    <t>Потому</t>
  </si>
  <si>
    <t>катастрофически</t>
  </si>
  <si>
    <t>потому</t>
  </si>
  <si>
    <t>поляризуется</t>
  </si>
  <si>
    <t># text = Катастрофическое падение транзакционных издержек ослабляет клей, который связывает цепи создания стоимости и позволяет им разделяться.</t>
  </si>
  <si>
    <t>Катастрофическое</t>
  </si>
  <si>
    <t>падение</t>
  </si>
  <si>
    <t>издержек</t>
  </si>
  <si>
    <t>ослабляет</t>
  </si>
  <si>
    <t>клей</t>
  </si>
  <si>
    <t>позволяет</t>
  </si>
  <si>
    <t>им</t>
  </si>
  <si>
    <t>разделяться</t>
  </si>
  <si>
    <t># text = Поляризация экономик масштаба в сторону очень маленьких — маленькие прекрасны — позволяет масштабируемым сообществам заменить традиционное корпоративное производство.</t>
  </si>
  <si>
    <t>Поляризация</t>
  </si>
  <si>
    <t>сторону</t>
  </si>
  <si>
    <t>маленьких</t>
  </si>
  <si>
    <t>маленькие</t>
  </si>
  <si>
    <t>прекрасны</t>
  </si>
  <si>
    <t>масштабируемым</t>
  </si>
  <si>
    <t>сообществам</t>
  </si>
  <si>
    <t>заменить</t>
  </si>
  <si>
    <t>традиционное</t>
  </si>
  <si>
    <t>корпоративное</t>
  </si>
  <si>
    <t>производство</t>
  </si>
  <si>
    <t># text = Масштабирование в противоположном направлении, в направлении таких вещей, как большие данные, направляет структуру бизнеса в сторону создания новых типов организаций, которые могут достичь этого масштаба.</t>
  </si>
  <si>
    <t>Масштабирование</t>
  </si>
  <si>
    <t>противоположном</t>
  </si>
  <si>
    <t>направлении</t>
  </si>
  <si>
    <t>таких</t>
  </si>
  <si>
    <t>вещей</t>
  </si>
  <si>
    <t>большие</t>
  </si>
  <si>
    <t>направляет</t>
  </si>
  <si>
    <t>структуру</t>
  </si>
  <si>
    <t>новых</t>
  </si>
  <si>
    <t>достичь</t>
  </si>
  <si>
    <t># text = Но в любом случае, типичная вертикальная структура становится более горизонтальной.</t>
  </si>
  <si>
    <t>любом</t>
  </si>
  <si>
    <t>случае</t>
  </si>
  <si>
    <t>типичная</t>
  </si>
  <si>
    <t>вертикальная</t>
  </si>
  <si>
    <t>структура</t>
  </si>
  <si>
    <t># text = Логика не только за большими данными.</t>
  </si>
  <si>
    <t>Логика</t>
  </si>
  <si>
    <t>большими</t>
  </si>
  <si>
    <t># text = Если бы мы посмотрели, например, на телекоммуникационную отрасль, вы могли бы рассказать то же самое про оптоволокно.</t>
  </si>
  <si>
    <t>посмотрели</t>
  </si>
  <si>
    <t>телекоммуникационную</t>
  </si>
  <si>
    <t>рассказать</t>
  </si>
  <si>
    <t>самое</t>
  </si>
  <si>
    <t>про</t>
  </si>
  <si>
    <t>оптоволокно</t>
  </si>
  <si>
    <t># text = Если мы посмотрим на фармацевтику, или университетские исследования, вы можете рассказать то же самое о так называемой «большой науке».</t>
  </si>
  <si>
    <t>фармацевтику</t>
  </si>
  <si>
    <t>университетские</t>
  </si>
  <si>
    <t>исследования</t>
  </si>
  <si>
    <t>можете</t>
  </si>
  <si>
    <t>называемой</t>
  </si>
  <si>
    <t>«большой</t>
  </si>
  <si>
    <t>науке»</t>
  </si>
  <si>
    <t># text = И в противоположном направлении, если мы посмотрим, например, на энергетический сектор, где все разговоры идут о том, как домовладения станут эффективными производителями зелёной энергии и эффективными потребителями энергии, это, фактически, обратный феномен.</t>
  </si>
  <si>
    <t>энергетический</t>
  </si>
  <si>
    <t>сектор</t>
  </si>
  <si>
    <t>где</t>
  </si>
  <si>
    <t>разговоры</t>
  </si>
  <si>
    <t>идут</t>
  </si>
  <si>
    <t>домовладения</t>
  </si>
  <si>
    <t>станут</t>
  </si>
  <si>
    <t>эффективными</t>
  </si>
  <si>
    <t>производителями</t>
  </si>
  <si>
    <t>зелёной</t>
  </si>
  <si>
    <t>энергии</t>
  </si>
  <si>
    <t>потребителями</t>
  </si>
  <si>
    <t>обратный</t>
  </si>
  <si>
    <t># text = Это фрагментация масштаба, потому что очень маленькое может заменить традиционный масштаб корпораций.</t>
  </si>
  <si>
    <t>маленькое</t>
  </si>
  <si>
    <t>традиционный</t>
  </si>
  <si>
    <t># text = В любом случае, мы идём к гармонизации структуры индустрий и это подразумевает фундаментальные изменения в том, как мы думаем о стратегии.</t>
  </si>
  <si>
    <t>идём</t>
  </si>
  <si>
    <t>гармонизации</t>
  </si>
  <si>
    <t>индустрий</t>
  </si>
  <si>
    <t>подразумевает</t>
  </si>
  <si>
    <t>фундаментальные</t>
  </si>
  <si>
    <t>изменения</t>
  </si>
  <si>
    <t># text = Это означает, например, что мы должны думать о стратегии как о курировании этих типов горизонтальной структуры, где такие вещи, как определение бизнеса и даже определение отрасли на самом деле являются результатом стратегии, а не тем, что предполагает стратегия. что мы должны выяснить, как обеспечить одновременно совместную работу и конкуренцию.</t>
  </si>
  <si>
    <t>курировании</t>
  </si>
  <si>
    <t>определение</t>
  </si>
  <si>
    <t>отрасли</t>
  </si>
  <si>
    <t>результатом</t>
  </si>
  <si>
    <t>предполагает</t>
  </si>
  <si>
    <t>SBJ_11</t>
  </si>
  <si>
    <t>выяснить</t>
  </si>
  <si>
    <t>обеспечить</t>
  </si>
  <si>
    <t>одновременно</t>
  </si>
  <si>
    <t>совместную</t>
  </si>
  <si>
    <t>OBJ_13</t>
  </si>
  <si>
    <t>конкуренцию</t>
  </si>
  <si>
    <t># text = Подумайте о геноме.</t>
  </si>
  <si>
    <t>геноме</t>
  </si>
  <si>
    <t># text = Мы должны совместить очень большое и очень малое одновременно.</t>
  </si>
  <si>
    <t>большое</t>
  </si>
  <si>
    <t>малое</t>
  </si>
  <si>
    <t># text = И нам нужны отраслевые структуры, которые совместят очень, очень разные мотивации, от любительских мотиваций людей в сообществах до, может быть, общественных мотиваций инфраструктуры, созданной правительствами, или работающими совместно организациями, созданными компаниями, которые в иных случаях конкурируют, потому что это единственный способ, которым они могут достичь масштаба.</t>
  </si>
  <si>
    <t>нужны</t>
  </si>
  <si>
    <t>отраслевые</t>
  </si>
  <si>
    <t>совместят</t>
  </si>
  <si>
    <t>разные</t>
  </si>
  <si>
    <t>мотивации</t>
  </si>
  <si>
    <t>любительских</t>
  </si>
  <si>
    <t>мотиваций</t>
  </si>
  <si>
    <t>сообществах</t>
  </si>
  <si>
    <t>общественных</t>
  </si>
  <si>
    <t>инфраструктуры</t>
  </si>
  <si>
    <t>правительствами</t>
  </si>
  <si>
    <t>работающими</t>
  </si>
  <si>
    <t>совместно</t>
  </si>
  <si>
    <t>организациями</t>
  </si>
  <si>
    <t>созданными</t>
  </si>
  <si>
    <t>компаниями</t>
  </si>
  <si>
    <t>SBJ_16</t>
  </si>
  <si>
    <t>иных</t>
  </si>
  <si>
    <t>случаях</t>
  </si>
  <si>
    <t>конкурируют</t>
  </si>
  <si>
    <t>SBJ_17</t>
  </si>
  <si>
    <t>единственный</t>
  </si>
  <si>
    <t>способ</t>
  </si>
  <si>
    <t>которым</t>
  </si>
  <si>
    <t>other_19</t>
  </si>
  <si>
    <t>SBJ_18</t>
  </si>
  <si>
    <t># text = Эти типы преобразований делают традиционные определения бизнес стратегии устаревшими.</t>
  </si>
  <si>
    <t>преобразований</t>
  </si>
  <si>
    <t>делают</t>
  </si>
  <si>
    <t>традиционные</t>
  </si>
  <si>
    <t>определения</t>
  </si>
  <si>
    <t>устаревшими</t>
  </si>
  <si>
    <t># text = Они ведут нас в совершенно новый мир.</t>
  </si>
  <si>
    <t>ведут</t>
  </si>
  <si>
    <t>новый</t>
  </si>
  <si>
    <t># text = Они требуют от нас, неважно, находимся ли мы в общественном секторе или частном секторе, думать фундаментально иначе о структуре бизнеса и, наконец, это делает стратегию вновь интересной.</t>
  </si>
  <si>
    <t>требуют</t>
  </si>
  <si>
    <t>неважно</t>
  </si>
  <si>
    <t>находимся</t>
  </si>
  <si>
    <t>общественном</t>
  </si>
  <si>
    <t>секторе</t>
  </si>
  <si>
    <t>частном</t>
  </si>
  <si>
    <t>фундаментально</t>
  </si>
  <si>
    <t>иначе</t>
  </si>
  <si>
    <t>структуре</t>
  </si>
  <si>
    <t>наконец</t>
  </si>
  <si>
    <t>делает</t>
  </si>
  <si>
    <t>стратегию</t>
  </si>
  <si>
    <t>вновь</t>
  </si>
  <si>
    <t>интересной</t>
  </si>
  <si>
    <t># text = Спасибо.</t>
  </si>
  <si>
    <t>Спасибо</t>
  </si>
  <si>
    <t># text = (Аплодисменты)</t>
  </si>
  <si>
    <t>(</t>
  </si>
  <si>
    <t>Аплодисменты</t>
  </si>
  <si>
    <t>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</si>
</sst>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11</v>
      </c>
      <c r="C4" s="6" t="s">
        <v>12</v>
      </c>
      <c r="D4" s="7" t="s">
        <v>13</v>
      </c>
      <c r="E4" s="8" t="s">
        <v>20</v>
      </c>
      <c r="F4" s="6" t="s">
        <v>21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22</v>
      </c>
      <c r="B5" s="6" t="s">
        <v>10</v>
      </c>
      <c r="C5" s="6" t="s">
        <v>12</v>
      </c>
      <c r="D5" s="7" t="s">
        <v>23</v>
      </c>
      <c r="E5" s="8" t="s">
        <v>24</v>
      </c>
      <c r="F5" s="6" t="s">
        <v>25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26</v>
      </c>
      <c r="B6" s="6" t="s">
        <v>27</v>
      </c>
      <c r="C6" s="6" t="s">
        <v>12</v>
      </c>
      <c r="D6" s="7" t="s">
        <v>28</v>
      </c>
      <c r="E6" s="8" t="s">
        <v>29</v>
      </c>
      <c r="F6" s="6" t="s">
        <v>30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22</v>
      </c>
      <c r="C7" s="6" t="s">
        <v>12</v>
      </c>
      <c r="D7" s="7" t="s">
        <v>32</v>
      </c>
      <c r="E7" s="8" t="s">
        <v>33</v>
      </c>
      <c r="F7" s="6" t="s">
        <v>34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27</v>
      </c>
      <c r="B8" s="6" t="s">
        <v>35</v>
      </c>
      <c r="C8" s="6" t="s">
        <v>12</v>
      </c>
      <c r="D8" s="7" t="s">
        <v>36</v>
      </c>
      <c r="E8" s="8" t="s">
        <v>37</v>
      </c>
      <c r="F8" s="6" t="s">
        <v>38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35</v>
      </c>
      <c r="B9" s="6" t="s">
        <v>39</v>
      </c>
      <c r="C9" s="6" t="s">
        <v>12</v>
      </c>
      <c r="D9" s="7" t="s">
        <v>40</v>
      </c>
      <c r="E9" s="8" t="s">
        <v>41</v>
      </c>
      <c r="F9" s="6" t="s">
        <v>42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22</v>
      </c>
      <c r="C10" s="6" t="s">
        <v>12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19</v>
      </c>
      <c r="C11" s="6" t="s">
        <v>12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39</v>
      </c>
      <c r="B12" s="6" t="s">
        <v>43</v>
      </c>
      <c r="C12" s="6" t="s">
        <v>12</v>
      </c>
      <c r="D12" s="7" t="s">
        <v>51</v>
      </c>
      <c r="E12" s="8" t="s">
        <v>52</v>
      </c>
      <c r="F12" s="6" t="s">
        <v>53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19</v>
      </c>
      <c r="C13" s="6" t="s">
        <v>12</v>
      </c>
      <c r="D13" s="7" t="s">
        <v>55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11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22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67</v>
      </c>
      <c r="C16" s="6" t="s">
        <v>12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27</v>
      </c>
      <c r="C17" s="6" t="s">
        <v>12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19</v>
      </c>
      <c r="C18" s="6" t="s">
        <v>12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80</v>
      </c>
      <c r="C19" s="6" t="s">
        <v>12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19</v>
      </c>
      <c r="C20" s="6" t="s">
        <v>12</v>
      </c>
      <c r="D20" s="7" t="s">
        <v>13</v>
      </c>
      <c r="E20" s="8" t="s">
        <v>85</v>
      </c>
      <c r="F20" s="6" t="s">
        <v>86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26</v>
      </c>
      <c r="C21" s="6" t="s">
        <v>12</v>
      </c>
      <c r="D21" s="7" t="s">
        <v>88</v>
      </c>
      <c r="E21" s="8" t="s">
        <v>89</v>
      </c>
      <c r="F21" s="6" t="s">
        <v>90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19</v>
      </c>
      <c r="C22" s="6" t="s">
        <v>12</v>
      </c>
      <c r="D22" s="7" t="s">
        <v>92</v>
      </c>
      <c r="E22" s="8" t="s">
        <v>93</v>
      </c>
      <c r="F22" s="6" t="s">
        <v>94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95</v>
      </c>
      <c r="B23" s="6" t="s">
        <v>11</v>
      </c>
      <c r="C23" s="6" t="s">
        <v>12</v>
      </c>
      <c r="D23" s="7" t="s">
        <v>96</v>
      </c>
      <c r="E23" s="8" t="s">
        <v>97</v>
      </c>
      <c r="F23" s="6" t="s">
        <v>98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99</v>
      </c>
      <c r="B24" s="6" t="s">
        <v>19</v>
      </c>
      <c r="C24" s="6" t="s">
        <v>12</v>
      </c>
      <c r="D24" s="7" t="s">
        <v>100</v>
      </c>
      <c r="E24" s="8" t="s">
        <v>101</v>
      </c>
      <c r="F24" s="6" t="s">
        <v>102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103</v>
      </c>
      <c r="B25" s="6" t="s">
        <v>39</v>
      </c>
      <c r="C25" s="6" t="s">
        <v>12</v>
      </c>
      <c r="D25" s="7" t="s">
        <v>104</v>
      </c>
      <c r="E25" s="8" t="s">
        <v>105</v>
      </c>
      <c r="F25" s="6" t="s">
        <v>106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67</v>
      </c>
      <c r="B26" s="6" t="s">
        <v>39</v>
      </c>
      <c r="C26" s="6" t="s">
        <v>12</v>
      </c>
      <c r="D26" s="7" t="s">
        <v>107</v>
      </c>
      <c r="E26" s="8" t="s">
        <v>108</v>
      </c>
      <c r="F26" s="6" t="s">
        <v>109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26</v>
      </c>
      <c r="C27" s="6" t="s">
        <v>12</v>
      </c>
      <c r="D27" s="7" t="s">
        <v>96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10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22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35</v>
      </c>
      <c r="C30" s="6" t="s">
        <v>12</v>
      </c>
      <c r="D30" s="7" t="s">
        <v>122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26</v>
      </c>
      <c r="C31" s="6" t="s">
        <v>12</v>
      </c>
      <c r="D31" s="7" t="s">
        <v>126</v>
      </c>
      <c r="E31" s="8" t="s">
        <v>127</v>
      </c>
      <c r="F31" s="6" t="s">
        <v>128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80</v>
      </c>
      <c r="B32" s="6" t="s">
        <v>10</v>
      </c>
      <c r="C32" s="6" t="s">
        <v>12</v>
      </c>
      <c r="D32" s="7" t="s">
        <v>129</v>
      </c>
      <c r="E32" s="8" t="s">
        <v>130</v>
      </c>
      <c r="F32" s="6" t="s">
        <v>131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132</v>
      </c>
      <c r="B33" s="6" t="s">
        <v>19</v>
      </c>
      <c r="C33" s="6" t="s">
        <v>12</v>
      </c>
      <c r="D33" s="7" t="s">
        <v>133</v>
      </c>
      <c r="E33" s="8" t="s">
        <v>134</v>
      </c>
      <c r="F33" s="6" t="s">
        <v>135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136</v>
      </c>
      <c r="B34" s="6" t="s">
        <v>43</v>
      </c>
      <c r="C34" s="6" t="s">
        <v>12</v>
      </c>
      <c r="D34" s="7" t="s">
        <v>137</v>
      </c>
      <c r="E34" s="8" t="s">
        <v>138</v>
      </c>
      <c r="F34" s="6" t="s">
        <v>139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140</v>
      </c>
      <c r="B35" s="6" t="s">
        <v>22</v>
      </c>
      <c r="C35" s="6" t="s">
        <v>12</v>
      </c>
      <c r="D35" s="7" t="s">
        <v>141</v>
      </c>
      <c r="E35" s="8" t="s">
        <v>142</v>
      </c>
      <c r="F35" s="6" t="s">
        <v>143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144</v>
      </c>
      <c r="B36" s="6" t="s">
        <v>10</v>
      </c>
      <c r="C36" s="6" t="s">
        <v>12</v>
      </c>
      <c r="D36" s="7" t="s">
        <v>145</v>
      </c>
      <c r="E36" s="8" t="s">
        <v>146</v>
      </c>
      <c r="F36" s="6" t="s">
        <v>147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148</v>
      </c>
      <c r="B37" s="6" t="s">
        <v>35</v>
      </c>
      <c r="C37" s="6" t="s">
        <v>12</v>
      </c>
      <c r="D37" s="7" t="s">
        <v>149</v>
      </c>
      <c r="E37" s="8" t="s">
        <v>150</v>
      </c>
      <c r="F37" s="6" t="s">
        <v>151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152</v>
      </c>
      <c r="B38" s="6" t="s">
        <v>35</v>
      </c>
      <c r="C38" s="6" t="s">
        <v>12</v>
      </c>
      <c r="D38" s="7" t="s">
        <v>153</v>
      </c>
      <c r="E38" s="8" t="s">
        <v>154</v>
      </c>
      <c r="F38" s="6" t="s">
        <v>155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156</v>
      </c>
      <c r="B39" s="6" t="s">
        <v>11</v>
      </c>
      <c r="C39" s="6" t="s">
        <v>12</v>
      </c>
      <c r="D39" s="7" t="s">
        <v>149</v>
      </c>
      <c r="E39" s="8" t="s">
        <v>157</v>
      </c>
      <c r="F39" s="6" t="s">
        <v>158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159</v>
      </c>
      <c r="B40" s="6" t="s">
        <v>19</v>
      </c>
      <c r="C40" s="6" t="s">
        <v>12</v>
      </c>
      <c r="D40" s="7" t="s">
        <v>160</v>
      </c>
      <c r="E40" s="8" t="s">
        <v>161</v>
      </c>
      <c r="F40" s="6" t="s">
        <v>162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163</v>
      </c>
      <c r="B41" s="6" t="s">
        <v>19</v>
      </c>
      <c r="C41" s="6" t="s">
        <v>12</v>
      </c>
      <c r="D41" s="7" t="s">
        <v>164</v>
      </c>
      <c r="E41" s="8" t="s">
        <v>165</v>
      </c>
      <c r="F41" s="6" t="s">
        <v>166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167</v>
      </c>
      <c r="B42" s="6" t="s">
        <v>31</v>
      </c>
      <c r="C42" s="6" t="s">
        <v>12</v>
      </c>
      <c r="D42" s="7" t="s">
        <v>168</v>
      </c>
      <c r="E42" s="8" t="s">
        <v>169</v>
      </c>
      <c r="F42" s="6" t="s">
        <v>170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171</v>
      </c>
      <c r="B43" s="6" t="s">
        <v>43</v>
      </c>
      <c r="C43" s="6" t="s">
        <v>12</v>
      </c>
      <c r="D43" s="7" t="s">
        <v>133</v>
      </c>
      <c r="E43" s="8" t="s">
        <v>172</v>
      </c>
      <c r="F43" s="6" t="s">
        <v>173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174</v>
      </c>
      <c r="B44" s="6" t="s">
        <v>26</v>
      </c>
      <c r="C44" s="6" t="s">
        <v>12</v>
      </c>
      <c r="D44" s="7" t="s">
        <v>133</v>
      </c>
      <c r="E44" s="8" t="s">
        <v>175</v>
      </c>
      <c r="F44" s="6" t="s">
        <v>176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177</v>
      </c>
      <c r="B45" s="6" t="s">
        <v>31</v>
      </c>
      <c r="C45" s="6" t="s">
        <v>12</v>
      </c>
      <c r="D45" s="7" t="s">
        <v>178</v>
      </c>
      <c r="E45" s="8" t="s">
        <v>179</v>
      </c>
      <c r="F45" s="6" t="s">
        <v>180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181</v>
      </c>
      <c r="B46" s="6" t="s">
        <v>11</v>
      </c>
      <c r="C46" s="6" t="s">
        <v>12</v>
      </c>
      <c r="D46" s="7" t="s">
        <v>182</v>
      </c>
      <c r="E46" s="8" t="s">
        <v>183</v>
      </c>
      <c r="F46" s="6" t="s">
        <v>184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185</v>
      </c>
      <c r="B47" s="6" t="s">
        <v>31</v>
      </c>
      <c r="C47" s="6" t="s">
        <v>12</v>
      </c>
      <c r="D47" s="7" t="s">
        <v>186</v>
      </c>
      <c r="E47" s="8" t="s">
        <v>187</v>
      </c>
      <c r="F47" s="6" t="s">
        <v>188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189</v>
      </c>
      <c r="B48" s="6" t="s">
        <v>10</v>
      </c>
      <c r="C48" s="6" t="s">
        <v>12</v>
      </c>
      <c r="D48" s="7" t="s">
        <v>190</v>
      </c>
      <c r="E48" s="8" t="s">
        <v>191</v>
      </c>
      <c r="F48" s="6" t="s">
        <v>192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193</v>
      </c>
      <c r="B49" s="6" t="s">
        <v>10</v>
      </c>
      <c r="C49" s="6" t="s">
        <v>12</v>
      </c>
      <c r="D49" s="7" t="s">
        <v>194</v>
      </c>
      <c r="E49" s="8" t="s">
        <v>195</v>
      </c>
      <c r="F49" s="6" t="s">
        <v>196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197</v>
      </c>
      <c r="B50" s="6" t="s">
        <v>11</v>
      </c>
      <c r="C50" s="6" t="s">
        <v>198</v>
      </c>
      <c r="D50" s="7" t="s">
        <v>199</v>
      </c>
      <c r="E50" s="8" t="s">
        <v>200</v>
      </c>
      <c r="F50" s="6" t="s">
        <v>201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202</v>
      </c>
      <c r="B51" s="6" t="s">
        <v>19</v>
      </c>
      <c r="C51" s="6" t="s">
        <v>12</v>
      </c>
      <c r="D51" s="7" t="s">
        <v>203</v>
      </c>
      <c r="E51" s="8" t="s">
        <v>204</v>
      </c>
      <c r="F51" s="6" t="s">
        <v>205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206</v>
      </c>
      <c r="B52" s="6" t="s">
        <v>19</v>
      </c>
      <c r="C52" s="6" t="s">
        <v>12</v>
      </c>
      <c r="D52" s="7" t="s">
        <v>207</v>
      </c>
      <c r="E52" s="8" t="s">
        <v>208</v>
      </c>
      <c r="F52" s="6" t="s">
        <v>209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210</v>
      </c>
      <c r="B53" s="6" t="s">
        <v>35</v>
      </c>
      <c r="C53" s="6" t="s">
        <v>12</v>
      </c>
      <c r="D53" s="7" t="s">
        <v>211</v>
      </c>
      <c r="E53" s="8" t="s">
        <v>212</v>
      </c>
      <c r="F53" s="6" t="s">
        <v>213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214</v>
      </c>
      <c r="B54" s="6" t="s">
        <v>35</v>
      </c>
      <c r="C54" s="6" t="s">
        <v>12</v>
      </c>
      <c r="D54" s="7" t="s">
        <v>215</v>
      </c>
      <c r="E54" s="8" t="s">
        <v>216</v>
      </c>
      <c r="F54" s="6" t="s">
        <v>217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218</v>
      </c>
      <c r="B55" s="6" t="s">
        <v>39</v>
      </c>
      <c r="C55" s="6" t="s">
        <v>12</v>
      </c>
      <c r="D55" s="7" t="s">
        <v>219</v>
      </c>
      <c r="E55" s="8" t="s">
        <v>220</v>
      </c>
      <c r="F55" s="6" t="s">
        <v>221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222</v>
      </c>
      <c r="B56" s="6" t="s">
        <v>11</v>
      </c>
      <c r="C56" s="6" t="s">
        <v>12</v>
      </c>
      <c r="D56" s="7" t="s">
        <v>223</v>
      </c>
      <c r="E56" s="8" t="s">
        <v>224</v>
      </c>
      <c r="F56" s="6" t="s">
        <v>225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226</v>
      </c>
      <c r="B57" s="6" t="s">
        <v>26</v>
      </c>
      <c r="C57" s="6" t="s">
        <v>12</v>
      </c>
      <c r="D57" s="7" t="s">
        <v>227</v>
      </c>
      <c r="E57" s="8" t="s">
        <v>228</v>
      </c>
      <c r="F57" s="6" t="s">
        <v>229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230</v>
      </c>
      <c r="B58" s="6" t="s">
        <v>11</v>
      </c>
      <c r="C58" s="6" t="s">
        <v>231</v>
      </c>
      <c r="D58" s="7" t="s">
        <v>227</v>
      </c>
      <c r="E58" s="8" t="s">
        <v>232</v>
      </c>
      <c r="F58" s="6" t="s">
        <v>233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234</v>
      </c>
      <c r="B59" s="6" t="s">
        <v>54</v>
      </c>
      <c r="C59" s="6" t="s">
        <v>12</v>
      </c>
      <c r="D59" s="7" t="s">
        <v>235</v>
      </c>
      <c r="E59" s="8" t="s">
        <v>236</v>
      </c>
      <c r="F59" s="6" t="s">
        <v>237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238</v>
      </c>
      <c r="B60" s="6" t="s">
        <v>31</v>
      </c>
      <c r="C60" s="6" t="s">
        <v>12</v>
      </c>
      <c r="D60" s="7" t="s">
        <v>239</v>
      </c>
      <c r="E60" s="8" t="s">
        <v>240</v>
      </c>
      <c r="F60" s="6" t="s">
        <v>241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242</v>
      </c>
      <c r="B61" s="6" t="s">
        <v>66</v>
      </c>
      <c r="C61" s="6" t="s">
        <v>12</v>
      </c>
      <c r="D61" s="7" t="s">
        <v>199</v>
      </c>
      <c r="E61" s="8" t="s">
        <v>243</v>
      </c>
      <c r="F61" s="6" t="s">
        <v>244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245</v>
      </c>
      <c r="B62" s="6" t="s">
        <v>10</v>
      </c>
      <c r="C62" s="6" t="s">
        <v>12</v>
      </c>
      <c r="D62" s="7" t="s">
        <v>246</v>
      </c>
      <c r="E62" s="8" t="s">
        <v>247</v>
      </c>
      <c r="F62" s="6" t="s">
        <v>248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249</v>
      </c>
      <c r="B63" s="6" t="s">
        <v>19</v>
      </c>
      <c r="C63" s="6" t="s">
        <v>231</v>
      </c>
      <c r="D63" s="7" t="s">
        <v>227</v>
      </c>
      <c r="E63" s="8" t="s">
        <v>250</v>
      </c>
      <c r="F63" s="6" t="s">
        <v>251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252</v>
      </c>
      <c r="B64" s="6" t="s">
        <v>91</v>
      </c>
      <c r="C64" s="6" t="s">
        <v>12</v>
      </c>
      <c r="D64" s="7" t="s">
        <v>253</v>
      </c>
      <c r="E64" s="8" t="s">
        <v>254</v>
      </c>
      <c r="F64" s="6" t="s">
        <v>255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256</v>
      </c>
      <c r="B65" s="6" t="s">
        <v>31</v>
      </c>
      <c r="C65" s="6" t="s">
        <v>12</v>
      </c>
      <c r="D65" s="7" t="s">
        <v>133</v>
      </c>
      <c r="E65" s="8" t="s">
        <v>257</v>
      </c>
      <c r="F65" s="6" t="s">
        <v>258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259</v>
      </c>
      <c r="B66" s="6" t="s">
        <v>47</v>
      </c>
      <c r="C66" s="6" t="s">
        <v>12</v>
      </c>
      <c r="D66" s="7" t="s">
        <v>260</v>
      </c>
      <c r="E66" s="8" t="s">
        <v>261</v>
      </c>
      <c r="F66" s="6" t="s">
        <v>262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263</v>
      </c>
      <c r="B67" s="6" t="s">
        <v>27</v>
      </c>
      <c r="C67" s="6" t="s">
        <v>12</v>
      </c>
      <c r="D67" s="7" t="s">
        <v>264</v>
      </c>
      <c r="E67" s="8" t="s">
        <v>265</v>
      </c>
      <c r="F67" s="6" t="s">
        <v>266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267</v>
      </c>
      <c r="B68" s="6" t="s">
        <v>31</v>
      </c>
      <c r="C68" s="6" t="s">
        <v>12</v>
      </c>
      <c r="D68" s="7" t="s">
        <v>264</v>
      </c>
      <c r="E68" s="8" t="s">
        <v>268</v>
      </c>
      <c r="F68" s="6" t="s">
        <v>269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270</v>
      </c>
      <c r="B69" s="6" t="s">
        <v>71</v>
      </c>
      <c r="C69" s="6" t="s">
        <v>12</v>
      </c>
      <c r="D69" s="7" t="s">
        <v>271</v>
      </c>
      <c r="E69" s="8" t="s">
        <v>272</v>
      </c>
      <c r="F69" s="6" t="s">
        <v>273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274</v>
      </c>
      <c r="B70" s="6" t="s">
        <v>11</v>
      </c>
      <c r="C70" s="6" t="s">
        <v>12</v>
      </c>
      <c r="D70" s="7" t="s">
        <v>275</v>
      </c>
      <c r="E70" s="8" t="s">
        <v>276</v>
      </c>
      <c r="F70" s="6" t="s">
        <v>277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278</v>
      </c>
      <c r="B71" s="6" t="s">
        <v>22</v>
      </c>
      <c r="C71" s="6" t="s">
        <v>12</v>
      </c>
      <c r="D71" s="7" t="s">
        <v>63</v>
      </c>
      <c r="E71" s="8" t="s">
        <v>279</v>
      </c>
      <c r="F71" s="6" t="s">
        <v>280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281</v>
      </c>
      <c r="B72" s="6" t="s">
        <v>11</v>
      </c>
      <c r="C72" s="6" t="s">
        <v>12</v>
      </c>
      <c r="D72" s="7" t="s">
        <v>40</v>
      </c>
      <c r="E72" s="8" t="s">
        <v>282</v>
      </c>
      <c r="F72" s="6" t="s">
        <v>283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284</v>
      </c>
      <c r="B73" s="6" t="s">
        <v>11</v>
      </c>
      <c r="C73" s="6" t="s">
        <v>12</v>
      </c>
      <c r="D73" s="7" t="s">
        <v>40</v>
      </c>
      <c r="E73" s="8" t="s">
        <v>285</v>
      </c>
      <c r="F73" s="6" t="s">
        <v>286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287</v>
      </c>
      <c r="B74" s="6" t="s">
        <v>11</v>
      </c>
      <c r="C74" s="6" t="s">
        <v>12</v>
      </c>
      <c r="D74" s="7" t="s">
        <v>288</v>
      </c>
      <c r="E74" s="8" t="s">
        <v>289</v>
      </c>
      <c r="F74" s="6" t="s">
        <v>290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291</v>
      </c>
      <c r="B75" s="6" t="s">
        <v>10</v>
      </c>
      <c r="C75" s="6" t="s">
        <v>12</v>
      </c>
      <c r="D75" s="7" t="s">
        <v>292</v>
      </c>
      <c r="E75" s="8" t="s">
        <v>293</v>
      </c>
      <c r="F75" s="6" t="s">
        <v>294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295</v>
      </c>
      <c r="B76" s="6" t="s">
        <v>10</v>
      </c>
      <c r="C76" s="6" t="s">
        <v>12</v>
      </c>
      <c r="D76" s="7" t="s">
        <v>292</v>
      </c>
      <c r="E76" s="8" t="s">
        <v>296</v>
      </c>
      <c r="F76" s="6" t="s">
        <v>297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298</v>
      </c>
      <c r="B77" s="6" t="s">
        <v>10</v>
      </c>
      <c r="C77" s="6" t="s">
        <v>12</v>
      </c>
      <c r="D77" s="7" t="s">
        <v>292</v>
      </c>
      <c r="E77" s="8" t="s">
        <v>299</v>
      </c>
      <c r="F77" s="6" t="s">
        <v>300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301</v>
      </c>
      <c r="B78" s="6" t="s">
        <v>31</v>
      </c>
      <c r="C78" s="6" t="s">
        <v>12</v>
      </c>
      <c r="D78" s="7" t="s">
        <v>302</v>
      </c>
      <c r="E78" s="8" t="s">
        <v>303</v>
      </c>
      <c r="F78" s="6" t="s">
        <v>304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305</v>
      </c>
      <c r="B79" s="6" t="s">
        <v>26</v>
      </c>
      <c r="C79" s="6" t="s">
        <v>12</v>
      </c>
      <c r="D79" s="7" t="s">
        <v>306</v>
      </c>
      <c r="E79" s="8" t="s">
        <v>307</v>
      </c>
      <c r="F79" s="6" t="s">
        <v>308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309</v>
      </c>
      <c r="B80" s="6" t="s">
        <v>11</v>
      </c>
      <c r="C80" s="6" t="s">
        <v>12</v>
      </c>
      <c r="D80" s="7" t="s">
        <v>199</v>
      </c>
      <c r="E80" s="8" t="s">
        <v>310</v>
      </c>
      <c r="F80" s="6" t="s">
        <v>311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312</v>
      </c>
      <c r="B81" s="6" t="s">
        <v>10</v>
      </c>
      <c r="C81" s="6" t="s">
        <v>12</v>
      </c>
      <c r="D81" s="7" t="s">
        <v>313</v>
      </c>
      <c r="E81" s="8" t="s">
        <v>314</v>
      </c>
      <c r="F81" s="6" t="s">
        <v>315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316</v>
      </c>
      <c r="B82" s="6" t="s">
        <v>22</v>
      </c>
      <c r="C82" s="6" t="s">
        <v>12</v>
      </c>
      <c r="D82" s="7" t="s">
        <v>317</v>
      </c>
      <c r="E82" s="8" t="s">
        <v>318</v>
      </c>
      <c r="F82" s="6" t="s">
        <v>319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320</v>
      </c>
      <c r="B83" s="6" t="s">
        <v>10</v>
      </c>
      <c r="C83" s="6" t="s">
        <v>12</v>
      </c>
      <c r="D83" s="7" t="s">
        <v>321</v>
      </c>
      <c r="E83" s="8" t="s">
        <v>322</v>
      </c>
      <c r="F83" s="6" t="s">
        <v>323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324</v>
      </c>
      <c r="B84" s="6" t="s">
        <v>31</v>
      </c>
      <c r="C84" s="6" t="s">
        <v>12</v>
      </c>
      <c r="D84" s="7" t="s">
        <v>325</v>
      </c>
      <c r="E84" s="8" t="s">
        <v>326</v>
      </c>
      <c r="F84" s="6" t="s">
        <v>327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328</v>
      </c>
      <c r="B85" s="6" t="s">
        <v>26</v>
      </c>
      <c r="C85" s="6" t="s">
        <v>12</v>
      </c>
      <c r="D85" s="7" t="s">
        <v>329</v>
      </c>
      <c r="E85" s="8" t="s">
        <v>330</v>
      </c>
      <c r="F85" s="6" t="s">
        <v>331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332</v>
      </c>
      <c r="B86" s="6" t="s">
        <v>19</v>
      </c>
      <c r="C86" s="6" t="s">
        <v>12</v>
      </c>
      <c r="D86" s="7" t="s">
        <v>325</v>
      </c>
      <c r="E86" s="8" t="s">
        <v>333</v>
      </c>
      <c r="F86" s="6" t="s">
        <v>334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335</v>
      </c>
      <c r="B87" s="6" t="s">
        <v>31</v>
      </c>
      <c r="C87" s="6" t="s">
        <v>336</v>
      </c>
      <c r="D87" s="7" t="s">
        <v>107</v>
      </c>
      <c r="E87" s="8" t="s">
        <v>337</v>
      </c>
      <c r="F87" s="6" t="s">
        <v>338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339</v>
      </c>
      <c r="B88" s="6" t="s">
        <v>26</v>
      </c>
      <c r="C88" s="6" t="s">
        <v>12</v>
      </c>
      <c r="D88" s="7" t="s">
        <v>340</v>
      </c>
      <c r="E88" s="8" t="s">
        <v>341</v>
      </c>
      <c r="F88" s="6" t="s">
        <v>342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343</v>
      </c>
      <c r="B89" s="6" t="s">
        <v>54</v>
      </c>
      <c r="C89" s="6" t="s">
        <v>12</v>
      </c>
      <c r="D89" s="7" t="s">
        <v>344</v>
      </c>
      <c r="E89" s="8" t="s">
        <v>345</v>
      </c>
      <c r="F89" s="6" t="s">
        <v>346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347</v>
      </c>
      <c r="B90" s="6" t="s">
        <v>66</v>
      </c>
      <c r="C90" s="6" t="s">
        <v>12</v>
      </c>
      <c r="D90" s="7" t="s">
        <v>348</v>
      </c>
      <c r="E90" s="8" t="s">
        <v>349</v>
      </c>
      <c r="F90" s="6" t="s">
        <v>350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351</v>
      </c>
      <c r="B91" s="6" t="s">
        <v>43</v>
      </c>
      <c r="C91" s="6" t="s">
        <v>12</v>
      </c>
      <c r="D91" s="7" t="s">
        <v>40</v>
      </c>
      <c r="E91" s="8" t="s">
        <v>352</v>
      </c>
      <c r="F91" s="6" t="s">
        <v>353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354</v>
      </c>
      <c r="B92" s="6" t="s">
        <v>31</v>
      </c>
      <c r="C92" s="6" t="s">
        <v>12</v>
      </c>
      <c r="D92" s="7" t="s">
        <v>355</v>
      </c>
      <c r="E92" s="8" t="s">
        <v>356</v>
      </c>
      <c r="F92" s="6" t="s">
        <v>357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358</v>
      </c>
      <c r="B93" s="6" t="s">
        <v>58</v>
      </c>
      <c r="C93" s="6" t="s">
        <v>12</v>
      </c>
      <c r="D93" s="7" t="s">
        <v>63</v>
      </c>
      <c r="E93" s="8" t="s">
        <v>359</v>
      </c>
      <c r="F93" s="6" t="s">
        <v>360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361</v>
      </c>
      <c r="B94" s="6" t="s">
        <v>54</v>
      </c>
      <c r="C94" s="6" t="s">
        <v>12</v>
      </c>
      <c r="D94" s="7" t="s">
        <v>63</v>
      </c>
      <c r="E94" s="8" t="s">
        <v>362</v>
      </c>
      <c r="F94" s="6" t="s">
        <v>363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364</v>
      </c>
      <c r="B95" s="6" t="s">
        <v>163</v>
      </c>
      <c r="C95" s="6" t="s">
        <v>12</v>
      </c>
      <c r="D95" s="7" t="s">
        <v>365</v>
      </c>
      <c r="E95" s="8" t="s">
        <v>366</v>
      </c>
      <c r="F95" s="6" t="s">
        <v>367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368</v>
      </c>
      <c r="B96" s="6" t="s">
        <v>11</v>
      </c>
      <c r="C96" s="6" t="s">
        <v>336</v>
      </c>
      <c r="D96" s="7" t="s">
        <v>369</v>
      </c>
      <c r="E96" s="8" t="s">
        <v>370</v>
      </c>
      <c r="F96" s="6" t="s">
        <v>371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372</v>
      </c>
      <c r="B97" s="6" t="s">
        <v>31</v>
      </c>
      <c r="C97" s="6" t="s">
        <v>12</v>
      </c>
      <c r="D97" s="7" t="s">
        <v>373</v>
      </c>
      <c r="E97" s="8" t="s">
        <v>374</v>
      </c>
      <c r="F97" s="6" t="s">
        <v>375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376</v>
      </c>
      <c r="B98" s="6" t="s">
        <v>11</v>
      </c>
      <c r="C98" s="6" t="s">
        <v>231</v>
      </c>
      <c r="D98" s="7" t="s">
        <v>227</v>
      </c>
      <c r="E98" s="8" t="s">
        <v>377</v>
      </c>
      <c r="F98" s="6" t="s">
        <v>378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379</v>
      </c>
      <c r="B99" s="6" t="s">
        <v>10</v>
      </c>
      <c r="C99" s="6" t="s">
        <v>12</v>
      </c>
      <c r="D99" s="7" t="s">
        <v>292</v>
      </c>
      <c r="E99" s="8" t="s">
        <v>380</v>
      </c>
      <c r="F99" s="6" t="s">
        <v>381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382</v>
      </c>
      <c r="B100" s="6" t="s">
        <v>11</v>
      </c>
      <c r="C100" s="6" t="s">
        <v>12</v>
      </c>
      <c r="D100" s="7" t="s">
        <v>118</v>
      </c>
      <c r="E100" s="8" t="s">
        <v>383</v>
      </c>
      <c r="F100" s="6" t="s">
        <v>384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385</v>
      </c>
      <c r="B101" s="6" t="s">
        <v>19</v>
      </c>
      <c r="C101" s="6" t="s">
        <v>12</v>
      </c>
      <c r="D101" s="7" t="s">
        <v>386</v>
      </c>
      <c r="E101" s="8" t="s">
        <v>387</v>
      </c>
      <c r="F101" s="6" t="s">
        <v>388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389</v>
      </c>
      <c r="B102" s="6" t="s">
        <v>22</v>
      </c>
      <c r="C102" s="6" t="s">
        <v>12</v>
      </c>
      <c r="D102" s="7" t="s">
        <v>390</v>
      </c>
      <c r="E102" s="8" t="s">
        <v>391</v>
      </c>
      <c r="F102" s="6" t="s">
        <v>392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393</v>
      </c>
      <c r="B103" s="6" t="s">
        <v>11</v>
      </c>
      <c r="C103" s="6" t="s">
        <v>12</v>
      </c>
      <c r="D103" s="7" t="s">
        <v>394</v>
      </c>
      <c r="E103" s="8" t="s">
        <v>395</v>
      </c>
      <c r="F103" s="6" t="s">
        <v>396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397</v>
      </c>
      <c r="B104" s="6" t="s">
        <v>79</v>
      </c>
      <c r="C104" s="6" t="s">
        <v>12</v>
      </c>
      <c r="D104" s="7" t="s">
        <v>398</v>
      </c>
      <c r="E104" s="8" t="s">
        <v>399</v>
      </c>
      <c r="F104" s="6" t="s">
        <v>400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401</v>
      </c>
      <c r="B105" s="6" t="s">
        <v>10</v>
      </c>
      <c r="C105" s="6" t="s">
        <v>12</v>
      </c>
      <c r="D105" s="7" t="s">
        <v>402</v>
      </c>
      <c r="E105" s="8" t="s">
        <v>403</v>
      </c>
      <c r="F105" s="6" t="s">
        <v>404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405</v>
      </c>
      <c r="B106" s="6" t="s">
        <v>11</v>
      </c>
      <c r="C106" s="6" t="s">
        <v>12</v>
      </c>
      <c r="D106" s="7" t="s">
        <v>406</v>
      </c>
      <c r="E106" s="8" t="s">
        <v>407</v>
      </c>
      <c r="F106" s="6" t="s">
        <v>408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409</v>
      </c>
      <c r="B1" s="13" t="s">
        <v>410</v>
      </c>
      <c r="C1" s="13" t="s">
        <v>411</v>
      </c>
      <c r="D1" s="13" t="s">
        <v>412</v>
      </c>
      <c r="E1" s="14" t="s">
        <v>413</v>
      </c>
      <c r="F1" s="15" t="s">
        <v>414</v>
      </c>
      <c r="G1" s="16" t="s">
        <v>415</v>
      </c>
      <c r="H1" s="17" t="s">
        <v>416</v>
      </c>
      <c r="I1" s="18" t="s">
        <v>417</v>
      </c>
      <c r="J1" s="18" t="s">
        <v>418</v>
      </c>
      <c r="K1" s="18" t="s">
        <v>419</v>
      </c>
      <c r="L1" s="19" t="s">
        <v>9</v>
      </c>
    </row>
    <row r="2" spans="1:12">
      <c r="A2" s="20" t="s">
        <v>420</v>
      </c>
    </row>
    <row r="3" spans="1:12">
      <c r="A3" s="20" t="s">
        <v>421</v>
      </c>
      <c r="B3" s="21" t="s">
        <v>422</v>
      </c>
      <c r="C3" s="21" t="s">
        <v>423</v>
      </c>
      <c r="D3" s="21" t="s">
        <v>424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425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426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427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428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429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430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431</v>
      </c>
      <c r="B10" s="21" t="s">
        <v>432</v>
      </c>
      <c r="C10" s="21" t="s">
        <v>423</v>
      </c>
      <c r="D10" s="21" t="s">
        <v>424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433</v>
      </c>
      <c r="B11" s="21" t="s">
        <v>434</v>
      </c>
      <c r="C11" s="21" t="s">
        <v>435</v>
      </c>
      <c r="D11" s="21" t="s">
        <v>424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436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437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438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/>
    </row>
    <row r="16" spans="1:12">
      <c r="A16" s="20" t="s">
        <v>439</v>
      </c>
    </row>
    <row r="17" spans="1:12">
      <c r="A17" s="20" t="s">
        <v>440</v>
      </c>
      <c r="B17" s="21" t="s">
        <v>422</v>
      </c>
      <c r="C17" s="21" t="s">
        <v>423</v>
      </c>
      <c r="D17" s="21" t="s">
        <v>424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441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442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428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443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12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429</v>
      </c>
      <c r="B23" s="21" t="s">
        <v>444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313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428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445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446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447</v>
      </c>
      <c r="B28" s="21" t="s">
        <v>434</v>
      </c>
      <c r="C28" s="21" t="s">
        <v>448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449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450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451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452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453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454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453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455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456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438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/>
    </row>
    <row r="40" spans="1:12">
      <c r="A40" s="20" t="s">
        <v>457</v>
      </c>
    </row>
    <row r="41" spans="1:12">
      <c r="A41" s="20" t="s">
        <v>421</v>
      </c>
      <c r="B41" s="21" t="s">
        <v>422</v>
      </c>
      <c r="C41" s="21" t="s">
        <v>423</v>
      </c>
      <c r="D41" s="21" t="s">
        <v>424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425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458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453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459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460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453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443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461</v>
      </c>
      <c r="B50" s="21" t="s">
        <v>462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463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464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465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466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428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467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453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459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468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469</v>
      </c>
      <c r="B60" s="21" t="s">
        <v>470</v>
      </c>
      <c r="C60" s="21" t="s">
        <v>471</v>
      </c>
      <c r="D60" s="21" t="s">
        <v>424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472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430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460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453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472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473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474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453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430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459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313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475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329</v>
      </c>
      <c r="B73" s="21" t="s">
        <v>476</v>
      </c>
      <c r="C73" s="21" t="s">
        <v>477</v>
      </c>
      <c r="D73" s="21" t="s">
        <v>424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453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478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479</v>
      </c>
      <c r="B76" s="21" t="s">
        <v>480</v>
      </c>
      <c r="C76" s="21" t="s">
        <v>481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482</v>
      </c>
      <c r="B77" s="21" t="s">
        <v>483</v>
      </c>
      <c r="C77" s="21" t="s">
        <v>477</v>
      </c>
      <c r="D77" s="21" t="s">
        <v>424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484</v>
      </c>
      <c r="B78" s="21" t="s">
        <v>483</v>
      </c>
      <c r="C78" s="21" t="s">
        <v>423</v>
      </c>
      <c r="D78" s="21" t="s">
        <v>424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485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453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486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487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488</v>
      </c>
      <c r="B83" s="21" t="s">
        <v>489</v>
      </c>
      <c r="C83" s="21" t="s">
        <v>435</v>
      </c>
      <c r="D83" s="21" t="s">
        <v>424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490</v>
      </c>
      <c r="B84" s="21" t="s">
        <v>491</v>
      </c>
      <c r="C84" s="21" t="s">
        <v>477</v>
      </c>
      <c r="D84" s="21" t="s">
        <v>424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453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459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492</v>
      </c>
      <c r="B87" s="21" t="s">
        <v>493</v>
      </c>
      <c r="C87" s="21" t="s">
        <v>423</v>
      </c>
      <c r="D87" s="21" t="s">
        <v>424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494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495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443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12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496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438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/>
    </row>
    <row r="95" spans="1:12">
      <c r="A95" s="20" t="s">
        <v>497</v>
      </c>
    </row>
    <row r="96" spans="1:12">
      <c r="A96" s="20" t="s">
        <v>498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499</v>
      </c>
      <c r="B97" s="21" t="s">
        <v>500</v>
      </c>
      <c r="C97" s="21" t="s">
        <v>423</v>
      </c>
      <c r="D97" s="21" t="s">
        <v>424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501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453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502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503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453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436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504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505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506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507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438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/>
    </row>
    <row r="110" spans="1:12">
      <c r="A110" s="20" t="s">
        <v>508</v>
      </c>
    </row>
    <row r="111" spans="1:12">
      <c r="A111" s="20" t="s">
        <v>509</v>
      </c>
      <c r="B111" s="21" t="s">
        <v>422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429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506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510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511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512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513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514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515</v>
      </c>
      <c r="B119" s="21" t="s">
        <v>500</v>
      </c>
      <c r="C119" s="21" t="s">
        <v>516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517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518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519</v>
      </c>
      <c r="B122" s="21" t="s">
        <v>434</v>
      </c>
      <c r="C122" s="21" t="s">
        <v>520</v>
      </c>
      <c r="D122" s="21" t="s">
        <v>424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521</v>
      </c>
      <c r="B123" s="21" t="s">
        <v>432</v>
      </c>
      <c r="C123" s="21" t="s">
        <v>520</v>
      </c>
      <c r="D123" s="21" t="s">
        <v>424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453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522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523</v>
      </c>
      <c r="B126" s="21" t="s">
        <v>489</v>
      </c>
      <c r="C126" s="21" t="s">
        <v>520</v>
      </c>
      <c r="D126" s="21" t="s">
        <v>424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453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430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524</v>
      </c>
      <c r="B129" s="21" t="s">
        <v>432</v>
      </c>
      <c r="C129" s="21" t="s">
        <v>520</v>
      </c>
      <c r="D129" s="21" t="s">
        <v>424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525</v>
      </c>
      <c r="B130" s="21" t="s">
        <v>489</v>
      </c>
      <c r="C130" s="21" t="s">
        <v>520</v>
      </c>
      <c r="D130" s="21" t="s">
        <v>424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453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526</v>
      </c>
      <c r="B132" s="21" t="s">
        <v>432</v>
      </c>
      <c r="C132" s="21" t="s">
        <v>435</v>
      </c>
      <c r="D132" s="21" t="s">
        <v>424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527</v>
      </c>
      <c r="B133" s="21" t="s">
        <v>489</v>
      </c>
      <c r="C133" s="21" t="s">
        <v>520</v>
      </c>
      <c r="D133" s="21" t="s">
        <v>424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528</v>
      </c>
      <c r="B134" s="21" t="s">
        <v>491</v>
      </c>
      <c r="C134" s="21" t="s">
        <v>520</v>
      </c>
      <c r="D134" s="21" t="s">
        <v>424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529</v>
      </c>
      <c r="B135" s="21" t="s">
        <v>491</v>
      </c>
      <c r="C135" s="21" t="s">
        <v>520</v>
      </c>
      <c r="D135" s="21" t="s">
        <v>424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438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/>
    </row>
    <row r="138" spans="1:12">
      <c r="A138" s="20" t="s">
        <v>530</v>
      </c>
    </row>
    <row r="139" spans="1:12">
      <c r="A139" s="20" t="s">
        <v>531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532</v>
      </c>
      <c r="B140" s="21" t="s">
        <v>533</v>
      </c>
      <c r="C140" s="21" t="s">
        <v>435</v>
      </c>
      <c r="D140" s="21" t="s">
        <v>424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534</v>
      </c>
      <c r="B141" s="21" t="s">
        <v>533</v>
      </c>
      <c r="C141" s="21" t="s">
        <v>520</v>
      </c>
      <c r="D141" s="21" t="s">
        <v>424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535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329</v>
      </c>
      <c r="B143" s="21" t="s">
        <v>422</v>
      </c>
      <c r="C143" s="21" t="s">
        <v>477</v>
      </c>
      <c r="D143" s="21" t="s">
        <v>424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453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459</v>
      </c>
      <c r="B145" s="21" t="s">
        <v>536</v>
      </c>
      <c r="C145" s="21" t="s">
        <v>481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537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535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538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539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540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532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541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542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543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544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453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545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546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547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548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438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/>
    </row>
    <row r="163" spans="1:12">
      <c r="A163" s="20" t="s">
        <v>549</v>
      </c>
    </row>
    <row r="164" spans="1:12">
      <c r="A164" s="20" t="s">
        <v>550</v>
      </c>
      <c r="B164" s="21" t="s">
        <v>422</v>
      </c>
      <c r="C164" s="21" t="s">
        <v>520</v>
      </c>
      <c r="D164" s="21" t="s">
        <v>424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551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453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459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506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552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553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554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555</v>
      </c>
      <c r="B172" s="21" t="s">
        <v>556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557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453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558</v>
      </c>
      <c r="B175" s="21" t="s">
        <v>476</v>
      </c>
      <c r="C175" s="21" t="s">
        <v>481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559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560</v>
      </c>
      <c r="B177" s="21" t="s">
        <v>489</v>
      </c>
      <c r="C177" s="21" t="s">
        <v>477</v>
      </c>
      <c r="D177" s="21" t="s">
        <v>424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453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459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561</v>
      </c>
      <c r="B180" s="21" t="s">
        <v>562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563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538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564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565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566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567</v>
      </c>
      <c r="B186" s="21" t="s">
        <v>562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453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568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438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/>
    </row>
    <row r="191" spans="1:12">
      <c r="A191" s="20" t="s">
        <v>569</v>
      </c>
    </row>
    <row r="192" spans="1:12">
      <c r="A192" s="20" t="s">
        <v>570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571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572</v>
      </c>
      <c r="B194" s="21" t="s">
        <v>556</v>
      </c>
      <c r="C194" s="21" t="s">
        <v>423</v>
      </c>
      <c r="D194" s="21" t="s">
        <v>424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573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574</v>
      </c>
      <c r="B196" s="21" t="s">
        <v>444</v>
      </c>
      <c r="C196" s="21" t="s">
        <v>481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453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560</v>
      </c>
      <c r="B198" s="21" t="s">
        <v>533</v>
      </c>
      <c r="C198" s="21" t="s">
        <v>477</v>
      </c>
      <c r="D198" s="21" t="s">
        <v>424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575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576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572</v>
      </c>
      <c r="B201" s="21" t="s">
        <v>422</v>
      </c>
      <c r="C201" s="21" t="s">
        <v>423</v>
      </c>
      <c r="D201" s="21" t="s">
        <v>424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577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438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/>
    </row>
    <row r="205" spans="1:12">
      <c r="A205" s="20" t="s">
        <v>578</v>
      </c>
    </row>
    <row r="206" spans="1:12">
      <c r="A206" s="20" t="s">
        <v>579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580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581</v>
      </c>
      <c r="B208" s="21" t="s">
        <v>422</v>
      </c>
      <c r="C208" s="21" t="s">
        <v>423</v>
      </c>
      <c r="D208" s="21" t="s">
        <v>424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582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583</v>
      </c>
      <c r="B210" s="21" t="s">
        <v>500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545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584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506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585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586</v>
      </c>
      <c r="B215" s="21" t="s">
        <v>434</v>
      </c>
      <c r="C215" s="21" t="s">
        <v>477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587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542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545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588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589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590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438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/>
    </row>
    <row r="224" spans="1:12">
      <c r="A224" s="20" t="s">
        <v>591</v>
      </c>
    </row>
    <row r="225" spans="1:12">
      <c r="A225" s="20" t="s">
        <v>579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482</v>
      </c>
      <c r="B226" s="21" t="s">
        <v>422</v>
      </c>
      <c r="C226" s="21" t="s">
        <v>477</v>
      </c>
      <c r="D226" s="21" t="s">
        <v>424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535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592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593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449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450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594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595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429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506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596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553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438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/>
    </row>
    <row r="240" spans="1:12">
      <c r="A240" s="20" t="s">
        <v>597</v>
      </c>
    </row>
    <row r="241" spans="1:12">
      <c r="A241" s="20" t="s">
        <v>598</v>
      </c>
      <c r="B241" s="21" t="s">
        <v>422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599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436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600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601</v>
      </c>
      <c r="B245" s="21" t="s">
        <v>533</v>
      </c>
      <c r="C245" s="21" t="s">
        <v>471</v>
      </c>
      <c r="D245" s="21" t="s">
        <v>424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453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602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581</v>
      </c>
      <c r="B248" s="21" t="s">
        <v>556</v>
      </c>
      <c r="C248" s="21" t="s">
        <v>423</v>
      </c>
      <c r="D248" s="21" t="s">
        <v>424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603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431</v>
      </c>
      <c r="B250" s="21" t="s">
        <v>444</v>
      </c>
      <c r="C250" s="21" t="s">
        <v>423</v>
      </c>
      <c r="D250" s="21" t="s">
        <v>424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438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/>
    </row>
    <row r="253" spans="1:12">
      <c r="A253" s="20" t="s">
        <v>604</v>
      </c>
    </row>
    <row r="254" spans="1:12">
      <c r="A254" s="20" t="s">
        <v>605</v>
      </c>
      <c r="B254" s="21" t="s">
        <v>422</v>
      </c>
      <c r="C254" s="21" t="s">
        <v>423</v>
      </c>
      <c r="D254" s="21" t="s">
        <v>424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606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607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465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329</v>
      </c>
      <c r="B258" s="21" t="s">
        <v>533</v>
      </c>
      <c r="C258" s="21" t="s">
        <v>477</v>
      </c>
      <c r="D258" s="21" t="s">
        <v>424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453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459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482</v>
      </c>
      <c r="B261" s="21" t="s">
        <v>462</v>
      </c>
      <c r="C261" s="21" t="s">
        <v>477</v>
      </c>
      <c r="D261" s="21" t="s">
        <v>424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608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609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610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453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602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611</v>
      </c>
      <c r="B267" s="21" t="s">
        <v>556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612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613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614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615</v>
      </c>
      <c r="B271" s="21" t="s">
        <v>434</v>
      </c>
      <c r="C271" s="21" t="s">
        <v>516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478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616</v>
      </c>
      <c r="B273" s="21" t="s">
        <v>432</v>
      </c>
      <c r="C273" s="21" t="s">
        <v>423</v>
      </c>
      <c r="D273" s="21" t="s">
        <v>424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438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/>
    </row>
    <row r="276" spans="1:12">
      <c r="A276" s="20" t="s">
        <v>617</v>
      </c>
    </row>
    <row r="277" spans="1:12">
      <c r="A277" s="20" t="s">
        <v>618</v>
      </c>
      <c r="B277" s="21" t="s">
        <v>422</v>
      </c>
      <c r="C277" s="21" t="s">
        <v>423</v>
      </c>
      <c r="D277" s="21" t="s">
        <v>424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619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620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621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430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622</v>
      </c>
      <c r="B282" s="21" t="s">
        <v>462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623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624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625</v>
      </c>
      <c r="B285" s="21" t="s">
        <v>432</v>
      </c>
      <c r="C285" s="21" t="s">
        <v>471</v>
      </c>
      <c r="D285" s="21" t="s">
        <v>424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626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627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628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629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429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438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/>
    </row>
    <row r="293" spans="1:12">
      <c r="A293" s="20" t="s">
        <v>630</v>
      </c>
    </row>
    <row r="294" spans="1:12">
      <c r="A294" s="20" t="s">
        <v>631</v>
      </c>
      <c r="B294" s="21" t="s">
        <v>422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632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443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626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96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633</v>
      </c>
      <c r="B299" s="21" t="s">
        <v>444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506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634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635</v>
      </c>
      <c r="B302" s="21" t="s">
        <v>434</v>
      </c>
      <c r="C302" s="21" t="s">
        <v>448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453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602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636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96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590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506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637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438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/>
    </row>
    <row r="312" spans="1:12">
      <c r="A312" s="20" t="s">
        <v>638</v>
      </c>
    </row>
    <row r="313" spans="1:12">
      <c r="A313" s="20" t="s">
        <v>605</v>
      </c>
      <c r="B313" s="21" t="s">
        <v>556</v>
      </c>
      <c r="C313" s="21" t="s">
        <v>423</v>
      </c>
      <c r="D313" s="21" t="s">
        <v>424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639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640</v>
      </c>
      <c r="B315" s="21" t="s">
        <v>444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641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642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643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453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449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450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644</v>
      </c>
      <c r="B322" s="21" t="s">
        <v>500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615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453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645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646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647</v>
      </c>
      <c r="B327" s="21" t="s">
        <v>434</v>
      </c>
      <c r="C327" s="21" t="s">
        <v>481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453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648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453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649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650</v>
      </c>
      <c r="B332" s="21" t="s">
        <v>462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651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652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453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653</v>
      </c>
      <c r="B336" s="21" t="s">
        <v>500</v>
      </c>
      <c r="C336" s="21" t="s">
        <v>423</v>
      </c>
      <c r="D336" s="21" t="s">
        <v>424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654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506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655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656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453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657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658</v>
      </c>
      <c r="B343" s="21" t="s">
        <v>659</v>
      </c>
      <c r="C343" s="21" t="s">
        <v>481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453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660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453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661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662</v>
      </c>
      <c r="B348" s="21" t="s">
        <v>556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663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605</v>
      </c>
      <c r="B350" s="21" t="s">
        <v>470</v>
      </c>
      <c r="C350" s="21" t="s">
        <v>423</v>
      </c>
      <c r="D350" s="21" t="s">
        <v>424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664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453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459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665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666</v>
      </c>
      <c r="B355" s="21" t="s">
        <v>476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453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667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668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623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624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625</v>
      </c>
      <c r="B361" s="21" t="s">
        <v>669</v>
      </c>
      <c r="C361" s="21" t="s">
        <v>471</v>
      </c>
      <c r="D361" s="21" t="s">
        <v>424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453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430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459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665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666</v>
      </c>
      <c r="B366" s="21" t="s">
        <v>562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670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671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506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672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673</v>
      </c>
      <c r="B371" s="21" t="s">
        <v>480</v>
      </c>
      <c r="C371" s="21" t="s">
        <v>448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674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632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675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676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677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643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678</v>
      </c>
      <c r="B378" s="21" t="s">
        <v>679</v>
      </c>
      <c r="C378" s="21" t="s">
        <v>680</v>
      </c>
      <c r="D378" s="21" t="s">
        <v>424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681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438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/>
    </row>
    <row r="382" spans="1:12">
      <c r="A382" s="20" t="s">
        <v>682</v>
      </c>
    </row>
    <row r="383" spans="1:12">
      <c r="A383" s="20" t="s">
        <v>579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683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684</v>
      </c>
      <c r="B385" s="21" t="s">
        <v>422</v>
      </c>
      <c r="C385" s="21" t="s">
        <v>471</v>
      </c>
      <c r="D385" s="21" t="s">
        <v>424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641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642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643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464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465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685</v>
      </c>
      <c r="B391" s="21" t="s">
        <v>533</v>
      </c>
      <c r="C391" s="21" t="s">
        <v>435</v>
      </c>
      <c r="D391" s="21" t="s">
        <v>424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490</v>
      </c>
      <c r="B392" s="21" t="s">
        <v>659</v>
      </c>
      <c r="C392" s="21" t="s">
        <v>477</v>
      </c>
      <c r="D392" s="21" t="s">
        <v>424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453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459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443</v>
      </c>
      <c r="B395" s="21" t="s">
        <v>470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686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687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688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689</v>
      </c>
      <c r="B399" s="21" t="s">
        <v>470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453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558</v>
      </c>
      <c r="B401" s="21" t="s">
        <v>483</v>
      </c>
      <c r="C401" s="21" t="s">
        <v>481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449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450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690</v>
      </c>
      <c r="B404" s="21" t="s">
        <v>691</v>
      </c>
      <c r="C404" s="21" t="s">
        <v>423</v>
      </c>
      <c r="D404" s="21" t="s">
        <v>424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692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693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438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/>
    </row>
    <row r="409" spans="1:12">
      <c r="A409" s="20" t="s">
        <v>694</v>
      </c>
    </row>
    <row r="410" spans="1:12">
      <c r="A410" s="20" t="s">
        <v>695</v>
      </c>
      <c r="B410" s="21" t="s">
        <v>422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696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697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506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698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699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700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453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609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701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453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430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702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703</v>
      </c>
      <c r="B423" s="21" t="s">
        <v>422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453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704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430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705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706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707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708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709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438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/>
    </row>
    <row r="434" spans="1:12">
      <c r="A434" s="20" t="s">
        <v>710</v>
      </c>
    </row>
    <row r="435" spans="1:12">
      <c r="A435" s="20" t="s">
        <v>711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465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624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712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713</v>
      </c>
      <c r="B439" s="21" t="s">
        <v>533</v>
      </c>
      <c r="C439" s="21" t="s">
        <v>471</v>
      </c>
      <c r="D439" s="21" t="s">
        <v>424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453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714</v>
      </c>
      <c r="B441" s="21" t="s">
        <v>659</v>
      </c>
      <c r="C441" s="21" t="s">
        <v>435</v>
      </c>
      <c r="D441" s="21" t="s">
        <v>424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534</v>
      </c>
      <c r="B442" s="21" t="s">
        <v>434</v>
      </c>
      <c r="C442" s="21" t="s">
        <v>520</v>
      </c>
      <c r="D442" s="21" t="s">
        <v>424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428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564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643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676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715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430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716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430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714</v>
      </c>
      <c r="B451" s="21" t="s">
        <v>491</v>
      </c>
      <c r="C451" s="21" t="s">
        <v>435</v>
      </c>
      <c r="D451" s="21" t="s">
        <v>424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717</v>
      </c>
      <c r="B452" s="21" t="s">
        <v>480</v>
      </c>
      <c r="C452" s="21" t="s">
        <v>520</v>
      </c>
      <c r="D452" s="21" t="s">
        <v>424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428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641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642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643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453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718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719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720</v>
      </c>
      <c r="B460" s="21" t="s">
        <v>721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453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430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535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722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723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608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724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725</v>
      </c>
      <c r="B468" s="21" t="s">
        <v>422</v>
      </c>
      <c r="C468" s="21" t="s">
        <v>516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443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12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429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438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/>
    </row>
    <row r="474" spans="1:12">
      <c r="A474" s="20" t="s">
        <v>726</v>
      </c>
    </row>
    <row r="475" spans="1:12">
      <c r="A475" s="20" t="s">
        <v>727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728</v>
      </c>
      <c r="B476" s="21" t="s">
        <v>422</v>
      </c>
      <c r="C476" s="21" t="s">
        <v>423</v>
      </c>
      <c r="D476" s="21" t="s">
        <v>424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425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729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428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730</v>
      </c>
      <c r="B480" s="21" t="s">
        <v>659</v>
      </c>
      <c r="C480" s="21" t="s">
        <v>477</v>
      </c>
      <c r="D480" s="21" t="s">
        <v>424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453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459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468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731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732</v>
      </c>
      <c r="B485" s="21" t="s">
        <v>470</v>
      </c>
      <c r="C485" s="21" t="s">
        <v>471</v>
      </c>
      <c r="D485" s="21" t="s">
        <v>424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733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460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734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438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/>
    </row>
    <row r="491" spans="1:12">
      <c r="A491" s="20" t="s">
        <v>735</v>
      </c>
    </row>
    <row r="492" spans="1:12">
      <c r="A492" s="20" t="s">
        <v>736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737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453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738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739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465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688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689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438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/>
    </row>
    <row r="502" spans="1:12">
      <c r="A502" s="20" t="s">
        <v>740</v>
      </c>
    </row>
    <row r="503" spans="1:12">
      <c r="A503" s="20" t="s">
        <v>741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689</v>
      </c>
      <c r="B504" s="21" t="s">
        <v>422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742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743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744</v>
      </c>
      <c r="B507" s="21" t="s">
        <v>533</v>
      </c>
      <c r="C507" s="21" t="s">
        <v>516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438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/>
    </row>
    <row r="510" spans="1:12">
      <c r="A510" s="20" t="s">
        <v>745</v>
      </c>
    </row>
    <row r="511" spans="1:12">
      <c r="A511" s="20" t="s">
        <v>746</v>
      </c>
      <c r="B511" s="21" t="s">
        <v>422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747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748</v>
      </c>
      <c r="B513" s="21" t="s">
        <v>500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436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749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750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453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751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487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566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752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753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438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/>
    </row>
    <row r="525" spans="1:12">
      <c r="A525" s="20" t="s">
        <v>754</v>
      </c>
    </row>
    <row r="526" spans="1:12">
      <c r="A526" s="20" t="s">
        <v>755</v>
      </c>
      <c r="B526" s="21" t="s">
        <v>422</v>
      </c>
      <c r="C526" s="21" t="s">
        <v>477</v>
      </c>
      <c r="D526" s="21" t="s">
        <v>424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756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757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758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430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433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453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759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506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760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761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762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763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438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/>
    </row>
    <row r="541" spans="1:12">
      <c r="A541" s="20" t="s">
        <v>764</v>
      </c>
    </row>
    <row r="542" spans="1:12">
      <c r="A542" s="20" t="s">
        <v>765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766</v>
      </c>
      <c r="B543" s="21" t="s">
        <v>444</v>
      </c>
      <c r="C543" s="21" t="s">
        <v>423</v>
      </c>
      <c r="D543" s="21" t="s">
        <v>424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767</v>
      </c>
      <c r="B544" s="21" t="s">
        <v>444</v>
      </c>
      <c r="C544" s="21" t="s">
        <v>423</v>
      </c>
      <c r="D544" s="21" t="s">
        <v>424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768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623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769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770</v>
      </c>
      <c r="B548" s="21" t="s">
        <v>659</v>
      </c>
      <c r="C548" s="21" t="s">
        <v>516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453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771</v>
      </c>
      <c r="B550" s="21" t="s">
        <v>422</v>
      </c>
      <c r="C550" s="21" t="s">
        <v>423</v>
      </c>
      <c r="D550" s="21" t="s">
        <v>424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772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773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436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774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775</v>
      </c>
      <c r="B555" s="21" t="s">
        <v>533</v>
      </c>
      <c r="C555" s="21" t="s">
        <v>471</v>
      </c>
      <c r="D555" s="21" t="s">
        <v>424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453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776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598</v>
      </c>
      <c r="B558" s="21" t="s">
        <v>462</v>
      </c>
      <c r="C558" s="21" t="s">
        <v>520</v>
      </c>
      <c r="D558" s="21" t="s">
        <v>424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430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550</v>
      </c>
      <c r="B560" s="21" t="s">
        <v>432</v>
      </c>
      <c r="C560" s="21" t="s">
        <v>520</v>
      </c>
      <c r="D560" s="21" t="s">
        <v>424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777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778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779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780</v>
      </c>
      <c r="B564" s="21" t="s">
        <v>781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438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/>
    </row>
    <row r="567" spans="1:12">
      <c r="A567" s="20" t="s">
        <v>782</v>
      </c>
    </row>
    <row r="568" spans="1:12">
      <c r="A568" s="20" t="s">
        <v>783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784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453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436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785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786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453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787</v>
      </c>
      <c r="B575" s="21" t="s">
        <v>422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465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788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789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790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791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453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699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688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787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453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792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658</v>
      </c>
      <c r="B587" s="21" t="s">
        <v>659</v>
      </c>
      <c r="C587" s="21" t="s">
        <v>481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793</v>
      </c>
      <c r="B588" s="21" t="s">
        <v>556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453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794</v>
      </c>
      <c r="B590" s="21" t="s">
        <v>434</v>
      </c>
      <c r="C590" s="21" t="s">
        <v>520</v>
      </c>
      <c r="D590" s="21" t="s">
        <v>424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453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795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796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797</v>
      </c>
      <c r="B594" s="21" t="s">
        <v>444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438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/>
    </row>
    <row r="597" spans="1:12">
      <c r="A597" s="20" t="s">
        <v>798</v>
      </c>
    </row>
    <row r="598" spans="1:12">
      <c r="A598" s="20" t="s">
        <v>799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800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688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787</v>
      </c>
      <c r="B601" s="21" t="s">
        <v>422</v>
      </c>
      <c r="C601" s="21" t="s">
        <v>471</v>
      </c>
      <c r="D601" s="21" t="s">
        <v>424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801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802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803</v>
      </c>
      <c r="B604" s="21" t="s">
        <v>500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453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804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502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688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689</v>
      </c>
      <c r="B609" s="21" t="s">
        <v>462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805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806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453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807</v>
      </c>
      <c r="B613" s="21" t="s">
        <v>476</v>
      </c>
      <c r="C613" s="21" t="s">
        <v>481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808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641</v>
      </c>
      <c r="B615" s="21" t="s">
        <v>809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642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643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453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430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771</v>
      </c>
      <c r="B620" s="21" t="s">
        <v>470</v>
      </c>
      <c r="C620" s="21" t="s">
        <v>423</v>
      </c>
      <c r="D620" s="21" t="s">
        <v>424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789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453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329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810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465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811</v>
      </c>
      <c r="B626" s="21" t="s">
        <v>434</v>
      </c>
      <c r="C626" s="21" t="s">
        <v>477</v>
      </c>
      <c r="D626" s="21" t="s">
        <v>424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651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812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438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/>
    </row>
    <row r="631" spans="1:12">
      <c r="A631" s="20" t="s">
        <v>813</v>
      </c>
    </row>
    <row r="632" spans="1:12">
      <c r="A632" s="20" t="s">
        <v>814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815</v>
      </c>
      <c r="B633" s="21" t="s">
        <v>422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506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816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817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818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430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641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642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643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819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449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820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821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822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438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/>
    </row>
    <row r="649" spans="1:12">
      <c r="A649" s="20" t="s">
        <v>823</v>
      </c>
    </row>
    <row r="650" spans="1:12">
      <c r="A650" s="20" t="s">
        <v>618</v>
      </c>
      <c r="B650" s="21" t="s">
        <v>422</v>
      </c>
      <c r="C650" s="21" t="s">
        <v>423</v>
      </c>
      <c r="D650" s="21" t="s">
        <v>424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636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824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612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453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602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819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438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/>
    </row>
    <row r="659" spans="1:12">
      <c r="A659" s="20" t="s">
        <v>825</v>
      </c>
    </row>
    <row r="660" spans="1:12">
      <c r="A660" s="20" t="s">
        <v>783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784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453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826</v>
      </c>
      <c r="B663" s="21" t="s">
        <v>422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506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827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510</v>
      </c>
      <c r="B666" s="21" t="s">
        <v>659</v>
      </c>
      <c r="C666" s="21" t="s">
        <v>516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828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829</v>
      </c>
      <c r="B668" s="21" t="s">
        <v>500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830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831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832</v>
      </c>
      <c r="B671" s="21" t="s">
        <v>781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506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827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833</v>
      </c>
      <c r="B674" s="21" t="s">
        <v>434</v>
      </c>
      <c r="C674" s="21" t="s">
        <v>516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641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834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643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545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835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453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632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836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453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632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545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837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838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506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839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833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438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/>
    </row>
    <row r="693" spans="1:12">
      <c r="A693" s="20" t="s">
        <v>840</v>
      </c>
    </row>
    <row r="694" spans="1:12">
      <c r="A694" s="20" t="s">
        <v>755</v>
      </c>
      <c r="B694" s="21" t="s">
        <v>422</v>
      </c>
      <c r="C694" s="21" t="s">
        <v>477</v>
      </c>
      <c r="D694" s="21" t="s">
        <v>424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636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841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842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126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438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/>
    </row>
    <row r="701" spans="1:12">
      <c r="A701" s="20" t="s">
        <v>843</v>
      </c>
    </row>
    <row r="702" spans="1:12">
      <c r="A702" s="20" t="s">
        <v>844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555</v>
      </c>
      <c r="B703" s="21" t="s">
        <v>422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609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845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846</v>
      </c>
      <c r="B706" s="21" t="s">
        <v>659</v>
      </c>
      <c r="C706" s="21" t="s">
        <v>435</v>
      </c>
      <c r="D706" s="21" t="s">
        <v>424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490</v>
      </c>
      <c r="B707" s="21" t="s">
        <v>434</v>
      </c>
      <c r="C707" s="21" t="s">
        <v>477</v>
      </c>
      <c r="D707" s="21" t="s">
        <v>424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453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459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482</v>
      </c>
      <c r="B710" s="21" t="s">
        <v>476</v>
      </c>
      <c r="C710" s="21" t="s">
        <v>477</v>
      </c>
      <c r="D710" s="21" t="s">
        <v>424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847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848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438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/>
    </row>
    <row r="715" spans="1:12">
      <c r="A715" s="20" t="s">
        <v>849</v>
      </c>
    </row>
    <row r="716" spans="1:12">
      <c r="A716" s="20" t="s">
        <v>850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851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486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852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443</v>
      </c>
      <c r="B720" s="21" t="s">
        <v>422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438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/>
    </row>
    <row r="723" spans="1:12">
      <c r="A723" s="20" t="s">
        <v>853</v>
      </c>
    </row>
    <row r="724" spans="1:12">
      <c r="A724" s="20" t="s">
        <v>854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443</v>
      </c>
      <c r="B725" s="21" t="s">
        <v>422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506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855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856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506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857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858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859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506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860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861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862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438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/>
    </row>
    <row r="739" spans="1:12">
      <c r="A739" s="20" t="s">
        <v>863</v>
      </c>
    </row>
    <row r="740" spans="1:12">
      <c r="A740" s="20" t="s">
        <v>864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865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643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866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867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868</v>
      </c>
      <c r="B745" s="21" t="s">
        <v>422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438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/>
    </row>
    <row r="748" spans="1:12">
      <c r="A748" s="20" t="s">
        <v>869</v>
      </c>
    </row>
    <row r="749" spans="1:12">
      <c r="A749" s="20" t="s">
        <v>870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871</v>
      </c>
      <c r="B750" s="21" t="s">
        <v>422</v>
      </c>
      <c r="C750" s="21" t="s">
        <v>520</v>
      </c>
      <c r="D750" s="21" t="s">
        <v>424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12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872</v>
      </c>
      <c r="B752" s="21" t="s">
        <v>659</v>
      </c>
      <c r="C752" s="21" t="s">
        <v>520</v>
      </c>
      <c r="D752" s="21" t="s">
        <v>424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430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873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794</v>
      </c>
      <c r="B755" s="21" t="s">
        <v>434</v>
      </c>
      <c r="C755" s="21" t="s">
        <v>520</v>
      </c>
      <c r="D755" s="21" t="s">
        <v>424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453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874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467</v>
      </c>
      <c r="B758" s="21" t="s">
        <v>556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875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876</v>
      </c>
      <c r="B760" s="21" t="s">
        <v>444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877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465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555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878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879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430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880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881</v>
      </c>
      <c r="B768" s="21" t="s">
        <v>462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882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506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883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438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/>
    </row>
    <row r="774" spans="1:12">
      <c r="A774" s="20" t="s">
        <v>884</v>
      </c>
    </row>
    <row r="775" spans="1:12">
      <c r="A775" s="20" t="s">
        <v>885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453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886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453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482</v>
      </c>
      <c r="B779" s="21" t="s">
        <v>422</v>
      </c>
      <c r="C779" s="21" t="s">
        <v>477</v>
      </c>
      <c r="D779" s="21" t="s">
        <v>424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609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887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149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438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/>
    </row>
    <row r="785" spans="1:12">
      <c r="A785" s="20" t="s">
        <v>888</v>
      </c>
    </row>
    <row r="786" spans="1:12">
      <c r="A786" s="20" t="s">
        <v>889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453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506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696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890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673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482</v>
      </c>
      <c r="B792" s="21" t="s">
        <v>422</v>
      </c>
      <c r="C792" s="21" t="s">
        <v>477</v>
      </c>
      <c r="D792" s="21" t="s">
        <v>424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671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149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891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892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893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794</v>
      </c>
      <c r="B798" s="21" t="s">
        <v>434</v>
      </c>
      <c r="C798" s="21" t="s">
        <v>520</v>
      </c>
      <c r="D798" s="21" t="s">
        <v>424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438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/>
    </row>
    <row r="801" spans="1:12">
      <c r="A801" s="20" t="s">
        <v>894</v>
      </c>
    </row>
    <row r="802" spans="1:12">
      <c r="A802" s="20" t="s">
        <v>755</v>
      </c>
      <c r="B802" s="21" t="s">
        <v>422</v>
      </c>
      <c r="C802" s="21" t="s">
        <v>477</v>
      </c>
      <c r="D802" s="21" t="s">
        <v>424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149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428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895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896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897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453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898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641</v>
      </c>
      <c r="B810" s="21" t="s">
        <v>781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642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643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430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899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900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901</v>
      </c>
      <c r="B816" s="21" t="s">
        <v>809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453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632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459</v>
      </c>
      <c r="B819" s="21" t="s">
        <v>809</v>
      </c>
      <c r="C819" s="21" t="s">
        <v>481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492</v>
      </c>
      <c r="B820" s="21" t="s">
        <v>476</v>
      </c>
      <c r="C820" s="21" t="s">
        <v>423</v>
      </c>
      <c r="D820" s="21" t="s">
        <v>424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902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903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438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/>
    </row>
    <row r="825" spans="1:12">
      <c r="A825" s="20" t="s">
        <v>904</v>
      </c>
    </row>
    <row r="826" spans="1:12">
      <c r="A826" s="20" t="s">
        <v>905</v>
      </c>
      <c r="B826" s="21" t="s">
        <v>500</v>
      </c>
      <c r="C826" s="21" t="s">
        <v>423</v>
      </c>
      <c r="D826" s="21" t="s">
        <v>424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906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907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908</v>
      </c>
      <c r="B829" s="21" t="s">
        <v>500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518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459</v>
      </c>
      <c r="B831" s="21" t="s">
        <v>462</v>
      </c>
      <c r="C831" s="21" t="s">
        <v>481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909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910</v>
      </c>
      <c r="B833" s="21" t="s">
        <v>781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776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911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912</v>
      </c>
      <c r="B836" s="21" t="s">
        <v>470</v>
      </c>
      <c r="C836" s="21" t="s">
        <v>520</v>
      </c>
      <c r="D836" s="21" t="s">
        <v>424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636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913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571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443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12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914</v>
      </c>
      <c r="B842" s="21" t="s">
        <v>462</v>
      </c>
      <c r="C842" s="21" t="s">
        <v>516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915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/>
    </row>
    <row r="845" spans="1:12">
      <c r="A845" s="20" t="s">
        <v>916</v>
      </c>
    </row>
    <row r="846" spans="1:12">
      <c r="A846" s="20" t="s">
        <v>579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482</v>
      </c>
      <c r="B847" s="21" t="s">
        <v>422</v>
      </c>
      <c r="C847" s="21" t="s">
        <v>477</v>
      </c>
      <c r="D847" s="21" t="s">
        <v>424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535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917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918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490</v>
      </c>
      <c r="B851" s="21" t="s">
        <v>533</v>
      </c>
      <c r="C851" s="21" t="s">
        <v>477</v>
      </c>
      <c r="D851" s="21" t="s">
        <v>424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453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313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919</v>
      </c>
      <c r="B854" s="21" t="s">
        <v>556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920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921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438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/>
    </row>
    <row r="859" spans="1:12">
      <c r="A859" s="20" t="s">
        <v>922</v>
      </c>
    </row>
    <row r="860" spans="1:12">
      <c r="A860" s="20" t="s">
        <v>885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492</v>
      </c>
      <c r="B861" s="21" t="s">
        <v>422</v>
      </c>
      <c r="C861" s="21" t="s">
        <v>423</v>
      </c>
      <c r="D861" s="21" t="s">
        <v>424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453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886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453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923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459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482</v>
      </c>
      <c r="B867" s="21" t="s">
        <v>556</v>
      </c>
      <c r="C867" s="21" t="s">
        <v>477</v>
      </c>
      <c r="D867" s="21" t="s">
        <v>424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518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482</v>
      </c>
      <c r="B869" s="21" t="s">
        <v>659</v>
      </c>
      <c r="C869" s="21" t="s">
        <v>477</v>
      </c>
      <c r="D869" s="21" t="s">
        <v>424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924</v>
      </c>
      <c r="B870" s="21" t="s">
        <v>533</v>
      </c>
      <c r="C870" s="21" t="s">
        <v>520</v>
      </c>
      <c r="D870" s="21" t="s">
        <v>424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438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/>
    </row>
    <row r="873" spans="1:12">
      <c r="A873" s="20" t="s">
        <v>925</v>
      </c>
    </row>
    <row r="874" spans="1:12">
      <c r="A874" s="20" t="s">
        <v>926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506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927</v>
      </c>
      <c r="B876" s="21" t="s">
        <v>434</v>
      </c>
      <c r="C876" s="21" t="s">
        <v>520</v>
      </c>
      <c r="D876" s="21" t="s">
        <v>424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486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636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431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662</v>
      </c>
      <c r="B880" s="21" t="s">
        <v>556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438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486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329</v>
      </c>
      <c r="B883" s="21" t="s">
        <v>422</v>
      </c>
      <c r="C883" s="21" t="s">
        <v>477</v>
      </c>
      <c r="D883" s="21" t="s">
        <v>424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453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313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 t="s">
        <v>928</v>
      </c>
      <c r="B886" s="21" t="s">
        <v>462</v>
      </c>
      <c r="C886" s="21" t="s">
        <v>423</v>
      </c>
      <c r="D886" s="21" t="s">
        <v>424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929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 t="s">
        <v>438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/>
    </row>
    <row r="890" spans="1:12">
      <c r="A890" s="20" t="s">
        <v>930</v>
      </c>
    </row>
    <row r="891" spans="1:12">
      <c r="A891" s="20" t="s">
        <v>924</v>
      </c>
      <c r="B891" s="21" t="s">
        <v>422</v>
      </c>
      <c r="C891" s="21" t="s">
        <v>520</v>
      </c>
      <c r="D891" s="21" t="s">
        <v>424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453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886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453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486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 t="s">
        <v>931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453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932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431</v>
      </c>
      <c r="B899" s="21" t="s">
        <v>432</v>
      </c>
      <c r="C899" s="21" t="s">
        <v>423</v>
      </c>
      <c r="D899" s="21" t="s">
        <v>424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933</v>
      </c>
      <c r="B900" s="21" t="s">
        <v>434</v>
      </c>
      <c r="C900" s="21" t="s">
        <v>435</v>
      </c>
      <c r="D900" s="21" t="s">
        <v>424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438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/>
    </row>
    <row r="903" spans="1:12">
      <c r="A903" s="20" t="s">
        <v>934</v>
      </c>
    </row>
    <row r="904" spans="1:12">
      <c r="A904" s="20" t="s">
        <v>579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482</v>
      </c>
      <c r="B905" s="21" t="s">
        <v>422</v>
      </c>
      <c r="C905" s="21" t="s">
        <v>477</v>
      </c>
      <c r="D905" s="21" t="s">
        <v>424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453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460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453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935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 t="s">
        <v>329</v>
      </c>
      <c r="B910" s="21" t="s">
        <v>500</v>
      </c>
      <c r="C910" s="21" t="s">
        <v>477</v>
      </c>
      <c r="D910" s="21" t="s">
        <v>424</v>
      </c>
      <c r="E910" s="22">
        <f>IF(D910="?OLD","!!!","")</f>
        <v/>
      </c>
      <c r="F910" s="23" t="str">
        <f>IF(OR(E910="",E910="!!!"),"",IF(NOT(ISNA(VLOOKUP(E910,E$1:E909,1,FALSE()))),"OLD",IF(AND(E910&lt;&gt;"",E910&lt;&gt;"!!!"),"NEW","")))</f>
        <v> </v>
      </c>
      <c r="G910" s="24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5" t="str">
        <f>IF(J910&lt;&gt;1,"",IF(I910="SBJ","CB","?"))</f>
        <v> </v>
      </c>
      <c r="I910" s="26" t="str">
        <f>IF(OR(E910="",E910="!!!",F910="NEW"),"",INDEX(B909:B$2,-1+SUMPRODUCT(MAX(ROW(E909:E$2)*(E910=E909:E$2)))))</f>
        <v> </v>
      </c>
      <c r="J910" s="26" t="str">
        <f>IF(OR(E910="",E910="!!!",F910="NEW"),"",COUNTBLANK(OFFSET(A$1,,,SUMPRODUCT(MAX(ROW(E$2:E910)*(E910=E$2:E910)))))-COUNTBLANK(OFFSET(A$1,,,SUMPRODUCT(MAX(ROW(E$1:E909)*(E2=E$1:E909))))))</f>
        <v> </v>
      </c>
      <c r="K910" s="26" t="str">
        <f>IF(OR(E910="",E910="!!!",F910="NEW"),"",INDEX(J$1:J909,SUMPRODUCT(MAX(ROW(E$1:E909)*(E910=E$1:E909)))))</f>
        <v> </v>
      </c>
      <c r="L910" s="27"/>
    </row>
    <row r="911" spans="1:12">
      <c r="A911" s="20" t="s">
        <v>453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 t="s">
        <v>459</v>
      </c>
      <c r="B912" s="21" t="s">
        <v>536</v>
      </c>
      <c r="C912" s="21" t="s">
        <v>481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 t="s">
        <v>537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539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936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937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893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794</v>
      </c>
      <c r="B918" s="21" t="s">
        <v>491</v>
      </c>
      <c r="C918" s="21" t="s">
        <v>520</v>
      </c>
      <c r="D918" s="21" t="s">
        <v>424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453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937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453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506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760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938</v>
      </c>
      <c r="B924" s="21" t="s">
        <v>491</v>
      </c>
      <c r="C924" s="21" t="s">
        <v>481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794</v>
      </c>
      <c r="E925" s="22">
        <f>IF(D925="?OLD","!!!","")</f>
        <v/>
      </c>
      <c r="F925" s="23" t="str">
        <f>IF(OR(E925="",E925="!!!"),"",IF(NOT(ISNA(VLOOKUP(E925,E$1:E924,1,FALSE()))),"OLD",IF(AND(E925&lt;&gt;"",E925&lt;&gt;"!!!"),"NEW","")))</f>
        <v> </v>
      </c>
      <c r="G925" s="24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5" t="str">
        <f>IF(J925&lt;&gt;1,"",IF(I925="SBJ","CB","?"))</f>
        <v> </v>
      </c>
      <c r="I925" s="26" t="str">
        <f>IF(OR(E925="",E925="!!!",F925="NEW"),"",INDEX(B924:B$2,-1+SUMPRODUCT(MAX(ROW(E924:E$2)*(E925=E924:E$2)))))</f>
        <v> </v>
      </c>
      <c r="J925" s="26" t="str">
        <f>IF(OR(E925="",E925="!!!",F925="NEW"),"",COUNTBLANK(OFFSET(A$1,,,SUMPRODUCT(MAX(ROW(E$2:E925)*(E925=E$2:E925)))))-COUNTBLANK(OFFSET(A$1,,,SUMPRODUCT(MAX(ROW(E$1:E924)*(E2=E$1:E924))))))</f>
        <v> </v>
      </c>
      <c r="K925" s="26" t="str">
        <f>IF(OR(E925="",E925="!!!",F925="NEW"),"",INDEX(J$1:J924,SUMPRODUCT(MAX(ROW(E$1:E924)*(E925=E$1:E924)))))</f>
        <v> </v>
      </c>
      <c r="L925" s="27"/>
    </row>
    <row r="926" spans="1:12">
      <c r="A926" s="20" t="s">
        <v>313</v>
      </c>
      <c r="E926" s="22">
        <f>IF(D926="?OLD","!!!","")</f>
        <v/>
      </c>
      <c r="F926" s="23" t="str">
        <f>IF(OR(E926="",E926="!!!"),"",IF(NOT(ISNA(VLOOKUP(E926,E$1:E925,1,FALSE()))),"OLD",IF(AND(E926&lt;&gt;"",E926&lt;&gt;"!!!"),"NEW","")))</f>
        <v> </v>
      </c>
      <c r="G926" s="24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5" t="str">
        <f>IF(J926&lt;&gt;1,"",IF(I926="SBJ","CB","?"))</f>
        <v> </v>
      </c>
      <c r="I926" s="26" t="str">
        <f>IF(OR(E926="",E926="!!!",F926="NEW"),"",INDEX(B925:B$2,-1+SUMPRODUCT(MAX(ROW(E925:E$2)*(E926=E925:E$2)))))</f>
        <v> </v>
      </c>
      <c r="J926" s="26" t="str">
        <f>IF(OR(E926="",E926="!!!",F926="NEW"),"",COUNTBLANK(OFFSET(A$1,,,SUMPRODUCT(MAX(ROW(E$2:E926)*(E926=E$2:E926)))))-COUNTBLANK(OFFSET(A$1,,,SUMPRODUCT(MAX(ROW(E$1:E925)*(E2=E$1:E925))))))</f>
        <v> </v>
      </c>
      <c r="K926" s="26" t="str">
        <f>IF(OR(E926="",E926="!!!",F926="NEW"),"",INDEX(J$1:J925,SUMPRODUCT(MAX(ROW(E$1:E925)*(E926=E$1:E925)))))</f>
        <v> </v>
      </c>
      <c r="L926" s="27"/>
    </row>
    <row r="927" spans="1:12">
      <c r="A927" s="20" t="s">
        <v>939</v>
      </c>
      <c r="B927" s="21" t="s">
        <v>940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941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506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794</v>
      </c>
      <c r="B930" s="21" t="s">
        <v>669</v>
      </c>
      <c r="C930" s="21" t="s">
        <v>520</v>
      </c>
      <c r="D930" s="21" t="s">
        <v>424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12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942</v>
      </c>
      <c r="B932" s="21" t="s">
        <v>493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438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/>
    </row>
    <row r="935" spans="1:12">
      <c r="A935" s="20" t="s">
        <v>943</v>
      </c>
    </row>
    <row r="936" spans="1:12">
      <c r="A936" s="20" t="s">
        <v>605</v>
      </c>
      <c r="B936" s="21" t="s">
        <v>422</v>
      </c>
      <c r="C936" s="21" t="s">
        <v>423</v>
      </c>
      <c r="D936" s="21" t="s">
        <v>424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944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945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946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 t="s">
        <v>453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 t="s">
        <v>947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453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506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948</v>
      </c>
      <c r="B944" s="21" t="s">
        <v>432</v>
      </c>
      <c r="C944" s="21" t="s">
        <v>481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949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 t="s">
        <v>933</v>
      </c>
      <c r="E946" s="22">
        <f>IF(D946="?OLD","!!!","")</f>
        <v/>
      </c>
      <c r="F946" s="23" t="str">
        <f>IF(OR(E946="",E946="!!!"),"",IF(NOT(ISNA(VLOOKUP(E946,E$1:E945,1,FALSE()))),"OLD",IF(AND(E946&lt;&gt;"",E946&lt;&gt;"!!!"),"NEW","")))</f>
        <v> </v>
      </c>
      <c r="G946" s="24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5" t="str">
        <f>IF(J946&lt;&gt;1,"",IF(I946="SBJ","CB","?"))</f>
        <v> </v>
      </c>
      <c r="I946" s="26" t="str">
        <f>IF(OR(E946="",E946="!!!",F946="NEW"),"",INDEX(B945:B$2,-1+SUMPRODUCT(MAX(ROW(E945:E$2)*(E946=E945:E$2)))))</f>
        <v> </v>
      </c>
      <c r="J946" s="26" t="str">
        <f>IF(OR(E946="",E946="!!!",F946="NEW"),"",COUNTBLANK(OFFSET(A$1,,,SUMPRODUCT(MAX(ROW(E$2:E946)*(E946=E$2:E946)))))-COUNTBLANK(OFFSET(A$1,,,SUMPRODUCT(MAX(ROW(E$1:E945)*(E2=E$1:E945))))))</f>
        <v> </v>
      </c>
      <c r="K946" s="26" t="str">
        <f>IF(OR(E946="",E946="!!!",F946="NEW"),"",INDEX(J$1:J945,SUMPRODUCT(MAX(ROW(E$1:E945)*(E946=E$1:E945)))))</f>
        <v> </v>
      </c>
      <c r="L946" s="27"/>
    </row>
    <row r="947" spans="1:12">
      <c r="A947" s="20" t="s">
        <v>950</v>
      </c>
      <c r="B947" s="21" t="s">
        <v>470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430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951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952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733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953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954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438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/>
    </row>
    <row r="956" spans="1:12">
      <c r="A956" s="20" t="s">
        <v>955</v>
      </c>
    </row>
    <row r="957" spans="1:12">
      <c r="A957" s="20" t="s">
        <v>956</v>
      </c>
      <c r="B957" s="21" t="s">
        <v>500</v>
      </c>
      <c r="C957" s="21" t="s">
        <v>481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482</v>
      </c>
      <c r="B958" s="21" t="s">
        <v>422</v>
      </c>
      <c r="C958" s="21" t="s">
        <v>477</v>
      </c>
      <c r="D958" s="21" t="s">
        <v>424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465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957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958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959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506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 t="s">
        <v>960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 t="s">
        <v>914</v>
      </c>
      <c r="B965" s="21" t="s">
        <v>659</v>
      </c>
      <c r="C965" s="21" t="s">
        <v>435</v>
      </c>
      <c r="D965" s="21" t="s">
        <v>424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961</v>
      </c>
      <c r="B966" s="21" t="s">
        <v>434</v>
      </c>
      <c r="C966" s="21" t="s">
        <v>520</v>
      </c>
      <c r="D966" s="21" t="s">
        <v>424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12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534</v>
      </c>
      <c r="B968" s="21" t="s">
        <v>432</v>
      </c>
      <c r="C968" s="21" t="s">
        <v>520</v>
      </c>
      <c r="D968" s="21" t="s">
        <v>424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453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962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482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963</v>
      </c>
      <c r="B972" s="21" t="s">
        <v>556</v>
      </c>
      <c r="C972" s="21" t="s">
        <v>471</v>
      </c>
      <c r="D972" s="21" t="s">
        <v>424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634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964</v>
      </c>
      <c r="B974" s="21" t="s">
        <v>434</v>
      </c>
      <c r="C974" s="21" t="s">
        <v>448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965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715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438</v>
      </c>
      <c r="E977" s="22">
        <f>IF(D977="?OLD","!!!","")</f>
        <v/>
      </c>
      <c r="F977" s="23" t="str">
        <f>IF(OR(E977="",E977="!!!"),"",IF(NOT(ISNA(VLOOKUP(E977,E$1:E976,1,FALSE()))),"OLD",IF(AND(E977&lt;&gt;"",E977&lt;&gt;"!!!"),"NEW","")))</f>
        <v> </v>
      </c>
      <c r="G977" s="24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5" t="str">
        <f>IF(J977&lt;&gt;1,"",IF(I977="SBJ","CB","?"))</f>
        <v> </v>
      </c>
      <c r="I977" s="26" t="str">
        <f>IF(OR(E977="",E977="!!!",F977="NEW"),"",INDEX(B976:B$2,-1+SUMPRODUCT(MAX(ROW(E976:E$2)*(E977=E976:E$2)))))</f>
        <v> </v>
      </c>
      <c r="J977" s="26" t="str">
        <f>IF(OR(E977="",E977="!!!",F977="NEW"),"",COUNTBLANK(OFFSET(A$1,,,SUMPRODUCT(MAX(ROW(E$2:E977)*(E977=E$2:E977)))))-COUNTBLANK(OFFSET(A$1,,,SUMPRODUCT(MAX(ROW(E$1:E976)*(E2=E$1:E976))))))</f>
        <v> </v>
      </c>
      <c r="K977" s="26" t="str">
        <f>IF(OR(E977="",E977="!!!",F977="NEW"),"",INDEX(J$1:J976,SUMPRODUCT(MAX(ROW(E$1:E976)*(E977=E$1:E976)))))</f>
        <v> </v>
      </c>
      <c r="L977" s="27"/>
    </row>
    <row r="978" spans="1:12">
      <c r="A978" s="20"/>
    </row>
    <row r="979" spans="1:12">
      <c r="A979" s="20" t="s">
        <v>966</v>
      </c>
    </row>
    <row r="980" spans="1:12">
      <c r="A980" s="20" t="s">
        <v>967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453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459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968</v>
      </c>
      <c r="B983" s="21" t="s">
        <v>556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969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 t="s">
        <v>970</v>
      </c>
      <c r="E985" s="22">
        <f>IF(D985="?OLD","!!!","")</f>
        <v/>
      </c>
      <c r="F985" s="23" t="str">
        <f>IF(OR(E985="",E985="!!!"),"",IF(NOT(ISNA(VLOOKUP(E985,E$1:E984,1,FALSE()))),"OLD",IF(AND(E985&lt;&gt;"",E985&lt;&gt;"!!!"),"NEW","")))</f>
        <v> </v>
      </c>
      <c r="G985" s="24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5" t="str">
        <f>IF(J985&lt;&gt;1,"",IF(I985="SBJ","CB","?"))</f>
        <v> </v>
      </c>
      <c r="I985" s="26" t="str">
        <f>IF(OR(E985="",E985="!!!",F985="NEW"),"",INDEX(B984:B$2,-1+SUMPRODUCT(MAX(ROW(E984:E$2)*(E985=E984:E$2)))))</f>
        <v> </v>
      </c>
      <c r="J985" s="26" t="str">
        <f>IF(OR(E985="",E985="!!!",F985="NEW"),"",COUNTBLANK(OFFSET(A$1,,,SUMPRODUCT(MAX(ROW(E$2:E985)*(E985=E$2:E985)))))-COUNTBLANK(OFFSET(A$1,,,SUMPRODUCT(MAX(ROW(E$1:E984)*(E2=E$1:E984))))))</f>
        <v> </v>
      </c>
      <c r="K985" s="26" t="str">
        <f>IF(OR(E985="",E985="!!!",F985="NEW"),"",INDEX(J$1:J984,SUMPRODUCT(MAX(ROW(E$1:E984)*(E985=E$1:E984)))))</f>
        <v> </v>
      </c>
      <c r="L985" s="27"/>
    </row>
    <row r="986" spans="1:12">
      <c r="A986" s="20" t="s">
        <v>971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453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972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973</v>
      </c>
      <c r="B989" s="21" t="s">
        <v>691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453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819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974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975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976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977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 t="s">
        <v>978</v>
      </c>
      <c r="B996" s="21" t="s">
        <v>781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453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 t="s">
        <v>430</v>
      </c>
      <c r="E998" s="22">
        <f>IF(D998="?OLD","!!!","")</f>
        <v/>
      </c>
      <c r="F998" s="23" t="str">
        <f>IF(OR(E998="",E998="!!!"),"",IF(NOT(ISNA(VLOOKUP(E998,E$1:E997,1,FALSE()))),"OLD",IF(AND(E998&lt;&gt;"",E998&lt;&gt;"!!!"),"NEW","")))</f>
        <v> </v>
      </c>
      <c r="G998" s="24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5" t="str">
        <f>IF(J998&lt;&gt;1,"",IF(I998="SBJ","CB","?"))</f>
        <v> </v>
      </c>
      <c r="I998" s="26" t="str">
        <f>IF(OR(E998="",E998="!!!",F998="NEW"),"",INDEX(B997:B$2,-1+SUMPRODUCT(MAX(ROW(E997:E$2)*(E998=E997:E$2)))))</f>
        <v> </v>
      </c>
      <c r="J998" s="26" t="str">
        <f>IF(OR(E998="",E998="!!!",F998="NEW"),"",COUNTBLANK(OFFSET(A$1,,,SUMPRODUCT(MAX(ROW(E$2:E998)*(E998=E$2:E998)))))-COUNTBLANK(OFFSET(A$1,,,SUMPRODUCT(MAX(ROW(E$1:E997)*(E2=E$1:E997))))))</f>
        <v> </v>
      </c>
      <c r="K998" s="26" t="str">
        <f>IF(OR(E998="",E998="!!!",F998="NEW"),"",INDEX(J$1:J997,SUMPRODUCT(MAX(ROW(E$1:E997)*(E998=E$1:E997)))))</f>
        <v> </v>
      </c>
      <c r="L998" s="27"/>
    </row>
    <row r="999" spans="1:12">
      <c r="A999" s="20" t="s">
        <v>979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 t="s">
        <v>980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879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453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313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430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981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506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982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818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438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/>
    </row>
    <row r="1011" spans="1:12">
      <c r="A1011" s="20" t="s">
        <v>983</v>
      </c>
    </row>
    <row r="1012" spans="1:12">
      <c r="A1012" s="20" t="s">
        <v>984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329</v>
      </c>
      <c r="B1013" s="21" t="s">
        <v>422</v>
      </c>
      <c r="C1013" s="21" t="s">
        <v>477</v>
      </c>
      <c r="D1013" s="21" t="s">
        <v>424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 t="s">
        <v>453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459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985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986</v>
      </c>
      <c r="B1017" s="21" t="s">
        <v>462</v>
      </c>
      <c r="C1017" s="21" t="s">
        <v>435</v>
      </c>
      <c r="D1017" s="21" t="s">
        <v>424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600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 t="s">
        <v>641</v>
      </c>
      <c r="B1019" s="21" t="s">
        <v>432</v>
      </c>
      <c r="C1019" s="21" t="s">
        <v>471</v>
      </c>
      <c r="D1019" s="21" t="s">
        <v>424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642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 t="s">
        <v>643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944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987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453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449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821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490</v>
      </c>
      <c r="B1027" s="21" t="s">
        <v>491</v>
      </c>
      <c r="C1027" s="21" t="s">
        <v>477</v>
      </c>
      <c r="D1027" s="21" t="s">
        <v>424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453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313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988</v>
      </c>
      <c r="B1030" s="21" t="s">
        <v>476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989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329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990</v>
      </c>
      <c r="B1033" s="21" t="s">
        <v>809</v>
      </c>
      <c r="C1033" s="21" t="s">
        <v>471</v>
      </c>
      <c r="D1033" s="21" t="s">
        <v>424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453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506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 t="s">
        <v>991</v>
      </c>
      <c r="B1036" s="21" t="s">
        <v>480</v>
      </c>
      <c r="C1036" s="21" t="s">
        <v>481</v>
      </c>
      <c r="E1036" s="22">
        <f>IF(D1036="?OLD","!!!","")</f>
        <v/>
      </c>
      <c r="F1036" s="23" t="str">
        <f>IF(OR(E1036="",E1036="!!!"),"",IF(NOT(ISNA(VLOOKUP(E1036,E$1:E1035,1,FALSE()))),"OLD",IF(AND(E1036&lt;&gt;"",E1036&lt;&gt;"!!!"),"NEW","")))</f>
        <v> </v>
      </c>
      <c r="G1036" s="24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5" t="str">
        <f>IF(J1036&lt;&gt;1,"",IF(I1036="SBJ","CB","?"))</f>
        <v> </v>
      </c>
      <c r="I1036" s="26" t="str">
        <f>IF(OR(E1036="",E1036="!!!",F1036="NEW"),"",INDEX(B1035:B$2,-1+SUMPRODUCT(MAX(ROW(E1035:E$2)*(E1036=E1035:E$2)))))</f>
        <v> </v>
      </c>
      <c r="J1036" s="26" t="str">
        <f>IF(OR(E1036="",E1036="!!!",F1036="NEW"),"",COUNTBLANK(OFFSET(A$1,,,SUMPRODUCT(MAX(ROW(E$2:E1036)*(E1036=E$2:E1036)))))-COUNTBLANK(OFFSET(A$1,,,SUMPRODUCT(MAX(ROW(E$1:E1035)*(E2=E$1:E1035))))))</f>
        <v> </v>
      </c>
      <c r="K1036" s="26" t="str">
        <f>IF(OR(E1036="",E1036="!!!",F1036="NEW"),"",INDEX(J$1:J1035,SUMPRODUCT(MAX(ROW(E$1:E1035)*(E1036=E$1:E1035)))))</f>
        <v> </v>
      </c>
      <c r="L1036" s="27"/>
    </row>
    <row r="1037" spans="1:12">
      <c r="A1037" s="20" t="s">
        <v>818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571</v>
      </c>
      <c r="E1038" s="22">
        <f>IF(D1038="?OLD","!!!","")</f>
        <v/>
      </c>
      <c r="F1038" s="23" t="str">
        <f>IF(OR(E1038="",E1038="!!!"),"",IF(NOT(ISNA(VLOOKUP(E1038,E$1:E1037,1,FALSE()))),"OLD",IF(AND(E1038&lt;&gt;"",E1038&lt;&gt;"!!!"),"NEW","")))</f>
        <v> </v>
      </c>
      <c r="G1038" s="24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5" t="str">
        <f>IF(J1038&lt;&gt;1,"",IF(I1038="SBJ","CB","?"))</f>
        <v> </v>
      </c>
      <c r="I1038" s="26" t="str">
        <f>IF(OR(E1038="",E1038="!!!",F1038="NEW"),"",INDEX(B1037:B$2,-1+SUMPRODUCT(MAX(ROW(E1037:E$2)*(E1038=E1037:E$2)))))</f>
        <v> </v>
      </c>
      <c r="J1038" s="26" t="str">
        <f>IF(OR(E1038="",E1038="!!!",F1038="NEW"),"",COUNTBLANK(OFFSET(A$1,,,SUMPRODUCT(MAX(ROW(E$2:E1038)*(E1038=E$2:E1038)))))-COUNTBLANK(OFFSET(A$1,,,SUMPRODUCT(MAX(ROW(E$1:E1037)*(E2=E$1:E1037))))))</f>
        <v> </v>
      </c>
      <c r="K1038" s="26" t="str">
        <f>IF(OR(E1038="",E1038="!!!",F1038="NEW"),"",INDEX(J$1:J1037,SUMPRODUCT(MAX(ROW(E$1:E1037)*(E1038=E$1:E1037)))))</f>
        <v> </v>
      </c>
      <c r="L1038" s="27"/>
    </row>
    <row r="1039" spans="1:12">
      <c r="A1039" s="20" t="s">
        <v>636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 t="s">
        <v>992</v>
      </c>
      <c r="E1040" s="22">
        <f>IF(D1040="?OLD","!!!","")</f>
        <v/>
      </c>
      <c r="F1040" s="23" t="str">
        <f>IF(OR(E1040="",E1040="!!!"),"",IF(NOT(ISNA(VLOOKUP(E1040,E$1:E1039,1,FALSE()))),"OLD",IF(AND(E1040&lt;&gt;"",E1040&lt;&gt;"!!!"),"NEW","")))</f>
        <v> </v>
      </c>
      <c r="G1040" s="24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5" t="str">
        <f>IF(J1040&lt;&gt;1,"",IF(I1040="SBJ","CB","?"))</f>
        <v> </v>
      </c>
      <c r="I1040" s="26" t="str">
        <f>IF(OR(E1040="",E1040="!!!",F1040="NEW"),"",INDEX(B1039:B$2,-1+SUMPRODUCT(MAX(ROW(E1039:E$2)*(E1040=E1039:E$2)))))</f>
        <v> </v>
      </c>
      <c r="J1040" s="26" t="str">
        <f>IF(OR(E1040="",E1040="!!!",F1040="NEW"),"",COUNTBLANK(OFFSET(A$1,,,SUMPRODUCT(MAX(ROW(E$2:E1040)*(E1040=E$2:E1040)))))-COUNTBLANK(OFFSET(A$1,,,SUMPRODUCT(MAX(ROW(E$1:E1039)*(E2=E$1:E1039))))))</f>
        <v> </v>
      </c>
      <c r="K1040" s="26" t="str">
        <f>IF(OR(E1040="",E1040="!!!",F1040="NEW"),"",INDEX(J$1:J1039,SUMPRODUCT(MAX(ROW(E$1:E1039)*(E1040=E$1:E1039)))))</f>
        <v> </v>
      </c>
      <c r="L1040" s="27"/>
    </row>
    <row r="1041" spans="1:12">
      <c r="A1041" s="20" t="s">
        <v>438</v>
      </c>
      <c r="E1041" s="22">
        <f>IF(D1041="?OLD","!!!","")</f>
        <v/>
      </c>
      <c r="F1041" s="23" t="str">
        <f>IF(OR(E1041="",E1041="!!!"),"",IF(NOT(ISNA(VLOOKUP(E1041,E$1:E1040,1,FALSE()))),"OLD",IF(AND(E1041&lt;&gt;"",E1041&lt;&gt;"!!!"),"NEW","")))</f>
        <v> </v>
      </c>
      <c r="G1041" s="24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5" t="str">
        <f>IF(J1041&lt;&gt;1,"",IF(I1041="SBJ","CB","?"))</f>
        <v> </v>
      </c>
      <c r="I1041" s="26" t="str">
        <f>IF(OR(E1041="",E1041="!!!",F1041="NEW"),"",INDEX(B1040:B$2,-1+SUMPRODUCT(MAX(ROW(E1040:E$2)*(E1041=E1040:E$2)))))</f>
        <v> </v>
      </c>
      <c r="J1041" s="26" t="str">
        <f>IF(OR(E1041="",E1041="!!!",F1041="NEW"),"",COUNTBLANK(OFFSET(A$1,,,SUMPRODUCT(MAX(ROW(E$2:E1041)*(E1041=E$2:E1041)))))-COUNTBLANK(OFFSET(A$1,,,SUMPRODUCT(MAX(ROW(E$1:E1040)*(E2=E$1:E1040))))))</f>
        <v> </v>
      </c>
      <c r="K1041" s="26" t="str">
        <f>IF(OR(E1041="",E1041="!!!",F1041="NEW"),"",INDEX(J$1:J1040,SUMPRODUCT(MAX(ROW(E$1:E1040)*(E1041=E$1:E1040)))))</f>
        <v> </v>
      </c>
      <c r="L1041" s="27"/>
    </row>
    <row r="1042" spans="1:12">
      <c r="A1042" s="20"/>
    </row>
    <row r="1043" spans="1:12">
      <c r="A1043" s="20" t="s">
        <v>993</v>
      </c>
    </row>
    <row r="1044" spans="1:12">
      <c r="A1044" s="20" t="s">
        <v>994</v>
      </c>
      <c r="E1044" s="22">
        <f>IF(D1044="?OLD","!!!","")</f>
        <v/>
      </c>
      <c r="F1044" s="23" t="str">
        <f>IF(OR(E1044="",E1044="!!!"),"",IF(NOT(ISNA(VLOOKUP(E1044,E$1:E1043,1,FALSE()))),"OLD",IF(AND(E1044&lt;&gt;"",E1044&lt;&gt;"!!!"),"NEW","")))</f>
        <v> </v>
      </c>
      <c r="G1044" s="24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5" t="str">
        <f>IF(J1044&lt;&gt;1,"",IF(I1044="SBJ","CB","?"))</f>
        <v> </v>
      </c>
      <c r="I1044" s="26" t="str">
        <f>IF(OR(E1044="",E1044="!!!",F1044="NEW"),"",INDEX(B1043:B$2,-1+SUMPRODUCT(MAX(ROW(E1043:E$2)*(E1044=E1043:E$2)))))</f>
        <v> </v>
      </c>
      <c r="J1044" s="26" t="str">
        <f>IF(OR(E1044="",E1044="!!!",F1044="NEW"),"",COUNTBLANK(OFFSET(A$1,,,SUMPRODUCT(MAX(ROW(E$2:E1044)*(E1044=E$2:E1044)))))-COUNTBLANK(OFFSET(A$1,,,SUMPRODUCT(MAX(ROW(E$1:E1043)*(E2=E$1:E1043))))))</f>
        <v> </v>
      </c>
      <c r="K1044" s="26" t="str">
        <f>IF(OR(E1044="",E1044="!!!",F1044="NEW"),"",INDEX(J$1:J1043,SUMPRODUCT(MAX(ROW(E$1:E1043)*(E1044=E$1:E1043)))))</f>
        <v> </v>
      </c>
      <c r="L1044" s="27"/>
    </row>
    <row r="1045" spans="1:12">
      <c r="A1045" s="20" t="s">
        <v>995</v>
      </c>
      <c r="E1045" s="22">
        <f>IF(D1045="?OLD","!!!","")</f>
        <v/>
      </c>
      <c r="F1045" s="23" t="str">
        <f>IF(OR(E1045="",E1045="!!!"),"",IF(NOT(ISNA(VLOOKUP(E1045,E$1:E1044,1,FALSE()))),"OLD",IF(AND(E1045&lt;&gt;"",E1045&lt;&gt;"!!!"),"NEW","")))</f>
        <v> </v>
      </c>
      <c r="G1045" s="24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5" t="str">
        <f>IF(J1045&lt;&gt;1,"",IF(I1045="SBJ","CB","?"))</f>
        <v> </v>
      </c>
      <c r="I1045" s="26" t="str">
        <f>IF(OR(E1045="",E1045="!!!",F1045="NEW"),"",INDEX(B1044:B$2,-1+SUMPRODUCT(MAX(ROW(E1044:E$2)*(E1045=E1044:E$2)))))</f>
        <v> </v>
      </c>
      <c r="J1045" s="26" t="str">
        <f>IF(OR(E1045="",E1045="!!!",F1045="NEW"),"",COUNTBLANK(OFFSET(A$1,,,SUMPRODUCT(MAX(ROW(E$2:E1045)*(E1045=E$2:E1045)))))-COUNTBLANK(OFFSET(A$1,,,SUMPRODUCT(MAX(ROW(E$1:E1044)*(E2=E$1:E1044))))))</f>
        <v> </v>
      </c>
      <c r="K1045" s="26" t="str">
        <f>IF(OR(E1045="",E1045="!!!",F1045="NEW"),"",INDEX(J$1:J1044,SUMPRODUCT(MAX(ROW(E$1:E1044)*(E1045=E$1:E1044)))))</f>
        <v> </v>
      </c>
      <c r="L1045" s="27"/>
    </row>
    <row r="1046" spans="1:12">
      <c r="A1046" s="20" t="s">
        <v>996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985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908</v>
      </c>
      <c r="B1048" s="21" t="s">
        <v>500</v>
      </c>
      <c r="C1048" s="21" t="s">
        <v>516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453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807</v>
      </c>
      <c r="B1050" s="21" t="s">
        <v>462</v>
      </c>
      <c r="C1050" s="21" t="s">
        <v>481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979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997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678</v>
      </c>
      <c r="B1053" s="21" t="s">
        <v>432</v>
      </c>
      <c r="C1053" s="21" t="s">
        <v>423</v>
      </c>
      <c r="D1053" s="21" t="s">
        <v>424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998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999</v>
      </c>
      <c r="B1055" s="21" t="s">
        <v>434</v>
      </c>
      <c r="C1055" s="21" t="s">
        <v>471</v>
      </c>
      <c r="D1055" s="21" t="s">
        <v>424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453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807</v>
      </c>
      <c r="B1057" s="21" t="s">
        <v>476</v>
      </c>
      <c r="C1057" s="21" t="s">
        <v>481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 t="s">
        <v>1000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566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 t="s">
        <v>610</v>
      </c>
      <c r="E1060" s="22">
        <f>IF(D1060="?OLD","!!!","")</f>
        <v/>
      </c>
      <c r="F1060" s="23" t="str">
        <f>IF(OR(E1060="",E1060="!!!"),"",IF(NOT(ISNA(VLOOKUP(E1060,E$1:E1059,1,FALSE()))),"OLD",IF(AND(E1060&lt;&gt;"",E1060&lt;&gt;"!!!"),"NEW","")))</f>
        <v> </v>
      </c>
      <c r="G1060" s="24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5" t="str">
        <f>IF(J1060&lt;&gt;1,"",IF(I1060="SBJ","CB","?"))</f>
        <v> </v>
      </c>
      <c r="I1060" s="26" t="str">
        <f>IF(OR(E1060="",E1060="!!!",F1060="NEW"),"",INDEX(B1059:B$2,-1+SUMPRODUCT(MAX(ROW(E1059:E$2)*(E1060=E1059:E$2)))))</f>
        <v> </v>
      </c>
      <c r="J1060" s="26" t="str">
        <f>IF(OR(E1060="",E1060="!!!",F1060="NEW"),"",COUNTBLANK(OFFSET(A$1,,,SUMPRODUCT(MAX(ROW(E$2:E1060)*(E1060=E$2:E1060)))))-COUNTBLANK(OFFSET(A$1,,,SUMPRODUCT(MAX(ROW(E$1:E1059)*(E2=E$1:E1059))))))</f>
        <v> </v>
      </c>
      <c r="K1060" s="26" t="str">
        <f>IF(OR(E1060="",E1060="!!!",F1060="NEW"),"",INDEX(J$1:J1059,SUMPRODUCT(MAX(ROW(E$1:E1059)*(E1060=E$1:E1059)))))</f>
        <v> </v>
      </c>
      <c r="L1060" s="27"/>
    </row>
    <row r="1061" spans="1:12">
      <c r="A1061" s="20" t="s">
        <v>453</v>
      </c>
      <c r="E1061" s="22">
        <f>IF(D1061="?OLD","!!!","")</f>
        <v/>
      </c>
      <c r="F1061" s="23" t="str">
        <f>IF(OR(E1061="",E1061="!!!"),"",IF(NOT(ISNA(VLOOKUP(E1061,E$1:E1060,1,FALSE()))),"OLD",IF(AND(E1061&lt;&gt;"",E1061&lt;&gt;"!!!"),"NEW","")))</f>
        <v> </v>
      </c>
      <c r="G1061" s="24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5" t="str">
        <f>IF(J1061&lt;&gt;1,"",IF(I1061="SBJ","CB","?"))</f>
        <v> </v>
      </c>
      <c r="I1061" s="26" t="str">
        <f>IF(OR(E1061="",E1061="!!!",F1061="NEW"),"",INDEX(B1060:B$2,-1+SUMPRODUCT(MAX(ROW(E1060:E$2)*(E1061=E1060:E$2)))))</f>
        <v> </v>
      </c>
      <c r="J1061" s="26" t="str">
        <f>IF(OR(E1061="",E1061="!!!",F1061="NEW"),"",COUNTBLANK(OFFSET(A$1,,,SUMPRODUCT(MAX(ROW(E$2:E1061)*(E1061=E$2:E1061)))))-COUNTBLANK(OFFSET(A$1,,,SUMPRODUCT(MAX(ROW(E$1:E1060)*(E2=E$1:E1060))))))</f>
        <v> </v>
      </c>
      <c r="K1061" s="26" t="str">
        <f>IF(OR(E1061="",E1061="!!!",F1061="NEW"),"",INDEX(J$1:J1060,SUMPRODUCT(MAX(ROW(E$1:E1060)*(E1061=E$1:E1060)))))</f>
        <v> </v>
      </c>
      <c r="L1061" s="27"/>
    </row>
    <row r="1062" spans="1:12">
      <c r="A1062" s="20" t="s">
        <v>492</v>
      </c>
      <c r="B1062" s="21" t="s">
        <v>940</v>
      </c>
      <c r="C1062" s="21" t="s">
        <v>423</v>
      </c>
      <c r="D1062" s="21" t="s">
        <v>424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1001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 t="s">
        <v>1002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 t="s">
        <v>743</v>
      </c>
      <c r="E1065" s="22">
        <f>IF(D1065="?OLD","!!!","")</f>
        <v/>
      </c>
      <c r="F1065" s="23" t="str">
        <f>IF(OR(E1065="",E1065="!!!"),"",IF(NOT(ISNA(VLOOKUP(E1065,E$1:E1064,1,FALSE()))),"OLD",IF(AND(E1065&lt;&gt;"",E1065&lt;&gt;"!!!"),"NEW","")))</f>
        <v> </v>
      </c>
      <c r="G1065" s="24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5" t="str">
        <f>IF(J1065&lt;&gt;1,"",IF(I1065="SBJ","CB","?"))</f>
        <v> </v>
      </c>
      <c r="I1065" s="26" t="str">
        <f>IF(OR(E1065="",E1065="!!!",F1065="NEW"),"",INDEX(B1064:B$2,-1+SUMPRODUCT(MAX(ROW(E1064:E$2)*(E1065=E1064:E$2)))))</f>
        <v> </v>
      </c>
      <c r="J1065" s="26" t="str">
        <f>IF(OR(E1065="",E1065="!!!",F1065="NEW"),"",COUNTBLANK(OFFSET(A$1,,,SUMPRODUCT(MAX(ROW(E$2:E1065)*(E1065=E$2:E1065)))))-COUNTBLANK(OFFSET(A$1,,,SUMPRODUCT(MAX(ROW(E$1:E1064)*(E2=E$1:E1064))))))</f>
        <v> </v>
      </c>
      <c r="K1065" s="26" t="str">
        <f>IF(OR(E1065="",E1065="!!!",F1065="NEW"),"",INDEX(J$1:J1064,SUMPRODUCT(MAX(ROW(E$1:E1064)*(E1065=E$1:E1064)))))</f>
        <v> </v>
      </c>
      <c r="L1065" s="27"/>
    </row>
    <row r="1066" spans="1:12">
      <c r="A1066" s="20" t="s">
        <v>1003</v>
      </c>
      <c r="B1066" s="21" t="s">
        <v>491</v>
      </c>
      <c r="C1066" s="21" t="s">
        <v>516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566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1004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 t="s">
        <v>1005</v>
      </c>
      <c r="E1069" s="22">
        <f>IF(D1069="?OLD","!!!","")</f>
        <v/>
      </c>
      <c r="F1069" s="23" t="str">
        <f>IF(OR(E1069="",E1069="!!!"),"",IF(NOT(ISNA(VLOOKUP(E1069,E$1:E1068,1,FALSE()))),"OLD",IF(AND(E1069&lt;&gt;"",E1069&lt;&gt;"!!!"),"NEW","")))</f>
        <v> </v>
      </c>
      <c r="G1069" s="24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5" t="str">
        <f>IF(J1069&lt;&gt;1,"",IF(I1069="SBJ","CB","?"))</f>
        <v> </v>
      </c>
      <c r="I1069" s="26" t="str">
        <f>IF(OR(E1069="",E1069="!!!",F1069="NEW"),"",INDEX(B1068:B$2,-1+SUMPRODUCT(MAX(ROW(E1068:E$2)*(E1069=E1068:E$2)))))</f>
        <v> </v>
      </c>
      <c r="J1069" s="26" t="str">
        <f>IF(OR(E1069="",E1069="!!!",F1069="NEW"),"",COUNTBLANK(OFFSET(A$1,,,SUMPRODUCT(MAX(ROW(E$2:E1069)*(E1069=E$2:E1069)))))-COUNTBLANK(OFFSET(A$1,,,SUMPRODUCT(MAX(ROW(E$1:E1068)*(E2=E$1:E1068))))))</f>
        <v> </v>
      </c>
      <c r="K1069" s="26" t="str">
        <f>IF(OR(E1069="",E1069="!!!",F1069="NEW"),"",INDEX(J$1:J1068,SUMPRODUCT(MAX(ROW(E$1:E1068)*(E1069=E$1:E1068)))))</f>
        <v> </v>
      </c>
      <c r="L1069" s="27"/>
    </row>
    <row r="1070" spans="1:12">
      <c r="A1070" s="20" t="s">
        <v>574</v>
      </c>
      <c r="B1070" s="21" t="s">
        <v>562</v>
      </c>
      <c r="C1070" s="21" t="s">
        <v>481</v>
      </c>
      <c r="E1070" s="22">
        <f>IF(D1070="?OLD","!!!","")</f>
        <v/>
      </c>
      <c r="F1070" s="23" t="str">
        <f>IF(OR(E1070="",E1070="!!!"),"",IF(NOT(ISNA(VLOOKUP(E1070,E$1:E1069,1,FALSE()))),"OLD",IF(AND(E1070&lt;&gt;"",E1070&lt;&gt;"!!!"),"NEW","")))</f>
        <v> </v>
      </c>
      <c r="G1070" s="24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5" t="str">
        <f>IF(J1070&lt;&gt;1,"",IF(I1070="SBJ","CB","?"))</f>
        <v> </v>
      </c>
      <c r="I1070" s="26" t="str">
        <f>IF(OR(E1070="",E1070="!!!",F1070="NEW"),"",INDEX(B1069:B$2,-1+SUMPRODUCT(MAX(ROW(E1069:E$2)*(E1070=E1069:E$2)))))</f>
        <v> </v>
      </c>
      <c r="J1070" s="26" t="str">
        <f>IF(OR(E1070="",E1070="!!!",F1070="NEW"),"",COUNTBLANK(OFFSET(A$1,,,SUMPRODUCT(MAX(ROW(E$2:E1070)*(E1070=E$2:E1070)))))-COUNTBLANK(OFFSET(A$1,,,SUMPRODUCT(MAX(ROW(E$1:E1069)*(E2=E$1:E1069))))))</f>
        <v> </v>
      </c>
      <c r="K1070" s="26" t="str">
        <f>IF(OR(E1070="",E1070="!!!",F1070="NEW"),"",INDEX(J$1:J1069,SUMPRODUCT(MAX(ROW(E$1:E1069)*(E1070=E$1:E1069)))))</f>
        <v> </v>
      </c>
      <c r="L1070" s="27"/>
    </row>
    <row r="1071" spans="1:12">
      <c r="A1071" s="20" t="s">
        <v>1006</v>
      </c>
      <c r="E1071" s="22">
        <f>IF(D1071="?OLD","!!!","")</f>
        <v/>
      </c>
      <c r="F1071" s="23" t="str">
        <f>IF(OR(E1071="",E1071="!!!"),"",IF(NOT(ISNA(VLOOKUP(E1071,E$1:E1070,1,FALSE()))),"OLD",IF(AND(E1071&lt;&gt;"",E1071&lt;&gt;"!!!"),"NEW","")))</f>
        <v> </v>
      </c>
      <c r="G1071" s="24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5" t="str">
        <f>IF(J1071&lt;&gt;1,"",IF(I1071="SBJ","CB","?"))</f>
        <v> </v>
      </c>
      <c r="I1071" s="26" t="str">
        <f>IF(OR(E1071="",E1071="!!!",F1071="NEW"),"",INDEX(B1070:B$2,-1+SUMPRODUCT(MAX(ROW(E1070:E$2)*(E1071=E1070:E$2)))))</f>
        <v> </v>
      </c>
      <c r="J1071" s="26" t="str">
        <f>IF(OR(E1071="",E1071="!!!",F1071="NEW"),"",COUNTBLANK(OFFSET(A$1,,,SUMPRODUCT(MAX(ROW(E$2:E1071)*(E1071=E$2:E1071)))))-COUNTBLANK(OFFSET(A$1,,,SUMPRODUCT(MAX(ROW(E$1:E1070)*(E2=E$1:E1070))))))</f>
        <v> </v>
      </c>
      <c r="K1071" s="26" t="str">
        <f>IF(OR(E1071="",E1071="!!!",F1071="NEW"),"",INDEX(J$1:J1070,SUMPRODUCT(MAX(ROW(E$1:E1070)*(E1071=E$1:E1070)))))</f>
        <v> </v>
      </c>
      <c r="L1071" s="27"/>
    </row>
    <row r="1072" spans="1:12">
      <c r="A1072" s="20" t="s">
        <v>915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/>
    </row>
    <row r="1074" spans="1:12">
      <c r="A1074" s="20" t="s">
        <v>1007</v>
      </c>
    </row>
    <row r="1075" spans="1:12">
      <c r="A1075" s="20" t="s">
        <v>579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728</v>
      </c>
      <c r="B1076" s="21" t="s">
        <v>422</v>
      </c>
      <c r="C1076" s="21" t="s">
        <v>423</v>
      </c>
      <c r="D1076" s="21" t="s">
        <v>424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1008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453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459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1009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453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465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957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 t="s">
        <v>958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 t="s">
        <v>1010</v>
      </c>
      <c r="B1085" s="21" t="s">
        <v>444</v>
      </c>
      <c r="E1085" s="22">
        <f>IF(D1085="?OLD","!!!","")</f>
        <v/>
      </c>
      <c r="F1085" s="23" t="str">
        <f>IF(OR(E1085="",E1085="!!!"),"",IF(NOT(ISNA(VLOOKUP(E1085,E$1:E1084,1,FALSE()))),"OLD",IF(AND(E1085&lt;&gt;"",E1085&lt;&gt;"!!!"),"NEW","")))</f>
        <v> </v>
      </c>
      <c r="G1085" s="24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5" t="str">
        <f>IF(J1085&lt;&gt;1,"",IF(I1085="SBJ","CB","?"))</f>
        <v> </v>
      </c>
      <c r="I1085" s="26" t="str">
        <f>IF(OR(E1085="",E1085="!!!",F1085="NEW"),"",INDEX(B1084:B$2,-1+SUMPRODUCT(MAX(ROW(E1084:E$2)*(E1085=E1084:E$2)))))</f>
        <v> </v>
      </c>
      <c r="J1085" s="26" t="str">
        <f>IF(OR(E1085="",E1085="!!!",F1085="NEW"),"",COUNTBLANK(OFFSET(A$1,,,SUMPRODUCT(MAX(ROW(E$2:E1085)*(E1085=E$2:E1085)))))-COUNTBLANK(OFFSET(A$1,,,SUMPRODUCT(MAX(ROW(E$1:E1084)*(E2=E$1:E1084))))))</f>
        <v> </v>
      </c>
      <c r="K1085" s="26" t="str">
        <f>IF(OR(E1085="",E1085="!!!",F1085="NEW"),"",INDEX(J$1:J1084,SUMPRODUCT(MAX(ROW(E$1:E1084)*(E1085=E$1:E1084)))))</f>
        <v> </v>
      </c>
      <c r="L1085" s="27"/>
    </row>
    <row r="1086" spans="1:12">
      <c r="A1086" s="20" t="s">
        <v>847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1004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1011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453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 t="s">
        <v>430</v>
      </c>
      <c r="E1090" s="22">
        <f>IF(D1090="?OLD","!!!","")</f>
        <v/>
      </c>
      <c r="F1090" s="23" t="str">
        <f>IF(OR(E1090="",E1090="!!!"),"",IF(NOT(ISNA(VLOOKUP(E1090,E$1:E1089,1,FALSE()))),"OLD",IF(AND(E1090&lt;&gt;"",E1090&lt;&gt;"!!!"),"NEW","")))</f>
        <v> </v>
      </c>
      <c r="G1090" s="24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5" t="str">
        <f>IF(J1090&lt;&gt;1,"",IF(I1090="SBJ","CB","?"))</f>
        <v> </v>
      </c>
      <c r="I1090" s="26" t="str">
        <f>IF(OR(E1090="",E1090="!!!",F1090="NEW"),"",INDEX(B1089:B$2,-1+SUMPRODUCT(MAX(ROW(E1089:E$2)*(E1090=E1089:E$2)))))</f>
        <v> </v>
      </c>
      <c r="J1090" s="26" t="str">
        <f>IF(OR(E1090="",E1090="!!!",F1090="NEW"),"",COUNTBLANK(OFFSET(A$1,,,SUMPRODUCT(MAX(ROW(E$2:E1090)*(E1090=E$2:E1090)))))-COUNTBLANK(OFFSET(A$1,,,SUMPRODUCT(MAX(ROW(E$1:E1089)*(E2=E$1:E1089))))))</f>
        <v> </v>
      </c>
      <c r="K1090" s="26" t="str">
        <f>IF(OR(E1090="",E1090="!!!",F1090="NEW"),"",INDEX(J$1:J1089,SUMPRODUCT(MAX(ROW(E$1:E1089)*(E1090=E$1:E1089)))))</f>
        <v> </v>
      </c>
      <c r="L1090" s="27"/>
    </row>
    <row r="1091" spans="1:12">
      <c r="A1091" s="20" t="s">
        <v>482</v>
      </c>
      <c r="B1091" s="21" t="s">
        <v>462</v>
      </c>
      <c r="C1091" s="21" t="s">
        <v>477</v>
      </c>
      <c r="D1091" s="21" t="s">
        <v>424</v>
      </c>
      <c r="E1091" s="22">
        <f>IF(D1091="?OLD","!!!","")</f>
        <v/>
      </c>
      <c r="F1091" s="23" t="str">
        <f>IF(OR(E1091="",E1091="!!!"),"",IF(NOT(ISNA(VLOOKUP(E1091,E$1:E1090,1,FALSE()))),"OLD",IF(AND(E1091&lt;&gt;"",E1091&lt;&gt;"!!!"),"NEW","")))</f>
        <v> </v>
      </c>
      <c r="G1091" s="24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5" t="str">
        <f>IF(J1091&lt;&gt;1,"",IF(I1091="SBJ","CB","?"))</f>
        <v> </v>
      </c>
      <c r="I1091" s="26" t="str">
        <f>IF(OR(E1091="",E1091="!!!",F1091="NEW"),"",INDEX(B1090:B$2,-1+SUMPRODUCT(MAX(ROW(E1090:E$2)*(E1091=E1090:E$2)))))</f>
        <v> </v>
      </c>
      <c r="J1091" s="26" t="str">
        <f>IF(OR(E1091="",E1091="!!!",F1091="NEW"),"",COUNTBLANK(OFFSET(A$1,,,SUMPRODUCT(MAX(ROW(E$2:E1091)*(E1091=E$2:E1091)))))-COUNTBLANK(OFFSET(A$1,,,SUMPRODUCT(MAX(ROW(E$1:E1090)*(E2=E$1:E1090))))))</f>
        <v> </v>
      </c>
      <c r="K1091" s="26" t="str">
        <f>IF(OR(E1091="",E1091="!!!",F1091="NEW"),"",INDEX(J$1:J1090,SUMPRODUCT(MAX(ROW(E$1:E1090)*(E1091=E$1:E1090)))))</f>
        <v> </v>
      </c>
      <c r="L1091" s="27"/>
    </row>
    <row r="1092" spans="1:12">
      <c r="A1092" s="20" t="s">
        <v>1012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 t="s">
        <v>506</v>
      </c>
      <c r="E1093" s="22">
        <f>IF(D1093="?OLD","!!!","")</f>
        <v/>
      </c>
      <c r="F1093" s="23" t="str">
        <f>IF(OR(E1093="",E1093="!!!"),"",IF(NOT(ISNA(VLOOKUP(E1093,E$1:E1092,1,FALSE()))),"OLD",IF(AND(E1093&lt;&gt;"",E1093&lt;&gt;"!!!"),"NEW","")))</f>
        <v> </v>
      </c>
      <c r="G1093" s="24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5" t="str">
        <f>IF(J1093&lt;&gt;1,"",IF(I1093="SBJ","CB","?"))</f>
        <v> </v>
      </c>
      <c r="I1093" s="26" t="str">
        <f>IF(OR(E1093="",E1093="!!!",F1093="NEW"),"",INDEX(B1092:B$2,-1+SUMPRODUCT(MAX(ROW(E1092:E$2)*(E1093=E1092:E$2)))))</f>
        <v> </v>
      </c>
      <c r="J1093" s="26" t="str">
        <f>IF(OR(E1093="",E1093="!!!",F1093="NEW"),"",COUNTBLANK(OFFSET(A$1,,,SUMPRODUCT(MAX(ROW(E$2:E1093)*(E1093=E$2:E1093)))))-COUNTBLANK(OFFSET(A$1,,,SUMPRODUCT(MAX(ROW(E$1:E1092)*(E2=E$1:E1092))))))</f>
        <v> </v>
      </c>
      <c r="K1093" s="26" t="str">
        <f>IF(OR(E1093="",E1093="!!!",F1093="NEW"),"",INDEX(J$1:J1092,SUMPRODUCT(MAX(ROW(E$1:E1092)*(E1093=E$1:E1092)))))</f>
        <v> </v>
      </c>
      <c r="L1093" s="27"/>
    </row>
    <row r="1094" spans="1:12">
      <c r="A1094" s="20" t="s">
        <v>1013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465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1014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1015</v>
      </c>
      <c r="B1097" s="21" t="s">
        <v>432</v>
      </c>
      <c r="C1097" s="21" t="s">
        <v>435</v>
      </c>
      <c r="D1097" s="21" t="s">
        <v>424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717</v>
      </c>
      <c r="B1098" s="21" t="s">
        <v>489</v>
      </c>
      <c r="C1098" s="21" t="s">
        <v>520</v>
      </c>
      <c r="D1098" s="21" t="s">
        <v>424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 t="s">
        <v>12</v>
      </c>
      <c r="E1099" s="22">
        <f>IF(D1099="?OLD","!!!","")</f>
        <v/>
      </c>
      <c r="F1099" s="23" t="str">
        <f>IF(OR(E1099="",E1099="!!!"),"",IF(NOT(ISNA(VLOOKUP(E1099,E$1:E1098,1,FALSE()))),"OLD",IF(AND(E1099&lt;&gt;"",E1099&lt;&gt;"!!!"),"NEW","")))</f>
        <v> </v>
      </c>
      <c r="G1099" s="24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5" t="str">
        <f>IF(J1099&lt;&gt;1,"",IF(I1099="SBJ","CB","?"))</f>
        <v> </v>
      </c>
      <c r="I1099" s="26" t="str">
        <f>IF(OR(E1099="",E1099="!!!",F1099="NEW"),"",INDEX(B1098:B$2,-1+SUMPRODUCT(MAX(ROW(E1098:E$2)*(E1099=E1098:E$2)))))</f>
        <v> </v>
      </c>
      <c r="J1099" s="26" t="str">
        <f>IF(OR(E1099="",E1099="!!!",F1099="NEW"),"",COUNTBLANK(OFFSET(A$1,,,SUMPRODUCT(MAX(ROW(E$2:E1099)*(E1099=E$2:E1099)))))-COUNTBLANK(OFFSET(A$1,,,SUMPRODUCT(MAX(ROW(E$1:E1098)*(E2=E$1:E1098))))))</f>
        <v> </v>
      </c>
      <c r="K1099" s="26" t="str">
        <f>IF(OR(E1099="",E1099="!!!",F1099="NEW"),"",INDEX(J$1:J1098,SUMPRODUCT(MAX(ROW(E$1:E1098)*(E1099=E$1:E1098)))))</f>
        <v> </v>
      </c>
      <c r="L1099" s="27"/>
    </row>
    <row r="1100" spans="1:12">
      <c r="A1100" s="20" t="s">
        <v>534</v>
      </c>
      <c r="B1100" s="21" t="s">
        <v>491</v>
      </c>
      <c r="C1100" s="21" t="s">
        <v>520</v>
      </c>
      <c r="D1100" s="21" t="s">
        <v>424</v>
      </c>
      <c r="E1100" s="22">
        <f>IF(D1100="?OLD","!!!","")</f>
        <v/>
      </c>
      <c r="F1100" s="23" t="str">
        <f>IF(OR(E1100="",E1100="!!!"),"",IF(NOT(ISNA(VLOOKUP(E1100,E$1:E1099,1,FALSE()))),"OLD",IF(AND(E1100&lt;&gt;"",E1100&lt;&gt;"!!!"),"NEW","")))</f>
        <v> </v>
      </c>
      <c r="G1100" s="24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5" t="str">
        <f>IF(J1100&lt;&gt;1,"",IF(I1100="SBJ","CB","?"))</f>
        <v> </v>
      </c>
      <c r="I1100" s="26" t="str">
        <f>IF(OR(E1100="",E1100="!!!",F1100="NEW"),"",INDEX(B1099:B$2,-1+SUMPRODUCT(MAX(ROW(E1099:E$2)*(E1100=E1099:E$2)))))</f>
        <v> </v>
      </c>
      <c r="J1100" s="26" t="str">
        <f>IF(OR(E1100="",E1100="!!!",F1100="NEW"),"",COUNTBLANK(OFFSET(A$1,,,SUMPRODUCT(MAX(ROW(E$2:E1100)*(E1100=E$2:E1100)))))-COUNTBLANK(OFFSET(A$1,,,SUMPRODUCT(MAX(ROW(E$1:E1099)*(E2=E$1:E1099))))))</f>
        <v> </v>
      </c>
      <c r="K1100" s="26" t="str">
        <f>IF(OR(E1100="",E1100="!!!",F1100="NEW"),"",INDEX(J$1:J1099,SUMPRODUCT(MAX(ROW(E$1:E1099)*(E1100=E$1:E1099)))))</f>
        <v> </v>
      </c>
      <c r="L1100" s="27"/>
    </row>
    <row r="1101" spans="1:12">
      <c r="A1101" s="20" t="s">
        <v>453</v>
      </c>
      <c r="E1101" s="22">
        <f>IF(D1101="?OLD","!!!","")</f>
        <v/>
      </c>
      <c r="F1101" s="23" t="str">
        <f>IF(OR(E1101="",E1101="!!!"),"",IF(NOT(ISNA(VLOOKUP(E1101,E$1:E1100,1,FALSE()))),"OLD",IF(AND(E1101&lt;&gt;"",E1101&lt;&gt;"!!!"),"NEW","")))</f>
        <v> </v>
      </c>
      <c r="G1101" s="24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5" t="str">
        <f>IF(J1101&lt;&gt;1,"",IF(I1101="SBJ","CB","?"))</f>
        <v> </v>
      </c>
      <c r="I1101" s="26" t="str">
        <f>IF(OR(E1101="",E1101="!!!",F1101="NEW"),"",INDEX(B1100:B$2,-1+SUMPRODUCT(MAX(ROW(E1100:E$2)*(E1101=E1100:E$2)))))</f>
        <v> </v>
      </c>
      <c r="J1101" s="26" t="str">
        <f>IF(OR(E1101="",E1101="!!!",F1101="NEW"),"",COUNTBLANK(OFFSET(A$1,,,SUMPRODUCT(MAX(ROW(E$2:E1101)*(E1101=E$2:E1101)))))-COUNTBLANK(OFFSET(A$1,,,SUMPRODUCT(MAX(ROW(E$1:E1100)*(E2=E$1:E1100))))))</f>
        <v> </v>
      </c>
      <c r="K1101" s="26" t="str">
        <f>IF(OR(E1101="",E1101="!!!",F1101="NEW"),"",INDEX(J$1:J1100,SUMPRODUCT(MAX(ROW(E$1:E1100)*(E1101=E$1:E1100)))))</f>
        <v> </v>
      </c>
      <c r="L1101" s="27"/>
    </row>
    <row r="1102" spans="1:12">
      <c r="A1102" s="20" t="s">
        <v>428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948</v>
      </c>
      <c r="B1103" s="21" t="s">
        <v>480</v>
      </c>
      <c r="C1103" s="21" t="s">
        <v>481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 t="s">
        <v>492</v>
      </c>
      <c r="B1104" s="21" t="s">
        <v>562</v>
      </c>
      <c r="C1104" s="21" t="s">
        <v>423</v>
      </c>
      <c r="D1104" s="21" t="s">
        <v>424</v>
      </c>
      <c r="E1104" s="22">
        <f>IF(D1104="?OLD","!!!","")</f>
        <v/>
      </c>
      <c r="F1104" s="23" t="str">
        <f>IF(OR(E1104="",E1104="!!!"),"",IF(NOT(ISNA(VLOOKUP(E1104,E$1:E1103,1,FALSE()))),"OLD",IF(AND(E1104&lt;&gt;"",E1104&lt;&gt;"!!!"),"NEW","")))</f>
        <v> </v>
      </c>
      <c r="G1104" s="24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5" t="str">
        <f>IF(J1104&lt;&gt;1,"",IF(I1104="SBJ","CB","?"))</f>
        <v> </v>
      </c>
      <c r="I1104" s="26" t="str">
        <f>IF(OR(E1104="",E1104="!!!",F1104="NEW"),"",INDEX(B1103:B$2,-1+SUMPRODUCT(MAX(ROW(E1103:E$2)*(E1104=E1103:E$2)))))</f>
        <v> </v>
      </c>
      <c r="J1104" s="26" t="str">
        <f>IF(OR(E1104="",E1104="!!!",F1104="NEW"),"",COUNTBLANK(OFFSET(A$1,,,SUMPRODUCT(MAX(ROW(E$2:E1104)*(E1104=E$2:E1104)))))-COUNTBLANK(OFFSET(A$1,,,SUMPRODUCT(MAX(ROW(E$1:E1103)*(E2=E$1:E1103))))))</f>
        <v> </v>
      </c>
      <c r="K1104" s="26" t="str">
        <f>IF(OR(E1104="",E1104="!!!",F1104="NEW"),"",INDEX(J$1:J1103,SUMPRODUCT(MAX(ROW(E$1:E1103)*(E1104=E$1:E1103)))))</f>
        <v> </v>
      </c>
      <c r="L1104" s="27"/>
    </row>
    <row r="1105" spans="1:12">
      <c r="A1105" s="20" t="s">
        <v>1016</v>
      </c>
      <c r="E1105" s="22">
        <f>IF(D1105="?OLD","!!!","")</f>
        <v/>
      </c>
      <c r="F1105" s="23" t="str">
        <f>IF(OR(E1105="",E1105="!!!"),"",IF(NOT(ISNA(VLOOKUP(E1105,E$1:E1104,1,FALSE()))),"OLD",IF(AND(E1105&lt;&gt;"",E1105&lt;&gt;"!!!"),"NEW","")))</f>
        <v> </v>
      </c>
      <c r="G1105" s="24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5" t="str">
        <f>IF(J1105&lt;&gt;1,"",IF(I1105="SBJ","CB","?"))</f>
        <v> </v>
      </c>
      <c r="I1105" s="26" t="str">
        <f>IF(OR(E1105="",E1105="!!!",F1105="NEW"),"",INDEX(B1104:B$2,-1+SUMPRODUCT(MAX(ROW(E1104:E$2)*(E1105=E1104:E$2)))))</f>
        <v> </v>
      </c>
      <c r="J1105" s="26" t="str">
        <f>IF(OR(E1105="",E1105="!!!",F1105="NEW"),"",COUNTBLANK(OFFSET(A$1,,,SUMPRODUCT(MAX(ROW(E$2:E1105)*(E1105=E$2:E1105)))))-COUNTBLANK(OFFSET(A$1,,,SUMPRODUCT(MAX(ROW(E$1:E1104)*(E2=E$1:E1104))))))</f>
        <v> </v>
      </c>
      <c r="K1105" s="26" t="str">
        <f>IF(OR(E1105="",E1105="!!!",F1105="NEW"),"",INDEX(J$1:J1104,SUMPRODUCT(MAX(ROW(E$1:E1104)*(E1105=E$1:E1104)))))</f>
        <v> </v>
      </c>
      <c r="L1105" s="27"/>
    </row>
    <row r="1106" spans="1:12">
      <c r="A1106" s="20" t="s">
        <v>438</v>
      </c>
      <c r="E1106" s="22">
        <f>IF(D1106="?OLD","!!!","")</f>
        <v/>
      </c>
      <c r="F1106" s="23" t="str">
        <f>IF(OR(E1106="",E1106="!!!"),"",IF(NOT(ISNA(VLOOKUP(E1106,E$1:E1105,1,FALSE()))),"OLD",IF(AND(E1106&lt;&gt;"",E1106&lt;&gt;"!!!"),"NEW","")))</f>
        <v> </v>
      </c>
      <c r="G1106" s="24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5" t="str">
        <f>IF(J1106&lt;&gt;1,"",IF(I1106="SBJ","CB","?"))</f>
        <v> </v>
      </c>
      <c r="I1106" s="26" t="str">
        <f>IF(OR(E1106="",E1106="!!!",F1106="NEW"),"",INDEX(B1105:B$2,-1+SUMPRODUCT(MAX(ROW(E1105:E$2)*(E1106=E1105:E$2)))))</f>
        <v> </v>
      </c>
      <c r="J1106" s="26" t="str">
        <f>IF(OR(E1106="",E1106="!!!",F1106="NEW"),"",COUNTBLANK(OFFSET(A$1,,,SUMPRODUCT(MAX(ROW(E$2:E1106)*(E1106=E$2:E1106)))))-COUNTBLANK(OFFSET(A$1,,,SUMPRODUCT(MAX(ROW(E$1:E1105)*(E2=E$1:E1105))))))</f>
        <v> </v>
      </c>
      <c r="K1106" s="26" t="str">
        <f>IF(OR(E1106="",E1106="!!!",F1106="NEW"),"",INDEX(J$1:J1105,SUMPRODUCT(MAX(ROW(E$1:E1105)*(E1106=E$1:E1105)))))</f>
        <v> </v>
      </c>
      <c r="L1106" s="27"/>
    </row>
    <row r="1107" spans="1:12">
      <c r="A1107" s="20"/>
    </row>
    <row r="1108" spans="1:12">
      <c r="A1108" s="20" t="s">
        <v>1017</v>
      </c>
    </row>
    <row r="1109" spans="1:12">
      <c r="A1109" s="20" t="s">
        <v>579</v>
      </c>
      <c r="E1109" s="22">
        <f>IF(D1109="?OLD","!!!","")</f>
        <v/>
      </c>
      <c r="F1109" s="23" t="str">
        <f>IF(OR(E1109="",E1109="!!!"),"",IF(NOT(ISNA(VLOOKUP(E1109,E$1:E1108,1,FALSE()))),"OLD",IF(AND(E1109&lt;&gt;"",E1109&lt;&gt;"!!!"),"NEW","")))</f>
        <v> </v>
      </c>
      <c r="G1109" s="24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5" t="str">
        <f>IF(J1109&lt;&gt;1,"",IF(I1109="SBJ","CB","?"))</f>
        <v> </v>
      </c>
      <c r="I1109" s="26" t="str">
        <f>IF(OR(E1109="",E1109="!!!",F1109="NEW"),"",INDEX(B1108:B$2,-1+SUMPRODUCT(MAX(ROW(E1108:E$2)*(E1109=E1108:E$2)))))</f>
        <v> </v>
      </c>
      <c r="J1109" s="26" t="str">
        <f>IF(OR(E1109="",E1109="!!!",F1109="NEW"),"",COUNTBLANK(OFFSET(A$1,,,SUMPRODUCT(MAX(ROW(E$2:E1109)*(E1109=E$2:E1109)))))-COUNTBLANK(OFFSET(A$1,,,SUMPRODUCT(MAX(ROW(E$1:E1108)*(E2=E$1:E1108))))))</f>
        <v> </v>
      </c>
      <c r="K1109" s="26" t="str">
        <f>IF(OR(E1109="",E1109="!!!",F1109="NEW"),"",INDEX(J$1:J1108,SUMPRODUCT(MAX(ROW(E$1:E1108)*(E1109=E$1:E1108)))))</f>
        <v> </v>
      </c>
      <c r="L1109" s="27"/>
    </row>
    <row r="1110" spans="1:12">
      <c r="A1110" s="20" t="s">
        <v>482</v>
      </c>
      <c r="B1110" s="21" t="s">
        <v>422</v>
      </c>
      <c r="C1110" s="21" t="s">
        <v>477</v>
      </c>
      <c r="D1110" s="21" t="s">
        <v>424</v>
      </c>
      <c r="E1110" s="22">
        <f>IF(D1110="?OLD","!!!","")</f>
        <v/>
      </c>
      <c r="F1110" s="23" t="str">
        <f>IF(OR(E1110="",E1110="!!!"),"",IF(NOT(ISNA(VLOOKUP(E1110,E$1:E1109,1,FALSE()))),"OLD",IF(AND(E1110&lt;&gt;"",E1110&lt;&gt;"!!!"),"NEW","")))</f>
        <v> </v>
      </c>
      <c r="G1110" s="24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5" t="str">
        <f>IF(J1110&lt;&gt;1,"",IF(I1110="SBJ","CB","?"))</f>
        <v> </v>
      </c>
      <c r="I1110" s="26" t="str">
        <f>IF(OR(E1110="",E1110="!!!",F1110="NEW"),"",INDEX(B1109:B$2,-1+SUMPRODUCT(MAX(ROW(E1109:E$2)*(E1110=E1109:E$2)))))</f>
        <v> </v>
      </c>
      <c r="J1110" s="26" t="str">
        <f>IF(OR(E1110="",E1110="!!!",F1110="NEW"),"",COUNTBLANK(OFFSET(A$1,,,SUMPRODUCT(MAX(ROW(E$2:E1110)*(E1110=E$2:E1110)))))-COUNTBLANK(OFFSET(A$1,,,SUMPRODUCT(MAX(ROW(E$1:E1109)*(E2=E$1:E1109))))))</f>
        <v> </v>
      </c>
      <c r="K1110" s="26" t="str">
        <f>IF(OR(E1110="",E1110="!!!",F1110="NEW"),"",INDEX(J$1:J1109,SUMPRODUCT(MAX(ROW(E$1:E1109)*(E1110=E$1:E1109)))))</f>
        <v> </v>
      </c>
      <c r="L1110" s="27"/>
    </row>
    <row r="1111" spans="1:12">
      <c r="A1111" s="20" t="s">
        <v>1018</v>
      </c>
      <c r="E1111" s="22">
        <f>IF(D1111="?OLD","!!!","")</f>
        <v/>
      </c>
      <c r="F1111" s="23" t="str">
        <f>IF(OR(E1111="",E1111="!!!"),"",IF(NOT(ISNA(VLOOKUP(E1111,E$1:E1110,1,FALSE()))),"OLD",IF(AND(E1111&lt;&gt;"",E1111&lt;&gt;"!!!"),"NEW","")))</f>
        <v> </v>
      </c>
      <c r="G1111" s="24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5" t="str">
        <f>IF(J1111&lt;&gt;1,"",IF(I1111="SBJ","CB","?"))</f>
        <v> </v>
      </c>
      <c r="I1111" s="26" t="str">
        <f>IF(OR(E1111="",E1111="!!!",F1111="NEW"),"",INDEX(B1110:B$2,-1+SUMPRODUCT(MAX(ROW(E1110:E$2)*(E1111=E1110:E$2)))))</f>
        <v> </v>
      </c>
      <c r="J1111" s="26" t="str">
        <f>IF(OR(E1111="",E1111="!!!",F1111="NEW"),"",COUNTBLANK(OFFSET(A$1,,,SUMPRODUCT(MAX(ROW(E$2:E1111)*(E1111=E$2:E1111)))))-COUNTBLANK(OFFSET(A$1,,,SUMPRODUCT(MAX(ROW(E$1:E1110)*(E2=E$1:E1110))))))</f>
        <v> </v>
      </c>
      <c r="K1111" s="26" t="str">
        <f>IF(OR(E1111="",E1111="!!!",F1111="NEW"),"",INDEX(J$1:J1110,SUMPRODUCT(MAX(ROW(E$1:E1110)*(E1111=E$1:E1110)))))</f>
        <v> </v>
      </c>
      <c r="L1111" s="27"/>
    </row>
    <row r="1112" spans="1:12">
      <c r="A1112" s="20" t="s">
        <v>1019</v>
      </c>
      <c r="E1112" s="22">
        <f>IF(D1112="?OLD","!!!","")</f>
        <v/>
      </c>
      <c r="F1112" s="23" t="str">
        <f>IF(OR(E1112="",E1112="!!!"),"",IF(NOT(ISNA(VLOOKUP(E1112,E$1:E1111,1,FALSE()))),"OLD",IF(AND(E1112&lt;&gt;"",E1112&lt;&gt;"!!!"),"NEW","")))</f>
        <v> </v>
      </c>
      <c r="G1112" s="24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5" t="str">
        <f>IF(J1112&lt;&gt;1,"",IF(I1112="SBJ","CB","?"))</f>
        <v> </v>
      </c>
      <c r="I1112" s="26" t="str">
        <f>IF(OR(E1112="",E1112="!!!",F1112="NEW"),"",INDEX(B1111:B$2,-1+SUMPRODUCT(MAX(ROW(E1111:E$2)*(E1112=E1111:E$2)))))</f>
        <v> </v>
      </c>
      <c r="J1112" s="26" t="str">
        <f>IF(OR(E1112="",E1112="!!!",F1112="NEW"),"",COUNTBLANK(OFFSET(A$1,,,SUMPRODUCT(MAX(ROW(E$2:E1112)*(E1112=E$2:E1112)))))-COUNTBLANK(OFFSET(A$1,,,SUMPRODUCT(MAX(ROW(E$1:E1111)*(E2=E$1:E1111))))))</f>
        <v> </v>
      </c>
      <c r="K1112" s="26" t="str">
        <f>IF(OR(E1112="",E1112="!!!",F1112="NEW"),"",INDEX(J$1:J1111,SUMPRODUCT(MAX(ROW(E$1:E1111)*(E1112=E$1:E1111)))))</f>
        <v> </v>
      </c>
      <c r="L1112" s="27"/>
    </row>
    <row r="1113" spans="1:12">
      <c r="A1113" s="20" t="s">
        <v>438</v>
      </c>
      <c r="E1113" s="22">
        <f>IF(D1113="?OLD","!!!","")</f>
        <v/>
      </c>
      <c r="F1113" s="23" t="str">
        <f>IF(OR(E1113="",E1113="!!!"),"",IF(NOT(ISNA(VLOOKUP(E1113,E$1:E1112,1,FALSE()))),"OLD",IF(AND(E1113&lt;&gt;"",E1113&lt;&gt;"!!!"),"NEW","")))</f>
        <v> </v>
      </c>
      <c r="G1113" s="24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5" t="str">
        <f>IF(J1113&lt;&gt;1,"",IF(I1113="SBJ","CB","?"))</f>
        <v> </v>
      </c>
      <c r="I1113" s="26" t="str">
        <f>IF(OR(E1113="",E1113="!!!",F1113="NEW"),"",INDEX(B1112:B$2,-1+SUMPRODUCT(MAX(ROW(E1112:E$2)*(E1113=E1112:E$2)))))</f>
        <v> </v>
      </c>
      <c r="J1113" s="26" t="str">
        <f>IF(OR(E1113="",E1113="!!!",F1113="NEW"),"",COUNTBLANK(OFFSET(A$1,,,SUMPRODUCT(MAX(ROW(E$2:E1113)*(E1113=E$2:E1113)))))-COUNTBLANK(OFFSET(A$1,,,SUMPRODUCT(MAX(ROW(E$1:E1112)*(E2=E$1:E1112))))))</f>
        <v> </v>
      </c>
      <c r="K1113" s="26" t="str">
        <f>IF(OR(E1113="",E1113="!!!",F1113="NEW"),"",INDEX(J$1:J1112,SUMPRODUCT(MAX(ROW(E$1:E1112)*(E1113=E$1:E1112)))))</f>
        <v> </v>
      </c>
      <c r="L1113" s="27"/>
    </row>
    <row r="1114" spans="1:12">
      <c r="A1114" s="20"/>
    </row>
    <row r="1115" spans="1:12">
      <c r="A1115" s="20" t="s">
        <v>1020</v>
      </c>
    </row>
    <row r="1116" spans="1:12">
      <c r="A1116" s="20" t="s">
        <v>1021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492</v>
      </c>
      <c r="B1117" s="21" t="s">
        <v>556</v>
      </c>
      <c r="C1117" s="21" t="s">
        <v>423</v>
      </c>
      <c r="D1117" s="21" t="s">
        <v>424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1022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1023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453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1024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 t="s">
        <v>506</v>
      </c>
      <c r="E1122" s="22">
        <f>IF(D1122="?OLD","!!!","")</f>
        <v/>
      </c>
      <c r="F1122" s="23" t="str">
        <f>IF(OR(E1122="",E1122="!!!"),"",IF(NOT(ISNA(VLOOKUP(E1122,E$1:E1121,1,FALSE()))),"OLD",IF(AND(E1122&lt;&gt;"",E1122&lt;&gt;"!!!"),"NEW","")))</f>
        <v> </v>
      </c>
      <c r="G1122" s="24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5" t="str">
        <f>IF(J1122&lt;&gt;1,"",IF(I1122="SBJ","CB","?"))</f>
        <v> </v>
      </c>
      <c r="I1122" s="26" t="str">
        <f>IF(OR(E1122="",E1122="!!!",F1122="NEW"),"",INDEX(B1121:B$2,-1+SUMPRODUCT(MAX(ROW(E1121:E$2)*(E1122=E1121:E$2)))))</f>
        <v> </v>
      </c>
      <c r="J1122" s="26" t="str">
        <f>IF(OR(E1122="",E1122="!!!",F1122="NEW"),"",COUNTBLANK(OFFSET(A$1,,,SUMPRODUCT(MAX(ROW(E$2:E1122)*(E1122=E$2:E1122)))))-COUNTBLANK(OFFSET(A$1,,,SUMPRODUCT(MAX(ROW(E$1:E1121)*(E2=E$1:E1121))))))</f>
        <v> </v>
      </c>
      <c r="K1122" s="26" t="str">
        <f>IF(OR(E1122="",E1122="!!!",F1122="NEW"),"",INDEX(J$1:J1121,SUMPRODUCT(MAX(ROW(E$1:E1121)*(E1122=E$1:E1121)))))</f>
        <v> </v>
      </c>
      <c r="L1122" s="27"/>
    </row>
    <row r="1123" spans="1:12">
      <c r="A1123" s="20" t="s">
        <v>1025</v>
      </c>
      <c r="E1123" s="22">
        <f>IF(D1123="?OLD","!!!","")</f>
        <v/>
      </c>
      <c r="F1123" s="23" t="str">
        <f>IF(OR(E1123="",E1123="!!!"),"",IF(NOT(ISNA(VLOOKUP(E1123,E$1:E1122,1,FALSE()))),"OLD",IF(AND(E1123&lt;&gt;"",E1123&lt;&gt;"!!!"),"NEW","")))</f>
        <v> </v>
      </c>
      <c r="G1123" s="24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5" t="str">
        <f>IF(J1123&lt;&gt;1,"",IF(I1123="SBJ","CB","?"))</f>
        <v> </v>
      </c>
      <c r="I1123" s="26" t="str">
        <f>IF(OR(E1123="",E1123="!!!",F1123="NEW"),"",INDEX(B1122:B$2,-1+SUMPRODUCT(MAX(ROW(E1122:E$2)*(E1123=E1122:E$2)))))</f>
        <v> </v>
      </c>
      <c r="J1123" s="26" t="str">
        <f>IF(OR(E1123="",E1123="!!!",F1123="NEW"),"",COUNTBLANK(OFFSET(A$1,,,SUMPRODUCT(MAX(ROW(E$2:E1123)*(E1123=E$2:E1123)))))-COUNTBLANK(OFFSET(A$1,,,SUMPRODUCT(MAX(ROW(E$1:E1122)*(E2=E$1:E1122))))))</f>
        <v> </v>
      </c>
      <c r="K1123" s="26" t="str">
        <f>IF(OR(E1123="",E1123="!!!",F1123="NEW"),"",INDEX(J$1:J1122,SUMPRODUCT(MAX(ROW(E$1:E1122)*(E1123=E$1:E1122)))))</f>
        <v> </v>
      </c>
      <c r="L1123" s="27"/>
    </row>
    <row r="1124" spans="1:12">
      <c r="A1124" s="20" t="s">
        <v>453</v>
      </c>
      <c r="E1124" s="22">
        <f>IF(D1124="?OLD","!!!","")</f>
        <v/>
      </c>
      <c r="F1124" s="23" t="str">
        <f>IF(OR(E1124="",E1124="!!!"),"",IF(NOT(ISNA(VLOOKUP(E1124,E$1:E1123,1,FALSE()))),"OLD",IF(AND(E1124&lt;&gt;"",E1124&lt;&gt;"!!!"),"NEW","")))</f>
        <v> </v>
      </c>
      <c r="G1124" s="24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5" t="str">
        <f>IF(J1124&lt;&gt;1,"",IF(I1124="SBJ","CB","?"))</f>
        <v> </v>
      </c>
      <c r="I1124" s="26" t="str">
        <f>IF(OR(E1124="",E1124="!!!",F1124="NEW"),"",INDEX(B1123:B$2,-1+SUMPRODUCT(MAX(ROW(E1123:E$2)*(E1124=E1123:E$2)))))</f>
        <v> </v>
      </c>
      <c r="J1124" s="26" t="str">
        <f>IF(OR(E1124="",E1124="!!!",F1124="NEW"),"",COUNTBLANK(OFFSET(A$1,,,SUMPRODUCT(MAX(ROW(E$2:E1124)*(E1124=E$2:E1124)))))-COUNTBLANK(OFFSET(A$1,,,SUMPRODUCT(MAX(ROW(E$1:E1123)*(E2=E$1:E1123))))))</f>
        <v> </v>
      </c>
      <c r="K1124" s="26" t="str">
        <f>IF(OR(E1124="",E1124="!!!",F1124="NEW"),"",INDEX(J$1:J1123,SUMPRODUCT(MAX(ROW(E$1:E1123)*(E1124=E$1:E1123)))))</f>
        <v> </v>
      </c>
      <c r="L1124" s="27"/>
    </row>
    <row r="1125" spans="1:12">
      <c r="A1125" s="20" t="s">
        <v>1026</v>
      </c>
      <c r="B1125" s="21" t="s">
        <v>556</v>
      </c>
      <c r="E1125" s="22">
        <f>IF(D1125="?OLD","!!!","")</f>
        <v/>
      </c>
      <c r="F1125" s="23" t="str">
        <f>IF(OR(E1125="",E1125="!!!"),"",IF(NOT(ISNA(VLOOKUP(E1125,E$1:E1124,1,FALSE()))),"OLD",IF(AND(E1125&lt;&gt;"",E1125&lt;&gt;"!!!"),"NEW","")))</f>
        <v> </v>
      </c>
      <c r="G1125" s="24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5" t="str">
        <f>IF(J1125&lt;&gt;1,"",IF(I1125="SBJ","CB","?"))</f>
        <v> </v>
      </c>
      <c r="I1125" s="26" t="str">
        <f>IF(OR(E1125="",E1125="!!!",F1125="NEW"),"",INDEX(B1124:B$2,-1+SUMPRODUCT(MAX(ROW(E1124:E$2)*(E1125=E1124:E$2)))))</f>
        <v> </v>
      </c>
      <c r="J1125" s="26" t="str">
        <f>IF(OR(E1125="",E1125="!!!",F1125="NEW"),"",COUNTBLANK(OFFSET(A$1,,,SUMPRODUCT(MAX(ROW(E$2:E1125)*(E1125=E$2:E1125)))))-COUNTBLANK(OFFSET(A$1,,,SUMPRODUCT(MAX(ROW(E$1:E1124)*(E2=E$1:E1124))))))</f>
        <v> </v>
      </c>
      <c r="K1125" s="26" t="str">
        <f>IF(OR(E1125="",E1125="!!!",F1125="NEW"),"",INDEX(J$1:J1124,SUMPRODUCT(MAX(ROW(E$1:E1124)*(E1125=E$1:E1124)))))</f>
        <v> </v>
      </c>
      <c r="L1125" s="27"/>
    </row>
    <row r="1126" spans="1:12">
      <c r="A1126" s="20" t="s">
        <v>1027</v>
      </c>
      <c r="E1126" s="22">
        <f>IF(D1126="?OLD","!!!","")</f>
        <v/>
      </c>
      <c r="F1126" s="23" t="str">
        <f>IF(OR(E1126="",E1126="!!!"),"",IF(NOT(ISNA(VLOOKUP(E1126,E$1:E1125,1,FALSE()))),"OLD",IF(AND(E1126&lt;&gt;"",E1126&lt;&gt;"!!!"),"NEW","")))</f>
        <v> </v>
      </c>
      <c r="G1126" s="24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5" t="str">
        <f>IF(J1126&lt;&gt;1,"",IF(I1126="SBJ","CB","?"))</f>
        <v> </v>
      </c>
      <c r="I1126" s="26" t="str">
        <f>IF(OR(E1126="",E1126="!!!",F1126="NEW"),"",INDEX(B1125:B$2,-1+SUMPRODUCT(MAX(ROW(E1125:E$2)*(E1126=E1125:E$2)))))</f>
        <v> </v>
      </c>
      <c r="J1126" s="26" t="str">
        <f>IF(OR(E1126="",E1126="!!!",F1126="NEW"),"",COUNTBLANK(OFFSET(A$1,,,SUMPRODUCT(MAX(ROW(E$2:E1126)*(E1126=E$2:E1126)))))-COUNTBLANK(OFFSET(A$1,,,SUMPRODUCT(MAX(ROW(E$1:E1125)*(E2=E$1:E1125))))))</f>
        <v> </v>
      </c>
      <c r="K1126" s="26" t="str">
        <f>IF(OR(E1126="",E1126="!!!",F1126="NEW"),"",INDEX(J$1:J1125,SUMPRODUCT(MAX(ROW(E$1:E1125)*(E1126=E$1:E1125)))))</f>
        <v> </v>
      </c>
      <c r="L1126" s="27"/>
    </row>
    <row r="1127" spans="1:12">
      <c r="A1127" s="20" t="s">
        <v>1016</v>
      </c>
      <c r="E1127" s="22">
        <f>IF(D1127="?OLD","!!!","")</f>
        <v/>
      </c>
      <c r="F1127" s="23" t="str">
        <f>IF(OR(E1127="",E1127="!!!"),"",IF(NOT(ISNA(VLOOKUP(E1127,E$1:E1126,1,FALSE()))),"OLD",IF(AND(E1127&lt;&gt;"",E1127&lt;&gt;"!!!"),"NEW","")))</f>
        <v> </v>
      </c>
      <c r="G1127" s="24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5" t="str">
        <f>IF(J1127&lt;&gt;1,"",IF(I1127="SBJ","CB","?"))</f>
        <v> </v>
      </c>
      <c r="I1127" s="26" t="str">
        <f>IF(OR(E1127="",E1127="!!!",F1127="NEW"),"",INDEX(B1126:B$2,-1+SUMPRODUCT(MAX(ROW(E1126:E$2)*(E1127=E1126:E$2)))))</f>
        <v> </v>
      </c>
      <c r="J1127" s="26" t="str">
        <f>IF(OR(E1127="",E1127="!!!",F1127="NEW"),"",COUNTBLANK(OFFSET(A$1,,,SUMPRODUCT(MAX(ROW(E$2:E1127)*(E1127=E$2:E1127)))))-COUNTBLANK(OFFSET(A$1,,,SUMPRODUCT(MAX(ROW(E$1:E1126)*(E2=E$1:E1126))))))</f>
        <v> </v>
      </c>
      <c r="K1127" s="26" t="str">
        <f>IF(OR(E1127="",E1127="!!!",F1127="NEW"),"",INDEX(J$1:J1126,SUMPRODUCT(MAX(ROW(E$1:E1126)*(E1127=E$1:E1126)))))</f>
        <v> </v>
      </c>
      <c r="L1127" s="27"/>
    </row>
    <row r="1128" spans="1:12">
      <c r="A1128" s="20" t="s">
        <v>1028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1029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 t="s">
        <v>1030</v>
      </c>
      <c r="E1130" s="22">
        <f>IF(D1130="?OLD","!!!","")</f>
        <v/>
      </c>
      <c r="F1130" s="23" t="str">
        <f>IF(OR(E1130="",E1130="!!!"),"",IF(NOT(ISNA(VLOOKUP(E1130,E$1:E1129,1,FALSE()))),"OLD",IF(AND(E1130&lt;&gt;"",E1130&lt;&gt;"!!!"),"NEW","")))</f>
        <v> </v>
      </c>
      <c r="G1130" s="24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5" t="str">
        <f>IF(J1130&lt;&gt;1,"",IF(I1130="SBJ","CB","?"))</f>
        <v> </v>
      </c>
      <c r="I1130" s="26" t="str">
        <f>IF(OR(E1130="",E1130="!!!",F1130="NEW"),"",INDEX(B1129:B$2,-1+SUMPRODUCT(MAX(ROW(E1129:E$2)*(E1130=E1129:E$2)))))</f>
        <v> </v>
      </c>
      <c r="J1130" s="26" t="str">
        <f>IF(OR(E1130="",E1130="!!!",F1130="NEW"),"",COUNTBLANK(OFFSET(A$1,,,SUMPRODUCT(MAX(ROW(E$2:E1130)*(E1130=E$2:E1130)))))-COUNTBLANK(OFFSET(A$1,,,SUMPRODUCT(MAX(ROW(E$1:E1129)*(E2=E$1:E1129))))))</f>
        <v> </v>
      </c>
      <c r="K1130" s="26" t="str">
        <f>IF(OR(E1130="",E1130="!!!",F1130="NEW"),"",INDEX(J$1:J1129,SUMPRODUCT(MAX(ROW(E$1:E1129)*(E1130=E$1:E1129)))))</f>
        <v> </v>
      </c>
      <c r="L1130" s="27"/>
    </row>
    <row r="1131" spans="1:12">
      <c r="A1131" s="20" t="s">
        <v>430</v>
      </c>
      <c r="E1131" s="22">
        <f>IF(D1131="?OLD","!!!","")</f>
        <v/>
      </c>
      <c r="F1131" s="23" t="str">
        <f>IF(OR(E1131="",E1131="!!!"),"",IF(NOT(ISNA(VLOOKUP(E1131,E$1:E1130,1,FALSE()))),"OLD",IF(AND(E1131&lt;&gt;"",E1131&lt;&gt;"!!!"),"NEW","")))</f>
        <v> </v>
      </c>
      <c r="G1131" s="24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5" t="str">
        <f>IF(J1131&lt;&gt;1,"",IF(I1131="SBJ","CB","?"))</f>
        <v> </v>
      </c>
      <c r="I1131" s="26" t="str">
        <f>IF(OR(E1131="",E1131="!!!",F1131="NEW"),"",INDEX(B1130:B$2,-1+SUMPRODUCT(MAX(ROW(E1130:E$2)*(E1131=E1130:E$2)))))</f>
        <v> </v>
      </c>
      <c r="J1131" s="26" t="str">
        <f>IF(OR(E1131="",E1131="!!!",F1131="NEW"),"",COUNTBLANK(OFFSET(A$1,,,SUMPRODUCT(MAX(ROW(E$2:E1131)*(E1131=E$2:E1131)))))-COUNTBLANK(OFFSET(A$1,,,SUMPRODUCT(MAX(ROW(E$1:E1130)*(E2=E$1:E1130))))))</f>
        <v> </v>
      </c>
      <c r="K1131" s="26" t="str">
        <f>IF(OR(E1131="",E1131="!!!",F1131="NEW"),"",INDEX(J$1:J1130,SUMPRODUCT(MAX(ROW(E$1:E1130)*(E1131=E$1:E1130)))))</f>
        <v> </v>
      </c>
      <c r="L1131" s="27"/>
    </row>
    <row r="1132" spans="1:12">
      <c r="A1132" s="20" t="s">
        <v>847</v>
      </c>
      <c r="E1132" s="22">
        <f>IF(D1132="?OLD","!!!","")</f>
        <v/>
      </c>
      <c r="F1132" s="23" t="str">
        <f>IF(OR(E1132="",E1132="!!!"),"",IF(NOT(ISNA(VLOOKUP(E1132,E$1:E1131,1,FALSE()))),"OLD",IF(AND(E1132&lt;&gt;"",E1132&lt;&gt;"!!!"),"NEW","")))</f>
        <v> </v>
      </c>
      <c r="G1132" s="24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5" t="str">
        <f>IF(J1132&lt;&gt;1,"",IF(I1132="SBJ","CB","?"))</f>
        <v> </v>
      </c>
      <c r="I1132" s="26" t="str">
        <f>IF(OR(E1132="",E1132="!!!",F1132="NEW"),"",INDEX(B1131:B$2,-1+SUMPRODUCT(MAX(ROW(E1131:E$2)*(E1132=E1131:E$2)))))</f>
        <v> </v>
      </c>
      <c r="J1132" s="26" t="str">
        <f>IF(OR(E1132="",E1132="!!!",F1132="NEW"),"",COUNTBLANK(OFFSET(A$1,,,SUMPRODUCT(MAX(ROW(E$2:E1132)*(E1132=E$2:E1132)))))-COUNTBLANK(OFFSET(A$1,,,SUMPRODUCT(MAX(ROW(E$1:E1131)*(E2=E$1:E1131))))))</f>
        <v> </v>
      </c>
      <c r="K1132" s="26" t="str">
        <f>IF(OR(E1132="",E1132="!!!",F1132="NEW"),"",INDEX(J$1:J1131,SUMPRODUCT(MAX(ROW(E$1:E1131)*(E1132=E$1:E1131)))))</f>
        <v> </v>
      </c>
      <c r="L1132" s="27"/>
    </row>
    <row r="1133" spans="1:12">
      <c r="A1133" s="20" t="s">
        <v>453</v>
      </c>
      <c r="E1133" s="22">
        <f>IF(D1133="?OLD","!!!","")</f>
        <v/>
      </c>
      <c r="F1133" s="23" t="str">
        <f>IF(OR(E1133="",E1133="!!!"),"",IF(NOT(ISNA(VLOOKUP(E1133,E$1:E1132,1,FALSE()))),"OLD",IF(AND(E1133&lt;&gt;"",E1133&lt;&gt;"!!!"),"NEW","")))</f>
        <v> </v>
      </c>
      <c r="G1133" s="24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5" t="str">
        <f>IF(J1133&lt;&gt;1,"",IF(I1133="SBJ","CB","?"))</f>
        <v> </v>
      </c>
      <c r="I1133" s="26" t="str">
        <f>IF(OR(E1133="",E1133="!!!",F1133="NEW"),"",INDEX(B1132:B$2,-1+SUMPRODUCT(MAX(ROW(E1132:E$2)*(E1133=E1132:E$2)))))</f>
        <v> </v>
      </c>
      <c r="J1133" s="26" t="str">
        <f>IF(OR(E1133="",E1133="!!!",F1133="NEW"),"",COUNTBLANK(OFFSET(A$1,,,SUMPRODUCT(MAX(ROW(E$2:E1133)*(E1133=E$2:E1133)))))-COUNTBLANK(OFFSET(A$1,,,SUMPRODUCT(MAX(ROW(E$1:E1132)*(E2=E$1:E1132))))))</f>
        <v> </v>
      </c>
      <c r="K1133" s="26" t="str">
        <f>IF(OR(E1133="",E1133="!!!",F1133="NEW"),"",INDEX(J$1:J1132,SUMPRODUCT(MAX(ROW(E$1:E1132)*(E1133=E$1:E1132)))))</f>
        <v> </v>
      </c>
      <c r="L1133" s="27"/>
    </row>
    <row r="1134" spans="1:12">
      <c r="A1134" s="20" t="s">
        <v>1031</v>
      </c>
      <c r="E1134" s="22">
        <f>IF(D1134="?OLD","!!!","")</f>
        <v/>
      </c>
      <c r="F1134" s="23" t="str">
        <f>IF(OR(E1134="",E1134="!!!"),"",IF(NOT(ISNA(VLOOKUP(E1134,E$1:E1133,1,FALSE()))),"OLD",IF(AND(E1134&lt;&gt;"",E1134&lt;&gt;"!!!"),"NEW","")))</f>
        <v> </v>
      </c>
      <c r="G1134" s="24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5" t="str">
        <f>IF(J1134&lt;&gt;1,"",IF(I1134="SBJ","CB","?"))</f>
        <v> </v>
      </c>
      <c r="I1134" s="26" t="str">
        <f>IF(OR(E1134="",E1134="!!!",F1134="NEW"),"",INDEX(B1133:B$2,-1+SUMPRODUCT(MAX(ROW(E1133:E$2)*(E1134=E1133:E$2)))))</f>
        <v> </v>
      </c>
      <c r="J1134" s="26" t="str">
        <f>IF(OR(E1134="",E1134="!!!",F1134="NEW"),"",COUNTBLANK(OFFSET(A$1,,,SUMPRODUCT(MAX(ROW(E$2:E1134)*(E1134=E$2:E1134)))))-COUNTBLANK(OFFSET(A$1,,,SUMPRODUCT(MAX(ROW(E$1:E1133)*(E2=E$1:E1133))))))</f>
        <v> </v>
      </c>
      <c r="K1134" s="26" t="str">
        <f>IF(OR(E1134="",E1134="!!!",F1134="NEW"),"",INDEX(J$1:J1133,SUMPRODUCT(MAX(ROW(E$1:E1133)*(E1134=E$1:E1133)))))</f>
        <v> </v>
      </c>
      <c r="L1134" s="27"/>
    </row>
    <row r="1135" spans="1:12">
      <c r="A1135" s="20" t="s">
        <v>1032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 t="s">
        <v>1019</v>
      </c>
      <c r="B1136" s="21" t="s">
        <v>462</v>
      </c>
      <c r="C1136" s="21" t="s">
        <v>516</v>
      </c>
      <c r="E1136" s="22">
        <f>IF(D1136="?OLD","!!!","")</f>
        <v/>
      </c>
      <c r="F1136" s="23" t="str">
        <f>IF(OR(E1136="",E1136="!!!"),"",IF(NOT(ISNA(VLOOKUP(E1136,E$1:E1135,1,FALSE()))),"OLD",IF(AND(E1136&lt;&gt;"",E1136&lt;&gt;"!!!"),"NEW","")))</f>
        <v> </v>
      </c>
      <c r="G1136" s="24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5" t="str">
        <f>IF(J1136&lt;&gt;1,"",IF(I1136="SBJ","CB","?"))</f>
        <v> </v>
      </c>
      <c r="I1136" s="26" t="str">
        <f>IF(OR(E1136="",E1136="!!!",F1136="NEW"),"",INDEX(B1135:B$2,-1+SUMPRODUCT(MAX(ROW(E1135:E$2)*(E1136=E1135:E$2)))))</f>
        <v> </v>
      </c>
      <c r="J1136" s="26" t="str">
        <f>IF(OR(E1136="",E1136="!!!",F1136="NEW"),"",COUNTBLANK(OFFSET(A$1,,,SUMPRODUCT(MAX(ROW(E$2:E1136)*(E1136=E$2:E1136)))))-COUNTBLANK(OFFSET(A$1,,,SUMPRODUCT(MAX(ROW(E$1:E1135)*(E2=E$1:E1135))))))</f>
        <v> </v>
      </c>
      <c r="K1136" s="26" t="str">
        <f>IF(OR(E1136="",E1136="!!!",F1136="NEW"),"",INDEX(J$1:J1135,SUMPRODUCT(MAX(ROW(E$1:E1135)*(E1136=E$1:E1135)))))</f>
        <v> </v>
      </c>
      <c r="L1136" s="27"/>
    </row>
    <row r="1137" spans="1:12">
      <c r="A1137" s="20" t="s">
        <v>1033</v>
      </c>
      <c r="E1137" s="22">
        <f>IF(D1137="?OLD","!!!","")</f>
        <v/>
      </c>
      <c r="F1137" s="23" t="str">
        <f>IF(OR(E1137="",E1137="!!!"),"",IF(NOT(ISNA(VLOOKUP(E1137,E$1:E1136,1,FALSE()))),"OLD",IF(AND(E1137&lt;&gt;"",E1137&lt;&gt;"!!!"),"NEW","")))</f>
        <v> </v>
      </c>
      <c r="G1137" s="24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5" t="str">
        <f>IF(J1137&lt;&gt;1,"",IF(I1137="SBJ","CB","?"))</f>
        <v> </v>
      </c>
      <c r="I1137" s="26" t="str">
        <f>IF(OR(E1137="",E1137="!!!",F1137="NEW"),"",INDEX(B1136:B$2,-1+SUMPRODUCT(MAX(ROW(E1136:E$2)*(E1137=E1136:E$2)))))</f>
        <v> </v>
      </c>
      <c r="J1137" s="26" t="str">
        <f>IF(OR(E1137="",E1137="!!!",F1137="NEW"),"",COUNTBLANK(OFFSET(A$1,,,SUMPRODUCT(MAX(ROW(E$2:E1137)*(E1137=E$2:E1137)))))-COUNTBLANK(OFFSET(A$1,,,SUMPRODUCT(MAX(ROW(E$1:E1136)*(E2=E$1:E1136))))))</f>
        <v> </v>
      </c>
      <c r="K1137" s="26" t="str">
        <f>IF(OR(E1137="",E1137="!!!",F1137="NEW"),"",INDEX(J$1:J1136,SUMPRODUCT(MAX(ROW(E$1:E1136)*(E1137=E$1:E1136)))))</f>
        <v> </v>
      </c>
      <c r="L1137" s="27"/>
    </row>
    <row r="1138" spans="1:12">
      <c r="A1138" s="20" t="s">
        <v>453</v>
      </c>
      <c r="E1138" s="22">
        <f>IF(D1138="?OLD","!!!","")</f>
        <v/>
      </c>
      <c r="F1138" s="23" t="str">
        <f>IF(OR(E1138="",E1138="!!!"),"",IF(NOT(ISNA(VLOOKUP(E1138,E$1:E1137,1,FALSE()))),"OLD",IF(AND(E1138&lt;&gt;"",E1138&lt;&gt;"!!!"),"NEW","")))</f>
        <v> </v>
      </c>
      <c r="G1138" s="24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5" t="str">
        <f>IF(J1138&lt;&gt;1,"",IF(I1138="SBJ","CB","?"))</f>
        <v> </v>
      </c>
      <c r="I1138" s="26" t="str">
        <f>IF(OR(E1138="",E1138="!!!",F1138="NEW"),"",INDEX(B1137:B$2,-1+SUMPRODUCT(MAX(ROW(E1137:E$2)*(E1138=E1137:E$2)))))</f>
        <v> </v>
      </c>
      <c r="J1138" s="26" t="str">
        <f>IF(OR(E1138="",E1138="!!!",F1138="NEW"),"",COUNTBLANK(OFFSET(A$1,,,SUMPRODUCT(MAX(ROW(E$2:E1138)*(E1138=E$2:E1138)))))-COUNTBLANK(OFFSET(A$1,,,SUMPRODUCT(MAX(ROW(E$1:E1137)*(E2=E$1:E1137))))))</f>
        <v> </v>
      </c>
      <c r="K1138" s="26" t="str">
        <f>IF(OR(E1138="",E1138="!!!",F1138="NEW"),"",INDEX(J$1:J1137,SUMPRODUCT(MAX(ROW(E$1:E1137)*(E1138=E$1:E1137)))))</f>
        <v> </v>
      </c>
      <c r="L1138" s="27"/>
    </row>
    <row r="1139" spans="1:12">
      <c r="A1139" s="20" t="s">
        <v>1033</v>
      </c>
      <c r="E1139" s="22">
        <f>IF(D1139="?OLD","!!!","")</f>
        <v/>
      </c>
      <c r="F1139" s="23" t="str">
        <f>IF(OR(E1139="",E1139="!!!"),"",IF(NOT(ISNA(VLOOKUP(E1139,E$1:E1138,1,FALSE()))),"OLD",IF(AND(E1139&lt;&gt;"",E1139&lt;&gt;"!!!"),"NEW","")))</f>
        <v> </v>
      </c>
      <c r="G1139" s="24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5" t="str">
        <f>IF(J1139&lt;&gt;1,"",IF(I1139="SBJ","CB","?"))</f>
        <v> </v>
      </c>
      <c r="I1139" s="26" t="str">
        <f>IF(OR(E1139="",E1139="!!!",F1139="NEW"),"",INDEX(B1138:B$2,-1+SUMPRODUCT(MAX(ROW(E1138:E$2)*(E1139=E1138:E$2)))))</f>
        <v> </v>
      </c>
      <c r="J1139" s="26" t="str">
        <f>IF(OR(E1139="",E1139="!!!",F1139="NEW"),"",COUNTBLANK(OFFSET(A$1,,,SUMPRODUCT(MAX(ROW(E$2:E1139)*(E1139=E$2:E1139)))))-COUNTBLANK(OFFSET(A$1,,,SUMPRODUCT(MAX(ROW(E$1:E1138)*(E2=E$1:E1138))))))</f>
        <v> </v>
      </c>
      <c r="K1139" s="26" t="str">
        <f>IF(OR(E1139="",E1139="!!!",F1139="NEW"),"",INDEX(J$1:J1138,SUMPRODUCT(MAX(ROW(E$1:E1138)*(E1139=E$1:E1138)))))</f>
        <v> </v>
      </c>
      <c r="L1139" s="27"/>
    </row>
    <row r="1140" spans="1:12">
      <c r="A1140" s="20" t="s">
        <v>609</v>
      </c>
      <c r="E1140" s="22">
        <f>IF(D1140="?OLD","!!!","")</f>
        <v/>
      </c>
      <c r="F1140" s="23" t="str">
        <f>IF(OR(E1140="",E1140="!!!"),"",IF(NOT(ISNA(VLOOKUP(E1140,E$1:E1139,1,FALSE()))),"OLD",IF(AND(E1140&lt;&gt;"",E1140&lt;&gt;"!!!"),"NEW","")))</f>
        <v> </v>
      </c>
      <c r="G1140" s="24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5" t="str">
        <f>IF(J1140&lt;&gt;1,"",IF(I1140="SBJ","CB","?"))</f>
        <v> </v>
      </c>
      <c r="I1140" s="26" t="str">
        <f>IF(OR(E1140="",E1140="!!!",F1140="NEW"),"",INDEX(B1139:B$2,-1+SUMPRODUCT(MAX(ROW(E1139:E$2)*(E1140=E1139:E$2)))))</f>
        <v> </v>
      </c>
      <c r="J1140" s="26" t="str">
        <f>IF(OR(E1140="",E1140="!!!",F1140="NEW"),"",COUNTBLANK(OFFSET(A$1,,,SUMPRODUCT(MAX(ROW(E$2:E1140)*(E1140=E$2:E1140)))))-COUNTBLANK(OFFSET(A$1,,,SUMPRODUCT(MAX(ROW(E$1:E1139)*(E2=E$1:E1139))))))</f>
        <v> </v>
      </c>
      <c r="K1140" s="26" t="str">
        <f>IF(OR(E1140="",E1140="!!!",F1140="NEW"),"",INDEX(J$1:J1139,SUMPRODUCT(MAX(ROW(E$1:E1139)*(E1140=E$1:E1139)))))</f>
        <v> </v>
      </c>
      <c r="L1140" s="27"/>
    </row>
    <row r="1141" spans="1:12">
      <c r="A1141" s="20" t="s">
        <v>1034</v>
      </c>
      <c r="E1141" s="22">
        <f>IF(D1141="?OLD","!!!","")</f>
        <v/>
      </c>
      <c r="F1141" s="23" t="str">
        <f>IF(OR(E1141="",E1141="!!!"),"",IF(NOT(ISNA(VLOOKUP(E1141,E$1:E1140,1,FALSE()))),"OLD",IF(AND(E1141&lt;&gt;"",E1141&lt;&gt;"!!!"),"NEW","")))</f>
        <v> </v>
      </c>
      <c r="G1141" s="24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5" t="str">
        <f>IF(J1141&lt;&gt;1,"",IF(I1141="SBJ","CB","?"))</f>
        <v> </v>
      </c>
      <c r="I1141" s="26" t="str">
        <f>IF(OR(E1141="",E1141="!!!",F1141="NEW"),"",INDEX(B1140:B$2,-1+SUMPRODUCT(MAX(ROW(E1140:E$2)*(E1141=E1140:E$2)))))</f>
        <v> </v>
      </c>
      <c r="J1141" s="26" t="str">
        <f>IF(OR(E1141="",E1141="!!!",F1141="NEW"),"",COUNTBLANK(OFFSET(A$1,,,SUMPRODUCT(MAX(ROW(E$2:E1141)*(E1141=E$2:E1141)))))-COUNTBLANK(OFFSET(A$1,,,SUMPRODUCT(MAX(ROW(E$1:E1140)*(E2=E$1:E1140))))))</f>
        <v> </v>
      </c>
      <c r="K1141" s="26" t="str">
        <f>IF(OR(E1141="",E1141="!!!",F1141="NEW"),"",INDEX(J$1:J1140,SUMPRODUCT(MAX(ROW(E$1:E1140)*(E1141=E$1:E1140)))))</f>
        <v> </v>
      </c>
      <c r="L1141" s="27"/>
    </row>
    <row r="1142" spans="1:12">
      <c r="A1142" s="20" t="s">
        <v>453</v>
      </c>
      <c r="E1142" s="22">
        <f>IF(D1142="?OLD","!!!","")</f>
        <v/>
      </c>
      <c r="F1142" s="23" t="str">
        <f>IF(OR(E1142="",E1142="!!!"),"",IF(NOT(ISNA(VLOOKUP(E1142,E$1:E1141,1,FALSE()))),"OLD",IF(AND(E1142&lt;&gt;"",E1142&lt;&gt;"!!!"),"NEW","")))</f>
        <v> </v>
      </c>
      <c r="G1142" s="24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5" t="str">
        <f>IF(J1142&lt;&gt;1,"",IF(I1142="SBJ","CB","?"))</f>
        <v> </v>
      </c>
      <c r="I1142" s="26" t="str">
        <f>IF(OR(E1142="",E1142="!!!",F1142="NEW"),"",INDEX(B1141:B$2,-1+SUMPRODUCT(MAX(ROW(E1141:E$2)*(E1142=E1141:E$2)))))</f>
        <v> </v>
      </c>
      <c r="J1142" s="26" t="str">
        <f>IF(OR(E1142="",E1142="!!!",F1142="NEW"),"",COUNTBLANK(OFFSET(A$1,,,SUMPRODUCT(MAX(ROW(E$2:E1142)*(E1142=E$2:E1142)))))-COUNTBLANK(OFFSET(A$1,,,SUMPRODUCT(MAX(ROW(E$1:E1141)*(E2=E$1:E1141))))))</f>
        <v> </v>
      </c>
      <c r="K1142" s="26" t="str">
        <f>IF(OR(E1142="",E1142="!!!",F1142="NEW"),"",INDEX(J$1:J1141,SUMPRODUCT(MAX(ROW(E$1:E1141)*(E1142=E$1:E1141)))))</f>
        <v> </v>
      </c>
      <c r="L1142" s="27"/>
    </row>
    <row r="1143" spans="1:12">
      <c r="A1143" s="20" t="s">
        <v>602</v>
      </c>
      <c r="E1143" s="22">
        <f>IF(D1143="?OLD","!!!","")</f>
        <v/>
      </c>
      <c r="F1143" s="23" t="str">
        <f>IF(OR(E1143="",E1143="!!!"),"",IF(NOT(ISNA(VLOOKUP(E1143,E$1:E1142,1,FALSE()))),"OLD",IF(AND(E1143&lt;&gt;"",E1143&lt;&gt;"!!!"),"NEW","")))</f>
        <v> </v>
      </c>
      <c r="G1143" s="24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5" t="str">
        <f>IF(J1143&lt;&gt;1,"",IF(I1143="SBJ","CB","?"))</f>
        <v> </v>
      </c>
      <c r="I1143" s="26" t="str">
        <f>IF(OR(E1143="",E1143="!!!",F1143="NEW"),"",INDEX(B1142:B$2,-1+SUMPRODUCT(MAX(ROW(E1142:E$2)*(E1143=E1142:E$2)))))</f>
        <v> </v>
      </c>
      <c r="J1143" s="26" t="str">
        <f>IF(OR(E1143="",E1143="!!!",F1143="NEW"),"",COUNTBLANK(OFFSET(A$1,,,SUMPRODUCT(MAX(ROW(E$2:E1143)*(E1143=E$2:E1143)))))-COUNTBLANK(OFFSET(A$1,,,SUMPRODUCT(MAX(ROW(E$1:E1142)*(E2=E$1:E1142))))))</f>
        <v> </v>
      </c>
      <c r="K1143" s="26" t="str">
        <f>IF(OR(E1143="",E1143="!!!",F1143="NEW"),"",INDEX(J$1:J1142,SUMPRODUCT(MAX(ROW(E$1:E1142)*(E1143=E$1:E1142)))))</f>
        <v> </v>
      </c>
      <c r="L1143" s="27"/>
    </row>
    <row r="1144" spans="1:12">
      <c r="A1144" s="20" t="s">
        <v>506</v>
      </c>
      <c r="E1144" s="22">
        <f>IF(D1144="?OLD","!!!","")</f>
        <v/>
      </c>
      <c r="F1144" s="23" t="str">
        <f>IF(OR(E1144="",E1144="!!!"),"",IF(NOT(ISNA(VLOOKUP(E1144,E$1:E1143,1,FALSE()))),"OLD",IF(AND(E1144&lt;&gt;"",E1144&lt;&gt;"!!!"),"NEW","")))</f>
        <v> </v>
      </c>
      <c r="G1144" s="24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5" t="str">
        <f>IF(J1144&lt;&gt;1,"",IF(I1144="SBJ","CB","?"))</f>
        <v> </v>
      </c>
      <c r="I1144" s="26" t="str">
        <f>IF(OR(E1144="",E1144="!!!",F1144="NEW"),"",INDEX(B1143:B$2,-1+SUMPRODUCT(MAX(ROW(E1143:E$2)*(E1144=E1143:E$2)))))</f>
        <v> </v>
      </c>
      <c r="J1144" s="26" t="str">
        <f>IF(OR(E1144="",E1144="!!!",F1144="NEW"),"",COUNTBLANK(OFFSET(A$1,,,SUMPRODUCT(MAX(ROW(E$2:E1144)*(E1144=E$2:E1144)))))-COUNTBLANK(OFFSET(A$1,,,SUMPRODUCT(MAX(ROW(E$1:E1143)*(E2=E$1:E1143))))))</f>
        <v> </v>
      </c>
      <c r="K1144" s="26" t="str">
        <f>IF(OR(E1144="",E1144="!!!",F1144="NEW"),"",INDEX(J$1:J1143,SUMPRODUCT(MAX(ROW(E$1:E1143)*(E1144=E$1:E1143)))))</f>
        <v> </v>
      </c>
      <c r="L1144" s="27"/>
    </row>
    <row r="1145" spans="1:12">
      <c r="A1145" s="20" t="s">
        <v>1035</v>
      </c>
      <c r="E1145" s="22">
        <f>IF(D1145="?OLD","!!!","")</f>
        <v/>
      </c>
      <c r="F1145" s="23" t="str">
        <f>IF(OR(E1145="",E1145="!!!"),"",IF(NOT(ISNA(VLOOKUP(E1145,E$1:E1144,1,FALSE()))),"OLD",IF(AND(E1145&lt;&gt;"",E1145&lt;&gt;"!!!"),"NEW","")))</f>
        <v> </v>
      </c>
      <c r="G1145" s="24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5" t="str">
        <f>IF(J1145&lt;&gt;1,"",IF(I1145="SBJ","CB","?"))</f>
        <v> </v>
      </c>
      <c r="I1145" s="26" t="str">
        <f>IF(OR(E1145="",E1145="!!!",F1145="NEW"),"",INDEX(B1144:B$2,-1+SUMPRODUCT(MAX(ROW(E1144:E$2)*(E1145=E1144:E$2)))))</f>
        <v> </v>
      </c>
      <c r="J1145" s="26" t="str">
        <f>IF(OR(E1145="",E1145="!!!",F1145="NEW"),"",COUNTBLANK(OFFSET(A$1,,,SUMPRODUCT(MAX(ROW(E$2:E1145)*(E1145=E$2:E1145)))))-COUNTBLANK(OFFSET(A$1,,,SUMPRODUCT(MAX(ROW(E$1:E1144)*(E2=E$1:E1144))))))</f>
        <v> </v>
      </c>
      <c r="K1145" s="26" t="str">
        <f>IF(OR(E1145="",E1145="!!!",F1145="NEW"),"",INDEX(J$1:J1144,SUMPRODUCT(MAX(ROW(E$1:E1144)*(E1145=E$1:E1144)))))</f>
        <v> </v>
      </c>
      <c r="L1145" s="27"/>
    </row>
    <row r="1146" spans="1:12">
      <c r="A1146" s="20" t="s">
        <v>1036</v>
      </c>
      <c r="B1146" s="21" t="s">
        <v>432</v>
      </c>
      <c r="C1146" s="21" t="s">
        <v>471</v>
      </c>
      <c r="D1146" s="21" t="s">
        <v>424</v>
      </c>
      <c r="E1146" s="22">
        <f>IF(D1146="?OLD","!!!","")</f>
        <v/>
      </c>
      <c r="F1146" s="23" t="str">
        <f>IF(OR(E1146="",E1146="!!!"),"",IF(NOT(ISNA(VLOOKUP(E1146,E$1:E1145,1,FALSE()))),"OLD",IF(AND(E1146&lt;&gt;"",E1146&lt;&gt;"!!!"),"NEW","")))</f>
        <v> </v>
      </c>
      <c r="G1146" s="24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5" t="str">
        <f>IF(J1146&lt;&gt;1,"",IF(I1146="SBJ","CB","?"))</f>
        <v> </v>
      </c>
      <c r="I1146" s="26" t="str">
        <f>IF(OR(E1146="",E1146="!!!",F1146="NEW"),"",INDEX(B1145:B$2,-1+SUMPRODUCT(MAX(ROW(E1145:E$2)*(E1146=E1145:E$2)))))</f>
        <v> </v>
      </c>
      <c r="J1146" s="26" t="str">
        <f>IF(OR(E1146="",E1146="!!!",F1146="NEW"),"",COUNTBLANK(OFFSET(A$1,,,SUMPRODUCT(MAX(ROW(E$2:E1146)*(E1146=E$2:E1146)))))-COUNTBLANK(OFFSET(A$1,,,SUMPRODUCT(MAX(ROW(E$1:E1145)*(E2=E$1:E1145))))))</f>
        <v> </v>
      </c>
      <c r="K1146" s="26" t="str">
        <f>IF(OR(E1146="",E1146="!!!",F1146="NEW"),"",INDEX(J$1:J1145,SUMPRODUCT(MAX(ROW(E$1:E1145)*(E1146=E$1:E1145)))))</f>
        <v> </v>
      </c>
      <c r="L1146" s="27"/>
    </row>
    <row r="1147" spans="1:12">
      <c r="A1147" s="20" t="s">
        <v>581</v>
      </c>
      <c r="B1147" s="21" t="s">
        <v>470</v>
      </c>
      <c r="C1147" s="21" t="s">
        <v>423</v>
      </c>
      <c r="D1147" s="21" t="s">
        <v>424</v>
      </c>
      <c r="E1147" s="22">
        <f>IF(D1147="?OLD","!!!","")</f>
        <v/>
      </c>
      <c r="F1147" s="23" t="str">
        <f>IF(OR(E1147="",E1147="!!!"),"",IF(NOT(ISNA(VLOOKUP(E1147,E$1:E1146,1,FALSE()))),"OLD",IF(AND(E1147&lt;&gt;"",E1147&lt;&gt;"!!!"),"NEW","")))</f>
        <v> </v>
      </c>
      <c r="G1147" s="24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5" t="str">
        <f>IF(J1147&lt;&gt;1,"",IF(I1147="SBJ","CB","?"))</f>
        <v> </v>
      </c>
      <c r="I1147" s="26" t="str">
        <f>IF(OR(E1147="",E1147="!!!",F1147="NEW"),"",INDEX(B1146:B$2,-1+SUMPRODUCT(MAX(ROW(E1146:E$2)*(E1147=E1146:E$2)))))</f>
        <v> </v>
      </c>
      <c r="J1147" s="26" t="str">
        <f>IF(OR(E1147="",E1147="!!!",F1147="NEW"),"",COUNTBLANK(OFFSET(A$1,,,SUMPRODUCT(MAX(ROW(E$2:E1147)*(E1147=E$2:E1147)))))-COUNTBLANK(OFFSET(A$1,,,SUMPRODUCT(MAX(ROW(E$1:E1146)*(E2=E$1:E1146))))))</f>
        <v> </v>
      </c>
      <c r="K1147" s="26" t="str">
        <f>IF(OR(E1147="",E1147="!!!",F1147="NEW"),"",INDEX(J$1:J1146,SUMPRODUCT(MAX(ROW(E$1:E1146)*(E1147=E$1:E1146)))))</f>
        <v> </v>
      </c>
      <c r="L1147" s="27"/>
    </row>
    <row r="1148" spans="1:12">
      <c r="A1148" s="20" t="s">
        <v>859</v>
      </c>
      <c r="E1148" s="22">
        <f>IF(D1148="?OLD","!!!","")</f>
        <v/>
      </c>
      <c r="F1148" s="23" t="str">
        <f>IF(OR(E1148="",E1148="!!!"),"",IF(NOT(ISNA(VLOOKUP(E1148,E$1:E1147,1,FALSE()))),"OLD",IF(AND(E1148&lt;&gt;"",E1148&lt;&gt;"!!!"),"NEW","")))</f>
        <v> </v>
      </c>
      <c r="G1148" s="24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5" t="str">
        <f>IF(J1148&lt;&gt;1,"",IF(I1148="SBJ","CB","?"))</f>
        <v> </v>
      </c>
      <c r="I1148" s="26" t="str">
        <f>IF(OR(E1148="",E1148="!!!",F1148="NEW"),"",INDEX(B1147:B$2,-1+SUMPRODUCT(MAX(ROW(E1147:E$2)*(E1148=E1147:E$2)))))</f>
        <v> </v>
      </c>
      <c r="J1148" s="26" t="str">
        <f>IF(OR(E1148="",E1148="!!!",F1148="NEW"),"",COUNTBLANK(OFFSET(A$1,,,SUMPRODUCT(MAX(ROW(E$2:E1148)*(E1148=E$2:E1148)))))-COUNTBLANK(OFFSET(A$1,,,SUMPRODUCT(MAX(ROW(E$1:E1147)*(E2=E$1:E1147))))))</f>
        <v> </v>
      </c>
      <c r="K1148" s="26" t="str">
        <f>IF(OR(E1148="",E1148="!!!",F1148="NEW"),"",INDEX(J$1:J1147,SUMPRODUCT(MAX(ROW(E$1:E1147)*(E1148=E$1:E1147)))))</f>
        <v> </v>
      </c>
      <c r="L1148" s="27"/>
    </row>
    <row r="1149" spans="1:12">
      <c r="A1149" s="20" t="s">
        <v>1037</v>
      </c>
      <c r="E1149" s="22">
        <f>IF(D1149="?OLD","!!!","")</f>
        <v/>
      </c>
      <c r="F1149" s="23" t="str">
        <f>IF(OR(E1149="",E1149="!!!"),"",IF(NOT(ISNA(VLOOKUP(E1149,E$1:E1148,1,FALSE()))),"OLD",IF(AND(E1149&lt;&gt;"",E1149&lt;&gt;"!!!"),"NEW","")))</f>
        <v> </v>
      </c>
      <c r="G1149" s="24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5" t="str">
        <f>IF(J1149&lt;&gt;1,"",IF(I1149="SBJ","CB","?"))</f>
        <v> </v>
      </c>
      <c r="I1149" s="26" t="str">
        <f>IF(OR(E1149="",E1149="!!!",F1149="NEW"),"",INDEX(B1148:B$2,-1+SUMPRODUCT(MAX(ROW(E1148:E$2)*(E1149=E1148:E$2)))))</f>
        <v> </v>
      </c>
      <c r="J1149" s="26" t="str">
        <f>IF(OR(E1149="",E1149="!!!",F1149="NEW"),"",COUNTBLANK(OFFSET(A$1,,,SUMPRODUCT(MAX(ROW(E$2:E1149)*(E1149=E$2:E1149)))))-COUNTBLANK(OFFSET(A$1,,,SUMPRODUCT(MAX(ROW(E$1:E1148)*(E2=E$1:E1148))))))</f>
        <v> </v>
      </c>
      <c r="K1149" s="26" t="str">
        <f>IF(OR(E1149="",E1149="!!!",F1149="NEW"),"",INDEX(J$1:J1148,SUMPRODUCT(MAX(ROW(E$1:E1148)*(E1149=E$1:E1148)))))</f>
        <v> </v>
      </c>
      <c r="L1149" s="27"/>
    </row>
    <row r="1150" spans="1:12">
      <c r="A1150" s="20" t="s">
        <v>1038</v>
      </c>
      <c r="E1150" s="22">
        <f>IF(D1150="?OLD","!!!","")</f>
        <v/>
      </c>
      <c r="F1150" s="23" t="str">
        <f>IF(OR(E1150="",E1150="!!!"),"",IF(NOT(ISNA(VLOOKUP(E1150,E$1:E1149,1,FALSE()))),"OLD",IF(AND(E1150&lt;&gt;"",E1150&lt;&gt;"!!!"),"NEW","")))</f>
        <v> </v>
      </c>
      <c r="G1150" s="24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5" t="str">
        <f>IF(J1150&lt;&gt;1,"",IF(I1150="SBJ","CB","?"))</f>
        <v> </v>
      </c>
      <c r="I1150" s="26" t="str">
        <f>IF(OR(E1150="",E1150="!!!",F1150="NEW"),"",INDEX(B1149:B$2,-1+SUMPRODUCT(MAX(ROW(E1149:E$2)*(E1150=E1149:E$2)))))</f>
        <v> </v>
      </c>
      <c r="J1150" s="26" t="str">
        <f>IF(OR(E1150="",E1150="!!!",F1150="NEW"),"",COUNTBLANK(OFFSET(A$1,,,SUMPRODUCT(MAX(ROW(E$2:E1150)*(E1150=E$2:E1150)))))-COUNTBLANK(OFFSET(A$1,,,SUMPRODUCT(MAX(ROW(E$1:E1149)*(E2=E$1:E1149))))))</f>
        <v> </v>
      </c>
      <c r="K1150" s="26" t="str">
        <f>IF(OR(E1150="",E1150="!!!",F1150="NEW"),"",INDEX(J$1:J1149,SUMPRODUCT(MAX(ROW(E$1:E1149)*(E1150=E$1:E1149)))))</f>
        <v> </v>
      </c>
      <c r="L1150" s="27"/>
    </row>
    <row r="1151" spans="1:12">
      <c r="A1151" s="20" t="s">
        <v>1039</v>
      </c>
      <c r="E1151" s="22">
        <f>IF(D1151="?OLD","!!!","")</f>
        <v/>
      </c>
      <c r="F1151" s="23" t="str">
        <f>IF(OR(E1151="",E1151="!!!"),"",IF(NOT(ISNA(VLOOKUP(E1151,E$1:E1150,1,FALSE()))),"OLD",IF(AND(E1151&lt;&gt;"",E1151&lt;&gt;"!!!"),"NEW","")))</f>
        <v> </v>
      </c>
      <c r="G1151" s="24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5" t="str">
        <f>IF(J1151&lt;&gt;1,"",IF(I1151="SBJ","CB","?"))</f>
        <v> </v>
      </c>
      <c r="I1151" s="26" t="str">
        <f>IF(OR(E1151="",E1151="!!!",F1151="NEW"),"",INDEX(B1150:B$2,-1+SUMPRODUCT(MAX(ROW(E1150:E$2)*(E1151=E1150:E$2)))))</f>
        <v> </v>
      </c>
      <c r="J1151" s="26" t="str">
        <f>IF(OR(E1151="",E1151="!!!",F1151="NEW"),"",COUNTBLANK(OFFSET(A$1,,,SUMPRODUCT(MAX(ROW(E$2:E1151)*(E1151=E$2:E1151)))))-COUNTBLANK(OFFSET(A$1,,,SUMPRODUCT(MAX(ROW(E$1:E1150)*(E2=E$1:E1150))))))</f>
        <v> </v>
      </c>
      <c r="K1151" s="26" t="str">
        <f>IF(OR(E1151="",E1151="!!!",F1151="NEW"),"",INDEX(J$1:J1150,SUMPRODUCT(MAX(ROW(E$1:E1150)*(E1151=E$1:E1150)))))</f>
        <v> </v>
      </c>
      <c r="L1151" s="27"/>
    </row>
    <row r="1152" spans="1:12">
      <c r="A1152" s="20" t="s">
        <v>438</v>
      </c>
      <c r="E1152" s="22">
        <f>IF(D1152="?OLD","!!!","")</f>
        <v/>
      </c>
      <c r="F1152" s="23" t="str">
        <f>IF(OR(E1152="",E1152="!!!"),"",IF(NOT(ISNA(VLOOKUP(E1152,E$1:E1151,1,FALSE()))),"OLD",IF(AND(E1152&lt;&gt;"",E1152&lt;&gt;"!!!"),"NEW","")))</f>
        <v> </v>
      </c>
      <c r="G1152" s="24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5" t="str">
        <f>IF(J1152&lt;&gt;1,"",IF(I1152="SBJ","CB","?"))</f>
        <v> </v>
      </c>
      <c r="I1152" s="26" t="str">
        <f>IF(OR(E1152="",E1152="!!!",F1152="NEW"),"",INDEX(B1151:B$2,-1+SUMPRODUCT(MAX(ROW(E1151:E$2)*(E1152=E1151:E$2)))))</f>
        <v> </v>
      </c>
      <c r="J1152" s="26" t="str">
        <f>IF(OR(E1152="",E1152="!!!",F1152="NEW"),"",COUNTBLANK(OFFSET(A$1,,,SUMPRODUCT(MAX(ROW(E$2:E1152)*(E1152=E$2:E1152)))))-COUNTBLANK(OFFSET(A$1,,,SUMPRODUCT(MAX(ROW(E$1:E1151)*(E2=E$1:E1151))))))</f>
        <v> </v>
      </c>
      <c r="K1152" s="26" t="str">
        <f>IF(OR(E1152="",E1152="!!!",F1152="NEW"),"",INDEX(J$1:J1151,SUMPRODUCT(MAX(ROW(E$1:E1151)*(E1152=E$1:E1151)))))</f>
        <v> </v>
      </c>
      <c r="L1152" s="27"/>
    </row>
    <row r="1153" spans="1:12">
      <c r="A1153" s="20"/>
    </row>
    <row r="1154" spans="1:12">
      <c r="A1154" s="20" t="s">
        <v>1040</v>
      </c>
    </row>
    <row r="1155" spans="1:12">
      <c r="A1155" s="20" t="s">
        <v>1021</v>
      </c>
      <c r="E1155" s="22">
        <f>IF(D1155="?OLD","!!!","")</f>
        <v/>
      </c>
      <c r="F1155" s="23" t="str">
        <f>IF(OR(E1155="",E1155="!!!"),"",IF(NOT(ISNA(VLOOKUP(E1155,E$1:E1154,1,FALSE()))),"OLD",IF(AND(E1155&lt;&gt;"",E1155&lt;&gt;"!!!"),"NEW","")))</f>
        <v> </v>
      </c>
      <c r="G1155" s="24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5" t="str">
        <f>IF(J1155&lt;&gt;1,"",IF(I1155="SBJ","CB","?"))</f>
        <v> </v>
      </c>
      <c r="I1155" s="26" t="str">
        <f>IF(OR(E1155="",E1155="!!!",F1155="NEW"),"",INDEX(B1154:B$2,-1+SUMPRODUCT(MAX(ROW(E1154:E$2)*(E1155=E1154:E$2)))))</f>
        <v> </v>
      </c>
      <c r="J1155" s="26" t="str">
        <f>IF(OR(E1155="",E1155="!!!",F1155="NEW"),"",COUNTBLANK(OFFSET(A$1,,,SUMPRODUCT(MAX(ROW(E$2:E1155)*(E1155=E$2:E1155)))))-COUNTBLANK(OFFSET(A$1,,,SUMPRODUCT(MAX(ROW(E$1:E1154)*(E2=E$1:E1154))))))</f>
        <v> </v>
      </c>
      <c r="K1155" s="26" t="str">
        <f>IF(OR(E1155="",E1155="!!!",F1155="NEW"),"",INDEX(J$1:J1154,SUMPRODUCT(MAX(ROW(E$1:E1154)*(E1155=E$1:E1154)))))</f>
        <v> </v>
      </c>
      <c r="L1155" s="27"/>
    </row>
    <row r="1156" spans="1:12">
      <c r="A1156" s="20" t="s">
        <v>492</v>
      </c>
      <c r="B1156" s="21" t="s">
        <v>556</v>
      </c>
      <c r="C1156" s="21" t="s">
        <v>423</v>
      </c>
      <c r="D1156" s="21" t="s">
        <v>424</v>
      </c>
      <c r="E1156" s="22">
        <f>IF(D1156="?OLD","!!!","")</f>
        <v/>
      </c>
      <c r="F1156" s="23" t="str">
        <f>IF(OR(E1156="",E1156="!!!"),"",IF(NOT(ISNA(VLOOKUP(E1156,E$1:E1155,1,FALSE()))),"OLD",IF(AND(E1156&lt;&gt;"",E1156&lt;&gt;"!!!"),"NEW","")))</f>
        <v> </v>
      </c>
      <c r="G1156" s="24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5" t="str">
        <f>IF(J1156&lt;&gt;1,"",IF(I1156="SBJ","CB","?"))</f>
        <v> </v>
      </c>
      <c r="I1156" s="26" t="str">
        <f>IF(OR(E1156="",E1156="!!!",F1156="NEW"),"",INDEX(B1155:B$2,-1+SUMPRODUCT(MAX(ROW(E1155:E$2)*(E1156=E1155:E$2)))))</f>
        <v> </v>
      </c>
      <c r="J1156" s="26" t="str">
        <f>IF(OR(E1156="",E1156="!!!",F1156="NEW"),"",COUNTBLANK(OFFSET(A$1,,,SUMPRODUCT(MAX(ROW(E$2:E1156)*(E1156=E$2:E1156)))))-COUNTBLANK(OFFSET(A$1,,,SUMPRODUCT(MAX(ROW(E$1:E1155)*(E2=E$1:E1155))))))</f>
        <v> </v>
      </c>
      <c r="K1156" s="26" t="str">
        <f>IF(OR(E1156="",E1156="!!!",F1156="NEW"),"",INDEX(J$1:J1155,SUMPRODUCT(MAX(ROW(E$1:E1155)*(E1156=E$1:E1155)))))</f>
        <v> </v>
      </c>
      <c r="L1156" s="27"/>
    </row>
    <row r="1157" spans="1:12">
      <c r="A1157" s="20" t="s">
        <v>1041</v>
      </c>
      <c r="E1157" s="22">
        <f>IF(D1157="?OLD","!!!","")</f>
        <v/>
      </c>
      <c r="F1157" s="23" t="str">
        <f>IF(OR(E1157="",E1157="!!!"),"",IF(NOT(ISNA(VLOOKUP(E1157,E$1:E1156,1,FALSE()))),"OLD",IF(AND(E1157&lt;&gt;"",E1157&lt;&gt;"!!!"),"NEW","")))</f>
        <v> </v>
      </c>
      <c r="G1157" s="24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5" t="str">
        <f>IF(J1157&lt;&gt;1,"",IF(I1157="SBJ","CB","?"))</f>
        <v> </v>
      </c>
      <c r="I1157" s="26" t="str">
        <f>IF(OR(E1157="",E1157="!!!",F1157="NEW"),"",INDEX(B1156:B$2,-1+SUMPRODUCT(MAX(ROW(E1156:E$2)*(E1157=E1156:E$2)))))</f>
        <v> </v>
      </c>
      <c r="J1157" s="26" t="str">
        <f>IF(OR(E1157="",E1157="!!!",F1157="NEW"),"",COUNTBLANK(OFFSET(A$1,,,SUMPRODUCT(MAX(ROW(E$2:E1157)*(E1157=E$2:E1157)))))-COUNTBLANK(OFFSET(A$1,,,SUMPRODUCT(MAX(ROW(E$1:E1156)*(E2=E$1:E1156))))))</f>
        <v> </v>
      </c>
      <c r="K1157" s="26" t="str">
        <f>IF(OR(E1157="",E1157="!!!",F1157="NEW"),"",INDEX(J$1:J1156,SUMPRODUCT(MAX(ROW(E$1:E1156)*(E1157=E$1:E1156)))))</f>
        <v> </v>
      </c>
      <c r="L1157" s="27"/>
    </row>
    <row r="1158" spans="1:12">
      <c r="A1158" s="20" t="s">
        <v>506</v>
      </c>
      <c r="E1158" s="22">
        <f>IF(D1158="?OLD","!!!","")</f>
        <v/>
      </c>
      <c r="F1158" s="23" t="str">
        <f>IF(OR(E1158="",E1158="!!!"),"",IF(NOT(ISNA(VLOOKUP(E1158,E$1:E1157,1,FALSE()))),"OLD",IF(AND(E1158&lt;&gt;"",E1158&lt;&gt;"!!!"),"NEW","")))</f>
        <v> </v>
      </c>
      <c r="G1158" s="24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5" t="str">
        <f>IF(J1158&lt;&gt;1,"",IF(I1158="SBJ","CB","?"))</f>
        <v> </v>
      </c>
      <c r="I1158" s="26" t="str">
        <f>IF(OR(E1158="",E1158="!!!",F1158="NEW"),"",INDEX(B1157:B$2,-1+SUMPRODUCT(MAX(ROW(E1157:E$2)*(E1158=E1157:E$2)))))</f>
        <v> </v>
      </c>
      <c r="J1158" s="26" t="str">
        <f>IF(OR(E1158="",E1158="!!!",F1158="NEW"),"",COUNTBLANK(OFFSET(A$1,,,SUMPRODUCT(MAX(ROW(E$2:E1158)*(E1158=E$2:E1158)))))-COUNTBLANK(OFFSET(A$1,,,SUMPRODUCT(MAX(ROW(E$1:E1157)*(E2=E$1:E1157))))))</f>
        <v> </v>
      </c>
      <c r="K1158" s="26" t="str">
        <f>IF(OR(E1158="",E1158="!!!",F1158="NEW"),"",INDEX(J$1:J1157,SUMPRODUCT(MAX(ROW(E$1:E1157)*(E1158=E$1:E1157)))))</f>
        <v> </v>
      </c>
      <c r="L1158" s="27"/>
    </row>
    <row r="1159" spans="1:12">
      <c r="A1159" s="20" t="s">
        <v>1042</v>
      </c>
      <c r="E1159" s="22">
        <f>IF(D1159="?OLD","!!!","")</f>
        <v/>
      </c>
      <c r="F1159" s="23" t="str">
        <f>IF(OR(E1159="",E1159="!!!"),"",IF(NOT(ISNA(VLOOKUP(E1159,E$1:E1158,1,FALSE()))),"OLD",IF(AND(E1159&lt;&gt;"",E1159&lt;&gt;"!!!"),"NEW","")))</f>
        <v> </v>
      </c>
      <c r="G1159" s="24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5" t="str">
        <f>IF(J1159&lt;&gt;1,"",IF(I1159="SBJ","CB","?"))</f>
        <v> </v>
      </c>
      <c r="I1159" s="26" t="str">
        <f>IF(OR(E1159="",E1159="!!!",F1159="NEW"),"",INDEX(B1158:B$2,-1+SUMPRODUCT(MAX(ROW(E1158:E$2)*(E1159=E1158:E$2)))))</f>
        <v> </v>
      </c>
      <c r="J1159" s="26" t="str">
        <f>IF(OR(E1159="",E1159="!!!",F1159="NEW"),"",COUNTBLANK(OFFSET(A$1,,,SUMPRODUCT(MAX(ROW(E$2:E1159)*(E1159=E$2:E1159)))))-COUNTBLANK(OFFSET(A$1,,,SUMPRODUCT(MAX(ROW(E$1:E1158)*(E2=E$1:E1158))))))</f>
        <v> </v>
      </c>
      <c r="K1159" s="26" t="str">
        <f>IF(OR(E1159="",E1159="!!!",F1159="NEW"),"",INDEX(J$1:J1158,SUMPRODUCT(MAX(ROW(E$1:E1158)*(E1159=E$1:E1158)))))</f>
        <v> </v>
      </c>
      <c r="L1159" s="27"/>
    </row>
    <row r="1160" spans="1:12">
      <c r="A1160" s="20" t="s">
        <v>453</v>
      </c>
      <c r="E1160" s="22">
        <f>IF(D1160="?OLD","!!!","")</f>
        <v/>
      </c>
      <c r="F1160" s="23" t="str">
        <f>IF(OR(E1160="",E1160="!!!"),"",IF(NOT(ISNA(VLOOKUP(E1160,E$1:E1159,1,FALSE()))),"OLD",IF(AND(E1160&lt;&gt;"",E1160&lt;&gt;"!!!"),"NEW","")))</f>
        <v> </v>
      </c>
      <c r="G1160" s="24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5" t="str">
        <f>IF(J1160&lt;&gt;1,"",IF(I1160="SBJ","CB","?"))</f>
        <v> </v>
      </c>
      <c r="I1160" s="26" t="str">
        <f>IF(OR(E1160="",E1160="!!!",F1160="NEW"),"",INDEX(B1159:B$2,-1+SUMPRODUCT(MAX(ROW(E1159:E$2)*(E1160=E1159:E$2)))))</f>
        <v> </v>
      </c>
      <c r="J1160" s="26" t="str">
        <f>IF(OR(E1160="",E1160="!!!",F1160="NEW"),"",COUNTBLANK(OFFSET(A$1,,,SUMPRODUCT(MAX(ROW(E$2:E1160)*(E1160=E$2:E1160)))))-COUNTBLANK(OFFSET(A$1,,,SUMPRODUCT(MAX(ROW(E$1:E1159)*(E2=E$1:E1159))))))</f>
        <v> </v>
      </c>
      <c r="K1160" s="26" t="str">
        <f>IF(OR(E1160="",E1160="!!!",F1160="NEW"),"",INDEX(J$1:J1159,SUMPRODUCT(MAX(ROW(E$1:E1159)*(E1160=E$1:E1159)))))</f>
        <v> </v>
      </c>
      <c r="L1160" s="27"/>
    </row>
    <row r="1161" spans="1:12">
      <c r="A1161" s="20" t="s">
        <v>329</v>
      </c>
      <c r="E1161" s="22">
        <f>IF(D1161="?OLD","!!!","")</f>
        <v/>
      </c>
      <c r="F1161" s="23" t="str">
        <f>IF(OR(E1161="",E1161="!!!"),"",IF(NOT(ISNA(VLOOKUP(E1161,E$1:E1160,1,FALSE()))),"OLD",IF(AND(E1161&lt;&gt;"",E1161&lt;&gt;"!!!"),"NEW","")))</f>
        <v> </v>
      </c>
      <c r="G1161" s="24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5" t="str">
        <f>IF(J1161&lt;&gt;1,"",IF(I1161="SBJ","CB","?"))</f>
        <v> </v>
      </c>
      <c r="I1161" s="26" t="str">
        <f>IF(OR(E1161="",E1161="!!!",F1161="NEW"),"",INDEX(B1160:B$2,-1+SUMPRODUCT(MAX(ROW(E1160:E$2)*(E1161=E1160:E$2)))))</f>
        <v> </v>
      </c>
      <c r="J1161" s="26" t="str">
        <f>IF(OR(E1161="",E1161="!!!",F1161="NEW"),"",COUNTBLANK(OFFSET(A$1,,,SUMPRODUCT(MAX(ROW(E$2:E1161)*(E1161=E$2:E1161)))))-COUNTBLANK(OFFSET(A$1,,,SUMPRODUCT(MAX(ROW(E$1:E1160)*(E2=E$1:E1160))))))</f>
        <v> </v>
      </c>
      <c r="K1161" s="26" t="str">
        <f>IF(OR(E1161="",E1161="!!!",F1161="NEW"),"",INDEX(J$1:J1160,SUMPRODUCT(MAX(ROW(E$1:E1160)*(E1161=E$1:E1160)))))</f>
        <v> </v>
      </c>
      <c r="L1161" s="27"/>
    </row>
    <row r="1162" spans="1:12">
      <c r="A1162" s="20" t="s">
        <v>1043</v>
      </c>
      <c r="E1162" s="22">
        <f>IF(D1162="?OLD","!!!","")</f>
        <v/>
      </c>
      <c r="F1162" s="23" t="str">
        <f>IF(OR(E1162="",E1162="!!!"),"",IF(NOT(ISNA(VLOOKUP(E1162,E$1:E1161,1,FALSE()))),"OLD",IF(AND(E1162&lt;&gt;"",E1162&lt;&gt;"!!!"),"NEW","")))</f>
        <v> </v>
      </c>
      <c r="G1162" s="24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5" t="str">
        <f>IF(J1162&lt;&gt;1,"",IF(I1162="SBJ","CB","?"))</f>
        <v> </v>
      </c>
      <c r="I1162" s="26" t="str">
        <f>IF(OR(E1162="",E1162="!!!",F1162="NEW"),"",INDEX(B1161:B$2,-1+SUMPRODUCT(MAX(ROW(E1161:E$2)*(E1162=E1161:E$2)))))</f>
        <v> </v>
      </c>
      <c r="J1162" s="26" t="str">
        <f>IF(OR(E1162="",E1162="!!!",F1162="NEW"),"",COUNTBLANK(OFFSET(A$1,,,SUMPRODUCT(MAX(ROW(E$2:E1162)*(E1162=E$2:E1162)))))-COUNTBLANK(OFFSET(A$1,,,SUMPRODUCT(MAX(ROW(E$1:E1161)*(E2=E$1:E1161))))))</f>
        <v> </v>
      </c>
      <c r="K1162" s="26" t="str">
        <f>IF(OR(E1162="",E1162="!!!",F1162="NEW"),"",INDEX(J$1:J1161,SUMPRODUCT(MAX(ROW(E$1:E1161)*(E1162=E$1:E1161)))))</f>
        <v> </v>
      </c>
      <c r="L1162" s="27"/>
    </row>
    <row r="1163" spans="1:12">
      <c r="A1163" s="20" t="s">
        <v>453</v>
      </c>
      <c r="E1163" s="22">
        <f>IF(D1163="?OLD","!!!","")</f>
        <v/>
      </c>
      <c r="F1163" s="23" t="str">
        <f>IF(OR(E1163="",E1163="!!!"),"",IF(NOT(ISNA(VLOOKUP(E1163,E$1:E1162,1,FALSE()))),"OLD",IF(AND(E1163&lt;&gt;"",E1163&lt;&gt;"!!!"),"NEW","")))</f>
        <v> </v>
      </c>
      <c r="G1163" s="24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5" t="str">
        <f>IF(J1163&lt;&gt;1,"",IF(I1163="SBJ","CB","?"))</f>
        <v> </v>
      </c>
      <c r="I1163" s="26" t="str">
        <f>IF(OR(E1163="",E1163="!!!",F1163="NEW"),"",INDEX(B1162:B$2,-1+SUMPRODUCT(MAX(ROW(E1162:E$2)*(E1163=E1162:E$2)))))</f>
        <v> </v>
      </c>
      <c r="J1163" s="26" t="str">
        <f>IF(OR(E1163="",E1163="!!!",F1163="NEW"),"",COUNTBLANK(OFFSET(A$1,,,SUMPRODUCT(MAX(ROW(E$2:E1163)*(E1163=E$2:E1163)))))-COUNTBLANK(OFFSET(A$1,,,SUMPRODUCT(MAX(ROW(E$1:E1162)*(E2=E$1:E1162))))))</f>
        <v> </v>
      </c>
      <c r="K1163" s="26" t="str">
        <f>IF(OR(E1163="",E1163="!!!",F1163="NEW"),"",INDEX(J$1:J1162,SUMPRODUCT(MAX(ROW(E$1:E1162)*(E1163=E$1:E1162)))))</f>
        <v> </v>
      </c>
      <c r="L1163" s="27"/>
    </row>
    <row r="1164" spans="1:12">
      <c r="A1164" s="20" t="s">
        <v>459</v>
      </c>
      <c r="E1164" s="22">
        <f>IF(D1164="?OLD","!!!","")</f>
        <v/>
      </c>
      <c r="F1164" s="23" t="str">
        <f>IF(OR(E1164="",E1164="!!!"),"",IF(NOT(ISNA(VLOOKUP(E1164,E$1:E1163,1,FALSE()))),"OLD",IF(AND(E1164&lt;&gt;"",E1164&lt;&gt;"!!!"),"NEW","")))</f>
        <v> </v>
      </c>
      <c r="G1164" s="24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5" t="str">
        <f>IF(J1164&lt;&gt;1,"",IF(I1164="SBJ","CB","?"))</f>
        <v> </v>
      </c>
      <c r="I1164" s="26" t="str">
        <f>IF(OR(E1164="",E1164="!!!",F1164="NEW"),"",INDEX(B1163:B$2,-1+SUMPRODUCT(MAX(ROW(E1163:E$2)*(E1164=E1163:E$2)))))</f>
        <v> </v>
      </c>
      <c r="J1164" s="26" t="str">
        <f>IF(OR(E1164="",E1164="!!!",F1164="NEW"),"",COUNTBLANK(OFFSET(A$1,,,SUMPRODUCT(MAX(ROW(E$2:E1164)*(E1164=E$2:E1164)))))-COUNTBLANK(OFFSET(A$1,,,SUMPRODUCT(MAX(ROW(E$1:E1163)*(E2=E$1:E1163))))))</f>
        <v> </v>
      </c>
      <c r="K1164" s="26" t="str">
        <f>IF(OR(E1164="",E1164="!!!",F1164="NEW"),"",INDEX(J$1:J1163,SUMPRODUCT(MAX(ROW(E$1:E1163)*(E1164=E$1:E1163)))))</f>
        <v> </v>
      </c>
      <c r="L1164" s="27"/>
    </row>
    <row r="1165" spans="1:12">
      <c r="A1165" s="20" t="s">
        <v>636</v>
      </c>
      <c r="E1165" s="22">
        <f>IF(D1165="?OLD","!!!","")</f>
        <v/>
      </c>
      <c r="F1165" s="23" t="str">
        <f>IF(OR(E1165="",E1165="!!!"),"",IF(NOT(ISNA(VLOOKUP(E1165,E$1:E1164,1,FALSE()))),"OLD",IF(AND(E1165&lt;&gt;"",E1165&lt;&gt;"!!!"),"NEW","")))</f>
        <v> </v>
      </c>
      <c r="G1165" s="24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5" t="str">
        <f>IF(J1165&lt;&gt;1,"",IF(I1165="SBJ","CB","?"))</f>
        <v> </v>
      </c>
      <c r="I1165" s="26" t="str">
        <f>IF(OR(E1165="",E1165="!!!",F1165="NEW"),"",INDEX(B1164:B$2,-1+SUMPRODUCT(MAX(ROW(E1164:E$2)*(E1165=E1164:E$2)))))</f>
        <v> </v>
      </c>
      <c r="J1165" s="26" t="str">
        <f>IF(OR(E1165="",E1165="!!!",F1165="NEW"),"",COUNTBLANK(OFFSET(A$1,,,SUMPRODUCT(MAX(ROW(E$2:E1165)*(E1165=E$2:E1165)))))-COUNTBLANK(OFFSET(A$1,,,SUMPRODUCT(MAX(ROW(E$1:E1164)*(E2=E$1:E1164))))))</f>
        <v> </v>
      </c>
      <c r="K1165" s="26" t="str">
        <f>IF(OR(E1165="",E1165="!!!",F1165="NEW"),"",INDEX(J$1:J1164,SUMPRODUCT(MAX(ROW(E$1:E1164)*(E1165=E$1:E1164)))))</f>
        <v> </v>
      </c>
      <c r="L1165" s="27"/>
    </row>
    <row r="1166" spans="1:12">
      <c r="A1166" s="20" t="s">
        <v>1044</v>
      </c>
      <c r="E1166" s="22">
        <f>IF(D1166="?OLD","!!!","")</f>
        <v/>
      </c>
      <c r="F1166" s="23" t="str">
        <f>IF(OR(E1166="",E1166="!!!"),"",IF(NOT(ISNA(VLOOKUP(E1166,E$1:E1165,1,FALSE()))),"OLD",IF(AND(E1166&lt;&gt;"",E1166&lt;&gt;"!!!"),"NEW","")))</f>
        <v> </v>
      </c>
      <c r="G1166" s="24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5" t="str">
        <f>IF(J1166&lt;&gt;1,"",IF(I1166="SBJ","CB","?"))</f>
        <v> </v>
      </c>
      <c r="I1166" s="26" t="str">
        <f>IF(OR(E1166="",E1166="!!!",F1166="NEW"),"",INDEX(B1165:B$2,-1+SUMPRODUCT(MAX(ROW(E1165:E$2)*(E1166=E1165:E$2)))))</f>
        <v> </v>
      </c>
      <c r="J1166" s="26" t="str">
        <f>IF(OR(E1166="",E1166="!!!",F1166="NEW"),"",COUNTBLANK(OFFSET(A$1,,,SUMPRODUCT(MAX(ROW(E$2:E1166)*(E1166=E$2:E1166)))))-COUNTBLANK(OFFSET(A$1,,,SUMPRODUCT(MAX(ROW(E$1:E1165)*(E2=E$1:E1165))))))</f>
        <v> </v>
      </c>
      <c r="K1166" s="26" t="str">
        <f>IF(OR(E1166="",E1166="!!!",F1166="NEW"),"",INDEX(J$1:J1165,SUMPRODUCT(MAX(ROW(E$1:E1165)*(E1166=E$1:E1165)))))</f>
        <v> </v>
      </c>
      <c r="L1166" s="27"/>
    </row>
    <row r="1167" spans="1:12">
      <c r="A1167" s="20" t="s">
        <v>1031</v>
      </c>
      <c r="E1167" s="22">
        <f>IF(D1167="?OLD","!!!","")</f>
        <v/>
      </c>
      <c r="F1167" s="23" t="str">
        <f>IF(OR(E1167="",E1167="!!!"),"",IF(NOT(ISNA(VLOOKUP(E1167,E$1:E1166,1,FALSE()))),"OLD",IF(AND(E1167&lt;&gt;"",E1167&lt;&gt;"!!!"),"NEW","")))</f>
        <v> </v>
      </c>
      <c r="G1167" s="24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5" t="str">
        <f>IF(J1167&lt;&gt;1,"",IF(I1167="SBJ","CB","?"))</f>
        <v> </v>
      </c>
      <c r="I1167" s="26" t="str">
        <f>IF(OR(E1167="",E1167="!!!",F1167="NEW"),"",INDEX(B1166:B$2,-1+SUMPRODUCT(MAX(ROW(E1166:E$2)*(E1167=E1166:E$2)))))</f>
        <v> </v>
      </c>
      <c r="J1167" s="26" t="str">
        <f>IF(OR(E1167="",E1167="!!!",F1167="NEW"),"",COUNTBLANK(OFFSET(A$1,,,SUMPRODUCT(MAX(ROW(E$2:E1167)*(E1167=E$2:E1167)))))-COUNTBLANK(OFFSET(A$1,,,SUMPRODUCT(MAX(ROW(E$1:E1166)*(E2=E$1:E1166))))))</f>
        <v> </v>
      </c>
      <c r="K1167" s="26" t="str">
        <f>IF(OR(E1167="",E1167="!!!",F1167="NEW"),"",INDEX(J$1:J1166,SUMPRODUCT(MAX(ROW(E$1:E1166)*(E1167=E$1:E1166)))))</f>
        <v> </v>
      </c>
      <c r="L1167" s="27"/>
    </row>
    <row r="1168" spans="1:12">
      <c r="A1168" s="20" t="s">
        <v>1032</v>
      </c>
      <c r="E1168" s="22">
        <f>IF(D1168="?OLD","!!!","")</f>
        <v/>
      </c>
      <c r="F1168" s="23" t="str">
        <f>IF(OR(E1168="",E1168="!!!"),"",IF(NOT(ISNA(VLOOKUP(E1168,E$1:E1167,1,FALSE()))),"OLD",IF(AND(E1168&lt;&gt;"",E1168&lt;&gt;"!!!"),"NEW","")))</f>
        <v> </v>
      </c>
      <c r="G1168" s="24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5" t="str">
        <f>IF(J1168&lt;&gt;1,"",IF(I1168="SBJ","CB","?"))</f>
        <v> </v>
      </c>
      <c r="I1168" s="26" t="str">
        <f>IF(OR(E1168="",E1168="!!!",F1168="NEW"),"",INDEX(B1167:B$2,-1+SUMPRODUCT(MAX(ROW(E1167:E$2)*(E1168=E1167:E$2)))))</f>
        <v> </v>
      </c>
      <c r="J1168" s="26" t="str">
        <f>IF(OR(E1168="",E1168="!!!",F1168="NEW"),"",COUNTBLANK(OFFSET(A$1,,,SUMPRODUCT(MAX(ROW(E$2:E1168)*(E1168=E$2:E1168)))))-COUNTBLANK(OFFSET(A$1,,,SUMPRODUCT(MAX(ROW(E$1:E1167)*(E2=E$1:E1167))))))</f>
        <v> </v>
      </c>
      <c r="K1168" s="26" t="str">
        <f>IF(OR(E1168="",E1168="!!!",F1168="NEW"),"",INDEX(J$1:J1167,SUMPRODUCT(MAX(ROW(E$1:E1167)*(E1168=E$1:E1167)))))</f>
        <v> </v>
      </c>
      <c r="L1168" s="27"/>
    </row>
    <row r="1169" spans="1:12">
      <c r="A1169" s="20" t="s">
        <v>1019</v>
      </c>
      <c r="B1169" s="21" t="s">
        <v>556</v>
      </c>
      <c r="C1169" s="21" t="s">
        <v>516</v>
      </c>
      <c r="E1169" s="22">
        <f>IF(D1169="?OLD","!!!","")</f>
        <v/>
      </c>
      <c r="F1169" s="23" t="str">
        <f>IF(OR(E1169="",E1169="!!!"),"",IF(NOT(ISNA(VLOOKUP(E1169,E$1:E1168,1,FALSE()))),"OLD",IF(AND(E1169&lt;&gt;"",E1169&lt;&gt;"!!!"),"NEW","")))</f>
        <v> </v>
      </c>
      <c r="G1169" s="24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5" t="str">
        <f>IF(J1169&lt;&gt;1,"",IF(I1169="SBJ","CB","?"))</f>
        <v> </v>
      </c>
      <c r="I1169" s="26" t="str">
        <f>IF(OR(E1169="",E1169="!!!",F1169="NEW"),"",INDEX(B1168:B$2,-1+SUMPRODUCT(MAX(ROW(E1168:E$2)*(E1169=E1168:E$2)))))</f>
        <v> </v>
      </c>
      <c r="J1169" s="26" t="str">
        <f>IF(OR(E1169="",E1169="!!!",F1169="NEW"),"",COUNTBLANK(OFFSET(A$1,,,SUMPRODUCT(MAX(ROW(E$2:E1169)*(E1169=E$2:E1169)))))-COUNTBLANK(OFFSET(A$1,,,SUMPRODUCT(MAX(ROW(E$1:E1168)*(E2=E$1:E1168))))))</f>
        <v> </v>
      </c>
      <c r="K1169" s="26" t="str">
        <f>IF(OR(E1169="",E1169="!!!",F1169="NEW"),"",INDEX(J$1:J1168,SUMPRODUCT(MAX(ROW(E$1:E1168)*(E1169=E$1:E1168)))))</f>
        <v> </v>
      </c>
      <c r="L1169" s="27"/>
    </row>
    <row r="1170" spans="1:12">
      <c r="A1170" s="20" t="s">
        <v>1045</v>
      </c>
      <c r="E1170" s="22">
        <f>IF(D1170="?OLD","!!!","")</f>
        <v/>
      </c>
      <c r="F1170" s="23" t="str">
        <f>IF(OR(E1170="",E1170="!!!"),"",IF(NOT(ISNA(VLOOKUP(E1170,E$1:E1169,1,FALSE()))),"OLD",IF(AND(E1170&lt;&gt;"",E1170&lt;&gt;"!!!"),"NEW","")))</f>
        <v> </v>
      </c>
      <c r="G1170" s="24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5" t="str">
        <f>IF(J1170&lt;&gt;1,"",IF(I1170="SBJ","CB","?"))</f>
        <v> </v>
      </c>
      <c r="I1170" s="26" t="str">
        <f>IF(OR(E1170="",E1170="!!!",F1170="NEW"),"",INDEX(B1169:B$2,-1+SUMPRODUCT(MAX(ROW(E1169:E$2)*(E1170=E1169:E$2)))))</f>
        <v> </v>
      </c>
      <c r="J1170" s="26" t="str">
        <f>IF(OR(E1170="",E1170="!!!",F1170="NEW"),"",COUNTBLANK(OFFSET(A$1,,,SUMPRODUCT(MAX(ROW(E$2:E1170)*(E1170=E$2:E1170)))))-COUNTBLANK(OFFSET(A$1,,,SUMPRODUCT(MAX(ROW(E$1:E1169)*(E2=E$1:E1169))))))</f>
        <v> </v>
      </c>
      <c r="K1170" s="26" t="str">
        <f>IF(OR(E1170="",E1170="!!!",F1170="NEW"),"",INDEX(J$1:J1169,SUMPRODUCT(MAX(ROW(E$1:E1169)*(E1170=E$1:E1169)))))</f>
        <v> </v>
      </c>
      <c r="L1170" s="27"/>
    </row>
    <row r="1171" spans="1:12">
      <c r="A1171" s="20" t="s">
        <v>796</v>
      </c>
      <c r="E1171" s="22">
        <f>IF(D1171="?OLD","!!!","")</f>
        <v/>
      </c>
      <c r="F1171" s="23" t="str">
        <f>IF(OR(E1171="",E1171="!!!"),"",IF(NOT(ISNA(VLOOKUP(E1171,E$1:E1170,1,FALSE()))),"OLD",IF(AND(E1171&lt;&gt;"",E1171&lt;&gt;"!!!"),"NEW","")))</f>
        <v> </v>
      </c>
      <c r="G1171" s="24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5" t="str">
        <f>IF(J1171&lt;&gt;1,"",IF(I1171="SBJ","CB","?"))</f>
        <v> </v>
      </c>
      <c r="I1171" s="26" t="str">
        <f>IF(OR(E1171="",E1171="!!!",F1171="NEW"),"",INDEX(B1170:B$2,-1+SUMPRODUCT(MAX(ROW(E1170:E$2)*(E1171=E1170:E$2)))))</f>
        <v> </v>
      </c>
      <c r="J1171" s="26" t="str">
        <f>IF(OR(E1171="",E1171="!!!",F1171="NEW"),"",COUNTBLANK(OFFSET(A$1,,,SUMPRODUCT(MAX(ROW(E$2:E1171)*(E1171=E$2:E1171)))))-COUNTBLANK(OFFSET(A$1,,,SUMPRODUCT(MAX(ROW(E$1:E1170)*(E2=E$1:E1170))))))</f>
        <v> </v>
      </c>
      <c r="K1171" s="26" t="str">
        <f>IF(OR(E1171="",E1171="!!!",F1171="NEW"),"",INDEX(J$1:J1170,SUMPRODUCT(MAX(ROW(E$1:E1170)*(E1171=E$1:E1170)))))</f>
        <v> </v>
      </c>
      <c r="L1171" s="27"/>
    </row>
    <row r="1172" spans="1:12">
      <c r="A1172" s="20" t="s">
        <v>797</v>
      </c>
      <c r="B1172" s="21" t="s">
        <v>444</v>
      </c>
      <c r="E1172" s="22">
        <f>IF(D1172="?OLD","!!!","")</f>
        <v/>
      </c>
      <c r="F1172" s="23" t="str">
        <f>IF(OR(E1172="",E1172="!!!"),"",IF(NOT(ISNA(VLOOKUP(E1172,E$1:E1171,1,FALSE()))),"OLD",IF(AND(E1172&lt;&gt;"",E1172&lt;&gt;"!!!"),"NEW","")))</f>
        <v> </v>
      </c>
      <c r="G1172" s="24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5" t="str">
        <f>IF(J1172&lt;&gt;1,"",IF(I1172="SBJ","CB","?"))</f>
        <v> </v>
      </c>
      <c r="I1172" s="26" t="str">
        <f>IF(OR(E1172="",E1172="!!!",F1172="NEW"),"",INDEX(B1171:B$2,-1+SUMPRODUCT(MAX(ROW(E1171:E$2)*(E1172=E1171:E$2)))))</f>
        <v> </v>
      </c>
      <c r="J1172" s="26" t="str">
        <f>IF(OR(E1172="",E1172="!!!",F1172="NEW"),"",COUNTBLANK(OFFSET(A$1,,,SUMPRODUCT(MAX(ROW(E$2:E1172)*(E1172=E$2:E1172)))))-COUNTBLANK(OFFSET(A$1,,,SUMPRODUCT(MAX(ROW(E$1:E1171)*(E2=E$1:E1171))))))</f>
        <v> </v>
      </c>
      <c r="K1172" s="26" t="str">
        <f>IF(OR(E1172="",E1172="!!!",F1172="NEW"),"",INDEX(J$1:J1171,SUMPRODUCT(MAX(ROW(E$1:E1171)*(E1172=E$1:E1171)))))</f>
        <v> </v>
      </c>
      <c r="L1172" s="27"/>
    </row>
    <row r="1173" spans="1:12">
      <c r="A1173" s="20" t="s">
        <v>453</v>
      </c>
      <c r="E1173" s="22">
        <f>IF(D1173="?OLD","!!!","")</f>
        <v/>
      </c>
      <c r="F1173" s="23" t="str">
        <f>IF(OR(E1173="",E1173="!!!"),"",IF(NOT(ISNA(VLOOKUP(E1173,E$1:E1172,1,FALSE()))),"OLD",IF(AND(E1173&lt;&gt;"",E1173&lt;&gt;"!!!"),"NEW","")))</f>
        <v> </v>
      </c>
      <c r="G1173" s="24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5" t="str">
        <f>IF(J1173&lt;&gt;1,"",IF(I1173="SBJ","CB","?"))</f>
        <v> </v>
      </c>
      <c r="I1173" s="26" t="str">
        <f>IF(OR(E1173="",E1173="!!!",F1173="NEW"),"",INDEX(B1172:B$2,-1+SUMPRODUCT(MAX(ROW(E1172:E$2)*(E1173=E1172:E$2)))))</f>
        <v> </v>
      </c>
      <c r="J1173" s="26" t="str">
        <f>IF(OR(E1173="",E1173="!!!",F1173="NEW"),"",COUNTBLANK(OFFSET(A$1,,,SUMPRODUCT(MAX(ROW(E$2:E1173)*(E1173=E$2:E1173)))))-COUNTBLANK(OFFSET(A$1,,,SUMPRODUCT(MAX(ROW(E$1:E1172)*(E2=E$1:E1172))))))</f>
        <v> </v>
      </c>
      <c r="K1173" s="26" t="str">
        <f>IF(OR(E1173="",E1173="!!!",F1173="NEW"),"",INDEX(J$1:J1172,SUMPRODUCT(MAX(ROW(E$1:E1172)*(E1173=E$1:E1172)))))</f>
        <v> </v>
      </c>
      <c r="L1173" s="27"/>
    </row>
    <row r="1174" spans="1:12">
      <c r="A1174" s="20" t="s">
        <v>602</v>
      </c>
      <c r="E1174" s="22">
        <f>IF(D1174="?OLD","!!!","")</f>
        <v/>
      </c>
      <c r="F1174" s="23" t="str">
        <f>IF(OR(E1174="",E1174="!!!"),"",IF(NOT(ISNA(VLOOKUP(E1174,E$1:E1173,1,FALSE()))),"OLD",IF(AND(E1174&lt;&gt;"",E1174&lt;&gt;"!!!"),"NEW","")))</f>
        <v> </v>
      </c>
      <c r="G1174" s="24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5" t="str">
        <f>IF(J1174&lt;&gt;1,"",IF(I1174="SBJ","CB","?"))</f>
        <v> </v>
      </c>
      <c r="I1174" s="26" t="str">
        <f>IF(OR(E1174="",E1174="!!!",F1174="NEW"),"",INDEX(B1173:B$2,-1+SUMPRODUCT(MAX(ROW(E1173:E$2)*(E1174=E1173:E$2)))))</f>
        <v> </v>
      </c>
      <c r="J1174" s="26" t="str">
        <f>IF(OR(E1174="",E1174="!!!",F1174="NEW"),"",COUNTBLANK(OFFSET(A$1,,,SUMPRODUCT(MAX(ROW(E$2:E1174)*(E1174=E$2:E1174)))))-COUNTBLANK(OFFSET(A$1,,,SUMPRODUCT(MAX(ROW(E$1:E1173)*(E2=E$1:E1173))))))</f>
        <v> </v>
      </c>
      <c r="K1174" s="26" t="str">
        <f>IF(OR(E1174="",E1174="!!!",F1174="NEW"),"",INDEX(J$1:J1173,SUMPRODUCT(MAX(ROW(E$1:E1173)*(E1174=E$1:E1173)))))</f>
        <v> </v>
      </c>
      <c r="L1174" s="27"/>
    </row>
    <row r="1175" spans="1:12">
      <c r="A1175" s="20" t="s">
        <v>1046</v>
      </c>
      <c r="E1175" s="22">
        <f>IF(D1175="?OLD","!!!","")</f>
        <v/>
      </c>
      <c r="F1175" s="23" t="str">
        <f>IF(OR(E1175="",E1175="!!!"),"",IF(NOT(ISNA(VLOOKUP(E1175,E$1:E1174,1,FALSE()))),"OLD",IF(AND(E1175&lt;&gt;"",E1175&lt;&gt;"!!!"),"NEW","")))</f>
        <v> </v>
      </c>
      <c r="G1175" s="24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5" t="str">
        <f>IF(J1175&lt;&gt;1,"",IF(I1175="SBJ","CB","?"))</f>
        <v> </v>
      </c>
      <c r="I1175" s="26" t="str">
        <f>IF(OR(E1175="",E1175="!!!",F1175="NEW"),"",INDEX(B1174:B$2,-1+SUMPRODUCT(MAX(ROW(E1174:E$2)*(E1175=E1174:E$2)))))</f>
        <v> </v>
      </c>
      <c r="J1175" s="26" t="str">
        <f>IF(OR(E1175="",E1175="!!!",F1175="NEW"),"",COUNTBLANK(OFFSET(A$1,,,SUMPRODUCT(MAX(ROW(E$2:E1175)*(E1175=E$2:E1175)))))-COUNTBLANK(OFFSET(A$1,,,SUMPRODUCT(MAX(ROW(E$1:E1174)*(E2=E$1:E1174))))))</f>
        <v> </v>
      </c>
      <c r="K1175" s="26" t="str">
        <f>IF(OR(E1175="",E1175="!!!",F1175="NEW"),"",INDEX(J$1:J1174,SUMPRODUCT(MAX(ROW(E$1:E1174)*(E1175=E$1:E1174)))))</f>
        <v> </v>
      </c>
      <c r="L1175" s="27"/>
    </row>
    <row r="1176" spans="1:12">
      <c r="A1176" s="20" t="s">
        <v>1047</v>
      </c>
      <c r="E1176" s="22">
        <f>IF(D1176="?OLD","!!!","")</f>
        <v/>
      </c>
      <c r="F1176" s="23" t="str">
        <f>IF(OR(E1176="",E1176="!!!"),"",IF(NOT(ISNA(VLOOKUP(E1176,E$1:E1175,1,FALSE()))),"OLD",IF(AND(E1176&lt;&gt;"",E1176&lt;&gt;"!!!"),"NEW","")))</f>
        <v> </v>
      </c>
      <c r="G1176" s="24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5" t="str">
        <f>IF(J1176&lt;&gt;1,"",IF(I1176="SBJ","CB","?"))</f>
        <v> </v>
      </c>
      <c r="I1176" s="26" t="str">
        <f>IF(OR(E1176="",E1176="!!!",F1176="NEW"),"",INDEX(B1175:B$2,-1+SUMPRODUCT(MAX(ROW(E1175:E$2)*(E1176=E1175:E$2)))))</f>
        <v> </v>
      </c>
      <c r="J1176" s="26" t="str">
        <f>IF(OR(E1176="",E1176="!!!",F1176="NEW"),"",COUNTBLANK(OFFSET(A$1,,,SUMPRODUCT(MAX(ROW(E$2:E1176)*(E1176=E$2:E1176)))))-COUNTBLANK(OFFSET(A$1,,,SUMPRODUCT(MAX(ROW(E$1:E1175)*(E2=E$1:E1175))))))</f>
        <v> </v>
      </c>
      <c r="K1176" s="26" t="str">
        <f>IF(OR(E1176="",E1176="!!!",F1176="NEW"),"",INDEX(J$1:J1175,SUMPRODUCT(MAX(ROW(E$1:E1175)*(E1176=E$1:E1175)))))</f>
        <v> </v>
      </c>
      <c r="L1176" s="27"/>
    </row>
    <row r="1177" spans="1:12">
      <c r="A1177" s="20" t="s">
        <v>1048</v>
      </c>
      <c r="E1177" s="22">
        <f>IF(D1177="?OLD","!!!","")</f>
        <v/>
      </c>
      <c r="F1177" s="23" t="str">
        <f>IF(OR(E1177="",E1177="!!!"),"",IF(NOT(ISNA(VLOOKUP(E1177,E$1:E1176,1,FALSE()))),"OLD",IF(AND(E1177&lt;&gt;"",E1177&lt;&gt;"!!!"),"NEW","")))</f>
        <v> </v>
      </c>
      <c r="G1177" s="24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5" t="str">
        <f>IF(J1177&lt;&gt;1,"",IF(I1177="SBJ","CB","?"))</f>
        <v> </v>
      </c>
      <c r="I1177" s="26" t="str">
        <f>IF(OR(E1177="",E1177="!!!",F1177="NEW"),"",INDEX(B1176:B$2,-1+SUMPRODUCT(MAX(ROW(E1176:E$2)*(E1177=E1176:E$2)))))</f>
        <v> </v>
      </c>
      <c r="J1177" s="26" t="str">
        <f>IF(OR(E1177="",E1177="!!!",F1177="NEW"),"",COUNTBLANK(OFFSET(A$1,,,SUMPRODUCT(MAX(ROW(E$2:E1177)*(E1177=E$2:E1177)))))-COUNTBLANK(OFFSET(A$1,,,SUMPRODUCT(MAX(ROW(E$1:E1176)*(E2=E$1:E1176))))))</f>
        <v> </v>
      </c>
      <c r="K1177" s="26" t="str">
        <f>IF(OR(E1177="",E1177="!!!",F1177="NEW"),"",INDEX(J$1:J1176,SUMPRODUCT(MAX(ROW(E$1:E1176)*(E1177=E$1:E1176)))))</f>
        <v> </v>
      </c>
      <c r="L1177" s="27"/>
    </row>
    <row r="1178" spans="1:12">
      <c r="A1178" s="20" t="s">
        <v>1049</v>
      </c>
      <c r="B1178" s="21" t="s">
        <v>462</v>
      </c>
      <c r="E1178" s="22">
        <f>IF(D1178="?OLD","!!!","")</f>
        <v/>
      </c>
      <c r="F1178" s="23" t="str">
        <f>IF(OR(E1178="",E1178="!!!"),"",IF(NOT(ISNA(VLOOKUP(E1178,E$1:E1177,1,FALSE()))),"OLD",IF(AND(E1178&lt;&gt;"",E1178&lt;&gt;"!!!"),"NEW","")))</f>
        <v> </v>
      </c>
      <c r="G1178" s="24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5" t="str">
        <f>IF(J1178&lt;&gt;1,"",IF(I1178="SBJ","CB","?"))</f>
        <v> </v>
      </c>
      <c r="I1178" s="26" t="str">
        <f>IF(OR(E1178="",E1178="!!!",F1178="NEW"),"",INDEX(B1177:B$2,-1+SUMPRODUCT(MAX(ROW(E1177:E$2)*(E1178=E1177:E$2)))))</f>
        <v> </v>
      </c>
      <c r="J1178" s="26" t="str">
        <f>IF(OR(E1178="",E1178="!!!",F1178="NEW"),"",COUNTBLANK(OFFSET(A$1,,,SUMPRODUCT(MAX(ROW(E$2:E1178)*(E1178=E$2:E1178)))))-COUNTBLANK(OFFSET(A$1,,,SUMPRODUCT(MAX(ROW(E$1:E1177)*(E2=E$1:E1177))))))</f>
        <v> </v>
      </c>
      <c r="K1178" s="26" t="str">
        <f>IF(OR(E1178="",E1178="!!!",F1178="NEW"),"",INDEX(J$1:J1177,SUMPRODUCT(MAX(ROW(E$1:E1177)*(E1178=E$1:E1177)))))</f>
        <v> </v>
      </c>
      <c r="L1178" s="27"/>
    </row>
    <row r="1179" spans="1:12">
      <c r="A1179" s="20" t="s">
        <v>1050</v>
      </c>
      <c r="E1179" s="22">
        <f>IF(D1179="?OLD","!!!","")</f>
        <v/>
      </c>
      <c r="F1179" s="23" t="str">
        <f>IF(OR(E1179="",E1179="!!!"),"",IF(NOT(ISNA(VLOOKUP(E1179,E$1:E1178,1,FALSE()))),"OLD",IF(AND(E1179&lt;&gt;"",E1179&lt;&gt;"!!!"),"NEW","")))</f>
        <v> </v>
      </c>
      <c r="G1179" s="24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5" t="str">
        <f>IF(J1179&lt;&gt;1,"",IF(I1179="SBJ","CB","?"))</f>
        <v> </v>
      </c>
      <c r="I1179" s="26" t="str">
        <f>IF(OR(E1179="",E1179="!!!",F1179="NEW"),"",INDEX(B1178:B$2,-1+SUMPRODUCT(MAX(ROW(E1178:E$2)*(E1179=E1178:E$2)))))</f>
        <v> </v>
      </c>
      <c r="J1179" s="26" t="str">
        <f>IF(OR(E1179="",E1179="!!!",F1179="NEW"),"",COUNTBLANK(OFFSET(A$1,,,SUMPRODUCT(MAX(ROW(E$2:E1179)*(E1179=E$2:E1179)))))-COUNTBLANK(OFFSET(A$1,,,SUMPRODUCT(MAX(ROW(E$1:E1178)*(E2=E$1:E1178))))))</f>
        <v> </v>
      </c>
      <c r="K1179" s="26" t="str">
        <f>IF(OR(E1179="",E1179="!!!",F1179="NEW"),"",INDEX(J$1:J1178,SUMPRODUCT(MAX(ROW(E$1:E1178)*(E1179=E$1:E1178)))))</f>
        <v> </v>
      </c>
      <c r="L1179" s="27"/>
    </row>
    <row r="1180" spans="1:12">
      <c r="A1180" s="20" t="s">
        <v>1019</v>
      </c>
      <c r="E1180" s="22">
        <f>IF(D1180="?OLD","!!!","")</f>
        <v/>
      </c>
      <c r="F1180" s="23" t="str">
        <f>IF(OR(E1180="",E1180="!!!"),"",IF(NOT(ISNA(VLOOKUP(E1180,E$1:E1179,1,FALSE()))),"OLD",IF(AND(E1180&lt;&gt;"",E1180&lt;&gt;"!!!"),"NEW","")))</f>
        <v> </v>
      </c>
      <c r="G1180" s="24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5" t="str">
        <f>IF(J1180&lt;&gt;1,"",IF(I1180="SBJ","CB","?"))</f>
        <v> </v>
      </c>
      <c r="I1180" s="26" t="str">
        <f>IF(OR(E1180="",E1180="!!!",F1180="NEW"),"",INDEX(B1179:B$2,-1+SUMPRODUCT(MAX(ROW(E1179:E$2)*(E1180=E1179:E$2)))))</f>
        <v> </v>
      </c>
      <c r="J1180" s="26" t="str">
        <f>IF(OR(E1180="",E1180="!!!",F1180="NEW"),"",COUNTBLANK(OFFSET(A$1,,,SUMPRODUCT(MAX(ROW(E$2:E1180)*(E1180=E$2:E1180)))))-COUNTBLANK(OFFSET(A$1,,,SUMPRODUCT(MAX(ROW(E$1:E1179)*(E2=E$1:E1179))))))</f>
        <v> </v>
      </c>
      <c r="K1180" s="26" t="str">
        <f>IF(OR(E1180="",E1180="!!!",F1180="NEW"),"",INDEX(J$1:J1179,SUMPRODUCT(MAX(ROW(E$1:E1179)*(E1180=E$1:E1179)))))</f>
        <v> </v>
      </c>
      <c r="L1180" s="27"/>
    </row>
    <row r="1181" spans="1:12">
      <c r="A1181" s="20" t="s">
        <v>465</v>
      </c>
      <c r="E1181" s="22">
        <f>IF(D1181="?OLD","!!!","")</f>
        <v/>
      </c>
      <c r="F1181" s="23" t="str">
        <f>IF(OR(E1181="",E1181="!!!"),"",IF(NOT(ISNA(VLOOKUP(E1181,E$1:E1180,1,FALSE()))),"OLD",IF(AND(E1181&lt;&gt;"",E1181&lt;&gt;"!!!"),"NEW","")))</f>
        <v> </v>
      </c>
      <c r="G1181" s="24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5" t="str">
        <f>IF(J1181&lt;&gt;1,"",IF(I1181="SBJ","CB","?"))</f>
        <v> </v>
      </c>
      <c r="I1181" s="26" t="str">
        <f>IF(OR(E1181="",E1181="!!!",F1181="NEW"),"",INDEX(B1180:B$2,-1+SUMPRODUCT(MAX(ROW(E1180:E$2)*(E1181=E1180:E$2)))))</f>
        <v> </v>
      </c>
      <c r="J1181" s="26" t="str">
        <f>IF(OR(E1181="",E1181="!!!",F1181="NEW"),"",COUNTBLANK(OFFSET(A$1,,,SUMPRODUCT(MAX(ROW(E$2:E1181)*(E1181=E$2:E1181)))))-COUNTBLANK(OFFSET(A$1,,,SUMPRODUCT(MAX(ROW(E$1:E1180)*(E2=E$1:E1180))))))</f>
        <v> </v>
      </c>
      <c r="K1181" s="26" t="str">
        <f>IF(OR(E1181="",E1181="!!!",F1181="NEW"),"",INDEX(J$1:J1180,SUMPRODUCT(MAX(ROW(E$1:E1180)*(E1181=E$1:E1180)))))</f>
        <v> </v>
      </c>
      <c r="L1181" s="27"/>
    </row>
    <row r="1182" spans="1:12">
      <c r="A1182" s="20" t="s">
        <v>1051</v>
      </c>
      <c r="E1182" s="22">
        <f>IF(D1182="?OLD","!!!","")</f>
        <v/>
      </c>
      <c r="F1182" s="23" t="str">
        <f>IF(OR(E1182="",E1182="!!!"),"",IF(NOT(ISNA(VLOOKUP(E1182,E$1:E1181,1,FALSE()))),"OLD",IF(AND(E1182&lt;&gt;"",E1182&lt;&gt;"!!!"),"NEW","")))</f>
        <v> </v>
      </c>
      <c r="G1182" s="24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5" t="str">
        <f>IF(J1182&lt;&gt;1,"",IF(I1182="SBJ","CB","?"))</f>
        <v> </v>
      </c>
      <c r="I1182" s="26" t="str">
        <f>IF(OR(E1182="",E1182="!!!",F1182="NEW"),"",INDEX(B1181:B$2,-1+SUMPRODUCT(MAX(ROW(E1181:E$2)*(E1182=E1181:E$2)))))</f>
        <v> </v>
      </c>
      <c r="J1182" s="26" t="str">
        <f>IF(OR(E1182="",E1182="!!!",F1182="NEW"),"",COUNTBLANK(OFFSET(A$1,,,SUMPRODUCT(MAX(ROW(E$2:E1182)*(E1182=E$2:E1182)))))-COUNTBLANK(OFFSET(A$1,,,SUMPRODUCT(MAX(ROW(E$1:E1181)*(E2=E$1:E1181))))))</f>
        <v> </v>
      </c>
      <c r="K1182" s="26" t="str">
        <f>IF(OR(E1182="",E1182="!!!",F1182="NEW"),"",INDEX(J$1:J1181,SUMPRODUCT(MAX(ROW(E$1:E1181)*(E1182=E$1:E1181)))))</f>
        <v> </v>
      </c>
      <c r="L1182" s="27"/>
    </row>
    <row r="1183" spans="1:12">
      <c r="A1183" s="20" t="s">
        <v>438</v>
      </c>
      <c r="E1183" s="22">
        <f>IF(D1183="?OLD","!!!","")</f>
        <v/>
      </c>
      <c r="F1183" s="23" t="str">
        <f>IF(OR(E1183="",E1183="!!!"),"",IF(NOT(ISNA(VLOOKUP(E1183,E$1:E1182,1,FALSE()))),"OLD",IF(AND(E1183&lt;&gt;"",E1183&lt;&gt;"!!!"),"NEW","")))</f>
        <v> </v>
      </c>
      <c r="G1183" s="24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5" t="str">
        <f>IF(J1183&lt;&gt;1,"",IF(I1183="SBJ","CB","?"))</f>
        <v> </v>
      </c>
      <c r="I1183" s="26" t="str">
        <f>IF(OR(E1183="",E1183="!!!",F1183="NEW"),"",INDEX(B1182:B$2,-1+SUMPRODUCT(MAX(ROW(E1182:E$2)*(E1183=E1182:E$2)))))</f>
        <v> </v>
      </c>
      <c r="J1183" s="26" t="str">
        <f>IF(OR(E1183="",E1183="!!!",F1183="NEW"),"",COUNTBLANK(OFFSET(A$1,,,SUMPRODUCT(MAX(ROW(E$2:E1183)*(E1183=E$2:E1183)))))-COUNTBLANK(OFFSET(A$1,,,SUMPRODUCT(MAX(ROW(E$1:E1182)*(E2=E$1:E1182))))))</f>
        <v> </v>
      </c>
      <c r="K1183" s="26" t="str">
        <f>IF(OR(E1183="",E1183="!!!",F1183="NEW"),"",INDEX(J$1:J1182,SUMPRODUCT(MAX(ROW(E$1:E1182)*(E1183=E$1:E1182)))))</f>
        <v> </v>
      </c>
      <c r="L1183" s="27"/>
    </row>
    <row r="1184" spans="1:12">
      <c r="A1184" s="20"/>
    </row>
    <row r="1185" spans="1:12">
      <c r="A1185" s="20" t="s">
        <v>1052</v>
      </c>
    </row>
    <row r="1186" spans="1:12">
      <c r="A1186" s="20" t="s">
        <v>579</v>
      </c>
      <c r="E1186" s="22">
        <f>IF(D1186="?OLD","!!!","")</f>
        <v/>
      </c>
      <c r="F1186" s="23" t="str">
        <f>IF(OR(E1186="",E1186="!!!"),"",IF(NOT(ISNA(VLOOKUP(E1186,E$1:E1185,1,FALSE()))),"OLD",IF(AND(E1186&lt;&gt;"",E1186&lt;&gt;"!!!"),"NEW","")))</f>
        <v> </v>
      </c>
      <c r="G1186" s="24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5" t="str">
        <f>IF(J1186&lt;&gt;1,"",IF(I1186="SBJ","CB","?"))</f>
        <v> </v>
      </c>
      <c r="I1186" s="26" t="str">
        <f>IF(OR(E1186="",E1186="!!!",F1186="NEW"),"",INDEX(B1185:B$2,-1+SUMPRODUCT(MAX(ROW(E1185:E$2)*(E1186=E1185:E$2)))))</f>
        <v> </v>
      </c>
      <c r="J1186" s="26" t="str">
        <f>IF(OR(E1186="",E1186="!!!",F1186="NEW"),"",COUNTBLANK(OFFSET(A$1,,,SUMPRODUCT(MAX(ROW(E$2:E1186)*(E1186=E$2:E1186)))))-COUNTBLANK(OFFSET(A$1,,,SUMPRODUCT(MAX(ROW(E$1:E1185)*(E2=E$1:E1185))))))</f>
        <v> </v>
      </c>
      <c r="K1186" s="26" t="str">
        <f>IF(OR(E1186="",E1186="!!!",F1186="NEW"),"",INDEX(J$1:J1185,SUMPRODUCT(MAX(ROW(E$1:E1185)*(E1186=E$1:E1185)))))</f>
        <v> </v>
      </c>
      <c r="L1186" s="27"/>
    </row>
    <row r="1187" spans="1:12">
      <c r="A1187" s="20" t="s">
        <v>790</v>
      </c>
      <c r="E1187" s="22">
        <f>IF(D1187="?OLD","!!!","")</f>
        <v/>
      </c>
      <c r="F1187" s="23" t="str">
        <f>IF(OR(E1187="",E1187="!!!"),"",IF(NOT(ISNA(VLOOKUP(E1187,E$1:E1186,1,FALSE()))),"OLD",IF(AND(E1187&lt;&gt;"",E1187&lt;&gt;"!!!"),"NEW","")))</f>
        <v> </v>
      </c>
      <c r="G1187" s="24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5" t="str">
        <f>IF(J1187&lt;&gt;1,"",IF(I1187="SBJ","CB","?"))</f>
        <v> </v>
      </c>
      <c r="I1187" s="26" t="str">
        <f>IF(OR(E1187="",E1187="!!!",F1187="NEW"),"",INDEX(B1186:B$2,-1+SUMPRODUCT(MAX(ROW(E1186:E$2)*(E1187=E1186:E$2)))))</f>
        <v> </v>
      </c>
      <c r="J1187" s="26" t="str">
        <f>IF(OR(E1187="",E1187="!!!",F1187="NEW"),"",COUNTBLANK(OFFSET(A$1,,,SUMPRODUCT(MAX(ROW(E$2:E1187)*(E1187=E$2:E1187)))))-COUNTBLANK(OFFSET(A$1,,,SUMPRODUCT(MAX(ROW(E$1:E1186)*(E2=E$1:E1186))))))</f>
        <v> </v>
      </c>
      <c r="K1187" s="26" t="str">
        <f>IF(OR(E1187="",E1187="!!!",F1187="NEW"),"",INDEX(J$1:J1186,SUMPRODUCT(MAX(ROW(E$1:E1186)*(E1187=E$1:E1186)))))</f>
        <v> </v>
      </c>
      <c r="L1187" s="27"/>
    </row>
    <row r="1188" spans="1:12">
      <c r="A1188" s="20" t="s">
        <v>996</v>
      </c>
      <c r="E1188" s="22">
        <f>IF(D1188="?OLD","!!!","")</f>
        <v/>
      </c>
      <c r="F1188" s="23" t="str">
        <f>IF(OR(E1188="",E1188="!!!"),"",IF(NOT(ISNA(VLOOKUP(E1188,E$1:E1187,1,FALSE()))),"OLD",IF(AND(E1188&lt;&gt;"",E1188&lt;&gt;"!!!"),"NEW","")))</f>
        <v> </v>
      </c>
      <c r="G1188" s="24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5" t="str">
        <f>IF(J1188&lt;&gt;1,"",IF(I1188="SBJ","CB","?"))</f>
        <v> </v>
      </c>
      <c r="I1188" s="26" t="str">
        <f>IF(OR(E1188="",E1188="!!!",F1188="NEW"),"",INDEX(B1187:B$2,-1+SUMPRODUCT(MAX(ROW(E1187:E$2)*(E1188=E1187:E$2)))))</f>
        <v> </v>
      </c>
      <c r="J1188" s="26" t="str">
        <f>IF(OR(E1188="",E1188="!!!",F1188="NEW"),"",COUNTBLANK(OFFSET(A$1,,,SUMPRODUCT(MAX(ROW(E$2:E1188)*(E1188=E$2:E1188)))))-COUNTBLANK(OFFSET(A$1,,,SUMPRODUCT(MAX(ROW(E$1:E1187)*(E2=E$1:E1187))))))</f>
        <v> </v>
      </c>
      <c r="K1188" s="26" t="str">
        <f>IF(OR(E1188="",E1188="!!!",F1188="NEW"),"",INDEX(J$1:J1187,SUMPRODUCT(MAX(ROW(E$1:E1187)*(E1188=E$1:E1187)))))</f>
        <v> </v>
      </c>
      <c r="L1188" s="27"/>
    </row>
    <row r="1189" spans="1:12">
      <c r="A1189" s="20" t="s">
        <v>1053</v>
      </c>
      <c r="E1189" s="22">
        <f>IF(D1189="?OLD","!!!","")</f>
        <v/>
      </c>
      <c r="F1189" s="23" t="str">
        <f>IF(OR(E1189="",E1189="!!!"),"",IF(NOT(ISNA(VLOOKUP(E1189,E$1:E1188,1,FALSE()))),"OLD",IF(AND(E1189&lt;&gt;"",E1189&lt;&gt;"!!!"),"NEW","")))</f>
        <v> </v>
      </c>
      <c r="G1189" s="24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5" t="str">
        <f>IF(J1189&lt;&gt;1,"",IF(I1189="SBJ","CB","?"))</f>
        <v> </v>
      </c>
      <c r="I1189" s="26" t="str">
        <f>IF(OR(E1189="",E1189="!!!",F1189="NEW"),"",INDEX(B1188:B$2,-1+SUMPRODUCT(MAX(ROW(E1188:E$2)*(E1189=E1188:E$2)))))</f>
        <v> </v>
      </c>
      <c r="J1189" s="26" t="str">
        <f>IF(OR(E1189="",E1189="!!!",F1189="NEW"),"",COUNTBLANK(OFFSET(A$1,,,SUMPRODUCT(MAX(ROW(E$2:E1189)*(E1189=E$2:E1189)))))-COUNTBLANK(OFFSET(A$1,,,SUMPRODUCT(MAX(ROW(E$1:E1188)*(E2=E$1:E1188))))))</f>
        <v> </v>
      </c>
      <c r="K1189" s="26" t="str">
        <f>IF(OR(E1189="",E1189="!!!",F1189="NEW"),"",INDEX(J$1:J1188,SUMPRODUCT(MAX(ROW(E$1:E1188)*(E1189=E$1:E1188)))))</f>
        <v> </v>
      </c>
      <c r="L1189" s="27"/>
    </row>
    <row r="1190" spans="1:12">
      <c r="A1190" s="20" t="s">
        <v>699</v>
      </c>
      <c r="E1190" s="22">
        <f>IF(D1190="?OLD","!!!","")</f>
        <v/>
      </c>
      <c r="F1190" s="23" t="str">
        <f>IF(OR(E1190="",E1190="!!!"),"",IF(NOT(ISNA(VLOOKUP(E1190,E$1:E1189,1,FALSE()))),"OLD",IF(AND(E1190&lt;&gt;"",E1190&lt;&gt;"!!!"),"NEW","")))</f>
        <v> </v>
      </c>
      <c r="G1190" s="24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5" t="str">
        <f>IF(J1190&lt;&gt;1,"",IF(I1190="SBJ","CB","?"))</f>
        <v> </v>
      </c>
      <c r="I1190" s="26" t="str">
        <f>IF(OR(E1190="",E1190="!!!",F1190="NEW"),"",INDEX(B1189:B$2,-1+SUMPRODUCT(MAX(ROW(E1189:E$2)*(E1190=E1189:E$2)))))</f>
        <v> </v>
      </c>
      <c r="J1190" s="26" t="str">
        <f>IF(OR(E1190="",E1190="!!!",F1190="NEW"),"",COUNTBLANK(OFFSET(A$1,,,SUMPRODUCT(MAX(ROW(E$2:E1190)*(E1190=E$2:E1190)))))-COUNTBLANK(OFFSET(A$1,,,SUMPRODUCT(MAX(ROW(E$1:E1189)*(E2=E$1:E1189))))))</f>
        <v> </v>
      </c>
      <c r="K1190" s="26" t="str">
        <f>IF(OR(E1190="",E1190="!!!",F1190="NEW"),"",INDEX(J$1:J1189,SUMPRODUCT(MAX(ROW(E$1:E1189)*(E1190=E$1:E1189)))))</f>
        <v> </v>
      </c>
      <c r="L1190" s="27"/>
    </row>
    <row r="1191" spans="1:12">
      <c r="A1191" s="20" t="s">
        <v>482</v>
      </c>
      <c r="B1191" s="21" t="s">
        <v>533</v>
      </c>
      <c r="C1191" s="21" t="s">
        <v>477</v>
      </c>
      <c r="D1191" s="21" t="s">
        <v>424</v>
      </c>
      <c r="E1191" s="22">
        <f>IF(D1191="?OLD","!!!","")</f>
        <v/>
      </c>
      <c r="F1191" s="23" t="str">
        <f>IF(OR(E1191="",E1191="!!!"),"",IF(NOT(ISNA(VLOOKUP(E1191,E$1:E1190,1,FALSE()))),"OLD",IF(AND(E1191&lt;&gt;"",E1191&lt;&gt;"!!!"),"NEW","")))</f>
        <v> </v>
      </c>
      <c r="G1191" s="24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5" t="str">
        <f>IF(J1191&lt;&gt;1,"",IF(I1191="SBJ","CB","?"))</f>
        <v> </v>
      </c>
      <c r="I1191" s="26" t="str">
        <f>IF(OR(E1191="",E1191="!!!",F1191="NEW"),"",INDEX(B1190:B$2,-1+SUMPRODUCT(MAX(ROW(E1190:E$2)*(E1191=E1190:E$2)))))</f>
        <v> </v>
      </c>
      <c r="J1191" s="26" t="str">
        <f>IF(OR(E1191="",E1191="!!!",F1191="NEW"),"",COUNTBLANK(OFFSET(A$1,,,SUMPRODUCT(MAX(ROW(E$2:E1191)*(E1191=E$2:E1191)))))-COUNTBLANK(OFFSET(A$1,,,SUMPRODUCT(MAX(ROW(E$1:E1190)*(E2=E$1:E1190))))))</f>
        <v> </v>
      </c>
      <c r="K1191" s="26" t="str">
        <f>IF(OR(E1191="",E1191="!!!",F1191="NEW"),"",INDEX(J$1:J1190,SUMPRODUCT(MAX(ROW(E$1:E1190)*(E1191=E$1:E1190)))))</f>
        <v> </v>
      </c>
      <c r="L1191" s="27"/>
    </row>
    <row r="1192" spans="1:12">
      <c r="A1192" s="20" t="s">
        <v>453</v>
      </c>
      <c r="E1192" s="22">
        <f>IF(D1192="?OLD","!!!","")</f>
        <v/>
      </c>
      <c r="F1192" s="23" t="str">
        <f>IF(OR(E1192="",E1192="!!!"),"",IF(NOT(ISNA(VLOOKUP(E1192,E$1:E1191,1,FALSE()))),"OLD",IF(AND(E1192&lt;&gt;"",E1192&lt;&gt;"!!!"),"NEW","")))</f>
        <v> </v>
      </c>
      <c r="G1192" s="24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5" t="str">
        <f>IF(J1192&lt;&gt;1,"",IF(I1192="SBJ","CB","?"))</f>
        <v> </v>
      </c>
      <c r="I1192" s="26" t="str">
        <f>IF(OR(E1192="",E1192="!!!",F1192="NEW"),"",INDEX(B1191:B$2,-1+SUMPRODUCT(MAX(ROW(E1191:E$2)*(E1192=E1191:E$2)))))</f>
        <v> </v>
      </c>
      <c r="J1192" s="26" t="str">
        <f>IF(OR(E1192="",E1192="!!!",F1192="NEW"),"",COUNTBLANK(OFFSET(A$1,,,SUMPRODUCT(MAX(ROW(E$2:E1192)*(E1192=E$2:E1192)))))-COUNTBLANK(OFFSET(A$1,,,SUMPRODUCT(MAX(ROW(E$1:E1191)*(E2=E$1:E1191))))))</f>
        <v> </v>
      </c>
      <c r="K1192" s="26" t="str">
        <f>IF(OR(E1192="",E1192="!!!",F1192="NEW"),"",INDEX(J$1:J1191,SUMPRODUCT(MAX(ROW(E$1:E1191)*(E1192=E$1:E1191)))))</f>
        <v> </v>
      </c>
      <c r="L1192" s="27"/>
    </row>
    <row r="1193" spans="1:12">
      <c r="A1193" s="20" t="s">
        <v>502</v>
      </c>
      <c r="E1193" s="22">
        <f>IF(D1193="?OLD","!!!","")</f>
        <v/>
      </c>
      <c r="F1193" s="23" t="str">
        <f>IF(OR(E1193="",E1193="!!!"),"",IF(NOT(ISNA(VLOOKUP(E1193,E$1:E1192,1,FALSE()))),"OLD",IF(AND(E1193&lt;&gt;"",E1193&lt;&gt;"!!!"),"NEW","")))</f>
        <v> </v>
      </c>
      <c r="G1193" s="24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5" t="str">
        <f>IF(J1193&lt;&gt;1,"",IF(I1193="SBJ","CB","?"))</f>
        <v> </v>
      </c>
      <c r="I1193" s="26" t="str">
        <f>IF(OR(E1193="",E1193="!!!",F1193="NEW"),"",INDEX(B1192:B$2,-1+SUMPRODUCT(MAX(ROW(E1192:E$2)*(E1193=E1192:E$2)))))</f>
        <v> </v>
      </c>
      <c r="J1193" s="26" t="str">
        <f>IF(OR(E1193="",E1193="!!!",F1193="NEW"),"",COUNTBLANK(OFFSET(A$1,,,SUMPRODUCT(MAX(ROW(E$2:E1193)*(E1193=E$2:E1193)))))-COUNTBLANK(OFFSET(A$1,,,SUMPRODUCT(MAX(ROW(E$1:E1192)*(E2=E$1:E1192))))))</f>
        <v> </v>
      </c>
      <c r="K1193" s="26" t="str">
        <f>IF(OR(E1193="",E1193="!!!",F1193="NEW"),"",INDEX(J$1:J1192,SUMPRODUCT(MAX(ROW(E$1:E1192)*(E1193=E$1:E1192)))))</f>
        <v> </v>
      </c>
      <c r="L1193" s="27"/>
    </row>
    <row r="1194" spans="1:12">
      <c r="A1194" s="20" t="s">
        <v>572</v>
      </c>
      <c r="B1194" s="21" t="s">
        <v>556</v>
      </c>
      <c r="C1194" s="21" t="s">
        <v>423</v>
      </c>
      <c r="D1194" s="21" t="s">
        <v>424</v>
      </c>
      <c r="E1194" s="22">
        <f>IF(D1194="?OLD","!!!","")</f>
        <v/>
      </c>
      <c r="F1194" s="23" t="str">
        <f>IF(OR(E1194="",E1194="!!!"),"",IF(NOT(ISNA(VLOOKUP(E1194,E$1:E1193,1,FALSE()))),"OLD",IF(AND(E1194&lt;&gt;"",E1194&lt;&gt;"!!!"),"NEW","")))</f>
        <v> </v>
      </c>
      <c r="G1194" s="24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5" t="str">
        <f>IF(J1194&lt;&gt;1,"",IF(I1194="SBJ","CB","?"))</f>
        <v> </v>
      </c>
      <c r="I1194" s="26" t="str">
        <f>IF(OR(E1194="",E1194="!!!",F1194="NEW"),"",INDEX(B1193:B$2,-1+SUMPRODUCT(MAX(ROW(E1193:E$2)*(E1194=E1193:E$2)))))</f>
        <v> </v>
      </c>
      <c r="J1194" s="26" t="str">
        <f>IF(OR(E1194="",E1194="!!!",F1194="NEW"),"",COUNTBLANK(OFFSET(A$1,,,SUMPRODUCT(MAX(ROW(E$2:E1194)*(E1194=E$2:E1194)))))-COUNTBLANK(OFFSET(A$1,,,SUMPRODUCT(MAX(ROW(E$1:E1193)*(E2=E$1:E1193))))))</f>
        <v> </v>
      </c>
      <c r="K1194" s="26" t="str">
        <f>IF(OR(E1194="",E1194="!!!",F1194="NEW"),"",INDEX(J$1:J1193,SUMPRODUCT(MAX(ROW(E$1:E1193)*(E1194=E$1:E1193)))))</f>
        <v> </v>
      </c>
      <c r="L1194" s="27"/>
    </row>
    <row r="1195" spans="1:12">
      <c r="A1195" s="20" t="s">
        <v>1054</v>
      </c>
      <c r="E1195" s="22">
        <f>IF(D1195="?OLD","!!!","")</f>
        <v/>
      </c>
      <c r="F1195" s="23" t="str">
        <f>IF(OR(E1195="",E1195="!!!"),"",IF(NOT(ISNA(VLOOKUP(E1195,E$1:E1194,1,FALSE()))),"OLD",IF(AND(E1195&lt;&gt;"",E1195&lt;&gt;"!!!"),"NEW","")))</f>
        <v> </v>
      </c>
      <c r="G1195" s="24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5" t="str">
        <f>IF(J1195&lt;&gt;1,"",IF(I1195="SBJ","CB","?"))</f>
        <v> </v>
      </c>
      <c r="I1195" s="26" t="str">
        <f>IF(OR(E1195="",E1195="!!!",F1195="NEW"),"",INDEX(B1194:B$2,-1+SUMPRODUCT(MAX(ROW(E1194:E$2)*(E1195=E1194:E$2)))))</f>
        <v> </v>
      </c>
      <c r="J1195" s="26" t="str">
        <f>IF(OR(E1195="",E1195="!!!",F1195="NEW"),"",COUNTBLANK(OFFSET(A$1,,,SUMPRODUCT(MAX(ROW(E$2:E1195)*(E1195=E$2:E1195)))))-COUNTBLANK(OFFSET(A$1,,,SUMPRODUCT(MAX(ROW(E$1:E1194)*(E2=E$1:E1194))))))</f>
        <v> </v>
      </c>
      <c r="K1195" s="26" t="str">
        <f>IF(OR(E1195="",E1195="!!!",F1195="NEW"),"",INDEX(J$1:J1194,SUMPRODUCT(MAX(ROW(E$1:E1194)*(E1195=E$1:E1194)))))</f>
        <v> </v>
      </c>
      <c r="L1195" s="27"/>
    </row>
    <row r="1196" spans="1:12">
      <c r="A1196" s="20" t="s">
        <v>1055</v>
      </c>
      <c r="E1196" s="22">
        <f>IF(D1196="?OLD","!!!","")</f>
        <v/>
      </c>
      <c r="F1196" s="23" t="str">
        <f>IF(OR(E1196="",E1196="!!!"),"",IF(NOT(ISNA(VLOOKUP(E1196,E$1:E1195,1,FALSE()))),"OLD",IF(AND(E1196&lt;&gt;"",E1196&lt;&gt;"!!!"),"NEW","")))</f>
        <v> </v>
      </c>
      <c r="G1196" s="24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5" t="str">
        <f>IF(J1196&lt;&gt;1,"",IF(I1196="SBJ","CB","?"))</f>
        <v> </v>
      </c>
      <c r="I1196" s="26" t="str">
        <f>IF(OR(E1196="",E1196="!!!",F1196="NEW"),"",INDEX(B1195:B$2,-1+SUMPRODUCT(MAX(ROW(E1195:E$2)*(E1196=E1195:E$2)))))</f>
        <v> </v>
      </c>
      <c r="J1196" s="26" t="str">
        <f>IF(OR(E1196="",E1196="!!!",F1196="NEW"),"",COUNTBLANK(OFFSET(A$1,,,SUMPRODUCT(MAX(ROW(E$2:E1196)*(E1196=E$2:E1196)))))-COUNTBLANK(OFFSET(A$1,,,SUMPRODUCT(MAX(ROW(E$1:E1195)*(E2=E$1:E1195))))))</f>
        <v> </v>
      </c>
      <c r="K1196" s="26" t="str">
        <f>IF(OR(E1196="",E1196="!!!",F1196="NEW"),"",INDEX(J$1:J1195,SUMPRODUCT(MAX(ROW(E$1:E1195)*(E1196=E$1:E1195)))))</f>
        <v> </v>
      </c>
      <c r="L1196" s="27"/>
    </row>
    <row r="1197" spans="1:12">
      <c r="A1197" s="20" t="s">
        <v>465</v>
      </c>
      <c r="E1197" s="22">
        <f>IF(D1197="?OLD","!!!","")</f>
        <v/>
      </c>
      <c r="F1197" s="23" t="str">
        <f>IF(OR(E1197="",E1197="!!!"),"",IF(NOT(ISNA(VLOOKUP(E1197,E$1:E1196,1,FALSE()))),"OLD",IF(AND(E1197&lt;&gt;"",E1197&lt;&gt;"!!!"),"NEW","")))</f>
        <v> </v>
      </c>
      <c r="G1197" s="24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5" t="str">
        <f>IF(J1197&lt;&gt;1,"",IF(I1197="SBJ","CB","?"))</f>
        <v> </v>
      </c>
      <c r="I1197" s="26" t="str">
        <f>IF(OR(E1197="",E1197="!!!",F1197="NEW"),"",INDEX(B1196:B$2,-1+SUMPRODUCT(MAX(ROW(E1196:E$2)*(E1197=E1196:E$2)))))</f>
        <v> </v>
      </c>
      <c r="J1197" s="26" t="str">
        <f>IF(OR(E1197="",E1197="!!!",F1197="NEW"),"",COUNTBLANK(OFFSET(A$1,,,SUMPRODUCT(MAX(ROW(E$2:E1197)*(E1197=E$2:E1197)))))-COUNTBLANK(OFFSET(A$1,,,SUMPRODUCT(MAX(ROW(E$1:E1196)*(E2=E$1:E1196))))))</f>
        <v> </v>
      </c>
      <c r="K1197" s="26" t="str">
        <f>IF(OR(E1197="",E1197="!!!",F1197="NEW"),"",INDEX(J$1:J1196,SUMPRODUCT(MAX(ROW(E$1:E1196)*(E1197=E$1:E1196)))))</f>
        <v> </v>
      </c>
      <c r="L1197" s="27"/>
    </row>
    <row r="1198" spans="1:12">
      <c r="A1198" s="20" t="s">
        <v>1056</v>
      </c>
      <c r="E1198" s="22">
        <f>IF(D1198="?OLD","!!!","")</f>
        <v/>
      </c>
      <c r="F1198" s="23" t="str">
        <f>IF(OR(E1198="",E1198="!!!"),"",IF(NOT(ISNA(VLOOKUP(E1198,E$1:E1197,1,FALSE()))),"OLD",IF(AND(E1198&lt;&gt;"",E1198&lt;&gt;"!!!"),"NEW","")))</f>
        <v> </v>
      </c>
      <c r="G1198" s="24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5" t="str">
        <f>IF(J1198&lt;&gt;1,"",IF(I1198="SBJ","CB","?"))</f>
        <v> </v>
      </c>
      <c r="I1198" s="26" t="str">
        <f>IF(OR(E1198="",E1198="!!!",F1198="NEW"),"",INDEX(B1197:B$2,-1+SUMPRODUCT(MAX(ROW(E1197:E$2)*(E1198=E1197:E$2)))))</f>
        <v> </v>
      </c>
      <c r="J1198" s="26" t="str">
        <f>IF(OR(E1198="",E1198="!!!",F1198="NEW"),"",COUNTBLANK(OFFSET(A$1,,,SUMPRODUCT(MAX(ROW(E$2:E1198)*(E1198=E$2:E1198)))))-COUNTBLANK(OFFSET(A$1,,,SUMPRODUCT(MAX(ROW(E$1:E1197)*(E2=E$1:E1197))))))</f>
        <v> </v>
      </c>
      <c r="K1198" s="26" t="str">
        <f>IF(OR(E1198="",E1198="!!!",F1198="NEW"),"",INDEX(J$1:J1197,SUMPRODUCT(MAX(ROW(E$1:E1197)*(E1198=E$1:E1197)))))</f>
        <v> </v>
      </c>
      <c r="L1198" s="27"/>
    </row>
    <row r="1199" spans="1:12">
      <c r="A1199" s="20" t="s">
        <v>1057</v>
      </c>
      <c r="B1199" s="21" t="s">
        <v>659</v>
      </c>
      <c r="C1199" s="21" t="s">
        <v>471</v>
      </c>
      <c r="D1199" s="21" t="s">
        <v>424</v>
      </c>
      <c r="E1199" s="22">
        <f>IF(D1199="?OLD","!!!","")</f>
        <v/>
      </c>
      <c r="F1199" s="23" t="str">
        <f>IF(OR(E1199="",E1199="!!!"),"",IF(NOT(ISNA(VLOOKUP(E1199,E$1:E1198,1,FALSE()))),"OLD",IF(AND(E1199&lt;&gt;"",E1199&lt;&gt;"!!!"),"NEW","")))</f>
        <v> </v>
      </c>
      <c r="G1199" s="24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5" t="str">
        <f>IF(J1199&lt;&gt;1,"",IF(I1199="SBJ","CB","?"))</f>
        <v> </v>
      </c>
      <c r="I1199" s="26" t="str">
        <f>IF(OR(E1199="",E1199="!!!",F1199="NEW"),"",INDEX(B1198:B$2,-1+SUMPRODUCT(MAX(ROW(E1198:E$2)*(E1199=E1198:E$2)))))</f>
        <v> </v>
      </c>
      <c r="J1199" s="26" t="str">
        <f>IF(OR(E1199="",E1199="!!!",F1199="NEW"),"",COUNTBLANK(OFFSET(A$1,,,SUMPRODUCT(MAX(ROW(E$2:E1199)*(E1199=E$2:E1199)))))-COUNTBLANK(OFFSET(A$1,,,SUMPRODUCT(MAX(ROW(E$1:E1198)*(E2=E$1:E1198))))))</f>
        <v> </v>
      </c>
      <c r="K1199" s="26" t="str">
        <f>IF(OR(E1199="",E1199="!!!",F1199="NEW"),"",INDEX(J$1:J1198,SUMPRODUCT(MAX(ROW(E$1:E1198)*(E1199=E$1:E1198)))))</f>
        <v> </v>
      </c>
      <c r="L1199" s="27"/>
    </row>
    <row r="1200" spans="1:12">
      <c r="A1200" s="20" t="s">
        <v>453</v>
      </c>
      <c r="E1200" s="22">
        <f>IF(D1200="?OLD","!!!","")</f>
        <v/>
      </c>
      <c r="F1200" s="23" t="str">
        <f>IF(OR(E1200="",E1200="!!!"),"",IF(NOT(ISNA(VLOOKUP(E1200,E$1:E1199,1,FALSE()))),"OLD",IF(AND(E1200&lt;&gt;"",E1200&lt;&gt;"!!!"),"NEW","")))</f>
        <v> </v>
      </c>
      <c r="G1200" s="24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5" t="str">
        <f>IF(J1200&lt;&gt;1,"",IF(I1200="SBJ","CB","?"))</f>
        <v> </v>
      </c>
      <c r="I1200" s="26" t="str">
        <f>IF(OR(E1200="",E1200="!!!",F1200="NEW"),"",INDEX(B1199:B$2,-1+SUMPRODUCT(MAX(ROW(E1199:E$2)*(E1200=E1199:E$2)))))</f>
        <v> </v>
      </c>
      <c r="J1200" s="26" t="str">
        <f>IF(OR(E1200="",E1200="!!!",F1200="NEW"),"",COUNTBLANK(OFFSET(A$1,,,SUMPRODUCT(MAX(ROW(E$2:E1200)*(E1200=E$2:E1200)))))-COUNTBLANK(OFFSET(A$1,,,SUMPRODUCT(MAX(ROW(E$1:E1199)*(E2=E$1:E1199))))))</f>
        <v> </v>
      </c>
      <c r="K1200" s="26" t="str">
        <f>IF(OR(E1200="",E1200="!!!",F1200="NEW"),"",INDEX(J$1:J1199,SUMPRODUCT(MAX(ROW(E$1:E1199)*(E1200=E$1:E1199)))))</f>
        <v> </v>
      </c>
      <c r="L1200" s="27"/>
    </row>
    <row r="1201" spans="1:12">
      <c r="A1201" s="20" t="s">
        <v>572</v>
      </c>
      <c r="B1201" s="21" t="s">
        <v>422</v>
      </c>
      <c r="C1201" s="21" t="s">
        <v>423</v>
      </c>
      <c r="D1201" s="21" t="s">
        <v>424</v>
      </c>
      <c r="E1201" s="22">
        <f>IF(D1201="?OLD","!!!","")</f>
        <v/>
      </c>
      <c r="F1201" s="23" t="str">
        <f>IF(OR(E1201="",E1201="!!!"),"",IF(NOT(ISNA(VLOOKUP(E1201,E$1:E1200,1,FALSE()))),"OLD",IF(AND(E1201&lt;&gt;"",E1201&lt;&gt;"!!!"),"NEW","")))</f>
        <v> </v>
      </c>
      <c r="G1201" s="24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5" t="str">
        <f>IF(J1201&lt;&gt;1,"",IF(I1201="SBJ","CB","?"))</f>
        <v> </v>
      </c>
      <c r="I1201" s="26" t="str">
        <f>IF(OR(E1201="",E1201="!!!",F1201="NEW"),"",INDEX(B1200:B$2,-1+SUMPRODUCT(MAX(ROW(E1200:E$2)*(E1201=E1200:E$2)))))</f>
        <v> </v>
      </c>
      <c r="J1201" s="26" t="str">
        <f>IF(OR(E1201="",E1201="!!!",F1201="NEW"),"",COUNTBLANK(OFFSET(A$1,,,SUMPRODUCT(MAX(ROW(E$2:E1201)*(E1201=E$2:E1201)))))-COUNTBLANK(OFFSET(A$1,,,SUMPRODUCT(MAX(ROW(E$1:E1200)*(E2=E$1:E1200))))))</f>
        <v> </v>
      </c>
      <c r="K1201" s="26" t="str">
        <f>IF(OR(E1201="",E1201="!!!",F1201="NEW"),"",INDEX(J$1:J1200,SUMPRODUCT(MAX(ROW(E$1:E1200)*(E1201=E$1:E1200)))))</f>
        <v> </v>
      </c>
      <c r="L1201" s="27"/>
    </row>
    <row r="1202" spans="1:12">
      <c r="A1202" s="20" t="s">
        <v>1058</v>
      </c>
      <c r="E1202" s="22">
        <f>IF(D1202="?OLD","!!!","")</f>
        <v/>
      </c>
      <c r="F1202" s="23" t="str">
        <f>IF(OR(E1202="",E1202="!!!"),"",IF(NOT(ISNA(VLOOKUP(E1202,E$1:E1201,1,FALSE()))),"OLD",IF(AND(E1202&lt;&gt;"",E1202&lt;&gt;"!!!"),"NEW","")))</f>
        <v> </v>
      </c>
      <c r="G1202" s="24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5" t="str">
        <f>IF(J1202&lt;&gt;1,"",IF(I1202="SBJ","CB","?"))</f>
        <v> </v>
      </c>
      <c r="I1202" s="26" t="str">
        <f>IF(OR(E1202="",E1202="!!!",F1202="NEW"),"",INDEX(B1201:B$2,-1+SUMPRODUCT(MAX(ROW(E1201:E$2)*(E1202=E1201:E$2)))))</f>
        <v> </v>
      </c>
      <c r="J1202" s="26" t="str">
        <f>IF(OR(E1202="",E1202="!!!",F1202="NEW"),"",COUNTBLANK(OFFSET(A$1,,,SUMPRODUCT(MAX(ROW(E$2:E1202)*(E1202=E$2:E1202)))))-COUNTBLANK(OFFSET(A$1,,,SUMPRODUCT(MAX(ROW(E$1:E1201)*(E2=E$1:E1201))))))</f>
        <v> </v>
      </c>
      <c r="K1202" s="26" t="str">
        <f>IF(OR(E1202="",E1202="!!!",F1202="NEW"),"",INDEX(J$1:J1201,SUMPRODUCT(MAX(ROW(E$1:E1201)*(E1202=E$1:E1201)))))</f>
        <v> </v>
      </c>
      <c r="L1202" s="27"/>
    </row>
    <row r="1203" spans="1:12">
      <c r="A1203" s="20" t="s">
        <v>453</v>
      </c>
      <c r="E1203" s="22">
        <f>IF(D1203="?OLD","!!!","")</f>
        <v/>
      </c>
      <c r="F1203" s="23" t="str">
        <f>IF(OR(E1203="",E1203="!!!"),"",IF(NOT(ISNA(VLOOKUP(E1203,E$1:E1202,1,FALSE()))),"OLD",IF(AND(E1203&lt;&gt;"",E1203&lt;&gt;"!!!"),"NEW","")))</f>
        <v> </v>
      </c>
      <c r="G1203" s="24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5" t="str">
        <f>IF(J1203&lt;&gt;1,"",IF(I1203="SBJ","CB","?"))</f>
        <v> </v>
      </c>
      <c r="I1203" s="26" t="str">
        <f>IF(OR(E1203="",E1203="!!!",F1203="NEW"),"",INDEX(B1202:B$2,-1+SUMPRODUCT(MAX(ROW(E1202:E$2)*(E1203=E1202:E$2)))))</f>
        <v> </v>
      </c>
      <c r="J1203" s="26" t="str">
        <f>IF(OR(E1203="",E1203="!!!",F1203="NEW"),"",COUNTBLANK(OFFSET(A$1,,,SUMPRODUCT(MAX(ROW(E$2:E1203)*(E1203=E$2:E1203)))))-COUNTBLANK(OFFSET(A$1,,,SUMPRODUCT(MAX(ROW(E$1:E1202)*(E2=E$1:E1202))))))</f>
        <v> </v>
      </c>
      <c r="K1203" s="26" t="str">
        <f>IF(OR(E1203="",E1203="!!!",F1203="NEW"),"",INDEX(J$1:J1202,SUMPRODUCT(MAX(ROW(E$1:E1202)*(E1203=E$1:E1202)))))</f>
        <v> </v>
      </c>
      <c r="L1203" s="27"/>
    </row>
    <row r="1204" spans="1:12">
      <c r="A1204" s="20" t="s">
        <v>459</v>
      </c>
      <c r="E1204" s="22">
        <f>IF(D1204="?OLD","!!!","")</f>
        <v/>
      </c>
      <c r="F1204" s="23" t="str">
        <f>IF(OR(E1204="",E1204="!!!"),"",IF(NOT(ISNA(VLOOKUP(E1204,E$1:E1203,1,FALSE()))),"OLD",IF(AND(E1204&lt;&gt;"",E1204&lt;&gt;"!!!"),"NEW","")))</f>
        <v> </v>
      </c>
      <c r="G1204" s="24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5" t="str">
        <f>IF(J1204&lt;&gt;1,"",IF(I1204="SBJ","CB","?"))</f>
        <v> </v>
      </c>
      <c r="I1204" s="26" t="str">
        <f>IF(OR(E1204="",E1204="!!!",F1204="NEW"),"",INDEX(B1203:B$2,-1+SUMPRODUCT(MAX(ROW(E1203:E$2)*(E1204=E1203:E$2)))))</f>
        <v> </v>
      </c>
      <c r="J1204" s="26" t="str">
        <f>IF(OR(E1204="",E1204="!!!",F1204="NEW"),"",COUNTBLANK(OFFSET(A$1,,,SUMPRODUCT(MAX(ROW(E$2:E1204)*(E1204=E$2:E1204)))))-COUNTBLANK(OFFSET(A$1,,,SUMPRODUCT(MAX(ROW(E$1:E1203)*(E2=E$1:E1203))))))</f>
        <v> </v>
      </c>
      <c r="K1204" s="26" t="str">
        <f>IF(OR(E1204="",E1204="!!!",F1204="NEW"),"",INDEX(J$1:J1203,SUMPRODUCT(MAX(ROW(E$1:E1203)*(E1204=E$1:E1203)))))</f>
        <v> </v>
      </c>
      <c r="L1204" s="27"/>
    </row>
    <row r="1205" spans="1:12">
      <c r="A1205" s="20" t="s">
        <v>1024</v>
      </c>
      <c r="E1205" s="22">
        <f>IF(D1205="?OLD","!!!","")</f>
        <v/>
      </c>
      <c r="F1205" s="23" t="str">
        <f>IF(OR(E1205="",E1205="!!!"),"",IF(NOT(ISNA(VLOOKUP(E1205,E$1:E1204,1,FALSE()))),"OLD",IF(AND(E1205&lt;&gt;"",E1205&lt;&gt;"!!!"),"NEW","")))</f>
        <v> </v>
      </c>
      <c r="G1205" s="24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5" t="str">
        <f>IF(J1205&lt;&gt;1,"",IF(I1205="SBJ","CB","?"))</f>
        <v> </v>
      </c>
      <c r="I1205" s="26" t="str">
        <f>IF(OR(E1205="",E1205="!!!",F1205="NEW"),"",INDEX(B1204:B$2,-1+SUMPRODUCT(MAX(ROW(E1204:E$2)*(E1205=E1204:E$2)))))</f>
        <v> </v>
      </c>
      <c r="J1205" s="26" t="str">
        <f>IF(OR(E1205="",E1205="!!!",F1205="NEW"),"",COUNTBLANK(OFFSET(A$1,,,SUMPRODUCT(MAX(ROW(E$2:E1205)*(E1205=E$2:E1205)))))-COUNTBLANK(OFFSET(A$1,,,SUMPRODUCT(MAX(ROW(E$1:E1204)*(E2=E$1:E1204))))))</f>
        <v> </v>
      </c>
      <c r="K1205" s="26" t="str">
        <f>IF(OR(E1205="",E1205="!!!",F1205="NEW"),"",INDEX(J$1:J1204,SUMPRODUCT(MAX(ROW(E$1:E1204)*(E1205=E$1:E1204)))))</f>
        <v> </v>
      </c>
      <c r="L1205" s="27"/>
    </row>
    <row r="1206" spans="1:12">
      <c r="A1206" s="20" t="s">
        <v>1059</v>
      </c>
      <c r="B1206" s="21" t="s">
        <v>556</v>
      </c>
      <c r="C1206" s="21" t="s">
        <v>435</v>
      </c>
      <c r="D1206" s="21" t="s">
        <v>424</v>
      </c>
      <c r="E1206" s="22">
        <f>IF(D1206="?OLD","!!!","")</f>
        <v/>
      </c>
      <c r="F1206" s="23" t="str">
        <f>IF(OR(E1206="",E1206="!!!"),"",IF(NOT(ISNA(VLOOKUP(E1206,E$1:E1205,1,FALSE()))),"OLD",IF(AND(E1206&lt;&gt;"",E1206&lt;&gt;"!!!"),"NEW","")))</f>
        <v> </v>
      </c>
      <c r="G1206" s="24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5" t="str">
        <f>IF(J1206&lt;&gt;1,"",IF(I1206="SBJ","CB","?"))</f>
        <v> </v>
      </c>
      <c r="I1206" s="26" t="str">
        <f>IF(OR(E1206="",E1206="!!!",F1206="NEW"),"",INDEX(B1205:B$2,-1+SUMPRODUCT(MAX(ROW(E1205:E$2)*(E1206=E1205:E$2)))))</f>
        <v> </v>
      </c>
      <c r="J1206" s="26" t="str">
        <f>IF(OR(E1206="",E1206="!!!",F1206="NEW"),"",COUNTBLANK(OFFSET(A$1,,,SUMPRODUCT(MAX(ROW(E$2:E1206)*(E1206=E$2:E1206)))))-COUNTBLANK(OFFSET(A$1,,,SUMPRODUCT(MAX(ROW(E$1:E1205)*(E2=E$1:E1205))))))</f>
        <v> </v>
      </c>
      <c r="K1206" s="26" t="str">
        <f>IF(OR(E1206="",E1206="!!!",F1206="NEW"),"",INDEX(J$1:J1205,SUMPRODUCT(MAX(ROW(E$1:E1205)*(E1206=E$1:E1205)))))</f>
        <v> </v>
      </c>
      <c r="L1206" s="27"/>
    </row>
    <row r="1207" spans="1:12">
      <c r="A1207" s="20" t="s">
        <v>624</v>
      </c>
      <c r="E1207" s="22">
        <f>IF(D1207="?OLD","!!!","")</f>
        <v/>
      </c>
      <c r="F1207" s="23" t="str">
        <f>IF(OR(E1207="",E1207="!!!"),"",IF(NOT(ISNA(VLOOKUP(E1207,E$1:E1206,1,FALSE()))),"OLD",IF(AND(E1207&lt;&gt;"",E1207&lt;&gt;"!!!"),"NEW","")))</f>
        <v> </v>
      </c>
      <c r="G1207" s="24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5" t="str">
        <f>IF(J1207&lt;&gt;1,"",IF(I1207="SBJ","CB","?"))</f>
        <v> </v>
      </c>
      <c r="I1207" s="26" t="str">
        <f>IF(OR(E1207="",E1207="!!!",F1207="NEW"),"",INDEX(B1206:B$2,-1+SUMPRODUCT(MAX(ROW(E1206:E$2)*(E1207=E1206:E$2)))))</f>
        <v> </v>
      </c>
      <c r="J1207" s="26" t="str">
        <f>IF(OR(E1207="",E1207="!!!",F1207="NEW"),"",COUNTBLANK(OFFSET(A$1,,,SUMPRODUCT(MAX(ROW(E$2:E1207)*(E1207=E$2:E1207)))))-COUNTBLANK(OFFSET(A$1,,,SUMPRODUCT(MAX(ROW(E$1:E1206)*(E2=E$1:E1206))))))</f>
        <v> </v>
      </c>
      <c r="K1207" s="26" t="str">
        <f>IF(OR(E1207="",E1207="!!!",F1207="NEW"),"",INDEX(J$1:J1206,SUMPRODUCT(MAX(ROW(E$1:E1206)*(E1207=E$1:E1206)))))</f>
        <v> </v>
      </c>
      <c r="L1207" s="27"/>
    </row>
    <row r="1208" spans="1:12">
      <c r="A1208" s="20" t="s">
        <v>1060</v>
      </c>
      <c r="E1208" s="22">
        <f>IF(D1208="?OLD","!!!","")</f>
        <v/>
      </c>
      <c r="F1208" s="23" t="str">
        <f>IF(OR(E1208="",E1208="!!!"),"",IF(NOT(ISNA(VLOOKUP(E1208,E$1:E1207,1,FALSE()))),"OLD",IF(AND(E1208&lt;&gt;"",E1208&lt;&gt;"!!!"),"NEW","")))</f>
        <v> </v>
      </c>
      <c r="G1208" s="24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5" t="str">
        <f>IF(J1208&lt;&gt;1,"",IF(I1208="SBJ","CB","?"))</f>
        <v> </v>
      </c>
      <c r="I1208" s="26" t="str">
        <f>IF(OR(E1208="",E1208="!!!",F1208="NEW"),"",INDEX(B1207:B$2,-1+SUMPRODUCT(MAX(ROW(E1207:E$2)*(E1208=E1207:E$2)))))</f>
        <v> </v>
      </c>
      <c r="J1208" s="26" t="str">
        <f>IF(OR(E1208="",E1208="!!!",F1208="NEW"),"",COUNTBLANK(OFFSET(A$1,,,SUMPRODUCT(MAX(ROW(E$2:E1208)*(E1208=E$2:E1208)))))-COUNTBLANK(OFFSET(A$1,,,SUMPRODUCT(MAX(ROW(E$1:E1207)*(E2=E$1:E1207))))))</f>
        <v> </v>
      </c>
      <c r="K1208" s="26" t="str">
        <f>IF(OR(E1208="",E1208="!!!",F1208="NEW"),"",INDEX(J$1:J1207,SUMPRODUCT(MAX(ROW(E$1:E1207)*(E1208=E$1:E1207)))))</f>
        <v> </v>
      </c>
      <c r="L1208" s="27"/>
    </row>
    <row r="1209" spans="1:12">
      <c r="A1209" s="20" t="s">
        <v>1019</v>
      </c>
      <c r="B1209" s="21" t="s">
        <v>434</v>
      </c>
      <c r="C1209" s="21" t="s">
        <v>471</v>
      </c>
      <c r="D1209" s="21" t="s">
        <v>424</v>
      </c>
      <c r="E1209" s="22">
        <f>IF(D1209="?OLD","!!!","")</f>
        <v/>
      </c>
      <c r="F1209" s="23" t="str">
        <f>IF(OR(E1209="",E1209="!!!"),"",IF(NOT(ISNA(VLOOKUP(E1209,E$1:E1208,1,FALSE()))),"OLD",IF(AND(E1209&lt;&gt;"",E1209&lt;&gt;"!!!"),"NEW","")))</f>
        <v> </v>
      </c>
      <c r="G1209" s="24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5" t="str">
        <f>IF(J1209&lt;&gt;1,"",IF(I1209="SBJ","CB","?"))</f>
        <v> </v>
      </c>
      <c r="I1209" s="26" t="str">
        <f>IF(OR(E1209="",E1209="!!!",F1209="NEW"),"",INDEX(B1208:B$2,-1+SUMPRODUCT(MAX(ROW(E1208:E$2)*(E1209=E1208:E$2)))))</f>
        <v> </v>
      </c>
      <c r="J1209" s="26" t="str">
        <f>IF(OR(E1209="",E1209="!!!",F1209="NEW"),"",COUNTBLANK(OFFSET(A$1,,,SUMPRODUCT(MAX(ROW(E$2:E1209)*(E1209=E$2:E1209)))))-COUNTBLANK(OFFSET(A$1,,,SUMPRODUCT(MAX(ROW(E$1:E1208)*(E2=E$1:E1208))))))</f>
        <v> </v>
      </c>
      <c r="K1209" s="26" t="str">
        <f>IF(OR(E1209="",E1209="!!!",F1209="NEW"),"",INDEX(J$1:J1208,SUMPRODUCT(MAX(ROW(E$1:E1208)*(E1209=E$1:E1208)))))</f>
        <v> </v>
      </c>
      <c r="L1209" s="27"/>
    </row>
    <row r="1210" spans="1:12">
      <c r="A1210" s="20" t="s">
        <v>486</v>
      </c>
      <c r="E1210" s="22">
        <f>IF(D1210="?OLD","!!!","")</f>
        <v/>
      </c>
      <c r="F1210" s="23" t="str">
        <f>IF(OR(E1210="",E1210="!!!"),"",IF(NOT(ISNA(VLOOKUP(E1210,E$1:E1209,1,FALSE()))),"OLD",IF(AND(E1210&lt;&gt;"",E1210&lt;&gt;"!!!"),"NEW","")))</f>
        <v> </v>
      </c>
      <c r="G1210" s="24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5" t="str">
        <f>IF(J1210&lt;&gt;1,"",IF(I1210="SBJ","CB","?"))</f>
        <v> </v>
      </c>
      <c r="I1210" s="26" t="str">
        <f>IF(OR(E1210="",E1210="!!!",F1210="NEW"),"",INDEX(B1209:B$2,-1+SUMPRODUCT(MAX(ROW(E1209:E$2)*(E1210=E1209:E$2)))))</f>
        <v> </v>
      </c>
      <c r="J1210" s="26" t="str">
        <f>IF(OR(E1210="",E1210="!!!",F1210="NEW"),"",COUNTBLANK(OFFSET(A$1,,,SUMPRODUCT(MAX(ROW(E$2:E1210)*(E1210=E$2:E1210)))))-COUNTBLANK(OFFSET(A$1,,,SUMPRODUCT(MAX(ROW(E$1:E1209)*(E2=E$1:E1209))))))</f>
        <v> </v>
      </c>
      <c r="K1210" s="26" t="str">
        <f>IF(OR(E1210="",E1210="!!!",F1210="NEW"),"",INDEX(J$1:J1209,SUMPRODUCT(MAX(ROW(E$1:E1209)*(E1210=E$1:E1209)))))</f>
        <v> </v>
      </c>
      <c r="L1210" s="27"/>
    </row>
    <row r="1211" spans="1:12">
      <c r="A1211" s="20" t="s">
        <v>1061</v>
      </c>
      <c r="E1211" s="22">
        <f>IF(D1211="?OLD","!!!","")</f>
        <v/>
      </c>
      <c r="F1211" s="23" t="str">
        <f>IF(OR(E1211="",E1211="!!!"),"",IF(NOT(ISNA(VLOOKUP(E1211,E$1:E1210,1,FALSE()))),"OLD",IF(AND(E1211&lt;&gt;"",E1211&lt;&gt;"!!!"),"NEW","")))</f>
        <v> </v>
      </c>
      <c r="G1211" s="24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5" t="str">
        <f>IF(J1211&lt;&gt;1,"",IF(I1211="SBJ","CB","?"))</f>
        <v> </v>
      </c>
      <c r="I1211" s="26" t="str">
        <f>IF(OR(E1211="",E1211="!!!",F1211="NEW"),"",INDEX(B1210:B$2,-1+SUMPRODUCT(MAX(ROW(E1210:E$2)*(E1211=E1210:E$2)))))</f>
        <v> </v>
      </c>
      <c r="J1211" s="26" t="str">
        <f>IF(OR(E1211="",E1211="!!!",F1211="NEW"),"",COUNTBLANK(OFFSET(A$1,,,SUMPRODUCT(MAX(ROW(E$2:E1211)*(E1211=E$2:E1211)))))-COUNTBLANK(OFFSET(A$1,,,SUMPRODUCT(MAX(ROW(E$1:E1210)*(E2=E$1:E1210))))))</f>
        <v> </v>
      </c>
      <c r="K1211" s="26" t="str">
        <f>IF(OR(E1211="",E1211="!!!",F1211="NEW"),"",INDEX(J$1:J1210,SUMPRODUCT(MAX(ROW(E$1:E1210)*(E1211=E$1:E1210)))))</f>
        <v> </v>
      </c>
      <c r="L1211" s="27"/>
    </row>
    <row r="1212" spans="1:12">
      <c r="A1212" s="20" t="s">
        <v>453</v>
      </c>
      <c r="E1212" s="22">
        <f>IF(D1212="?OLD","!!!","")</f>
        <v/>
      </c>
      <c r="F1212" s="23" t="str">
        <f>IF(OR(E1212="",E1212="!!!"),"",IF(NOT(ISNA(VLOOKUP(E1212,E$1:E1211,1,FALSE()))),"OLD",IF(AND(E1212&lt;&gt;"",E1212&lt;&gt;"!!!"),"NEW","")))</f>
        <v> </v>
      </c>
      <c r="G1212" s="24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5" t="str">
        <f>IF(J1212&lt;&gt;1,"",IF(I1212="SBJ","CB","?"))</f>
        <v> </v>
      </c>
      <c r="I1212" s="26" t="str">
        <f>IF(OR(E1212="",E1212="!!!",F1212="NEW"),"",INDEX(B1211:B$2,-1+SUMPRODUCT(MAX(ROW(E1211:E$2)*(E1212=E1211:E$2)))))</f>
        <v> </v>
      </c>
      <c r="J1212" s="26" t="str">
        <f>IF(OR(E1212="",E1212="!!!",F1212="NEW"),"",COUNTBLANK(OFFSET(A$1,,,SUMPRODUCT(MAX(ROW(E$2:E1212)*(E1212=E$2:E1212)))))-COUNTBLANK(OFFSET(A$1,,,SUMPRODUCT(MAX(ROW(E$1:E1211)*(E2=E$1:E1211))))))</f>
        <v> </v>
      </c>
      <c r="K1212" s="26" t="str">
        <f>IF(OR(E1212="",E1212="!!!",F1212="NEW"),"",INDEX(J$1:J1211,SUMPRODUCT(MAX(ROW(E$1:E1211)*(E1212=E$1:E1211)))))</f>
        <v> </v>
      </c>
      <c r="L1212" s="27"/>
    </row>
    <row r="1213" spans="1:12">
      <c r="A1213" s="20" t="s">
        <v>1062</v>
      </c>
      <c r="B1213" s="21" t="s">
        <v>470</v>
      </c>
      <c r="C1213" s="21" t="s">
        <v>481</v>
      </c>
      <c r="E1213" s="22">
        <f>IF(D1213="?OLD","!!!","")</f>
        <v/>
      </c>
      <c r="F1213" s="23" t="str">
        <f>IF(OR(E1213="",E1213="!!!"),"",IF(NOT(ISNA(VLOOKUP(E1213,E$1:E1212,1,FALSE()))),"OLD",IF(AND(E1213&lt;&gt;"",E1213&lt;&gt;"!!!"),"NEW","")))</f>
        <v> </v>
      </c>
      <c r="G1213" s="24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5" t="str">
        <f>IF(J1213&lt;&gt;1,"",IF(I1213="SBJ","CB","?"))</f>
        <v> </v>
      </c>
      <c r="I1213" s="26" t="str">
        <f>IF(OR(E1213="",E1213="!!!",F1213="NEW"),"",INDEX(B1212:B$2,-1+SUMPRODUCT(MAX(ROW(E1212:E$2)*(E1213=E1212:E$2)))))</f>
        <v> </v>
      </c>
      <c r="J1213" s="26" t="str">
        <f>IF(OR(E1213="",E1213="!!!",F1213="NEW"),"",COUNTBLANK(OFFSET(A$1,,,SUMPRODUCT(MAX(ROW(E$2:E1213)*(E1213=E$2:E1213)))))-COUNTBLANK(OFFSET(A$1,,,SUMPRODUCT(MAX(ROW(E$1:E1212)*(E2=E$1:E1212))))))</f>
        <v> </v>
      </c>
      <c r="K1213" s="26" t="str">
        <f>IF(OR(E1213="",E1213="!!!",F1213="NEW"),"",INDEX(J$1:J1212,SUMPRODUCT(MAX(ROW(E$1:E1212)*(E1213=E$1:E1212)))))</f>
        <v> </v>
      </c>
      <c r="L1213" s="27"/>
    </row>
    <row r="1214" spans="1:12">
      <c r="A1214" s="20" t="s">
        <v>1063</v>
      </c>
      <c r="E1214" s="22">
        <f>IF(D1214="?OLD","!!!","")</f>
        <v/>
      </c>
      <c r="F1214" s="23" t="str">
        <f>IF(OR(E1214="",E1214="!!!"),"",IF(NOT(ISNA(VLOOKUP(E1214,E$1:E1213,1,FALSE()))),"OLD",IF(AND(E1214&lt;&gt;"",E1214&lt;&gt;"!!!"),"NEW","")))</f>
        <v> </v>
      </c>
      <c r="G1214" s="24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5" t="str">
        <f>IF(J1214&lt;&gt;1,"",IF(I1214="SBJ","CB","?"))</f>
        <v> </v>
      </c>
      <c r="I1214" s="26" t="str">
        <f>IF(OR(E1214="",E1214="!!!",F1214="NEW"),"",INDEX(B1213:B$2,-1+SUMPRODUCT(MAX(ROW(E1213:E$2)*(E1214=E1213:E$2)))))</f>
        <v> </v>
      </c>
      <c r="J1214" s="26" t="str">
        <f>IF(OR(E1214="",E1214="!!!",F1214="NEW"),"",COUNTBLANK(OFFSET(A$1,,,SUMPRODUCT(MAX(ROW(E$2:E1214)*(E1214=E$2:E1214)))))-COUNTBLANK(OFFSET(A$1,,,SUMPRODUCT(MAX(ROW(E$1:E1213)*(E2=E$1:E1213))))))</f>
        <v> </v>
      </c>
      <c r="K1214" s="26" t="str">
        <f>IF(OR(E1214="",E1214="!!!",F1214="NEW"),"",INDEX(J$1:J1213,SUMPRODUCT(MAX(ROW(E$1:E1213)*(E1214=E$1:E1213)))))</f>
        <v> </v>
      </c>
      <c r="L1214" s="27"/>
    </row>
    <row r="1215" spans="1:12">
      <c r="A1215" s="20" t="s">
        <v>1064</v>
      </c>
      <c r="B1215" s="21" t="s">
        <v>432</v>
      </c>
      <c r="C1215" s="21" t="s">
        <v>520</v>
      </c>
      <c r="D1215" s="21" t="s">
        <v>424</v>
      </c>
      <c r="E1215" s="22">
        <f>IF(D1215="?OLD","!!!","")</f>
        <v/>
      </c>
      <c r="F1215" s="23" t="str">
        <f>IF(OR(E1215="",E1215="!!!"),"",IF(NOT(ISNA(VLOOKUP(E1215,E$1:E1214,1,FALSE()))),"OLD",IF(AND(E1215&lt;&gt;"",E1215&lt;&gt;"!!!"),"NEW","")))</f>
        <v> </v>
      </c>
      <c r="G1215" s="24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5" t="str">
        <f>IF(J1215&lt;&gt;1,"",IF(I1215="SBJ","CB","?"))</f>
        <v> </v>
      </c>
      <c r="I1215" s="26" t="str">
        <f>IF(OR(E1215="",E1215="!!!",F1215="NEW"),"",INDEX(B1214:B$2,-1+SUMPRODUCT(MAX(ROW(E1214:E$2)*(E1215=E1214:E$2)))))</f>
        <v> </v>
      </c>
      <c r="J1215" s="26" t="str">
        <f>IF(OR(E1215="",E1215="!!!",F1215="NEW"),"",COUNTBLANK(OFFSET(A$1,,,SUMPRODUCT(MAX(ROW(E$2:E1215)*(E1215=E$2:E1215)))))-COUNTBLANK(OFFSET(A$1,,,SUMPRODUCT(MAX(ROW(E$1:E1214)*(E2=E$1:E1214))))))</f>
        <v> </v>
      </c>
      <c r="K1215" s="26" t="str">
        <f>IF(OR(E1215="",E1215="!!!",F1215="NEW"),"",INDEX(J$1:J1214,SUMPRODUCT(MAX(ROW(E$1:E1214)*(E1215=E$1:E1214)))))</f>
        <v> </v>
      </c>
      <c r="L1215" s="27"/>
    </row>
    <row r="1216" spans="1:12">
      <c r="A1216" s="20" t="s">
        <v>1065</v>
      </c>
      <c r="B1216" s="21" t="s">
        <v>536</v>
      </c>
      <c r="E1216" s="22">
        <f>IF(D1216="?OLD","!!!","")</f>
        <v/>
      </c>
      <c r="F1216" s="23" t="str">
        <f>IF(OR(E1216="",E1216="!!!"),"",IF(NOT(ISNA(VLOOKUP(E1216,E$1:E1215,1,FALSE()))),"OLD",IF(AND(E1216&lt;&gt;"",E1216&lt;&gt;"!!!"),"NEW","")))</f>
        <v> </v>
      </c>
      <c r="G1216" s="24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5" t="str">
        <f>IF(J1216&lt;&gt;1,"",IF(I1216="SBJ","CB","?"))</f>
        <v> </v>
      </c>
      <c r="I1216" s="26" t="str">
        <f>IF(OR(E1216="",E1216="!!!",F1216="NEW"),"",INDEX(B1215:B$2,-1+SUMPRODUCT(MAX(ROW(E1215:E$2)*(E1216=E1215:E$2)))))</f>
        <v> </v>
      </c>
      <c r="J1216" s="26" t="str">
        <f>IF(OR(E1216="",E1216="!!!",F1216="NEW"),"",COUNTBLANK(OFFSET(A$1,,,SUMPRODUCT(MAX(ROW(E$2:E1216)*(E1216=E$2:E1216)))))-COUNTBLANK(OFFSET(A$1,,,SUMPRODUCT(MAX(ROW(E$1:E1215)*(E2=E$1:E1215))))))</f>
        <v> </v>
      </c>
      <c r="K1216" s="26" t="str">
        <f>IF(OR(E1216="",E1216="!!!",F1216="NEW"),"",INDEX(J$1:J1215,SUMPRODUCT(MAX(ROW(E$1:E1215)*(E1216=E$1:E1215)))))</f>
        <v> </v>
      </c>
      <c r="L1216" s="27"/>
    </row>
    <row r="1217" spans="1:12">
      <c r="A1217" s="20" t="s">
        <v>438</v>
      </c>
      <c r="E1217" s="22">
        <f>IF(D1217="?OLD","!!!","")</f>
        <v/>
      </c>
      <c r="F1217" s="23" t="str">
        <f>IF(OR(E1217="",E1217="!!!"),"",IF(NOT(ISNA(VLOOKUP(E1217,E$1:E1216,1,FALSE()))),"OLD",IF(AND(E1217&lt;&gt;"",E1217&lt;&gt;"!!!"),"NEW","")))</f>
        <v> </v>
      </c>
      <c r="G1217" s="24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5" t="str">
        <f>IF(J1217&lt;&gt;1,"",IF(I1217="SBJ","CB","?"))</f>
        <v> </v>
      </c>
      <c r="I1217" s="26" t="str">
        <f>IF(OR(E1217="",E1217="!!!",F1217="NEW"),"",INDEX(B1216:B$2,-1+SUMPRODUCT(MAX(ROW(E1216:E$2)*(E1217=E1216:E$2)))))</f>
        <v> </v>
      </c>
      <c r="J1217" s="26" t="str">
        <f>IF(OR(E1217="",E1217="!!!",F1217="NEW"),"",COUNTBLANK(OFFSET(A$1,,,SUMPRODUCT(MAX(ROW(E$2:E1217)*(E1217=E$2:E1217)))))-COUNTBLANK(OFFSET(A$1,,,SUMPRODUCT(MAX(ROW(E$1:E1216)*(E2=E$1:E1216))))))</f>
        <v> </v>
      </c>
      <c r="K1217" s="26" t="str">
        <f>IF(OR(E1217="",E1217="!!!",F1217="NEW"),"",INDEX(J$1:J1216,SUMPRODUCT(MAX(ROW(E$1:E1216)*(E1217=E$1:E1216)))))</f>
        <v> </v>
      </c>
      <c r="L1217" s="27"/>
    </row>
    <row r="1218" spans="1:12">
      <c r="A1218" s="20"/>
    </row>
    <row r="1219" spans="1:12">
      <c r="A1219" s="20" t="s">
        <v>1066</v>
      </c>
    </row>
    <row r="1220" spans="1:12">
      <c r="A1220" s="20" t="s">
        <v>1067</v>
      </c>
      <c r="B1220" s="21" t="s">
        <v>422</v>
      </c>
      <c r="C1220" s="21" t="s">
        <v>423</v>
      </c>
      <c r="D1220" s="21" t="s">
        <v>424</v>
      </c>
      <c r="E1220" s="22">
        <f>IF(D1220="?OLD","!!!","")</f>
        <v/>
      </c>
      <c r="F1220" s="23" t="str">
        <f>IF(OR(E1220="",E1220="!!!"),"",IF(NOT(ISNA(VLOOKUP(E1220,E$1:E1219,1,FALSE()))),"OLD",IF(AND(E1220&lt;&gt;"",E1220&lt;&gt;"!!!"),"NEW","")))</f>
        <v> </v>
      </c>
      <c r="G1220" s="24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5" t="str">
        <f>IF(J1220&lt;&gt;1,"",IF(I1220="SBJ","CB","?"))</f>
        <v> </v>
      </c>
      <c r="I1220" s="26" t="str">
        <f>IF(OR(E1220="",E1220="!!!",F1220="NEW"),"",INDEX(B1219:B$2,-1+SUMPRODUCT(MAX(ROW(E1219:E$2)*(E1220=E1219:E$2)))))</f>
        <v> </v>
      </c>
      <c r="J1220" s="26" t="str">
        <f>IF(OR(E1220="",E1220="!!!",F1220="NEW"),"",COUNTBLANK(OFFSET(A$1,,,SUMPRODUCT(MAX(ROW(E$2:E1220)*(E1220=E$2:E1220)))))-COUNTBLANK(OFFSET(A$1,,,SUMPRODUCT(MAX(ROW(E$1:E1219)*(E2=E$1:E1219))))))</f>
        <v> </v>
      </c>
      <c r="K1220" s="26" t="str">
        <f>IF(OR(E1220="",E1220="!!!",F1220="NEW"),"",INDEX(J$1:J1219,SUMPRODUCT(MAX(ROW(E$1:E1219)*(E1220=E$1:E1219)))))</f>
        <v> </v>
      </c>
      <c r="L1220" s="27"/>
    </row>
    <row r="1221" spans="1:12">
      <c r="A1221" s="20" t="s">
        <v>1068</v>
      </c>
      <c r="E1221" s="22">
        <f>IF(D1221="?OLD","!!!","")</f>
        <v/>
      </c>
      <c r="F1221" s="23" t="str">
        <f>IF(OR(E1221="",E1221="!!!"),"",IF(NOT(ISNA(VLOOKUP(E1221,E$1:E1220,1,FALSE()))),"OLD",IF(AND(E1221&lt;&gt;"",E1221&lt;&gt;"!!!"),"NEW","")))</f>
        <v> </v>
      </c>
      <c r="G1221" s="24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5" t="str">
        <f>IF(J1221&lt;&gt;1,"",IF(I1221="SBJ","CB","?"))</f>
        <v> </v>
      </c>
      <c r="I1221" s="26" t="str">
        <f>IF(OR(E1221="",E1221="!!!",F1221="NEW"),"",INDEX(B1220:B$2,-1+SUMPRODUCT(MAX(ROW(E1220:E$2)*(E1221=E1220:E$2)))))</f>
        <v> </v>
      </c>
      <c r="J1221" s="26" t="str">
        <f>IF(OR(E1221="",E1221="!!!",F1221="NEW"),"",COUNTBLANK(OFFSET(A$1,,,SUMPRODUCT(MAX(ROW(E$2:E1221)*(E1221=E$2:E1221)))))-COUNTBLANK(OFFSET(A$1,,,SUMPRODUCT(MAX(ROW(E$1:E1220)*(E2=E$1:E1220))))))</f>
        <v> </v>
      </c>
      <c r="K1221" s="26" t="str">
        <f>IF(OR(E1221="",E1221="!!!",F1221="NEW"),"",INDEX(J$1:J1220,SUMPRODUCT(MAX(ROW(E$1:E1220)*(E1221=E$1:E1220)))))</f>
        <v> </v>
      </c>
      <c r="L1221" s="27"/>
    </row>
    <row r="1222" spans="1:12">
      <c r="A1222" s="20" t="s">
        <v>465</v>
      </c>
      <c r="E1222" s="22">
        <f>IF(D1222="?OLD","!!!","")</f>
        <v/>
      </c>
      <c r="F1222" s="23" t="str">
        <f>IF(OR(E1222="",E1222="!!!"),"",IF(NOT(ISNA(VLOOKUP(E1222,E$1:E1221,1,FALSE()))),"OLD",IF(AND(E1222&lt;&gt;"",E1222&lt;&gt;"!!!"),"NEW","")))</f>
        <v> </v>
      </c>
      <c r="G1222" s="24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5" t="str">
        <f>IF(J1222&lt;&gt;1,"",IF(I1222="SBJ","CB","?"))</f>
        <v> </v>
      </c>
      <c r="I1222" s="26" t="str">
        <f>IF(OR(E1222="",E1222="!!!",F1222="NEW"),"",INDEX(B1221:B$2,-1+SUMPRODUCT(MAX(ROW(E1221:E$2)*(E1222=E1221:E$2)))))</f>
        <v> </v>
      </c>
      <c r="J1222" s="26" t="str">
        <f>IF(OR(E1222="",E1222="!!!",F1222="NEW"),"",COUNTBLANK(OFFSET(A$1,,,SUMPRODUCT(MAX(ROW(E$2:E1222)*(E1222=E$2:E1222)))))-COUNTBLANK(OFFSET(A$1,,,SUMPRODUCT(MAX(ROW(E$1:E1221)*(E2=E$1:E1221))))))</f>
        <v> </v>
      </c>
      <c r="K1222" s="26" t="str">
        <f>IF(OR(E1222="",E1222="!!!",F1222="NEW"),"",INDEX(J$1:J1221,SUMPRODUCT(MAX(ROW(E$1:E1221)*(E1222=E$1:E1221)))))</f>
        <v> </v>
      </c>
      <c r="L1222" s="27"/>
    </row>
    <row r="1223" spans="1:12">
      <c r="A1223" s="20" t="s">
        <v>1069</v>
      </c>
      <c r="E1223" s="22">
        <f>IF(D1223="?OLD","!!!","")</f>
        <v/>
      </c>
      <c r="F1223" s="23" t="str">
        <f>IF(OR(E1223="",E1223="!!!"),"",IF(NOT(ISNA(VLOOKUP(E1223,E$1:E1222,1,FALSE()))),"OLD",IF(AND(E1223&lt;&gt;"",E1223&lt;&gt;"!!!"),"NEW","")))</f>
        <v> </v>
      </c>
      <c r="G1223" s="24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5" t="str">
        <f>IF(J1223&lt;&gt;1,"",IF(I1223="SBJ","CB","?"))</f>
        <v> </v>
      </c>
      <c r="I1223" s="26" t="str">
        <f>IF(OR(E1223="",E1223="!!!",F1223="NEW"),"",INDEX(B1222:B$2,-1+SUMPRODUCT(MAX(ROW(E1222:E$2)*(E1223=E1222:E$2)))))</f>
        <v> </v>
      </c>
      <c r="J1223" s="26" t="str">
        <f>IF(OR(E1223="",E1223="!!!",F1223="NEW"),"",COUNTBLANK(OFFSET(A$1,,,SUMPRODUCT(MAX(ROW(E$2:E1223)*(E1223=E$2:E1223)))))-COUNTBLANK(OFFSET(A$1,,,SUMPRODUCT(MAX(ROW(E$1:E1222)*(E2=E$1:E1222))))))</f>
        <v> </v>
      </c>
      <c r="K1223" s="26" t="str">
        <f>IF(OR(E1223="",E1223="!!!",F1223="NEW"),"",INDEX(J$1:J1222,SUMPRODUCT(MAX(ROW(E$1:E1222)*(E1223=E$1:E1222)))))</f>
        <v> </v>
      </c>
      <c r="L1223" s="27"/>
    </row>
    <row r="1224" spans="1:12">
      <c r="A1224" s="20" t="s">
        <v>632</v>
      </c>
      <c r="E1224" s="22">
        <f>IF(D1224="?OLD","!!!","")</f>
        <v/>
      </c>
      <c r="F1224" s="23" t="str">
        <f>IF(OR(E1224="",E1224="!!!"),"",IF(NOT(ISNA(VLOOKUP(E1224,E$1:E1223,1,FALSE()))),"OLD",IF(AND(E1224&lt;&gt;"",E1224&lt;&gt;"!!!"),"NEW","")))</f>
        <v> </v>
      </c>
      <c r="G1224" s="24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5" t="str">
        <f>IF(J1224&lt;&gt;1,"",IF(I1224="SBJ","CB","?"))</f>
        <v> </v>
      </c>
      <c r="I1224" s="26" t="str">
        <f>IF(OR(E1224="",E1224="!!!",F1224="NEW"),"",INDEX(B1223:B$2,-1+SUMPRODUCT(MAX(ROW(E1223:E$2)*(E1224=E1223:E$2)))))</f>
        <v> </v>
      </c>
      <c r="J1224" s="26" t="str">
        <f>IF(OR(E1224="",E1224="!!!",F1224="NEW"),"",COUNTBLANK(OFFSET(A$1,,,SUMPRODUCT(MAX(ROW(E$2:E1224)*(E1224=E$2:E1224)))))-COUNTBLANK(OFFSET(A$1,,,SUMPRODUCT(MAX(ROW(E$1:E1223)*(E2=E$1:E1223))))))</f>
        <v> </v>
      </c>
      <c r="K1224" s="26" t="str">
        <f>IF(OR(E1224="",E1224="!!!",F1224="NEW"),"",INDEX(J$1:J1223,SUMPRODUCT(MAX(ROW(E$1:E1223)*(E1224=E$1:E1223)))))</f>
        <v> </v>
      </c>
      <c r="L1224" s="27"/>
    </row>
    <row r="1225" spans="1:12">
      <c r="A1225" s="20" t="s">
        <v>465</v>
      </c>
      <c r="E1225" s="22">
        <f>IF(D1225="?OLD","!!!","")</f>
        <v/>
      </c>
      <c r="F1225" s="23" t="str">
        <f>IF(OR(E1225="",E1225="!!!"),"",IF(NOT(ISNA(VLOOKUP(E1225,E$1:E1224,1,FALSE()))),"OLD",IF(AND(E1225&lt;&gt;"",E1225&lt;&gt;"!!!"),"NEW","")))</f>
        <v> </v>
      </c>
      <c r="G1225" s="24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5" t="str">
        <f>IF(J1225&lt;&gt;1,"",IF(I1225="SBJ","CB","?"))</f>
        <v> </v>
      </c>
      <c r="I1225" s="26" t="str">
        <f>IF(OR(E1225="",E1225="!!!",F1225="NEW"),"",INDEX(B1224:B$2,-1+SUMPRODUCT(MAX(ROW(E1224:E$2)*(E1225=E1224:E$2)))))</f>
        <v> </v>
      </c>
      <c r="J1225" s="26" t="str">
        <f>IF(OR(E1225="",E1225="!!!",F1225="NEW"),"",COUNTBLANK(OFFSET(A$1,,,SUMPRODUCT(MAX(ROW(E$2:E1225)*(E1225=E$2:E1225)))))-COUNTBLANK(OFFSET(A$1,,,SUMPRODUCT(MAX(ROW(E$1:E1224)*(E2=E$1:E1224))))))</f>
        <v> </v>
      </c>
      <c r="K1225" s="26" t="str">
        <f>IF(OR(E1225="",E1225="!!!",F1225="NEW"),"",INDEX(J$1:J1224,SUMPRODUCT(MAX(ROW(E$1:E1224)*(E1225=E$1:E1224)))))</f>
        <v> </v>
      </c>
      <c r="L1225" s="27"/>
    </row>
    <row r="1226" spans="1:12">
      <c r="A1226" s="20" t="s">
        <v>1070</v>
      </c>
      <c r="B1226" s="21" t="s">
        <v>659</v>
      </c>
      <c r="C1226" s="21" t="s">
        <v>520</v>
      </c>
      <c r="D1226" s="21" t="s">
        <v>424</v>
      </c>
      <c r="E1226" s="22">
        <f>IF(D1226="?OLD","!!!","")</f>
        <v/>
      </c>
      <c r="F1226" s="23" t="str">
        <f>IF(OR(E1226="",E1226="!!!"),"",IF(NOT(ISNA(VLOOKUP(E1226,E$1:E1225,1,FALSE()))),"OLD",IF(AND(E1226&lt;&gt;"",E1226&lt;&gt;"!!!"),"NEW","")))</f>
        <v> </v>
      </c>
      <c r="G1226" s="24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5" t="str">
        <f>IF(J1226&lt;&gt;1,"",IF(I1226="SBJ","CB","?"))</f>
        <v> </v>
      </c>
      <c r="I1226" s="26" t="str">
        <f>IF(OR(E1226="",E1226="!!!",F1226="NEW"),"",INDEX(B1225:B$2,-1+SUMPRODUCT(MAX(ROW(E1225:E$2)*(E1226=E1225:E$2)))))</f>
        <v> </v>
      </c>
      <c r="J1226" s="26" t="str">
        <f>IF(OR(E1226="",E1226="!!!",F1226="NEW"),"",COUNTBLANK(OFFSET(A$1,,,SUMPRODUCT(MAX(ROW(E$2:E1226)*(E1226=E$2:E1226)))))-COUNTBLANK(OFFSET(A$1,,,SUMPRODUCT(MAX(ROW(E$1:E1225)*(E2=E$1:E1225))))))</f>
        <v> </v>
      </c>
      <c r="K1226" s="26" t="str">
        <f>IF(OR(E1226="",E1226="!!!",F1226="NEW"),"",INDEX(J$1:J1225,SUMPRODUCT(MAX(ROW(E$1:E1225)*(E1226=E$1:E1225)))))</f>
        <v> </v>
      </c>
      <c r="L1226" s="27"/>
    </row>
    <row r="1227" spans="1:12">
      <c r="A1227" s="20" t="s">
        <v>438</v>
      </c>
      <c r="E1227" s="22">
        <f>IF(D1227="?OLD","!!!","")</f>
        <v/>
      </c>
      <c r="F1227" s="23" t="str">
        <f>IF(OR(E1227="",E1227="!!!"),"",IF(NOT(ISNA(VLOOKUP(E1227,E$1:E1226,1,FALSE()))),"OLD",IF(AND(E1227&lt;&gt;"",E1227&lt;&gt;"!!!"),"NEW","")))</f>
        <v> </v>
      </c>
      <c r="G1227" s="24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5" t="str">
        <f>IF(J1227&lt;&gt;1,"",IF(I1227="SBJ","CB","?"))</f>
        <v> </v>
      </c>
      <c r="I1227" s="26" t="str">
        <f>IF(OR(E1227="",E1227="!!!",F1227="NEW"),"",INDEX(B1226:B$2,-1+SUMPRODUCT(MAX(ROW(E1226:E$2)*(E1227=E1226:E$2)))))</f>
        <v> </v>
      </c>
      <c r="J1227" s="26" t="str">
        <f>IF(OR(E1227="",E1227="!!!",F1227="NEW"),"",COUNTBLANK(OFFSET(A$1,,,SUMPRODUCT(MAX(ROW(E$2:E1227)*(E1227=E$2:E1227)))))-COUNTBLANK(OFFSET(A$1,,,SUMPRODUCT(MAX(ROW(E$1:E1226)*(E2=E$1:E1226))))))</f>
        <v> </v>
      </c>
      <c r="K1227" s="26" t="str">
        <f>IF(OR(E1227="",E1227="!!!",F1227="NEW"),"",INDEX(J$1:J1226,SUMPRODUCT(MAX(ROW(E$1:E1226)*(E1227=E$1:E1226)))))</f>
        <v> </v>
      </c>
      <c r="L1227" s="27"/>
    </row>
    <row r="1228" spans="1:12">
      <c r="A1228" s="20"/>
    </row>
    <row r="1229" spans="1:12">
      <c r="A1229" s="20" t="s">
        <v>1071</v>
      </c>
    </row>
    <row r="1230" spans="1:12">
      <c r="A1230" s="20" t="s">
        <v>1072</v>
      </c>
      <c r="E1230" s="22">
        <f>IF(D1230="?OLD","!!!","")</f>
        <v/>
      </c>
      <c r="F1230" s="23" t="str">
        <f>IF(OR(E1230="",E1230="!!!"),"",IF(NOT(ISNA(VLOOKUP(E1230,E$1:E1229,1,FALSE()))),"OLD",IF(AND(E1230&lt;&gt;"",E1230&lt;&gt;"!!!"),"NEW","")))</f>
        <v> </v>
      </c>
      <c r="G1230" s="24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5" t="str">
        <f>IF(J1230&lt;&gt;1,"",IF(I1230="SBJ","CB","?"))</f>
        <v> </v>
      </c>
      <c r="I1230" s="26" t="str">
        <f>IF(OR(E1230="",E1230="!!!",F1230="NEW"),"",INDEX(B1229:B$2,-1+SUMPRODUCT(MAX(ROW(E1229:E$2)*(E1230=E1229:E$2)))))</f>
        <v> </v>
      </c>
      <c r="J1230" s="26" t="str">
        <f>IF(OR(E1230="",E1230="!!!",F1230="NEW"),"",COUNTBLANK(OFFSET(A$1,,,SUMPRODUCT(MAX(ROW(E$2:E1230)*(E1230=E$2:E1230)))))-COUNTBLANK(OFFSET(A$1,,,SUMPRODUCT(MAX(ROW(E$1:E1229)*(E2=E$1:E1229))))))</f>
        <v> </v>
      </c>
      <c r="K1230" s="26" t="str">
        <f>IF(OR(E1230="",E1230="!!!",F1230="NEW"),"",INDEX(J$1:J1229,SUMPRODUCT(MAX(ROW(E$1:E1229)*(E1230=E$1:E1229)))))</f>
        <v> </v>
      </c>
      <c r="L1230" s="27"/>
    </row>
    <row r="1231" spans="1:12">
      <c r="A1231" s="20" t="s">
        <v>1073</v>
      </c>
      <c r="B1231" s="21" t="s">
        <v>422</v>
      </c>
      <c r="E1231" s="22">
        <f>IF(D1231="?OLD","!!!","")</f>
        <v/>
      </c>
      <c r="F1231" s="23" t="str">
        <f>IF(OR(E1231="",E1231="!!!"),"",IF(NOT(ISNA(VLOOKUP(E1231,E$1:E1230,1,FALSE()))),"OLD",IF(AND(E1231&lt;&gt;"",E1231&lt;&gt;"!!!"),"NEW","")))</f>
        <v> </v>
      </c>
      <c r="G1231" s="24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5" t="str">
        <f>IF(J1231&lt;&gt;1,"",IF(I1231="SBJ","CB","?"))</f>
        <v> </v>
      </c>
      <c r="I1231" s="26" t="str">
        <f>IF(OR(E1231="",E1231="!!!",F1231="NEW"),"",INDEX(B1230:B$2,-1+SUMPRODUCT(MAX(ROW(E1230:E$2)*(E1231=E1230:E$2)))))</f>
        <v> </v>
      </c>
      <c r="J1231" s="26" t="str">
        <f>IF(OR(E1231="",E1231="!!!",F1231="NEW"),"",COUNTBLANK(OFFSET(A$1,,,SUMPRODUCT(MAX(ROW(E$2:E1231)*(E1231=E$2:E1231)))))-COUNTBLANK(OFFSET(A$1,,,SUMPRODUCT(MAX(ROW(E$1:E1230)*(E2=E$1:E1230))))))</f>
        <v> </v>
      </c>
      <c r="K1231" s="26" t="str">
        <f>IF(OR(E1231="",E1231="!!!",F1231="NEW"),"",INDEX(J$1:J1230,SUMPRODUCT(MAX(ROW(E$1:E1230)*(E1231=E$1:E1230)))))</f>
        <v> </v>
      </c>
      <c r="L1231" s="27"/>
    </row>
    <row r="1232" spans="1:12">
      <c r="A1232" s="20" t="s">
        <v>1064</v>
      </c>
      <c r="B1232" s="21" t="s">
        <v>659</v>
      </c>
      <c r="C1232" s="21" t="s">
        <v>520</v>
      </c>
      <c r="D1232" s="21" t="s">
        <v>424</v>
      </c>
      <c r="E1232" s="22">
        <f>IF(D1232="?OLD","!!!","")</f>
        <v/>
      </c>
      <c r="F1232" s="23" t="str">
        <f>IF(OR(E1232="",E1232="!!!"),"",IF(NOT(ISNA(VLOOKUP(E1232,E$1:E1231,1,FALSE()))),"OLD",IF(AND(E1232&lt;&gt;"",E1232&lt;&gt;"!!!"),"NEW","")))</f>
        <v> </v>
      </c>
      <c r="G1232" s="24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5" t="str">
        <f>IF(J1232&lt;&gt;1,"",IF(I1232="SBJ","CB","?"))</f>
        <v> </v>
      </c>
      <c r="I1232" s="26" t="str">
        <f>IF(OR(E1232="",E1232="!!!",F1232="NEW"),"",INDEX(B1231:B$2,-1+SUMPRODUCT(MAX(ROW(E1231:E$2)*(E1232=E1231:E$2)))))</f>
        <v> </v>
      </c>
      <c r="J1232" s="26" t="str">
        <f>IF(OR(E1232="",E1232="!!!",F1232="NEW"),"",COUNTBLANK(OFFSET(A$1,,,SUMPRODUCT(MAX(ROW(E$2:E1232)*(E1232=E$2:E1232)))))-COUNTBLANK(OFFSET(A$1,,,SUMPRODUCT(MAX(ROW(E$1:E1231)*(E2=E$1:E1231))))))</f>
        <v> </v>
      </c>
      <c r="K1232" s="26" t="str">
        <f>IF(OR(E1232="",E1232="!!!",F1232="NEW"),"",INDEX(J$1:J1231,SUMPRODUCT(MAX(ROW(E$1:E1231)*(E1232=E$1:E1231)))))</f>
        <v> </v>
      </c>
      <c r="L1232" s="27"/>
    </row>
    <row r="1233" spans="1:12">
      <c r="A1233" s="20" t="s">
        <v>1074</v>
      </c>
      <c r="E1233" s="22">
        <f>IF(D1233="?OLD","!!!","")</f>
        <v/>
      </c>
      <c r="F1233" s="23" t="str">
        <f>IF(OR(E1233="",E1233="!!!"),"",IF(NOT(ISNA(VLOOKUP(E1233,E$1:E1232,1,FALSE()))),"OLD",IF(AND(E1233&lt;&gt;"",E1233&lt;&gt;"!!!"),"NEW","")))</f>
        <v> </v>
      </c>
      <c r="G1233" s="24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5" t="str">
        <f>IF(J1233&lt;&gt;1,"",IF(I1233="SBJ","CB","?"))</f>
        <v> </v>
      </c>
      <c r="I1233" s="26" t="str">
        <f>IF(OR(E1233="",E1233="!!!",F1233="NEW"),"",INDEX(B1232:B$2,-1+SUMPRODUCT(MAX(ROW(E1232:E$2)*(E1233=E1232:E$2)))))</f>
        <v> </v>
      </c>
      <c r="J1233" s="26" t="str">
        <f>IF(OR(E1233="",E1233="!!!",F1233="NEW"),"",COUNTBLANK(OFFSET(A$1,,,SUMPRODUCT(MAX(ROW(E$2:E1233)*(E1233=E$2:E1233)))))-COUNTBLANK(OFFSET(A$1,,,SUMPRODUCT(MAX(ROW(E$1:E1232)*(E2=E$1:E1232))))))</f>
        <v> </v>
      </c>
      <c r="K1233" s="26" t="str">
        <f>IF(OR(E1233="",E1233="!!!",F1233="NEW"),"",INDEX(J$1:J1232,SUMPRODUCT(MAX(ROW(E$1:E1232)*(E1233=E$1:E1232)))))</f>
        <v> </v>
      </c>
      <c r="L1233" s="27"/>
    </row>
    <row r="1234" spans="1:12">
      <c r="A1234" s="20" t="s">
        <v>1075</v>
      </c>
      <c r="E1234" s="22">
        <f>IF(D1234="?OLD","!!!","")</f>
        <v/>
      </c>
      <c r="F1234" s="23" t="str">
        <f>IF(OR(E1234="",E1234="!!!"),"",IF(NOT(ISNA(VLOOKUP(E1234,E$1:E1233,1,FALSE()))),"OLD",IF(AND(E1234&lt;&gt;"",E1234&lt;&gt;"!!!"),"NEW","")))</f>
        <v> </v>
      </c>
      <c r="G1234" s="24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5" t="str">
        <f>IF(J1234&lt;&gt;1,"",IF(I1234="SBJ","CB","?"))</f>
        <v> </v>
      </c>
      <c r="I1234" s="26" t="str">
        <f>IF(OR(E1234="",E1234="!!!",F1234="NEW"),"",INDEX(B1233:B$2,-1+SUMPRODUCT(MAX(ROW(E1233:E$2)*(E1234=E1233:E$2)))))</f>
        <v> </v>
      </c>
      <c r="J1234" s="26" t="str">
        <f>IF(OR(E1234="",E1234="!!!",F1234="NEW"),"",COUNTBLANK(OFFSET(A$1,,,SUMPRODUCT(MAX(ROW(E$2:E1234)*(E1234=E$2:E1234)))))-COUNTBLANK(OFFSET(A$1,,,SUMPRODUCT(MAX(ROW(E$1:E1233)*(E2=E$1:E1233))))))</f>
        <v> </v>
      </c>
      <c r="K1234" s="26" t="str">
        <f>IF(OR(E1234="",E1234="!!!",F1234="NEW"),"",INDEX(J$1:J1233,SUMPRODUCT(MAX(ROW(E$1:E1233)*(E1234=E$1:E1233)))))</f>
        <v> </v>
      </c>
      <c r="L1234" s="27"/>
    </row>
    <row r="1235" spans="1:12">
      <c r="A1235" s="20" t="s">
        <v>453</v>
      </c>
      <c r="E1235" s="22">
        <f>IF(D1235="?OLD","!!!","")</f>
        <v/>
      </c>
      <c r="F1235" s="23" t="str">
        <f>IF(OR(E1235="",E1235="!!!"),"",IF(NOT(ISNA(VLOOKUP(E1235,E$1:E1234,1,FALSE()))),"OLD",IF(AND(E1235&lt;&gt;"",E1235&lt;&gt;"!!!"),"NEW","")))</f>
        <v> </v>
      </c>
      <c r="G1235" s="24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5" t="str">
        <f>IF(J1235&lt;&gt;1,"",IF(I1235="SBJ","CB","?"))</f>
        <v> </v>
      </c>
      <c r="I1235" s="26" t="str">
        <f>IF(OR(E1235="",E1235="!!!",F1235="NEW"),"",INDEX(B1234:B$2,-1+SUMPRODUCT(MAX(ROW(E1234:E$2)*(E1235=E1234:E$2)))))</f>
        <v> </v>
      </c>
      <c r="J1235" s="26" t="str">
        <f>IF(OR(E1235="",E1235="!!!",F1235="NEW"),"",COUNTBLANK(OFFSET(A$1,,,SUMPRODUCT(MAX(ROW(E$2:E1235)*(E1235=E$2:E1235)))))-COUNTBLANK(OFFSET(A$1,,,SUMPRODUCT(MAX(ROW(E$1:E1234)*(E2=E$1:E1234))))))</f>
        <v> </v>
      </c>
      <c r="K1235" s="26" t="str">
        <f>IF(OR(E1235="",E1235="!!!",F1235="NEW"),"",INDEX(J$1:J1234,SUMPRODUCT(MAX(ROW(E$1:E1234)*(E1235=E$1:E1234)))))</f>
        <v> </v>
      </c>
      <c r="L1235" s="27"/>
    </row>
    <row r="1236" spans="1:12">
      <c r="A1236" s="20" t="s">
        <v>459</v>
      </c>
      <c r="E1236" s="22">
        <f>IF(D1236="?OLD","!!!","")</f>
        <v/>
      </c>
      <c r="F1236" s="23" t="str">
        <f>IF(OR(E1236="",E1236="!!!"),"",IF(NOT(ISNA(VLOOKUP(E1236,E$1:E1235,1,FALSE()))),"OLD",IF(AND(E1236&lt;&gt;"",E1236&lt;&gt;"!!!"),"NEW","")))</f>
        <v> </v>
      </c>
      <c r="G1236" s="24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5" t="str">
        <f>IF(J1236&lt;&gt;1,"",IF(I1236="SBJ","CB","?"))</f>
        <v> </v>
      </c>
      <c r="I1236" s="26" t="str">
        <f>IF(OR(E1236="",E1236="!!!",F1236="NEW"),"",INDEX(B1235:B$2,-1+SUMPRODUCT(MAX(ROW(E1235:E$2)*(E1236=E1235:E$2)))))</f>
        <v> </v>
      </c>
      <c r="J1236" s="26" t="str">
        <f>IF(OR(E1236="",E1236="!!!",F1236="NEW"),"",COUNTBLANK(OFFSET(A$1,,,SUMPRODUCT(MAX(ROW(E$2:E1236)*(E1236=E$2:E1236)))))-COUNTBLANK(OFFSET(A$1,,,SUMPRODUCT(MAX(ROW(E$1:E1235)*(E2=E$1:E1235))))))</f>
        <v> </v>
      </c>
      <c r="K1236" s="26" t="str">
        <f>IF(OR(E1236="",E1236="!!!",F1236="NEW"),"",INDEX(J$1:J1235,SUMPRODUCT(MAX(ROW(E$1:E1235)*(E1236=E$1:E1235)))))</f>
        <v> </v>
      </c>
      <c r="L1236" s="27"/>
    </row>
    <row r="1237" spans="1:12">
      <c r="A1237" s="20" t="s">
        <v>355</v>
      </c>
      <c r="B1237" s="21" t="s">
        <v>556</v>
      </c>
      <c r="E1237" s="22">
        <f>IF(D1237="?OLD","!!!","")</f>
        <v/>
      </c>
      <c r="F1237" s="23" t="str">
        <f>IF(OR(E1237="",E1237="!!!"),"",IF(NOT(ISNA(VLOOKUP(E1237,E$1:E1236,1,FALSE()))),"OLD",IF(AND(E1237&lt;&gt;"",E1237&lt;&gt;"!!!"),"NEW","")))</f>
        <v> </v>
      </c>
      <c r="G1237" s="24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5" t="str">
        <f>IF(J1237&lt;&gt;1,"",IF(I1237="SBJ","CB","?"))</f>
        <v> </v>
      </c>
      <c r="I1237" s="26" t="str">
        <f>IF(OR(E1237="",E1237="!!!",F1237="NEW"),"",INDEX(B1236:B$2,-1+SUMPRODUCT(MAX(ROW(E1236:E$2)*(E1237=E1236:E$2)))))</f>
        <v> </v>
      </c>
      <c r="J1237" s="26" t="str">
        <f>IF(OR(E1237="",E1237="!!!",F1237="NEW"),"",COUNTBLANK(OFFSET(A$1,,,SUMPRODUCT(MAX(ROW(E$2:E1237)*(E1237=E$2:E1237)))))-COUNTBLANK(OFFSET(A$1,,,SUMPRODUCT(MAX(ROW(E$1:E1236)*(E2=E$1:E1236))))))</f>
        <v> </v>
      </c>
      <c r="K1237" s="26" t="str">
        <f>IF(OR(E1237="",E1237="!!!",F1237="NEW"),"",INDEX(J$1:J1236,SUMPRODUCT(MAX(ROW(E$1:E1236)*(E1237=E$1:E1236)))))</f>
        <v> </v>
      </c>
      <c r="L1237" s="27"/>
    </row>
    <row r="1238" spans="1:12">
      <c r="A1238" s="20" t="s">
        <v>819</v>
      </c>
      <c r="E1238" s="22">
        <f>IF(D1238="?OLD","!!!","")</f>
        <v/>
      </c>
      <c r="F1238" s="23" t="str">
        <f>IF(OR(E1238="",E1238="!!!"),"",IF(NOT(ISNA(VLOOKUP(E1238,E$1:E1237,1,FALSE()))),"OLD",IF(AND(E1238&lt;&gt;"",E1238&lt;&gt;"!!!"),"NEW","")))</f>
        <v> </v>
      </c>
      <c r="G1238" s="24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5" t="str">
        <f>IF(J1238&lt;&gt;1,"",IF(I1238="SBJ","CB","?"))</f>
        <v> </v>
      </c>
      <c r="I1238" s="26" t="str">
        <f>IF(OR(E1238="",E1238="!!!",F1238="NEW"),"",INDEX(B1237:B$2,-1+SUMPRODUCT(MAX(ROW(E1237:E$2)*(E1238=E1237:E$2)))))</f>
        <v> </v>
      </c>
      <c r="J1238" s="26" t="str">
        <f>IF(OR(E1238="",E1238="!!!",F1238="NEW"),"",COUNTBLANK(OFFSET(A$1,,,SUMPRODUCT(MAX(ROW(E$2:E1238)*(E1238=E$2:E1238)))))-COUNTBLANK(OFFSET(A$1,,,SUMPRODUCT(MAX(ROW(E$1:E1237)*(E2=E$1:E1237))))))</f>
        <v> </v>
      </c>
      <c r="K1238" s="26" t="str">
        <f>IF(OR(E1238="",E1238="!!!",F1238="NEW"),"",INDEX(J$1:J1237,SUMPRODUCT(MAX(ROW(E$1:E1237)*(E1238=E$1:E1237)))))</f>
        <v> </v>
      </c>
      <c r="L1238" s="27"/>
    </row>
    <row r="1239" spans="1:12">
      <c r="A1239" s="20" t="s">
        <v>199</v>
      </c>
      <c r="E1239" s="22">
        <f>IF(D1239="?OLD","!!!","")</f>
        <v/>
      </c>
      <c r="F1239" s="23" t="str">
        <f>IF(OR(E1239="",E1239="!!!"),"",IF(NOT(ISNA(VLOOKUP(E1239,E$1:E1238,1,FALSE()))),"OLD",IF(AND(E1239&lt;&gt;"",E1239&lt;&gt;"!!!"),"NEW","")))</f>
        <v> </v>
      </c>
      <c r="G1239" s="24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5" t="str">
        <f>IF(J1239&lt;&gt;1,"",IF(I1239="SBJ","CB","?"))</f>
        <v> </v>
      </c>
      <c r="I1239" s="26" t="str">
        <f>IF(OR(E1239="",E1239="!!!",F1239="NEW"),"",INDEX(B1238:B$2,-1+SUMPRODUCT(MAX(ROW(E1238:E$2)*(E1239=E1238:E$2)))))</f>
        <v> </v>
      </c>
      <c r="J1239" s="26" t="str">
        <f>IF(OR(E1239="",E1239="!!!",F1239="NEW"),"",COUNTBLANK(OFFSET(A$1,,,SUMPRODUCT(MAX(ROW(E$2:E1239)*(E1239=E$2:E1239)))))-COUNTBLANK(OFFSET(A$1,,,SUMPRODUCT(MAX(ROW(E$1:E1238)*(E2=E$1:E1238))))))</f>
        <v> </v>
      </c>
      <c r="K1239" s="26" t="str">
        <f>IF(OR(E1239="",E1239="!!!",F1239="NEW"),"",INDEX(J$1:J1238,SUMPRODUCT(MAX(ROW(E$1:E1238)*(E1239=E$1:E1238)))))</f>
        <v> </v>
      </c>
      <c r="L1239" s="27"/>
    </row>
    <row r="1240" spans="1:12">
      <c r="A1240" s="20" t="s">
        <v>1076</v>
      </c>
      <c r="E1240" s="22">
        <f>IF(D1240="?OLD","!!!","")</f>
        <v/>
      </c>
      <c r="F1240" s="23" t="str">
        <f>IF(OR(E1240="",E1240="!!!"),"",IF(NOT(ISNA(VLOOKUP(E1240,E$1:E1239,1,FALSE()))),"OLD",IF(AND(E1240&lt;&gt;"",E1240&lt;&gt;"!!!"),"NEW","")))</f>
        <v> </v>
      </c>
      <c r="G1240" s="24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5" t="str">
        <f>IF(J1240&lt;&gt;1,"",IF(I1240="SBJ","CB","?"))</f>
        <v> </v>
      </c>
      <c r="I1240" s="26" t="str">
        <f>IF(OR(E1240="",E1240="!!!",F1240="NEW"),"",INDEX(B1239:B$2,-1+SUMPRODUCT(MAX(ROW(E1239:E$2)*(E1240=E1239:E$2)))))</f>
        <v> </v>
      </c>
      <c r="J1240" s="26" t="str">
        <f>IF(OR(E1240="",E1240="!!!",F1240="NEW"),"",COUNTBLANK(OFFSET(A$1,,,SUMPRODUCT(MAX(ROW(E$2:E1240)*(E1240=E$2:E1240)))))-COUNTBLANK(OFFSET(A$1,,,SUMPRODUCT(MAX(ROW(E$1:E1239)*(E2=E$1:E1239))))))</f>
        <v> </v>
      </c>
      <c r="K1240" s="26" t="str">
        <f>IF(OR(E1240="",E1240="!!!",F1240="NEW"),"",INDEX(J$1:J1239,SUMPRODUCT(MAX(ROW(E$1:E1239)*(E1240=E$1:E1239)))))</f>
        <v> </v>
      </c>
      <c r="L1240" s="27"/>
    </row>
    <row r="1241" spans="1:12">
      <c r="A1241" s="20" t="s">
        <v>436</v>
      </c>
      <c r="E1241" s="22">
        <f>IF(D1241="?OLD","!!!","")</f>
        <v/>
      </c>
      <c r="F1241" s="23" t="str">
        <f>IF(OR(E1241="",E1241="!!!"),"",IF(NOT(ISNA(VLOOKUP(E1241,E$1:E1240,1,FALSE()))),"OLD",IF(AND(E1241&lt;&gt;"",E1241&lt;&gt;"!!!"),"NEW","")))</f>
        <v> </v>
      </c>
      <c r="G1241" s="24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5" t="str">
        <f>IF(J1241&lt;&gt;1,"",IF(I1241="SBJ","CB","?"))</f>
        <v> </v>
      </c>
      <c r="I1241" s="26" t="str">
        <f>IF(OR(E1241="",E1241="!!!",F1241="NEW"),"",INDEX(B1240:B$2,-1+SUMPRODUCT(MAX(ROW(E1240:E$2)*(E1241=E1240:E$2)))))</f>
        <v> </v>
      </c>
      <c r="J1241" s="26" t="str">
        <f>IF(OR(E1241="",E1241="!!!",F1241="NEW"),"",COUNTBLANK(OFFSET(A$1,,,SUMPRODUCT(MAX(ROW(E$2:E1241)*(E1241=E$2:E1241)))))-COUNTBLANK(OFFSET(A$1,,,SUMPRODUCT(MAX(ROW(E$1:E1240)*(E2=E$1:E1240))))))</f>
        <v> </v>
      </c>
      <c r="K1241" s="26" t="str">
        <f>IF(OR(E1241="",E1241="!!!",F1241="NEW"),"",INDEX(J$1:J1240,SUMPRODUCT(MAX(ROW(E$1:E1240)*(E1241=E$1:E1240)))))</f>
        <v> </v>
      </c>
      <c r="L1241" s="27"/>
    </row>
    <row r="1242" spans="1:12">
      <c r="A1242" s="20" t="s">
        <v>1077</v>
      </c>
      <c r="E1242" s="22">
        <f>IF(D1242="?OLD","!!!","")</f>
        <v/>
      </c>
      <c r="F1242" s="23" t="str">
        <f>IF(OR(E1242="",E1242="!!!"),"",IF(NOT(ISNA(VLOOKUP(E1242,E$1:E1241,1,FALSE()))),"OLD",IF(AND(E1242&lt;&gt;"",E1242&lt;&gt;"!!!"),"NEW","")))</f>
        <v> </v>
      </c>
      <c r="G1242" s="24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5" t="str">
        <f>IF(J1242&lt;&gt;1,"",IF(I1242="SBJ","CB","?"))</f>
        <v> </v>
      </c>
      <c r="I1242" s="26" t="str">
        <f>IF(OR(E1242="",E1242="!!!",F1242="NEW"),"",INDEX(B1241:B$2,-1+SUMPRODUCT(MAX(ROW(E1241:E$2)*(E1242=E1241:E$2)))))</f>
        <v> </v>
      </c>
      <c r="J1242" s="26" t="str">
        <f>IF(OR(E1242="",E1242="!!!",F1242="NEW"),"",COUNTBLANK(OFFSET(A$1,,,SUMPRODUCT(MAX(ROW(E$2:E1242)*(E1242=E$2:E1242)))))-COUNTBLANK(OFFSET(A$1,,,SUMPRODUCT(MAX(ROW(E$1:E1241)*(E2=E$1:E1241))))))</f>
        <v> </v>
      </c>
      <c r="K1242" s="26" t="str">
        <f>IF(OR(E1242="",E1242="!!!",F1242="NEW"),"",INDEX(J$1:J1241,SUMPRODUCT(MAX(ROW(E$1:E1241)*(E1242=E$1:E1241)))))</f>
        <v> </v>
      </c>
      <c r="L1242" s="27"/>
    </row>
    <row r="1243" spans="1:12">
      <c r="A1243" s="20" t="s">
        <v>1078</v>
      </c>
      <c r="E1243" s="22">
        <f>IF(D1243="?OLD","!!!","")</f>
        <v/>
      </c>
      <c r="F1243" s="23" t="str">
        <f>IF(OR(E1243="",E1243="!!!"),"",IF(NOT(ISNA(VLOOKUP(E1243,E$1:E1242,1,FALSE()))),"OLD",IF(AND(E1243&lt;&gt;"",E1243&lt;&gt;"!!!"),"NEW","")))</f>
        <v> </v>
      </c>
      <c r="G1243" s="24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5" t="str">
        <f>IF(J1243&lt;&gt;1,"",IF(I1243="SBJ","CB","?"))</f>
        <v> </v>
      </c>
      <c r="I1243" s="26" t="str">
        <f>IF(OR(E1243="",E1243="!!!",F1243="NEW"),"",INDEX(B1242:B$2,-1+SUMPRODUCT(MAX(ROW(E1242:E$2)*(E1243=E1242:E$2)))))</f>
        <v> </v>
      </c>
      <c r="J1243" s="26" t="str">
        <f>IF(OR(E1243="",E1243="!!!",F1243="NEW"),"",COUNTBLANK(OFFSET(A$1,,,SUMPRODUCT(MAX(ROW(E$2:E1243)*(E1243=E$2:E1243)))))-COUNTBLANK(OFFSET(A$1,,,SUMPRODUCT(MAX(ROW(E$1:E1242)*(E2=E$1:E1242))))))</f>
        <v> </v>
      </c>
      <c r="K1243" s="26" t="str">
        <f>IF(OR(E1243="",E1243="!!!",F1243="NEW"),"",INDEX(J$1:J1242,SUMPRODUCT(MAX(ROW(E$1:E1242)*(E1243=E$1:E1242)))))</f>
        <v> </v>
      </c>
      <c r="L1243" s="27"/>
    </row>
    <row r="1244" spans="1:12">
      <c r="A1244" s="20" t="s">
        <v>1079</v>
      </c>
      <c r="E1244" s="22">
        <f>IF(D1244="?OLD","!!!","")</f>
        <v/>
      </c>
      <c r="F1244" s="23" t="str">
        <f>IF(OR(E1244="",E1244="!!!"),"",IF(NOT(ISNA(VLOOKUP(E1244,E$1:E1243,1,FALSE()))),"OLD",IF(AND(E1244&lt;&gt;"",E1244&lt;&gt;"!!!"),"NEW","")))</f>
        <v> </v>
      </c>
      <c r="G1244" s="24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5" t="str">
        <f>IF(J1244&lt;&gt;1,"",IF(I1244="SBJ","CB","?"))</f>
        <v> </v>
      </c>
      <c r="I1244" s="26" t="str">
        <f>IF(OR(E1244="",E1244="!!!",F1244="NEW"),"",INDEX(B1243:B$2,-1+SUMPRODUCT(MAX(ROW(E1243:E$2)*(E1244=E1243:E$2)))))</f>
        <v> </v>
      </c>
      <c r="J1244" s="26" t="str">
        <f>IF(OR(E1244="",E1244="!!!",F1244="NEW"),"",COUNTBLANK(OFFSET(A$1,,,SUMPRODUCT(MAX(ROW(E$2:E1244)*(E1244=E$2:E1244)))))-COUNTBLANK(OFFSET(A$1,,,SUMPRODUCT(MAX(ROW(E$1:E1243)*(E2=E$1:E1243))))))</f>
        <v> </v>
      </c>
      <c r="K1244" s="26" t="str">
        <f>IF(OR(E1244="",E1244="!!!",F1244="NEW"),"",INDEX(J$1:J1243,SUMPRODUCT(MAX(ROW(E$1:E1243)*(E1244=E$1:E1243)))))</f>
        <v> </v>
      </c>
      <c r="L1244" s="27"/>
    </row>
    <row r="1245" spans="1:12">
      <c r="A1245" s="20" t="s">
        <v>453</v>
      </c>
      <c r="E1245" s="22">
        <f>IF(D1245="?OLD","!!!","")</f>
        <v/>
      </c>
      <c r="F1245" s="23" t="str">
        <f>IF(OR(E1245="",E1245="!!!"),"",IF(NOT(ISNA(VLOOKUP(E1245,E$1:E1244,1,FALSE()))),"OLD",IF(AND(E1245&lt;&gt;"",E1245&lt;&gt;"!!!"),"NEW","")))</f>
        <v> </v>
      </c>
      <c r="G1245" s="24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5" t="str">
        <f>IF(J1245&lt;&gt;1,"",IF(I1245="SBJ","CB","?"))</f>
        <v> </v>
      </c>
      <c r="I1245" s="26" t="str">
        <f>IF(OR(E1245="",E1245="!!!",F1245="NEW"),"",INDEX(B1244:B$2,-1+SUMPRODUCT(MAX(ROW(E1244:E$2)*(E1245=E1244:E$2)))))</f>
        <v> </v>
      </c>
      <c r="J1245" s="26" t="str">
        <f>IF(OR(E1245="",E1245="!!!",F1245="NEW"),"",COUNTBLANK(OFFSET(A$1,,,SUMPRODUCT(MAX(ROW(E$2:E1245)*(E1245=E$2:E1245)))))-COUNTBLANK(OFFSET(A$1,,,SUMPRODUCT(MAX(ROW(E$1:E1244)*(E2=E$1:E1244))))))</f>
        <v> </v>
      </c>
      <c r="K1245" s="26" t="str">
        <f>IF(OR(E1245="",E1245="!!!",F1245="NEW"),"",INDEX(J$1:J1244,SUMPRODUCT(MAX(ROW(E$1:E1244)*(E1245=E$1:E1244)))))</f>
        <v> </v>
      </c>
      <c r="L1245" s="27"/>
    </row>
    <row r="1246" spans="1:12">
      <c r="A1246" s="20" t="s">
        <v>1080</v>
      </c>
      <c r="E1246" s="22">
        <f>IF(D1246="?OLD","!!!","")</f>
        <v/>
      </c>
      <c r="F1246" s="23" t="str">
        <f>IF(OR(E1246="",E1246="!!!"),"",IF(NOT(ISNA(VLOOKUP(E1246,E$1:E1245,1,FALSE()))),"OLD",IF(AND(E1246&lt;&gt;"",E1246&lt;&gt;"!!!"),"NEW","")))</f>
        <v> </v>
      </c>
      <c r="G1246" s="24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5" t="str">
        <f>IF(J1246&lt;&gt;1,"",IF(I1246="SBJ","CB","?"))</f>
        <v> </v>
      </c>
      <c r="I1246" s="26" t="str">
        <f>IF(OR(E1246="",E1246="!!!",F1246="NEW"),"",INDEX(B1245:B$2,-1+SUMPRODUCT(MAX(ROW(E1245:E$2)*(E1246=E1245:E$2)))))</f>
        <v> </v>
      </c>
      <c r="J1246" s="26" t="str">
        <f>IF(OR(E1246="",E1246="!!!",F1246="NEW"),"",COUNTBLANK(OFFSET(A$1,,,SUMPRODUCT(MAX(ROW(E$2:E1246)*(E1246=E$2:E1246)))))-COUNTBLANK(OFFSET(A$1,,,SUMPRODUCT(MAX(ROW(E$1:E1245)*(E2=E$1:E1245))))))</f>
        <v> </v>
      </c>
      <c r="K1246" s="26" t="str">
        <f>IF(OR(E1246="",E1246="!!!",F1246="NEW"),"",INDEX(J$1:J1245,SUMPRODUCT(MAX(ROW(E$1:E1245)*(E1246=E$1:E1245)))))</f>
        <v> </v>
      </c>
      <c r="L1246" s="27"/>
    </row>
    <row r="1247" spans="1:12">
      <c r="A1247" s="20" t="s">
        <v>1064</v>
      </c>
      <c r="B1247" s="21" t="s">
        <v>489</v>
      </c>
      <c r="C1247" s="21" t="s">
        <v>520</v>
      </c>
      <c r="D1247" s="21" t="s">
        <v>424</v>
      </c>
      <c r="E1247" s="22">
        <f>IF(D1247="?OLD","!!!","")</f>
        <v/>
      </c>
      <c r="F1247" s="23" t="str">
        <f>IF(OR(E1247="",E1247="!!!"),"",IF(NOT(ISNA(VLOOKUP(E1247,E$1:E1246,1,FALSE()))),"OLD",IF(AND(E1247&lt;&gt;"",E1247&lt;&gt;"!!!"),"NEW","")))</f>
        <v> </v>
      </c>
      <c r="G1247" s="24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5" t="str">
        <f>IF(J1247&lt;&gt;1,"",IF(I1247="SBJ","CB","?"))</f>
        <v> </v>
      </c>
      <c r="I1247" s="26" t="str">
        <f>IF(OR(E1247="",E1247="!!!",F1247="NEW"),"",INDEX(B1246:B$2,-1+SUMPRODUCT(MAX(ROW(E1246:E$2)*(E1247=E1246:E$2)))))</f>
        <v> </v>
      </c>
      <c r="J1247" s="26" t="str">
        <f>IF(OR(E1247="",E1247="!!!",F1247="NEW"),"",COUNTBLANK(OFFSET(A$1,,,SUMPRODUCT(MAX(ROW(E$2:E1247)*(E1247=E$2:E1247)))))-COUNTBLANK(OFFSET(A$1,,,SUMPRODUCT(MAX(ROW(E$1:E1246)*(E2=E$1:E1246))))))</f>
        <v> </v>
      </c>
      <c r="K1247" s="26" t="str">
        <f>IF(OR(E1247="",E1247="!!!",F1247="NEW"),"",INDEX(J$1:J1246,SUMPRODUCT(MAX(ROW(E$1:E1246)*(E1247=E$1:E1246)))))</f>
        <v> </v>
      </c>
      <c r="L1247" s="27"/>
    </row>
    <row r="1248" spans="1:12">
      <c r="A1248" s="20" t="s">
        <v>1065</v>
      </c>
      <c r="B1248" s="21" t="s">
        <v>809</v>
      </c>
      <c r="E1248" s="22">
        <f>IF(D1248="?OLD","!!!","")</f>
        <v/>
      </c>
      <c r="F1248" s="23" t="str">
        <f>IF(OR(E1248="",E1248="!!!"),"",IF(NOT(ISNA(VLOOKUP(E1248,E$1:E1247,1,FALSE()))),"OLD",IF(AND(E1248&lt;&gt;"",E1248&lt;&gt;"!!!"),"NEW","")))</f>
        <v> </v>
      </c>
      <c r="G1248" s="24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5" t="str">
        <f>IF(J1248&lt;&gt;1,"",IF(I1248="SBJ","CB","?"))</f>
        <v> </v>
      </c>
      <c r="I1248" s="26" t="str">
        <f>IF(OR(E1248="",E1248="!!!",F1248="NEW"),"",INDEX(B1247:B$2,-1+SUMPRODUCT(MAX(ROW(E1247:E$2)*(E1248=E1247:E$2)))))</f>
        <v> </v>
      </c>
      <c r="J1248" s="26" t="str">
        <f>IF(OR(E1248="",E1248="!!!",F1248="NEW"),"",COUNTBLANK(OFFSET(A$1,,,SUMPRODUCT(MAX(ROW(E$2:E1248)*(E1248=E$2:E1248)))))-COUNTBLANK(OFFSET(A$1,,,SUMPRODUCT(MAX(ROW(E$1:E1247)*(E2=E$1:E1247))))))</f>
        <v> </v>
      </c>
      <c r="K1248" s="26" t="str">
        <f>IF(OR(E1248="",E1248="!!!",F1248="NEW"),"",INDEX(J$1:J1247,SUMPRODUCT(MAX(ROW(E$1:E1247)*(E1248=E$1:E1247)))))</f>
        <v> </v>
      </c>
      <c r="L1248" s="27"/>
    </row>
    <row r="1249" spans="1:12">
      <c r="A1249" s="20" t="s">
        <v>438</v>
      </c>
      <c r="E1249" s="22">
        <f>IF(D1249="?OLD","!!!","")</f>
        <v/>
      </c>
      <c r="F1249" s="23" t="str">
        <f>IF(OR(E1249="",E1249="!!!"),"",IF(NOT(ISNA(VLOOKUP(E1249,E$1:E1248,1,FALSE()))),"OLD",IF(AND(E1249&lt;&gt;"",E1249&lt;&gt;"!!!"),"NEW","")))</f>
        <v> </v>
      </c>
      <c r="G1249" s="24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5" t="str">
        <f>IF(J1249&lt;&gt;1,"",IF(I1249="SBJ","CB","?"))</f>
        <v> </v>
      </c>
      <c r="I1249" s="26" t="str">
        <f>IF(OR(E1249="",E1249="!!!",F1249="NEW"),"",INDEX(B1248:B$2,-1+SUMPRODUCT(MAX(ROW(E1248:E$2)*(E1249=E1248:E$2)))))</f>
        <v> </v>
      </c>
      <c r="J1249" s="26" t="str">
        <f>IF(OR(E1249="",E1249="!!!",F1249="NEW"),"",COUNTBLANK(OFFSET(A$1,,,SUMPRODUCT(MAX(ROW(E$2:E1249)*(E1249=E$2:E1249)))))-COUNTBLANK(OFFSET(A$1,,,SUMPRODUCT(MAX(ROW(E$1:E1248)*(E2=E$1:E1248))))))</f>
        <v> </v>
      </c>
      <c r="K1249" s="26" t="str">
        <f>IF(OR(E1249="",E1249="!!!",F1249="NEW"),"",INDEX(J$1:J1248,SUMPRODUCT(MAX(ROW(E$1:E1248)*(E1249=E$1:E1248)))))</f>
        <v> </v>
      </c>
      <c r="L1249" s="27"/>
    </row>
    <row r="1250" spans="1:12">
      <c r="A1250" s="20"/>
    </row>
    <row r="1251" spans="1:12">
      <c r="A1251" s="20" t="s">
        <v>1081</v>
      </c>
    </row>
    <row r="1252" spans="1:12">
      <c r="A1252" s="20" t="s">
        <v>755</v>
      </c>
      <c r="B1252" s="21" t="s">
        <v>422</v>
      </c>
      <c r="C1252" s="21" t="s">
        <v>477</v>
      </c>
      <c r="D1252" s="21" t="s">
        <v>424</v>
      </c>
      <c r="E1252" s="22">
        <f>IF(D1252="?OLD","!!!","")</f>
        <v/>
      </c>
      <c r="F1252" s="23" t="str">
        <f>IF(OR(E1252="",E1252="!!!"),"",IF(NOT(ISNA(VLOOKUP(E1252,E$1:E1251,1,FALSE()))),"OLD",IF(AND(E1252&lt;&gt;"",E1252&lt;&gt;"!!!"),"NEW","")))</f>
        <v> </v>
      </c>
      <c r="G1252" s="24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5" t="str">
        <f>IF(J1252&lt;&gt;1,"",IF(I1252="SBJ","CB","?"))</f>
        <v> </v>
      </c>
      <c r="I1252" s="26" t="str">
        <f>IF(OR(E1252="",E1252="!!!",F1252="NEW"),"",INDEX(B1251:B$2,-1+SUMPRODUCT(MAX(ROW(E1251:E$2)*(E1252=E1251:E$2)))))</f>
        <v> </v>
      </c>
      <c r="J1252" s="26" t="str">
        <f>IF(OR(E1252="",E1252="!!!",F1252="NEW"),"",COUNTBLANK(OFFSET(A$1,,,SUMPRODUCT(MAX(ROW(E$2:E1252)*(E1252=E$2:E1252)))))-COUNTBLANK(OFFSET(A$1,,,SUMPRODUCT(MAX(ROW(E$1:E1251)*(E2=E$1:E1251))))))</f>
        <v> </v>
      </c>
      <c r="K1252" s="26" t="str">
        <f>IF(OR(E1252="",E1252="!!!",F1252="NEW"),"",INDEX(J$1:J1251,SUMPRODUCT(MAX(ROW(E$1:E1251)*(E1252=E$1:E1251)))))</f>
        <v> </v>
      </c>
      <c r="L1252" s="27"/>
    </row>
    <row r="1253" spans="1:12">
      <c r="A1253" s="20" t="s">
        <v>1075</v>
      </c>
      <c r="E1253" s="22">
        <f>IF(D1253="?OLD","!!!","")</f>
        <v/>
      </c>
      <c r="F1253" s="23" t="str">
        <f>IF(OR(E1253="",E1253="!!!"),"",IF(NOT(ISNA(VLOOKUP(E1253,E$1:E1252,1,FALSE()))),"OLD",IF(AND(E1253&lt;&gt;"",E1253&lt;&gt;"!!!"),"NEW","")))</f>
        <v> </v>
      </c>
      <c r="G1253" s="24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5" t="str">
        <f>IF(J1253&lt;&gt;1,"",IF(I1253="SBJ","CB","?"))</f>
        <v> </v>
      </c>
      <c r="I1253" s="26" t="str">
        <f>IF(OR(E1253="",E1253="!!!",F1253="NEW"),"",INDEX(B1252:B$2,-1+SUMPRODUCT(MAX(ROW(E1252:E$2)*(E1253=E1252:E$2)))))</f>
        <v> </v>
      </c>
      <c r="J1253" s="26" t="str">
        <f>IF(OR(E1253="",E1253="!!!",F1253="NEW"),"",COUNTBLANK(OFFSET(A$1,,,SUMPRODUCT(MAX(ROW(E$2:E1253)*(E1253=E$2:E1253)))))-COUNTBLANK(OFFSET(A$1,,,SUMPRODUCT(MAX(ROW(E$1:E1252)*(E2=E$1:E1252))))))</f>
        <v> </v>
      </c>
      <c r="K1253" s="26" t="str">
        <f>IF(OR(E1253="",E1253="!!!",F1253="NEW"),"",INDEX(J$1:J1252,SUMPRODUCT(MAX(ROW(E$1:E1252)*(E1253=E$1:E1252)))))</f>
        <v> </v>
      </c>
      <c r="L1253" s="27"/>
    </row>
    <row r="1254" spans="1:12">
      <c r="A1254" s="20" t="s">
        <v>453</v>
      </c>
      <c r="E1254" s="22">
        <f>IF(D1254="?OLD","!!!","")</f>
        <v/>
      </c>
      <c r="F1254" s="23" t="str">
        <f>IF(OR(E1254="",E1254="!!!"),"",IF(NOT(ISNA(VLOOKUP(E1254,E$1:E1253,1,FALSE()))),"OLD",IF(AND(E1254&lt;&gt;"",E1254&lt;&gt;"!!!"),"NEW","")))</f>
        <v> </v>
      </c>
      <c r="G1254" s="24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5" t="str">
        <f>IF(J1254&lt;&gt;1,"",IF(I1254="SBJ","CB","?"))</f>
        <v> </v>
      </c>
      <c r="I1254" s="26" t="str">
        <f>IF(OR(E1254="",E1254="!!!",F1254="NEW"),"",INDEX(B1253:B$2,-1+SUMPRODUCT(MAX(ROW(E1253:E$2)*(E1254=E1253:E$2)))))</f>
        <v> </v>
      </c>
      <c r="J1254" s="26" t="str">
        <f>IF(OR(E1254="",E1254="!!!",F1254="NEW"),"",COUNTBLANK(OFFSET(A$1,,,SUMPRODUCT(MAX(ROW(E$2:E1254)*(E1254=E$2:E1254)))))-COUNTBLANK(OFFSET(A$1,,,SUMPRODUCT(MAX(ROW(E$1:E1253)*(E2=E$1:E1253))))))</f>
        <v> </v>
      </c>
      <c r="K1254" s="26" t="str">
        <f>IF(OR(E1254="",E1254="!!!",F1254="NEW"),"",INDEX(J$1:J1253,SUMPRODUCT(MAX(ROW(E$1:E1253)*(E1254=E$1:E1253)))))</f>
        <v> </v>
      </c>
      <c r="L1254" s="27"/>
    </row>
    <row r="1255" spans="1:12">
      <c r="A1255" s="20" t="s">
        <v>459</v>
      </c>
      <c r="E1255" s="22">
        <f>IF(D1255="?OLD","!!!","")</f>
        <v/>
      </c>
      <c r="F1255" s="23" t="str">
        <f>IF(OR(E1255="",E1255="!!!"),"",IF(NOT(ISNA(VLOOKUP(E1255,E$1:E1254,1,FALSE()))),"OLD",IF(AND(E1255&lt;&gt;"",E1255&lt;&gt;"!!!"),"NEW","")))</f>
        <v> </v>
      </c>
      <c r="G1255" s="24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5" t="str">
        <f>IF(J1255&lt;&gt;1,"",IF(I1255="SBJ","CB","?"))</f>
        <v> </v>
      </c>
      <c r="I1255" s="26" t="str">
        <f>IF(OR(E1255="",E1255="!!!",F1255="NEW"),"",INDEX(B1254:B$2,-1+SUMPRODUCT(MAX(ROW(E1254:E$2)*(E1255=E1254:E$2)))))</f>
        <v> </v>
      </c>
      <c r="J1255" s="26" t="str">
        <f>IF(OR(E1255="",E1255="!!!",F1255="NEW"),"",COUNTBLANK(OFFSET(A$1,,,SUMPRODUCT(MAX(ROW(E$2:E1255)*(E1255=E$2:E1255)))))-COUNTBLANK(OFFSET(A$1,,,SUMPRODUCT(MAX(ROW(E$1:E1254)*(E2=E$1:E1254))))))</f>
        <v> </v>
      </c>
      <c r="K1255" s="26" t="str">
        <f>IF(OR(E1255="",E1255="!!!",F1255="NEW"),"",INDEX(J$1:J1254,SUMPRODUCT(MAX(ROW(E$1:E1254)*(E1255=E$1:E1254)))))</f>
        <v> </v>
      </c>
      <c r="L1255" s="27"/>
    </row>
    <row r="1256" spans="1:12">
      <c r="A1256" s="20" t="s">
        <v>651</v>
      </c>
      <c r="E1256" s="22">
        <f>IF(D1256="?OLD","!!!","")</f>
        <v/>
      </c>
      <c r="F1256" s="23" t="str">
        <f>IF(OR(E1256="",E1256="!!!"),"",IF(NOT(ISNA(VLOOKUP(E1256,E$1:E1255,1,FALSE()))),"OLD",IF(AND(E1256&lt;&gt;"",E1256&lt;&gt;"!!!"),"NEW","")))</f>
        <v> </v>
      </c>
      <c r="G1256" s="24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5" t="str">
        <f>IF(J1256&lt;&gt;1,"",IF(I1256="SBJ","CB","?"))</f>
        <v> </v>
      </c>
      <c r="I1256" s="26" t="str">
        <f>IF(OR(E1256="",E1256="!!!",F1256="NEW"),"",INDEX(B1255:B$2,-1+SUMPRODUCT(MAX(ROW(E1255:E$2)*(E1256=E1255:E$2)))))</f>
        <v> </v>
      </c>
      <c r="J1256" s="26" t="str">
        <f>IF(OR(E1256="",E1256="!!!",F1256="NEW"),"",COUNTBLANK(OFFSET(A$1,,,SUMPRODUCT(MAX(ROW(E$2:E1256)*(E1256=E$2:E1256)))))-COUNTBLANK(OFFSET(A$1,,,SUMPRODUCT(MAX(ROW(E$1:E1255)*(E2=E$1:E1255))))))</f>
        <v> </v>
      </c>
      <c r="K1256" s="26" t="str">
        <f>IF(OR(E1256="",E1256="!!!",F1256="NEW"),"",INDEX(J$1:J1255,SUMPRODUCT(MAX(ROW(E$1:E1255)*(E1256=E$1:E1255)))))</f>
        <v> </v>
      </c>
      <c r="L1256" s="27"/>
    </row>
    <row r="1257" spans="1:12">
      <c r="A1257" s="20" t="s">
        <v>1082</v>
      </c>
      <c r="E1257" s="22">
        <f>IF(D1257="?OLD","!!!","")</f>
        <v/>
      </c>
      <c r="F1257" s="23" t="str">
        <f>IF(OR(E1257="",E1257="!!!"),"",IF(NOT(ISNA(VLOOKUP(E1257,E$1:E1256,1,FALSE()))),"OLD",IF(AND(E1257&lt;&gt;"",E1257&lt;&gt;"!!!"),"NEW","")))</f>
        <v> </v>
      </c>
      <c r="G1257" s="24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5" t="str">
        <f>IF(J1257&lt;&gt;1,"",IF(I1257="SBJ","CB","?"))</f>
        <v> </v>
      </c>
      <c r="I1257" s="26" t="str">
        <f>IF(OR(E1257="",E1257="!!!",F1257="NEW"),"",INDEX(B1256:B$2,-1+SUMPRODUCT(MAX(ROW(E1256:E$2)*(E1257=E1256:E$2)))))</f>
        <v> </v>
      </c>
      <c r="J1257" s="26" t="str">
        <f>IF(OR(E1257="",E1257="!!!",F1257="NEW"),"",COUNTBLANK(OFFSET(A$1,,,SUMPRODUCT(MAX(ROW(E$2:E1257)*(E1257=E$2:E1257)))))-COUNTBLANK(OFFSET(A$1,,,SUMPRODUCT(MAX(ROW(E$1:E1256)*(E2=E$1:E1256))))))</f>
        <v> </v>
      </c>
      <c r="K1257" s="26" t="str">
        <f>IF(OR(E1257="",E1257="!!!",F1257="NEW"),"",INDEX(J$1:J1256,SUMPRODUCT(MAX(ROW(E$1:E1256)*(E1257=E$1:E1256)))))</f>
        <v> </v>
      </c>
      <c r="L1257" s="27"/>
    </row>
    <row r="1258" spans="1:12">
      <c r="A1258" s="20" t="s">
        <v>1083</v>
      </c>
      <c r="E1258" s="22">
        <f>IF(D1258="?OLD","!!!","")</f>
        <v/>
      </c>
      <c r="F1258" s="23" t="str">
        <f>IF(OR(E1258="",E1258="!!!"),"",IF(NOT(ISNA(VLOOKUP(E1258,E$1:E1257,1,FALSE()))),"OLD",IF(AND(E1258&lt;&gt;"",E1258&lt;&gt;"!!!"),"NEW","")))</f>
        <v> </v>
      </c>
      <c r="G1258" s="24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5" t="str">
        <f>IF(J1258&lt;&gt;1,"",IF(I1258="SBJ","CB","?"))</f>
        <v> </v>
      </c>
      <c r="I1258" s="26" t="str">
        <f>IF(OR(E1258="",E1258="!!!",F1258="NEW"),"",INDEX(B1257:B$2,-1+SUMPRODUCT(MAX(ROW(E1257:E$2)*(E1258=E1257:E$2)))))</f>
        <v> </v>
      </c>
      <c r="J1258" s="26" t="str">
        <f>IF(OR(E1258="",E1258="!!!",F1258="NEW"),"",COUNTBLANK(OFFSET(A$1,,,SUMPRODUCT(MAX(ROW(E$2:E1258)*(E1258=E$2:E1258)))))-COUNTBLANK(OFFSET(A$1,,,SUMPRODUCT(MAX(ROW(E$1:E1257)*(E2=E$1:E1257))))))</f>
        <v> </v>
      </c>
      <c r="K1258" s="26" t="str">
        <f>IF(OR(E1258="",E1258="!!!",F1258="NEW"),"",INDEX(J$1:J1257,SUMPRODUCT(MAX(ROW(E$1:E1257)*(E1258=E$1:E1257)))))</f>
        <v> </v>
      </c>
      <c r="L1258" s="27"/>
    </row>
    <row r="1259" spans="1:12">
      <c r="A1259" s="20" t="s">
        <v>1084</v>
      </c>
      <c r="B1259" s="21" t="s">
        <v>781</v>
      </c>
      <c r="E1259" s="22">
        <f>IF(D1259="?OLD","!!!","")</f>
        <v/>
      </c>
      <c r="F1259" s="23" t="str">
        <f>IF(OR(E1259="",E1259="!!!"),"",IF(NOT(ISNA(VLOOKUP(E1259,E$1:E1258,1,FALSE()))),"OLD",IF(AND(E1259&lt;&gt;"",E1259&lt;&gt;"!!!"),"NEW","")))</f>
        <v> </v>
      </c>
      <c r="G1259" s="24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5" t="str">
        <f>IF(J1259&lt;&gt;1,"",IF(I1259="SBJ","CB","?"))</f>
        <v> </v>
      </c>
      <c r="I1259" s="26" t="str">
        <f>IF(OR(E1259="",E1259="!!!",F1259="NEW"),"",INDEX(B1258:B$2,-1+SUMPRODUCT(MAX(ROW(E1258:E$2)*(E1259=E1258:E$2)))))</f>
        <v> </v>
      </c>
      <c r="J1259" s="26" t="str">
        <f>IF(OR(E1259="",E1259="!!!",F1259="NEW"),"",COUNTBLANK(OFFSET(A$1,,,SUMPRODUCT(MAX(ROW(E$2:E1259)*(E1259=E$2:E1259)))))-COUNTBLANK(OFFSET(A$1,,,SUMPRODUCT(MAX(ROW(E$1:E1258)*(E2=E$1:E1258))))))</f>
        <v> </v>
      </c>
      <c r="K1259" s="26" t="str">
        <f>IF(OR(E1259="",E1259="!!!",F1259="NEW"),"",INDEX(J$1:J1258,SUMPRODUCT(MAX(ROW(E$1:E1258)*(E1259=E$1:E1258)))))</f>
        <v> </v>
      </c>
      <c r="L1259" s="27"/>
    </row>
    <row r="1260" spans="1:12">
      <c r="A1260" s="20" t="s">
        <v>877</v>
      </c>
      <c r="E1260" s="22">
        <f>IF(D1260="?OLD","!!!","")</f>
        <v/>
      </c>
      <c r="F1260" s="23" t="str">
        <f>IF(OR(E1260="",E1260="!!!"),"",IF(NOT(ISNA(VLOOKUP(E1260,E$1:E1259,1,FALSE()))),"OLD",IF(AND(E1260&lt;&gt;"",E1260&lt;&gt;"!!!"),"NEW","")))</f>
        <v> </v>
      </c>
      <c r="G1260" s="24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5" t="str">
        <f>IF(J1260&lt;&gt;1,"",IF(I1260="SBJ","CB","?"))</f>
        <v> </v>
      </c>
      <c r="I1260" s="26" t="str">
        <f>IF(OR(E1260="",E1260="!!!",F1260="NEW"),"",INDEX(B1259:B$2,-1+SUMPRODUCT(MAX(ROW(E1259:E$2)*(E1260=E1259:E$2)))))</f>
        <v> </v>
      </c>
      <c r="J1260" s="26" t="str">
        <f>IF(OR(E1260="",E1260="!!!",F1260="NEW"),"",COUNTBLANK(OFFSET(A$1,,,SUMPRODUCT(MAX(ROW(E$2:E1260)*(E1260=E$2:E1260)))))-COUNTBLANK(OFFSET(A$1,,,SUMPRODUCT(MAX(ROW(E$1:E1259)*(E2=E$1:E1259))))))</f>
        <v> </v>
      </c>
      <c r="K1260" s="26" t="str">
        <f>IF(OR(E1260="",E1260="!!!",F1260="NEW"),"",INDEX(J$1:J1259,SUMPRODUCT(MAX(ROW(E$1:E1259)*(E1260=E$1:E1259)))))</f>
        <v> </v>
      </c>
      <c r="L1260" s="27"/>
    </row>
    <row r="1261" spans="1:12">
      <c r="A1261" s="20" t="s">
        <v>1085</v>
      </c>
      <c r="E1261" s="22">
        <f>IF(D1261="?OLD","!!!","")</f>
        <v/>
      </c>
      <c r="F1261" s="23" t="str">
        <f>IF(OR(E1261="",E1261="!!!"),"",IF(NOT(ISNA(VLOOKUP(E1261,E$1:E1260,1,FALSE()))),"OLD",IF(AND(E1261&lt;&gt;"",E1261&lt;&gt;"!!!"),"NEW","")))</f>
        <v> </v>
      </c>
      <c r="G1261" s="24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5" t="str">
        <f>IF(J1261&lt;&gt;1,"",IF(I1261="SBJ","CB","?"))</f>
        <v> </v>
      </c>
      <c r="I1261" s="26" t="str">
        <f>IF(OR(E1261="",E1261="!!!",F1261="NEW"),"",INDEX(B1260:B$2,-1+SUMPRODUCT(MAX(ROW(E1260:E$2)*(E1261=E1260:E$2)))))</f>
        <v> </v>
      </c>
      <c r="J1261" s="26" t="str">
        <f>IF(OR(E1261="",E1261="!!!",F1261="NEW"),"",COUNTBLANK(OFFSET(A$1,,,SUMPRODUCT(MAX(ROW(E$2:E1261)*(E1261=E$2:E1261)))))-COUNTBLANK(OFFSET(A$1,,,SUMPRODUCT(MAX(ROW(E$1:E1260)*(E2=E$1:E1260))))))</f>
        <v> </v>
      </c>
      <c r="K1261" s="26" t="str">
        <f>IF(OR(E1261="",E1261="!!!",F1261="NEW"),"",INDEX(J$1:J1260,SUMPRODUCT(MAX(ROW(E$1:E1260)*(E1261=E$1:E1260)))))</f>
        <v> </v>
      </c>
      <c r="L1261" s="27"/>
    </row>
    <row r="1262" spans="1:12">
      <c r="A1262" s="20" t="s">
        <v>545</v>
      </c>
      <c r="E1262" s="22">
        <f>IF(D1262="?OLD","!!!","")</f>
        <v/>
      </c>
      <c r="F1262" s="23" t="str">
        <f>IF(OR(E1262="",E1262="!!!"),"",IF(NOT(ISNA(VLOOKUP(E1262,E$1:E1261,1,FALSE()))),"OLD",IF(AND(E1262&lt;&gt;"",E1262&lt;&gt;"!!!"),"NEW","")))</f>
        <v> </v>
      </c>
      <c r="G1262" s="24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5" t="str">
        <f>IF(J1262&lt;&gt;1,"",IF(I1262="SBJ","CB","?"))</f>
        <v> </v>
      </c>
      <c r="I1262" s="26" t="str">
        <f>IF(OR(E1262="",E1262="!!!",F1262="NEW"),"",INDEX(B1261:B$2,-1+SUMPRODUCT(MAX(ROW(E1261:E$2)*(E1262=E1261:E$2)))))</f>
        <v> </v>
      </c>
      <c r="J1262" s="26" t="str">
        <f>IF(OR(E1262="",E1262="!!!",F1262="NEW"),"",COUNTBLANK(OFFSET(A$1,,,SUMPRODUCT(MAX(ROW(E$2:E1262)*(E1262=E$2:E1262)))))-COUNTBLANK(OFFSET(A$1,,,SUMPRODUCT(MAX(ROW(E$1:E1261)*(E2=E$1:E1261))))))</f>
        <v> </v>
      </c>
      <c r="K1262" s="26" t="str">
        <f>IF(OR(E1262="",E1262="!!!",F1262="NEW"),"",INDEX(J$1:J1261,SUMPRODUCT(MAX(ROW(E$1:E1261)*(E1262=E$1:E1261)))))</f>
        <v> </v>
      </c>
      <c r="L1262" s="27"/>
    </row>
    <row r="1263" spans="1:12">
      <c r="A1263" s="20" t="s">
        <v>1086</v>
      </c>
      <c r="E1263" s="22">
        <f>IF(D1263="?OLD","!!!","")</f>
        <v/>
      </c>
      <c r="F1263" s="23" t="str">
        <f>IF(OR(E1263="",E1263="!!!"),"",IF(NOT(ISNA(VLOOKUP(E1263,E$1:E1262,1,FALSE()))),"OLD",IF(AND(E1263&lt;&gt;"",E1263&lt;&gt;"!!!"),"NEW","")))</f>
        <v> </v>
      </c>
      <c r="G1263" s="24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5" t="str">
        <f>IF(J1263&lt;&gt;1,"",IF(I1263="SBJ","CB","?"))</f>
        <v> </v>
      </c>
      <c r="I1263" s="26" t="str">
        <f>IF(OR(E1263="",E1263="!!!",F1263="NEW"),"",INDEX(B1262:B$2,-1+SUMPRODUCT(MAX(ROW(E1262:E$2)*(E1263=E1262:E$2)))))</f>
        <v> </v>
      </c>
      <c r="J1263" s="26" t="str">
        <f>IF(OR(E1263="",E1263="!!!",F1263="NEW"),"",COUNTBLANK(OFFSET(A$1,,,SUMPRODUCT(MAX(ROW(E$2:E1263)*(E1263=E$2:E1263)))))-COUNTBLANK(OFFSET(A$1,,,SUMPRODUCT(MAX(ROW(E$1:E1262)*(E2=E$1:E1262))))))</f>
        <v> </v>
      </c>
      <c r="K1263" s="26" t="str">
        <f>IF(OR(E1263="",E1263="!!!",F1263="NEW"),"",INDEX(J$1:J1262,SUMPRODUCT(MAX(ROW(E$1:E1262)*(E1263=E$1:E1262)))))</f>
        <v> </v>
      </c>
      <c r="L1263" s="27"/>
    </row>
    <row r="1264" spans="1:12">
      <c r="A1264" s="20" t="s">
        <v>1087</v>
      </c>
      <c r="E1264" s="22">
        <f>IF(D1264="?OLD","!!!","")</f>
        <v/>
      </c>
      <c r="F1264" s="23" t="str">
        <f>IF(OR(E1264="",E1264="!!!"),"",IF(NOT(ISNA(VLOOKUP(E1264,E$1:E1263,1,FALSE()))),"OLD",IF(AND(E1264&lt;&gt;"",E1264&lt;&gt;"!!!"),"NEW","")))</f>
        <v> </v>
      </c>
      <c r="G1264" s="24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5" t="str">
        <f>IF(J1264&lt;&gt;1,"",IF(I1264="SBJ","CB","?"))</f>
        <v> </v>
      </c>
      <c r="I1264" s="26" t="str">
        <f>IF(OR(E1264="",E1264="!!!",F1264="NEW"),"",INDEX(B1263:B$2,-1+SUMPRODUCT(MAX(ROW(E1263:E$2)*(E1264=E1263:E$2)))))</f>
        <v> </v>
      </c>
      <c r="J1264" s="26" t="str">
        <f>IF(OR(E1264="",E1264="!!!",F1264="NEW"),"",COUNTBLANK(OFFSET(A$1,,,SUMPRODUCT(MAX(ROW(E$2:E1264)*(E1264=E$2:E1264)))))-COUNTBLANK(OFFSET(A$1,,,SUMPRODUCT(MAX(ROW(E$1:E1263)*(E2=E$1:E1263))))))</f>
        <v> </v>
      </c>
      <c r="K1264" s="26" t="str">
        <f>IF(OR(E1264="",E1264="!!!",F1264="NEW"),"",INDEX(J$1:J1263,SUMPRODUCT(MAX(ROW(E$1:E1263)*(E1264=E$1:E1263)))))</f>
        <v> </v>
      </c>
      <c r="L1264" s="27"/>
    </row>
    <row r="1265" spans="1:12">
      <c r="A1265" s="20" t="s">
        <v>453</v>
      </c>
      <c r="E1265" s="22">
        <f>IF(D1265="?OLD","!!!","")</f>
        <v/>
      </c>
      <c r="F1265" s="23" t="str">
        <f>IF(OR(E1265="",E1265="!!!"),"",IF(NOT(ISNA(VLOOKUP(E1265,E$1:E1264,1,FALSE()))),"OLD",IF(AND(E1265&lt;&gt;"",E1265&lt;&gt;"!!!"),"NEW","")))</f>
        <v> </v>
      </c>
      <c r="G1265" s="24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5" t="str">
        <f>IF(J1265&lt;&gt;1,"",IF(I1265="SBJ","CB","?"))</f>
        <v> </v>
      </c>
      <c r="I1265" s="26" t="str">
        <f>IF(OR(E1265="",E1265="!!!",F1265="NEW"),"",INDEX(B1264:B$2,-1+SUMPRODUCT(MAX(ROW(E1264:E$2)*(E1265=E1264:E$2)))))</f>
        <v> </v>
      </c>
      <c r="J1265" s="26" t="str">
        <f>IF(OR(E1265="",E1265="!!!",F1265="NEW"),"",COUNTBLANK(OFFSET(A$1,,,SUMPRODUCT(MAX(ROW(E$2:E1265)*(E1265=E$2:E1265)))))-COUNTBLANK(OFFSET(A$1,,,SUMPRODUCT(MAX(ROW(E$1:E1264)*(E2=E$1:E1264))))))</f>
        <v> </v>
      </c>
      <c r="K1265" s="26" t="str">
        <f>IF(OR(E1265="",E1265="!!!",F1265="NEW"),"",INDEX(J$1:J1264,SUMPRODUCT(MAX(ROW(E$1:E1264)*(E1265=E$1:E1264)))))</f>
        <v> </v>
      </c>
      <c r="L1265" s="27"/>
    </row>
    <row r="1266" spans="1:12">
      <c r="A1266" s="20" t="s">
        <v>1088</v>
      </c>
      <c r="E1266" s="22">
        <f>IF(D1266="?OLD","!!!","")</f>
        <v/>
      </c>
      <c r="F1266" s="23" t="str">
        <f>IF(OR(E1266="",E1266="!!!"),"",IF(NOT(ISNA(VLOOKUP(E1266,E$1:E1265,1,FALSE()))),"OLD",IF(AND(E1266&lt;&gt;"",E1266&lt;&gt;"!!!"),"NEW","")))</f>
        <v> </v>
      </c>
      <c r="G1266" s="24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5" t="str">
        <f>IF(J1266&lt;&gt;1,"",IF(I1266="SBJ","CB","?"))</f>
        <v> </v>
      </c>
      <c r="I1266" s="26" t="str">
        <f>IF(OR(E1266="",E1266="!!!",F1266="NEW"),"",INDEX(B1265:B$2,-1+SUMPRODUCT(MAX(ROW(E1265:E$2)*(E1266=E1265:E$2)))))</f>
        <v> </v>
      </c>
      <c r="J1266" s="26" t="str">
        <f>IF(OR(E1266="",E1266="!!!",F1266="NEW"),"",COUNTBLANK(OFFSET(A$1,,,SUMPRODUCT(MAX(ROW(E$2:E1266)*(E1266=E$2:E1266)))))-COUNTBLANK(OFFSET(A$1,,,SUMPRODUCT(MAX(ROW(E$1:E1265)*(E2=E$1:E1265))))))</f>
        <v> </v>
      </c>
      <c r="K1266" s="26" t="str">
        <f>IF(OR(E1266="",E1266="!!!",F1266="NEW"),"",INDEX(J$1:J1265,SUMPRODUCT(MAX(ROW(E$1:E1265)*(E1266=E$1:E1265)))))</f>
        <v> </v>
      </c>
      <c r="L1266" s="27"/>
    </row>
    <row r="1267" spans="1:12">
      <c r="A1267" s="20" t="s">
        <v>1089</v>
      </c>
      <c r="E1267" s="22">
        <f>IF(D1267="?OLD","!!!","")</f>
        <v/>
      </c>
      <c r="F1267" s="23" t="str">
        <f>IF(OR(E1267="",E1267="!!!"),"",IF(NOT(ISNA(VLOOKUP(E1267,E$1:E1266,1,FALSE()))),"OLD",IF(AND(E1267&lt;&gt;"",E1267&lt;&gt;"!!!"),"NEW","")))</f>
        <v> </v>
      </c>
      <c r="G1267" s="24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5" t="str">
        <f>IF(J1267&lt;&gt;1,"",IF(I1267="SBJ","CB","?"))</f>
        <v> </v>
      </c>
      <c r="I1267" s="26" t="str">
        <f>IF(OR(E1267="",E1267="!!!",F1267="NEW"),"",INDEX(B1266:B$2,-1+SUMPRODUCT(MAX(ROW(E1266:E$2)*(E1267=E1266:E$2)))))</f>
        <v> </v>
      </c>
      <c r="J1267" s="26" t="str">
        <f>IF(OR(E1267="",E1267="!!!",F1267="NEW"),"",COUNTBLANK(OFFSET(A$1,,,SUMPRODUCT(MAX(ROW(E$2:E1267)*(E1267=E$2:E1267)))))-COUNTBLANK(OFFSET(A$1,,,SUMPRODUCT(MAX(ROW(E$1:E1266)*(E2=E$1:E1266))))))</f>
        <v> </v>
      </c>
      <c r="K1267" s="26" t="str">
        <f>IF(OR(E1267="",E1267="!!!",F1267="NEW"),"",INDEX(J$1:J1266,SUMPRODUCT(MAX(ROW(E$1:E1266)*(E1267=E$1:E1266)))))</f>
        <v> </v>
      </c>
      <c r="L1267" s="27"/>
    </row>
    <row r="1268" spans="1:12">
      <c r="A1268" s="20" t="s">
        <v>1090</v>
      </c>
      <c r="E1268" s="22">
        <f>IF(D1268="?OLD","!!!","")</f>
        <v/>
      </c>
      <c r="F1268" s="23" t="str">
        <f>IF(OR(E1268="",E1268="!!!"),"",IF(NOT(ISNA(VLOOKUP(E1268,E$1:E1267,1,FALSE()))),"OLD",IF(AND(E1268&lt;&gt;"",E1268&lt;&gt;"!!!"),"NEW","")))</f>
        <v> </v>
      </c>
      <c r="G1268" s="24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5" t="str">
        <f>IF(J1268&lt;&gt;1,"",IF(I1268="SBJ","CB","?"))</f>
        <v> </v>
      </c>
      <c r="I1268" s="26" t="str">
        <f>IF(OR(E1268="",E1268="!!!",F1268="NEW"),"",INDEX(B1267:B$2,-1+SUMPRODUCT(MAX(ROW(E1267:E$2)*(E1268=E1267:E$2)))))</f>
        <v> </v>
      </c>
      <c r="J1268" s="26" t="str">
        <f>IF(OR(E1268="",E1268="!!!",F1268="NEW"),"",COUNTBLANK(OFFSET(A$1,,,SUMPRODUCT(MAX(ROW(E$2:E1268)*(E1268=E$2:E1268)))))-COUNTBLANK(OFFSET(A$1,,,SUMPRODUCT(MAX(ROW(E$1:E1267)*(E2=E$1:E1267))))))</f>
        <v> </v>
      </c>
      <c r="K1268" s="26" t="str">
        <f>IF(OR(E1268="",E1268="!!!",F1268="NEW"),"",INDEX(J$1:J1267,SUMPRODUCT(MAX(ROW(E$1:E1267)*(E1268=E$1:E1267)))))</f>
        <v> </v>
      </c>
      <c r="L1268" s="27"/>
    </row>
    <row r="1269" spans="1:12">
      <c r="A1269" s="20" t="s">
        <v>438</v>
      </c>
      <c r="E1269" s="22">
        <f>IF(D1269="?OLD","!!!","")</f>
        <v/>
      </c>
      <c r="F1269" s="23" t="str">
        <f>IF(OR(E1269="",E1269="!!!"),"",IF(NOT(ISNA(VLOOKUP(E1269,E$1:E1268,1,FALSE()))),"OLD",IF(AND(E1269&lt;&gt;"",E1269&lt;&gt;"!!!"),"NEW","")))</f>
        <v> </v>
      </c>
      <c r="G1269" s="24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5" t="str">
        <f>IF(J1269&lt;&gt;1,"",IF(I1269="SBJ","CB","?"))</f>
        <v> </v>
      </c>
      <c r="I1269" s="26" t="str">
        <f>IF(OR(E1269="",E1269="!!!",F1269="NEW"),"",INDEX(B1268:B$2,-1+SUMPRODUCT(MAX(ROW(E1268:E$2)*(E1269=E1268:E$2)))))</f>
        <v> </v>
      </c>
      <c r="J1269" s="26" t="str">
        <f>IF(OR(E1269="",E1269="!!!",F1269="NEW"),"",COUNTBLANK(OFFSET(A$1,,,SUMPRODUCT(MAX(ROW(E$2:E1269)*(E1269=E$2:E1269)))))-COUNTBLANK(OFFSET(A$1,,,SUMPRODUCT(MAX(ROW(E$1:E1268)*(E2=E$1:E1268))))))</f>
        <v> </v>
      </c>
      <c r="K1269" s="26" t="str">
        <f>IF(OR(E1269="",E1269="!!!",F1269="NEW"),"",INDEX(J$1:J1268,SUMPRODUCT(MAX(ROW(E$1:E1268)*(E1269=E$1:E1268)))))</f>
        <v> </v>
      </c>
      <c r="L1269" s="27"/>
    </row>
    <row r="1270" spans="1:12">
      <c r="A1270" s="20"/>
    </row>
    <row r="1271" spans="1:12">
      <c r="A1271" s="20" t="s">
        <v>1091</v>
      </c>
    </row>
    <row r="1272" spans="1:12">
      <c r="A1272" s="20" t="s">
        <v>1021</v>
      </c>
      <c r="E1272" s="22">
        <f>IF(D1272="?OLD","!!!","")</f>
        <v/>
      </c>
      <c r="F1272" s="23" t="str">
        <f>IF(OR(E1272="",E1272="!!!"),"",IF(NOT(ISNA(VLOOKUP(E1272,E$1:E1271,1,FALSE()))),"OLD",IF(AND(E1272&lt;&gt;"",E1272&lt;&gt;"!!!"),"NEW","")))</f>
        <v> </v>
      </c>
      <c r="G1272" s="24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5" t="str">
        <f>IF(J1272&lt;&gt;1,"",IF(I1272="SBJ","CB","?"))</f>
        <v> </v>
      </c>
      <c r="I1272" s="26" t="str">
        <f>IF(OR(E1272="",E1272="!!!",F1272="NEW"),"",INDEX(B1271:B$2,-1+SUMPRODUCT(MAX(ROW(E1271:E$2)*(E1272=E1271:E$2)))))</f>
        <v> </v>
      </c>
      <c r="J1272" s="26" t="str">
        <f>IF(OR(E1272="",E1272="!!!",F1272="NEW"),"",COUNTBLANK(OFFSET(A$1,,,SUMPRODUCT(MAX(ROW(E$2:E1272)*(E1272=E$2:E1272)))))-COUNTBLANK(OFFSET(A$1,,,SUMPRODUCT(MAX(ROW(E$1:E1271)*(E2=E$1:E1271))))))</f>
        <v> </v>
      </c>
      <c r="K1272" s="26" t="str">
        <f>IF(OR(E1272="",E1272="!!!",F1272="NEW"),"",INDEX(J$1:J1271,SUMPRODUCT(MAX(ROW(E$1:E1271)*(E1272=E$1:E1271)))))</f>
        <v> </v>
      </c>
      <c r="L1272" s="27"/>
    </row>
    <row r="1273" spans="1:12">
      <c r="A1273" s="20" t="s">
        <v>492</v>
      </c>
      <c r="B1273" s="21" t="s">
        <v>556</v>
      </c>
      <c r="C1273" s="21" t="s">
        <v>423</v>
      </c>
      <c r="D1273" s="21" t="s">
        <v>424</v>
      </c>
      <c r="E1273" s="22">
        <f>IF(D1273="?OLD","!!!","")</f>
        <v/>
      </c>
      <c r="F1273" s="23" t="str">
        <f>IF(OR(E1273="",E1273="!!!"),"",IF(NOT(ISNA(VLOOKUP(E1273,E$1:E1272,1,FALSE()))),"OLD",IF(AND(E1273&lt;&gt;"",E1273&lt;&gt;"!!!"),"NEW","")))</f>
        <v> </v>
      </c>
      <c r="G1273" s="24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5" t="str">
        <f>IF(J1273&lt;&gt;1,"",IF(I1273="SBJ","CB","?"))</f>
        <v> </v>
      </c>
      <c r="I1273" s="26" t="str">
        <f>IF(OR(E1273="",E1273="!!!",F1273="NEW"),"",INDEX(B1272:B$2,-1+SUMPRODUCT(MAX(ROW(E1272:E$2)*(E1273=E1272:E$2)))))</f>
        <v> </v>
      </c>
      <c r="J1273" s="26" t="str">
        <f>IF(OR(E1273="",E1273="!!!",F1273="NEW"),"",COUNTBLANK(OFFSET(A$1,,,SUMPRODUCT(MAX(ROW(E$2:E1273)*(E1273=E$2:E1273)))))-COUNTBLANK(OFFSET(A$1,,,SUMPRODUCT(MAX(ROW(E$1:E1272)*(E2=E$1:E1272))))))</f>
        <v> </v>
      </c>
      <c r="K1273" s="26" t="str">
        <f>IF(OR(E1273="",E1273="!!!",F1273="NEW"),"",INDEX(J$1:J1272,SUMPRODUCT(MAX(ROW(E$1:E1272)*(E1273=E$1:E1272)))))</f>
        <v> </v>
      </c>
      <c r="L1273" s="27"/>
    </row>
    <row r="1274" spans="1:12">
      <c r="A1274" s="20" t="s">
        <v>1092</v>
      </c>
      <c r="E1274" s="22">
        <f>IF(D1274="?OLD","!!!","")</f>
        <v/>
      </c>
      <c r="F1274" s="23" t="str">
        <f>IF(OR(E1274="",E1274="!!!"),"",IF(NOT(ISNA(VLOOKUP(E1274,E$1:E1273,1,FALSE()))),"OLD",IF(AND(E1274&lt;&gt;"",E1274&lt;&gt;"!!!"),"NEW","")))</f>
        <v> </v>
      </c>
      <c r="G1274" s="24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5" t="str">
        <f>IF(J1274&lt;&gt;1,"",IF(I1274="SBJ","CB","?"))</f>
        <v> </v>
      </c>
      <c r="I1274" s="26" t="str">
        <f>IF(OR(E1274="",E1274="!!!",F1274="NEW"),"",INDEX(B1273:B$2,-1+SUMPRODUCT(MAX(ROW(E1273:E$2)*(E1274=E1273:E$2)))))</f>
        <v> </v>
      </c>
      <c r="J1274" s="26" t="str">
        <f>IF(OR(E1274="",E1274="!!!",F1274="NEW"),"",COUNTBLANK(OFFSET(A$1,,,SUMPRODUCT(MAX(ROW(E$2:E1274)*(E1274=E$2:E1274)))))-COUNTBLANK(OFFSET(A$1,,,SUMPRODUCT(MAX(ROW(E$1:E1273)*(E2=E$1:E1273))))))</f>
        <v> </v>
      </c>
      <c r="K1274" s="26" t="str">
        <f>IF(OR(E1274="",E1274="!!!",F1274="NEW"),"",INDEX(J$1:J1273,SUMPRODUCT(MAX(ROW(E$1:E1273)*(E1274=E$1:E1273)))))</f>
        <v> </v>
      </c>
      <c r="L1274" s="27"/>
    </row>
    <row r="1275" spans="1:12">
      <c r="A1275" s="20" t="s">
        <v>1093</v>
      </c>
      <c r="E1275" s="22">
        <f>IF(D1275="?OLD","!!!","")</f>
        <v/>
      </c>
      <c r="F1275" s="23" t="str">
        <f>IF(OR(E1275="",E1275="!!!"),"",IF(NOT(ISNA(VLOOKUP(E1275,E$1:E1274,1,FALSE()))),"OLD",IF(AND(E1275&lt;&gt;"",E1275&lt;&gt;"!!!"),"NEW","")))</f>
        <v> </v>
      </c>
      <c r="G1275" s="24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5" t="str">
        <f>IF(J1275&lt;&gt;1,"",IF(I1275="SBJ","CB","?"))</f>
        <v> </v>
      </c>
      <c r="I1275" s="26" t="str">
        <f>IF(OR(E1275="",E1275="!!!",F1275="NEW"),"",INDEX(B1274:B$2,-1+SUMPRODUCT(MAX(ROW(E1274:E$2)*(E1275=E1274:E$2)))))</f>
        <v> </v>
      </c>
      <c r="J1275" s="26" t="str">
        <f>IF(OR(E1275="",E1275="!!!",F1275="NEW"),"",COUNTBLANK(OFFSET(A$1,,,SUMPRODUCT(MAX(ROW(E$2:E1275)*(E1275=E$2:E1275)))))-COUNTBLANK(OFFSET(A$1,,,SUMPRODUCT(MAX(ROW(E$1:E1274)*(E2=E$1:E1274))))))</f>
        <v> </v>
      </c>
      <c r="K1275" s="26" t="str">
        <f>IF(OR(E1275="",E1275="!!!",F1275="NEW"),"",INDEX(J$1:J1274,SUMPRODUCT(MAX(ROW(E$1:E1274)*(E1275=E$1:E1274)))))</f>
        <v> </v>
      </c>
      <c r="L1275" s="27"/>
    </row>
    <row r="1276" spans="1:12">
      <c r="A1276" s="20" t="s">
        <v>918</v>
      </c>
      <c r="E1276" s="22">
        <f>IF(D1276="?OLD","!!!","")</f>
        <v/>
      </c>
      <c r="F1276" s="23" t="str">
        <f>IF(OR(E1276="",E1276="!!!"),"",IF(NOT(ISNA(VLOOKUP(E1276,E$1:E1275,1,FALSE()))),"OLD",IF(AND(E1276&lt;&gt;"",E1276&lt;&gt;"!!!"),"NEW","")))</f>
        <v> </v>
      </c>
      <c r="G1276" s="24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5" t="str">
        <f>IF(J1276&lt;&gt;1,"",IF(I1276="SBJ","CB","?"))</f>
        <v> </v>
      </c>
      <c r="I1276" s="26" t="str">
        <f>IF(OR(E1276="",E1276="!!!",F1276="NEW"),"",INDEX(B1275:B$2,-1+SUMPRODUCT(MAX(ROW(E1275:E$2)*(E1276=E1275:E$2)))))</f>
        <v> </v>
      </c>
      <c r="J1276" s="26" t="str">
        <f>IF(OR(E1276="",E1276="!!!",F1276="NEW"),"",COUNTBLANK(OFFSET(A$1,,,SUMPRODUCT(MAX(ROW(E$2:E1276)*(E1276=E$2:E1276)))))-COUNTBLANK(OFFSET(A$1,,,SUMPRODUCT(MAX(ROW(E$1:E1275)*(E2=E$1:E1275))))))</f>
        <v> </v>
      </c>
      <c r="K1276" s="26" t="str">
        <f>IF(OR(E1276="",E1276="!!!",F1276="NEW"),"",INDEX(J$1:J1275,SUMPRODUCT(MAX(ROW(E$1:E1275)*(E1276=E$1:E1275)))))</f>
        <v> </v>
      </c>
      <c r="L1276" s="27"/>
    </row>
    <row r="1277" spans="1:12">
      <c r="A1277" s="20" t="s">
        <v>1094</v>
      </c>
      <c r="E1277" s="22">
        <f>IF(D1277="?OLD","!!!","")</f>
        <v/>
      </c>
      <c r="F1277" s="23" t="str">
        <f>IF(OR(E1277="",E1277="!!!"),"",IF(NOT(ISNA(VLOOKUP(E1277,E$1:E1276,1,FALSE()))),"OLD",IF(AND(E1277&lt;&gt;"",E1277&lt;&gt;"!!!"),"NEW","")))</f>
        <v> </v>
      </c>
      <c r="G1277" s="24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5" t="str">
        <f>IF(J1277&lt;&gt;1,"",IF(I1277="SBJ","CB","?"))</f>
        <v> </v>
      </c>
      <c r="I1277" s="26" t="str">
        <f>IF(OR(E1277="",E1277="!!!",F1277="NEW"),"",INDEX(B1276:B$2,-1+SUMPRODUCT(MAX(ROW(E1276:E$2)*(E1277=E1276:E$2)))))</f>
        <v> </v>
      </c>
      <c r="J1277" s="26" t="str">
        <f>IF(OR(E1277="",E1277="!!!",F1277="NEW"),"",COUNTBLANK(OFFSET(A$1,,,SUMPRODUCT(MAX(ROW(E$2:E1277)*(E1277=E$2:E1277)))))-COUNTBLANK(OFFSET(A$1,,,SUMPRODUCT(MAX(ROW(E$1:E1276)*(E2=E$1:E1276))))))</f>
        <v> </v>
      </c>
      <c r="K1277" s="26" t="str">
        <f>IF(OR(E1277="",E1277="!!!",F1277="NEW"),"",INDEX(J$1:J1276,SUMPRODUCT(MAX(ROW(E$1:E1276)*(E1277=E$1:E1276)))))</f>
        <v> </v>
      </c>
      <c r="L1277" s="27"/>
    </row>
    <row r="1278" spans="1:12">
      <c r="A1278" s="20" t="s">
        <v>1095</v>
      </c>
      <c r="E1278" s="22">
        <f>IF(D1278="?OLD","!!!","")</f>
        <v/>
      </c>
      <c r="F1278" s="23" t="str">
        <f>IF(OR(E1278="",E1278="!!!"),"",IF(NOT(ISNA(VLOOKUP(E1278,E$1:E1277,1,FALSE()))),"OLD",IF(AND(E1278&lt;&gt;"",E1278&lt;&gt;"!!!"),"NEW","")))</f>
        <v> </v>
      </c>
      <c r="G1278" s="24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5" t="str">
        <f>IF(J1278&lt;&gt;1,"",IF(I1278="SBJ","CB","?"))</f>
        <v> </v>
      </c>
      <c r="I1278" s="26" t="str">
        <f>IF(OR(E1278="",E1278="!!!",F1278="NEW"),"",INDEX(B1277:B$2,-1+SUMPRODUCT(MAX(ROW(E1277:E$2)*(E1278=E1277:E$2)))))</f>
        <v> </v>
      </c>
      <c r="J1278" s="26" t="str">
        <f>IF(OR(E1278="",E1278="!!!",F1278="NEW"),"",COUNTBLANK(OFFSET(A$1,,,SUMPRODUCT(MAX(ROW(E$2:E1278)*(E1278=E$2:E1278)))))-COUNTBLANK(OFFSET(A$1,,,SUMPRODUCT(MAX(ROW(E$1:E1277)*(E2=E$1:E1277))))))</f>
        <v> </v>
      </c>
      <c r="K1278" s="26" t="str">
        <f>IF(OR(E1278="",E1278="!!!",F1278="NEW"),"",INDEX(J$1:J1277,SUMPRODUCT(MAX(ROW(E$1:E1277)*(E1278=E$1:E1277)))))</f>
        <v> </v>
      </c>
      <c r="L1278" s="27"/>
    </row>
    <row r="1279" spans="1:12">
      <c r="A1279" s="20" t="s">
        <v>453</v>
      </c>
      <c r="E1279" s="22">
        <f>IF(D1279="?OLD","!!!","")</f>
        <v/>
      </c>
      <c r="F1279" s="23" t="str">
        <f>IF(OR(E1279="",E1279="!!!"),"",IF(NOT(ISNA(VLOOKUP(E1279,E$1:E1278,1,FALSE()))),"OLD",IF(AND(E1279&lt;&gt;"",E1279&lt;&gt;"!!!"),"NEW","")))</f>
        <v> </v>
      </c>
      <c r="G1279" s="24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5" t="str">
        <f>IF(J1279&lt;&gt;1,"",IF(I1279="SBJ","CB","?"))</f>
        <v> </v>
      </c>
      <c r="I1279" s="26" t="str">
        <f>IF(OR(E1279="",E1279="!!!",F1279="NEW"),"",INDEX(B1278:B$2,-1+SUMPRODUCT(MAX(ROW(E1278:E$2)*(E1279=E1278:E$2)))))</f>
        <v> </v>
      </c>
      <c r="J1279" s="26" t="str">
        <f>IF(OR(E1279="",E1279="!!!",F1279="NEW"),"",COUNTBLANK(OFFSET(A$1,,,SUMPRODUCT(MAX(ROW(E$2:E1279)*(E1279=E$2:E1279)))))-COUNTBLANK(OFFSET(A$1,,,SUMPRODUCT(MAX(ROW(E$1:E1278)*(E2=E$1:E1278))))))</f>
        <v> </v>
      </c>
      <c r="K1279" s="26" t="str">
        <f>IF(OR(E1279="",E1279="!!!",F1279="NEW"),"",INDEX(J$1:J1278,SUMPRODUCT(MAX(ROW(E$1:E1278)*(E1279=E$1:E1278)))))</f>
        <v> </v>
      </c>
      <c r="L1279" s="27"/>
    </row>
    <row r="1280" spans="1:12">
      <c r="A1280" s="20" t="s">
        <v>329</v>
      </c>
      <c r="E1280" s="22">
        <f>IF(D1280="?OLD","!!!","")</f>
        <v/>
      </c>
      <c r="F1280" s="23" t="str">
        <f>IF(OR(E1280="",E1280="!!!"),"",IF(NOT(ISNA(VLOOKUP(E1280,E$1:E1279,1,FALSE()))),"OLD",IF(AND(E1280&lt;&gt;"",E1280&lt;&gt;"!!!"),"NEW","")))</f>
        <v> </v>
      </c>
      <c r="G1280" s="24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5" t="str">
        <f>IF(J1280&lt;&gt;1,"",IF(I1280="SBJ","CB","?"))</f>
        <v> </v>
      </c>
      <c r="I1280" s="26" t="str">
        <f>IF(OR(E1280="",E1280="!!!",F1280="NEW"),"",INDEX(B1279:B$2,-1+SUMPRODUCT(MAX(ROW(E1279:E$2)*(E1280=E1279:E$2)))))</f>
        <v> </v>
      </c>
      <c r="J1280" s="26" t="str">
        <f>IF(OR(E1280="",E1280="!!!",F1280="NEW"),"",COUNTBLANK(OFFSET(A$1,,,SUMPRODUCT(MAX(ROW(E$2:E1280)*(E1280=E$2:E1280)))))-COUNTBLANK(OFFSET(A$1,,,SUMPRODUCT(MAX(ROW(E$1:E1279)*(E2=E$1:E1279))))))</f>
        <v> </v>
      </c>
      <c r="K1280" s="26" t="str">
        <f>IF(OR(E1280="",E1280="!!!",F1280="NEW"),"",INDEX(J$1:J1279,SUMPRODUCT(MAX(ROW(E$1:E1279)*(E1280=E$1:E1279)))))</f>
        <v> </v>
      </c>
      <c r="L1280" s="27"/>
    </row>
    <row r="1281" spans="1:12">
      <c r="A1281" s="20" t="s">
        <v>482</v>
      </c>
      <c r="B1281" s="21" t="s">
        <v>422</v>
      </c>
      <c r="C1281" s="21" t="s">
        <v>477</v>
      </c>
      <c r="D1281" s="21" t="s">
        <v>424</v>
      </c>
      <c r="E1281" s="22">
        <f>IF(D1281="?OLD","!!!","")</f>
        <v/>
      </c>
      <c r="F1281" s="23" t="str">
        <f>IF(OR(E1281="",E1281="!!!"),"",IF(NOT(ISNA(VLOOKUP(E1281,E$1:E1280,1,FALSE()))),"OLD",IF(AND(E1281&lt;&gt;"",E1281&lt;&gt;"!!!"),"NEW","")))</f>
        <v> </v>
      </c>
      <c r="G1281" s="24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5" t="str">
        <f>IF(J1281&lt;&gt;1,"",IF(I1281="SBJ","CB","?"))</f>
        <v> </v>
      </c>
      <c r="I1281" s="26" t="str">
        <f>IF(OR(E1281="",E1281="!!!",F1281="NEW"),"",INDEX(B1280:B$2,-1+SUMPRODUCT(MAX(ROW(E1280:E$2)*(E1281=E1280:E$2)))))</f>
        <v> </v>
      </c>
      <c r="J1281" s="26" t="str">
        <f>IF(OR(E1281="",E1281="!!!",F1281="NEW"),"",COUNTBLANK(OFFSET(A$1,,,SUMPRODUCT(MAX(ROW(E$2:E1281)*(E1281=E$2:E1281)))))-COUNTBLANK(OFFSET(A$1,,,SUMPRODUCT(MAX(ROW(E$1:E1280)*(E2=E$1:E1280))))))</f>
        <v> </v>
      </c>
      <c r="K1281" s="26" t="str">
        <f>IF(OR(E1281="",E1281="!!!",F1281="NEW"),"",INDEX(J$1:J1280,SUMPRODUCT(MAX(ROW(E$1:E1280)*(E1281=E$1:E1280)))))</f>
        <v> </v>
      </c>
      <c r="L1281" s="27"/>
    </row>
    <row r="1282" spans="1:12">
      <c r="A1282" s="20" t="s">
        <v>913</v>
      </c>
      <c r="E1282" s="22">
        <f>IF(D1282="?OLD","!!!","")</f>
        <v/>
      </c>
      <c r="F1282" s="23" t="str">
        <f>IF(OR(E1282="",E1282="!!!"),"",IF(NOT(ISNA(VLOOKUP(E1282,E$1:E1281,1,FALSE()))),"OLD",IF(AND(E1282&lt;&gt;"",E1282&lt;&gt;"!!!"),"NEW","")))</f>
        <v> </v>
      </c>
      <c r="G1282" s="24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5" t="str">
        <f>IF(J1282&lt;&gt;1,"",IF(I1282="SBJ","CB","?"))</f>
        <v> </v>
      </c>
      <c r="I1282" s="26" t="str">
        <f>IF(OR(E1282="",E1282="!!!",F1282="NEW"),"",INDEX(B1281:B$2,-1+SUMPRODUCT(MAX(ROW(E1281:E$2)*(E1282=E1281:E$2)))))</f>
        <v> </v>
      </c>
      <c r="J1282" s="26" t="str">
        <f>IF(OR(E1282="",E1282="!!!",F1282="NEW"),"",COUNTBLANK(OFFSET(A$1,,,SUMPRODUCT(MAX(ROW(E$2:E1282)*(E1282=E$2:E1282)))))-COUNTBLANK(OFFSET(A$1,,,SUMPRODUCT(MAX(ROW(E$1:E1281)*(E2=E$1:E1281))))))</f>
        <v> </v>
      </c>
      <c r="K1282" s="26" t="str">
        <f>IF(OR(E1282="",E1282="!!!",F1282="NEW"),"",INDEX(J$1:J1281,SUMPRODUCT(MAX(ROW(E$1:E1281)*(E1282=E$1:E1281)))))</f>
        <v> </v>
      </c>
      <c r="L1282" s="27"/>
    </row>
    <row r="1283" spans="1:12">
      <c r="A1283" s="20" t="s">
        <v>235</v>
      </c>
      <c r="E1283" s="22">
        <f>IF(D1283="?OLD","!!!","")</f>
        <v/>
      </c>
      <c r="F1283" s="23" t="str">
        <f>IF(OR(E1283="",E1283="!!!"),"",IF(NOT(ISNA(VLOOKUP(E1283,E$1:E1282,1,FALSE()))),"OLD",IF(AND(E1283&lt;&gt;"",E1283&lt;&gt;"!!!"),"NEW","")))</f>
        <v> </v>
      </c>
      <c r="G1283" s="24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5" t="str">
        <f>IF(J1283&lt;&gt;1,"",IF(I1283="SBJ","CB","?"))</f>
        <v> </v>
      </c>
      <c r="I1283" s="26" t="str">
        <f>IF(OR(E1283="",E1283="!!!",F1283="NEW"),"",INDEX(B1282:B$2,-1+SUMPRODUCT(MAX(ROW(E1282:E$2)*(E1283=E1282:E$2)))))</f>
        <v> </v>
      </c>
      <c r="J1283" s="26" t="str">
        <f>IF(OR(E1283="",E1283="!!!",F1283="NEW"),"",COUNTBLANK(OFFSET(A$1,,,SUMPRODUCT(MAX(ROW(E$2:E1283)*(E1283=E$2:E1283)))))-COUNTBLANK(OFFSET(A$1,,,SUMPRODUCT(MAX(ROW(E$1:E1282)*(E2=E$1:E1282))))))</f>
        <v> </v>
      </c>
      <c r="K1283" s="26" t="str">
        <f>IF(OR(E1283="",E1283="!!!",F1283="NEW"),"",INDEX(J$1:J1282,SUMPRODUCT(MAX(ROW(E$1:E1282)*(E1283=E$1:E1282)))))</f>
        <v> </v>
      </c>
      <c r="L1283" s="27"/>
    </row>
    <row r="1284" spans="1:12">
      <c r="A1284" s="20" t="s">
        <v>1024</v>
      </c>
      <c r="E1284" s="22">
        <f>IF(D1284="?OLD","!!!","")</f>
        <v/>
      </c>
      <c r="F1284" s="23" t="str">
        <f>IF(OR(E1284="",E1284="!!!"),"",IF(NOT(ISNA(VLOOKUP(E1284,E$1:E1283,1,FALSE()))),"OLD",IF(AND(E1284&lt;&gt;"",E1284&lt;&gt;"!!!"),"NEW","")))</f>
        <v> </v>
      </c>
      <c r="G1284" s="24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5" t="str">
        <f>IF(J1284&lt;&gt;1,"",IF(I1284="SBJ","CB","?"))</f>
        <v> </v>
      </c>
      <c r="I1284" s="26" t="str">
        <f>IF(OR(E1284="",E1284="!!!",F1284="NEW"),"",INDEX(B1283:B$2,-1+SUMPRODUCT(MAX(ROW(E1283:E$2)*(E1284=E1283:E$2)))))</f>
        <v> </v>
      </c>
      <c r="J1284" s="26" t="str">
        <f>IF(OR(E1284="",E1284="!!!",F1284="NEW"),"",COUNTBLANK(OFFSET(A$1,,,SUMPRODUCT(MAX(ROW(E$2:E1284)*(E1284=E$2:E1284)))))-COUNTBLANK(OFFSET(A$1,,,SUMPRODUCT(MAX(ROW(E$1:E1283)*(E2=E$1:E1283))))))</f>
        <v> </v>
      </c>
      <c r="K1284" s="26" t="str">
        <f>IF(OR(E1284="",E1284="!!!",F1284="NEW"),"",INDEX(J$1:J1283,SUMPRODUCT(MAX(ROW(E$1:E1283)*(E1284=E$1:E1283)))))</f>
        <v> </v>
      </c>
      <c r="L1284" s="27"/>
    </row>
    <row r="1285" spans="1:12">
      <c r="A1285" s="20" t="s">
        <v>962</v>
      </c>
      <c r="E1285" s="22">
        <f>IF(D1285="?OLD","!!!","")</f>
        <v/>
      </c>
      <c r="F1285" s="23" t="str">
        <f>IF(OR(E1285="",E1285="!!!"),"",IF(NOT(ISNA(VLOOKUP(E1285,E$1:E1284,1,FALSE()))),"OLD",IF(AND(E1285&lt;&gt;"",E1285&lt;&gt;"!!!"),"NEW","")))</f>
        <v> </v>
      </c>
      <c r="G1285" s="24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5" t="str">
        <f>IF(J1285&lt;&gt;1,"",IF(I1285="SBJ","CB","?"))</f>
        <v> </v>
      </c>
      <c r="I1285" s="26" t="str">
        <f>IF(OR(E1285="",E1285="!!!",F1285="NEW"),"",INDEX(B1284:B$2,-1+SUMPRODUCT(MAX(ROW(E1284:E$2)*(E1285=E1284:E$2)))))</f>
        <v> </v>
      </c>
      <c r="J1285" s="26" t="str">
        <f>IF(OR(E1285="",E1285="!!!",F1285="NEW"),"",COUNTBLANK(OFFSET(A$1,,,SUMPRODUCT(MAX(ROW(E$2:E1285)*(E1285=E$2:E1285)))))-COUNTBLANK(OFFSET(A$1,,,SUMPRODUCT(MAX(ROW(E$1:E1284)*(E2=E$1:E1284))))))</f>
        <v> </v>
      </c>
      <c r="K1285" s="26" t="str">
        <f>IF(OR(E1285="",E1285="!!!",F1285="NEW"),"",INDEX(J$1:J1284,SUMPRODUCT(MAX(ROW(E$1:E1284)*(E1285=E$1:E1284)))))</f>
        <v> </v>
      </c>
      <c r="L1285" s="27"/>
    </row>
    <row r="1286" spans="1:12">
      <c r="A1286" s="20" t="s">
        <v>438</v>
      </c>
      <c r="E1286" s="22">
        <f>IF(D1286="?OLD","!!!","")</f>
        <v/>
      </c>
      <c r="F1286" s="23" t="str">
        <f>IF(OR(E1286="",E1286="!!!"),"",IF(NOT(ISNA(VLOOKUP(E1286,E$1:E1285,1,FALSE()))),"OLD",IF(AND(E1286&lt;&gt;"",E1286&lt;&gt;"!!!"),"NEW","")))</f>
        <v> </v>
      </c>
      <c r="G1286" s="24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5" t="str">
        <f>IF(J1286&lt;&gt;1,"",IF(I1286="SBJ","CB","?"))</f>
        <v> </v>
      </c>
      <c r="I1286" s="26" t="str">
        <f>IF(OR(E1286="",E1286="!!!",F1286="NEW"),"",INDEX(B1285:B$2,-1+SUMPRODUCT(MAX(ROW(E1285:E$2)*(E1286=E1285:E$2)))))</f>
        <v> </v>
      </c>
      <c r="J1286" s="26" t="str">
        <f>IF(OR(E1286="",E1286="!!!",F1286="NEW"),"",COUNTBLANK(OFFSET(A$1,,,SUMPRODUCT(MAX(ROW(E$2:E1286)*(E1286=E$2:E1286)))))-COUNTBLANK(OFFSET(A$1,,,SUMPRODUCT(MAX(ROW(E$1:E1285)*(E2=E$1:E1285))))))</f>
        <v> </v>
      </c>
      <c r="K1286" s="26" t="str">
        <f>IF(OR(E1286="",E1286="!!!",F1286="NEW"),"",INDEX(J$1:J1285,SUMPRODUCT(MAX(ROW(E$1:E1285)*(E1286=E$1:E1285)))))</f>
        <v> </v>
      </c>
      <c r="L1286" s="27"/>
    </row>
    <row r="1287" spans="1:12">
      <c r="A1287" s="20"/>
    </row>
    <row r="1288" spans="1:12">
      <c r="A1288" s="20" t="s">
        <v>1096</v>
      </c>
    </row>
    <row r="1289" spans="1:12">
      <c r="A1289" s="20" t="s">
        <v>1097</v>
      </c>
      <c r="E1289" s="22">
        <f>IF(D1289="?OLD","!!!","")</f>
        <v/>
      </c>
      <c r="F1289" s="23" t="str">
        <f>IF(OR(E1289="",E1289="!!!"),"",IF(NOT(ISNA(VLOOKUP(E1289,E$1:E1288,1,FALSE()))),"OLD",IF(AND(E1289&lt;&gt;"",E1289&lt;&gt;"!!!"),"NEW","")))</f>
        <v> </v>
      </c>
      <c r="G1289" s="24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5" t="str">
        <f>IF(J1289&lt;&gt;1,"",IF(I1289="SBJ","CB","?"))</f>
        <v> </v>
      </c>
      <c r="I1289" s="26" t="str">
        <f>IF(OR(E1289="",E1289="!!!",F1289="NEW"),"",INDEX(B1288:B$2,-1+SUMPRODUCT(MAX(ROW(E1288:E$2)*(E1289=E1288:E$2)))))</f>
        <v> </v>
      </c>
      <c r="J1289" s="26" t="str">
        <f>IF(OR(E1289="",E1289="!!!",F1289="NEW"),"",COUNTBLANK(OFFSET(A$1,,,SUMPRODUCT(MAX(ROW(E$2:E1289)*(E1289=E$2:E1289)))))-COUNTBLANK(OFFSET(A$1,,,SUMPRODUCT(MAX(ROW(E$1:E1288)*(E2=E$1:E1288))))))</f>
        <v> </v>
      </c>
      <c r="K1289" s="26" t="str">
        <f>IF(OR(E1289="",E1289="!!!",F1289="NEW"),"",INDEX(J$1:J1288,SUMPRODUCT(MAX(ROW(E$1:E1288)*(E1289=E$1:E1288)))))</f>
        <v> </v>
      </c>
      <c r="L1289" s="27"/>
    </row>
    <row r="1290" spans="1:12">
      <c r="A1290" s="20" t="s">
        <v>957</v>
      </c>
      <c r="E1290" s="22">
        <f>IF(D1290="?OLD","!!!","")</f>
        <v/>
      </c>
      <c r="F1290" s="23" t="str">
        <f>IF(OR(E1290="",E1290="!!!"),"",IF(NOT(ISNA(VLOOKUP(E1290,E$1:E1289,1,FALSE()))),"OLD",IF(AND(E1290&lt;&gt;"",E1290&lt;&gt;"!!!"),"NEW","")))</f>
        <v> </v>
      </c>
      <c r="G1290" s="24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5" t="str">
        <f>IF(J1290&lt;&gt;1,"",IF(I1290="SBJ","CB","?"))</f>
        <v> </v>
      </c>
      <c r="I1290" s="26" t="str">
        <f>IF(OR(E1290="",E1290="!!!",F1290="NEW"),"",INDEX(B1289:B$2,-1+SUMPRODUCT(MAX(ROW(E1289:E$2)*(E1290=E1289:E$2)))))</f>
        <v> </v>
      </c>
      <c r="J1290" s="26" t="str">
        <f>IF(OR(E1290="",E1290="!!!",F1290="NEW"),"",COUNTBLANK(OFFSET(A$1,,,SUMPRODUCT(MAX(ROW(E$2:E1290)*(E1290=E$2:E1290)))))-COUNTBLANK(OFFSET(A$1,,,SUMPRODUCT(MAX(ROW(E$1:E1289)*(E2=E$1:E1289))))))</f>
        <v> </v>
      </c>
      <c r="K1290" s="26" t="str">
        <f>IF(OR(E1290="",E1290="!!!",F1290="NEW"),"",INDEX(J$1:J1289,SUMPRODUCT(MAX(ROW(E$1:E1289)*(E1290=E$1:E1289)))))</f>
        <v> </v>
      </c>
      <c r="L1290" s="27"/>
    </row>
    <row r="1291" spans="1:12">
      <c r="A1291" s="20" t="s">
        <v>958</v>
      </c>
      <c r="E1291" s="22">
        <f>IF(D1291="?OLD","!!!","")</f>
        <v/>
      </c>
      <c r="F1291" s="23" t="str">
        <f>IF(OR(E1291="",E1291="!!!"),"",IF(NOT(ISNA(VLOOKUP(E1291,E$1:E1290,1,FALSE()))),"OLD",IF(AND(E1291&lt;&gt;"",E1291&lt;&gt;"!!!"),"NEW","")))</f>
        <v> </v>
      </c>
      <c r="G1291" s="24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5" t="str">
        <f>IF(J1291&lt;&gt;1,"",IF(I1291="SBJ","CB","?"))</f>
        <v> </v>
      </c>
      <c r="I1291" s="26" t="str">
        <f>IF(OR(E1291="",E1291="!!!",F1291="NEW"),"",INDEX(B1290:B$2,-1+SUMPRODUCT(MAX(ROW(E1290:E$2)*(E1291=E1290:E$2)))))</f>
        <v> </v>
      </c>
      <c r="J1291" s="26" t="str">
        <f>IF(OR(E1291="",E1291="!!!",F1291="NEW"),"",COUNTBLANK(OFFSET(A$1,,,SUMPRODUCT(MAX(ROW(E$2:E1291)*(E1291=E$2:E1291)))))-COUNTBLANK(OFFSET(A$1,,,SUMPRODUCT(MAX(ROW(E$1:E1290)*(E2=E$1:E1290))))))</f>
        <v> </v>
      </c>
      <c r="K1291" s="26" t="str">
        <f>IF(OR(E1291="",E1291="!!!",F1291="NEW"),"",INDEX(J$1:J1290,SUMPRODUCT(MAX(ROW(E$1:E1290)*(E1291=E$1:E1290)))))</f>
        <v> </v>
      </c>
      <c r="L1291" s="27"/>
    </row>
    <row r="1292" spans="1:12">
      <c r="A1292" s="20" t="s">
        <v>492</v>
      </c>
      <c r="B1292" s="21" t="s">
        <v>422</v>
      </c>
      <c r="C1292" s="21" t="s">
        <v>423</v>
      </c>
      <c r="D1292" s="21" t="s">
        <v>424</v>
      </c>
      <c r="E1292" s="22">
        <f>IF(D1292="?OLD","!!!","")</f>
        <v/>
      </c>
      <c r="F1292" s="23" t="str">
        <f>IF(OR(E1292="",E1292="!!!"),"",IF(NOT(ISNA(VLOOKUP(E1292,E$1:E1291,1,FALSE()))),"OLD",IF(AND(E1292&lt;&gt;"",E1292&lt;&gt;"!!!"),"NEW","")))</f>
        <v> </v>
      </c>
      <c r="G1292" s="24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5" t="str">
        <f>IF(J1292&lt;&gt;1,"",IF(I1292="SBJ","CB","?"))</f>
        <v> </v>
      </c>
      <c r="I1292" s="26" t="str">
        <f>IF(OR(E1292="",E1292="!!!",F1292="NEW"),"",INDEX(B1291:B$2,-1+SUMPRODUCT(MAX(ROW(E1291:E$2)*(E1292=E1291:E$2)))))</f>
        <v> </v>
      </c>
      <c r="J1292" s="26" t="str">
        <f>IF(OR(E1292="",E1292="!!!",F1292="NEW"),"",COUNTBLANK(OFFSET(A$1,,,SUMPRODUCT(MAX(ROW(E$2:E1292)*(E1292=E$2:E1292)))))-COUNTBLANK(OFFSET(A$1,,,SUMPRODUCT(MAX(ROW(E$1:E1291)*(E2=E$1:E1291))))))</f>
        <v> </v>
      </c>
      <c r="K1292" s="26" t="str">
        <f>IF(OR(E1292="",E1292="!!!",F1292="NEW"),"",INDEX(J$1:J1291,SUMPRODUCT(MAX(ROW(E$1:E1291)*(E1292=E$1:E1291)))))</f>
        <v> </v>
      </c>
      <c r="L1292" s="27"/>
    </row>
    <row r="1293" spans="1:12">
      <c r="A1293" s="20" t="s">
        <v>636</v>
      </c>
      <c r="E1293" s="22">
        <f>IF(D1293="?OLD","!!!","")</f>
        <v/>
      </c>
      <c r="F1293" s="23" t="str">
        <f>IF(OR(E1293="",E1293="!!!"),"",IF(NOT(ISNA(VLOOKUP(E1293,E$1:E1292,1,FALSE()))),"OLD",IF(AND(E1293&lt;&gt;"",E1293&lt;&gt;"!!!"),"NEW","")))</f>
        <v> </v>
      </c>
      <c r="G1293" s="24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5" t="str">
        <f>IF(J1293&lt;&gt;1,"",IF(I1293="SBJ","CB","?"))</f>
        <v> </v>
      </c>
      <c r="I1293" s="26" t="str">
        <f>IF(OR(E1293="",E1293="!!!",F1293="NEW"),"",INDEX(B1292:B$2,-1+SUMPRODUCT(MAX(ROW(E1292:E$2)*(E1293=E1292:E$2)))))</f>
        <v> </v>
      </c>
      <c r="J1293" s="26" t="str">
        <f>IF(OR(E1293="",E1293="!!!",F1293="NEW"),"",COUNTBLANK(OFFSET(A$1,,,SUMPRODUCT(MAX(ROW(E$2:E1293)*(E1293=E$2:E1293)))))-COUNTBLANK(OFFSET(A$1,,,SUMPRODUCT(MAX(ROW(E$1:E1292)*(E2=E$1:E1292))))))</f>
        <v> </v>
      </c>
      <c r="K1293" s="26" t="str">
        <f>IF(OR(E1293="",E1293="!!!",F1293="NEW"),"",INDEX(J$1:J1292,SUMPRODUCT(MAX(ROW(E$1:E1292)*(E1293=E$1:E1292)))))</f>
        <v> </v>
      </c>
      <c r="L1293" s="27"/>
    </row>
    <row r="1294" spans="1:12">
      <c r="A1294" s="20" t="s">
        <v>1098</v>
      </c>
      <c r="E1294" s="22">
        <f>IF(D1294="?OLD","!!!","")</f>
        <v/>
      </c>
      <c r="F1294" s="23" t="str">
        <f>IF(OR(E1294="",E1294="!!!"),"",IF(NOT(ISNA(VLOOKUP(E1294,E$1:E1293,1,FALSE()))),"OLD",IF(AND(E1294&lt;&gt;"",E1294&lt;&gt;"!!!"),"NEW","")))</f>
        <v> </v>
      </c>
      <c r="G1294" s="24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5" t="str">
        <f>IF(J1294&lt;&gt;1,"",IF(I1294="SBJ","CB","?"))</f>
        <v> </v>
      </c>
      <c r="I1294" s="26" t="str">
        <f>IF(OR(E1294="",E1294="!!!",F1294="NEW"),"",INDEX(B1293:B$2,-1+SUMPRODUCT(MAX(ROW(E1293:E$2)*(E1294=E1293:E$2)))))</f>
        <v> </v>
      </c>
      <c r="J1294" s="26" t="str">
        <f>IF(OR(E1294="",E1294="!!!",F1294="NEW"),"",COUNTBLANK(OFFSET(A$1,,,SUMPRODUCT(MAX(ROW(E$2:E1294)*(E1294=E$2:E1294)))))-COUNTBLANK(OFFSET(A$1,,,SUMPRODUCT(MAX(ROW(E$1:E1293)*(E2=E$1:E1293))))))</f>
        <v> </v>
      </c>
      <c r="K1294" s="26" t="str">
        <f>IF(OR(E1294="",E1294="!!!",F1294="NEW"),"",INDEX(J$1:J1293,SUMPRODUCT(MAX(ROW(E$1:E1293)*(E1294=E$1:E1293)))))</f>
        <v> </v>
      </c>
      <c r="L1294" s="27"/>
    </row>
    <row r="1295" spans="1:12">
      <c r="A1295" s="20" t="s">
        <v>438</v>
      </c>
      <c r="E1295" s="22">
        <f>IF(D1295="?OLD","!!!","")</f>
        <v/>
      </c>
      <c r="F1295" s="23" t="str">
        <f>IF(OR(E1295="",E1295="!!!"),"",IF(NOT(ISNA(VLOOKUP(E1295,E$1:E1294,1,FALSE()))),"OLD",IF(AND(E1295&lt;&gt;"",E1295&lt;&gt;"!!!"),"NEW","")))</f>
        <v> </v>
      </c>
      <c r="G1295" s="24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5" t="str">
        <f>IF(J1295&lt;&gt;1,"",IF(I1295="SBJ","CB","?"))</f>
        <v> </v>
      </c>
      <c r="I1295" s="26" t="str">
        <f>IF(OR(E1295="",E1295="!!!",F1295="NEW"),"",INDEX(B1294:B$2,-1+SUMPRODUCT(MAX(ROW(E1294:E$2)*(E1295=E1294:E$2)))))</f>
        <v> </v>
      </c>
      <c r="J1295" s="26" t="str">
        <f>IF(OR(E1295="",E1295="!!!",F1295="NEW"),"",COUNTBLANK(OFFSET(A$1,,,SUMPRODUCT(MAX(ROW(E$2:E1295)*(E1295=E$2:E1295)))))-COUNTBLANK(OFFSET(A$1,,,SUMPRODUCT(MAX(ROW(E$1:E1294)*(E2=E$1:E1294))))))</f>
        <v> </v>
      </c>
      <c r="K1295" s="26" t="str">
        <f>IF(OR(E1295="",E1295="!!!",F1295="NEW"),"",INDEX(J$1:J1294,SUMPRODUCT(MAX(ROW(E$1:E1294)*(E1295=E$1:E1294)))))</f>
        <v> </v>
      </c>
      <c r="L1295" s="27"/>
    </row>
    <row r="1296" spans="1:12">
      <c r="A1296" s="20"/>
    </row>
    <row r="1297" spans="1:12">
      <c r="A1297" s="20" t="s">
        <v>1099</v>
      </c>
    </row>
    <row r="1298" spans="1:12">
      <c r="A1298" s="20" t="s">
        <v>1021</v>
      </c>
      <c r="E1298" s="22">
        <f>IF(D1298="?OLD","!!!","")</f>
        <v/>
      </c>
      <c r="F1298" s="23" t="str">
        <f>IF(OR(E1298="",E1298="!!!"),"",IF(NOT(ISNA(VLOOKUP(E1298,E$1:E1297,1,FALSE()))),"OLD",IF(AND(E1298&lt;&gt;"",E1298&lt;&gt;"!!!"),"NEW","")))</f>
        <v> </v>
      </c>
      <c r="G1298" s="24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5" t="str">
        <f>IF(J1298&lt;&gt;1,"",IF(I1298="SBJ","CB","?"))</f>
        <v> </v>
      </c>
      <c r="I1298" s="26" t="str">
        <f>IF(OR(E1298="",E1298="!!!",F1298="NEW"),"",INDEX(B1297:B$2,-1+SUMPRODUCT(MAX(ROW(E1297:E$2)*(E1298=E1297:E$2)))))</f>
        <v> </v>
      </c>
      <c r="J1298" s="26" t="str">
        <f>IF(OR(E1298="",E1298="!!!",F1298="NEW"),"",COUNTBLANK(OFFSET(A$1,,,SUMPRODUCT(MAX(ROW(E$2:E1298)*(E1298=E$2:E1298)))))-COUNTBLANK(OFFSET(A$1,,,SUMPRODUCT(MAX(ROW(E$1:E1297)*(E2=E$1:E1297))))))</f>
        <v> </v>
      </c>
      <c r="K1298" s="26" t="str">
        <f>IF(OR(E1298="",E1298="!!!",F1298="NEW"),"",INDEX(J$1:J1297,SUMPRODUCT(MAX(ROW(E$1:E1297)*(E1298=E$1:E1297)))))</f>
        <v> </v>
      </c>
      <c r="L1298" s="27"/>
    </row>
    <row r="1299" spans="1:12">
      <c r="A1299" s="20" t="s">
        <v>492</v>
      </c>
      <c r="B1299" s="21" t="s">
        <v>556</v>
      </c>
      <c r="C1299" s="21" t="s">
        <v>423</v>
      </c>
      <c r="D1299" s="21" t="s">
        <v>424</v>
      </c>
      <c r="E1299" s="22">
        <f>IF(D1299="?OLD","!!!","")</f>
        <v/>
      </c>
      <c r="F1299" s="23" t="str">
        <f>IF(OR(E1299="",E1299="!!!"),"",IF(NOT(ISNA(VLOOKUP(E1299,E$1:E1298,1,FALSE()))),"OLD",IF(AND(E1299&lt;&gt;"",E1299&lt;&gt;"!!!"),"NEW","")))</f>
        <v> </v>
      </c>
      <c r="G1299" s="24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5" t="str">
        <f>IF(J1299&lt;&gt;1,"",IF(I1299="SBJ","CB","?"))</f>
        <v> </v>
      </c>
      <c r="I1299" s="26" t="str">
        <f>IF(OR(E1299="",E1299="!!!",F1299="NEW"),"",INDEX(B1298:B$2,-1+SUMPRODUCT(MAX(ROW(E1298:E$2)*(E1299=E1298:E$2)))))</f>
        <v> </v>
      </c>
      <c r="J1299" s="26" t="str">
        <f>IF(OR(E1299="",E1299="!!!",F1299="NEW"),"",COUNTBLANK(OFFSET(A$1,,,SUMPRODUCT(MAX(ROW(E$2:E1299)*(E1299=E$2:E1299)))))-COUNTBLANK(OFFSET(A$1,,,SUMPRODUCT(MAX(ROW(E$1:E1298)*(E2=E$1:E1298))))))</f>
        <v> </v>
      </c>
      <c r="K1299" s="26" t="str">
        <f>IF(OR(E1299="",E1299="!!!",F1299="NEW"),"",INDEX(J$1:J1298,SUMPRODUCT(MAX(ROW(E$1:E1298)*(E1299=E$1:E1298)))))</f>
        <v> </v>
      </c>
      <c r="L1299" s="27"/>
    </row>
    <row r="1300" spans="1:12">
      <c r="A1300" s="20" t="s">
        <v>1092</v>
      </c>
      <c r="E1300" s="22">
        <f>IF(D1300="?OLD","!!!","")</f>
        <v/>
      </c>
      <c r="F1300" s="23" t="str">
        <f>IF(OR(E1300="",E1300="!!!"),"",IF(NOT(ISNA(VLOOKUP(E1300,E$1:E1299,1,FALSE()))),"OLD",IF(AND(E1300&lt;&gt;"",E1300&lt;&gt;"!!!"),"NEW","")))</f>
        <v> </v>
      </c>
      <c r="G1300" s="24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5" t="str">
        <f>IF(J1300&lt;&gt;1,"",IF(I1300="SBJ","CB","?"))</f>
        <v> </v>
      </c>
      <c r="I1300" s="26" t="str">
        <f>IF(OR(E1300="",E1300="!!!",F1300="NEW"),"",INDEX(B1299:B$2,-1+SUMPRODUCT(MAX(ROW(E1299:E$2)*(E1300=E1299:E$2)))))</f>
        <v> </v>
      </c>
      <c r="J1300" s="26" t="str">
        <f>IF(OR(E1300="",E1300="!!!",F1300="NEW"),"",COUNTBLANK(OFFSET(A$1,,,SUMPRODUCT(MAX(ROW(E$2:E1300)*(E1300=E$2:E1300)))))-COUNTBLANK(OFFSET(A$1,,,SUMPRODUCT(MAX(ROW(E$1:E1299)*(E2=E$1:E1299))))))</f>
        <v> </v>
      </c>
      <c r="K1300" s="26" t="str">
        <f>IF(OR(E1300="",E1300="!!!",F1300="NEW"),"",INDEX(J$1:J1299,SUMPRODUCT(MAX(ROW(E$1:E1299)*(E1300=E$1:E1299)))))</f>
        <v> </v>
      </c>
      <c r="L1300" s="27"/>
    </row>
    <row r="1301" spans="1:12">
      <c r="A1301" s="20" t="s">
        <v>1093</v>
      </c>
      <c r="B1301" s="21" t="s">
        <v>444</v>
      </c>
      <c r="E1301" s="22">
        <f>IF(D1301="?OLD","!!!","")</f>
        <v/>
      </c>
      <c r="F1301" s="23" t="str">
        <f>IF(OR(E1301="",E1301="!!!"),"",IF(NOT(ISNA(VLOOKUP(E1301,E$1:E1300,1,FALSE()))),"OLD",IF(AND(E1301&lt;&gt;"",E1301&lt;&gt;"!!!"),"NEW","")))</f>
        <v> </v>
      </c>
      <c r="G1301" s="24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5" t="str">
        <f>IF(J1301&lt;&gt;1,"",IF(I1301="SBJ","CB","?"))</f>
        <v> </v>
      </c>
      <c r="I1301" s="26" t="str">
        <f>IF(OR(E1301="",E1301="!!!",F1301="NEW"),"",INDEX(B1300:B$2,-1+SUMPRODUCT(MAX(ROW(E1300:E$2)*(E1301=E1300:E$2)))))</f>
        <v> </v>
      </c>
      <c r="J1301" s="26" t="str">
        <f>IF(OR(E1301="",E1301="!!!",F1301="NEW"),"",COUNTBLANK(OFFSET(A$1,,,SUMPRODUCT(MAX(ROW(E$2:E1301)*(E1301=E$2:E1301)))))-COUNTBLANK(OFFSET(A$1,,,SUMPRODUCT(MAX(ROW(E$1:E1300)*(E2=E$1:E1300))))))</f>
        <v> </v>
      </c>
      <c r="K1301" s="26" t="str">
        <f>IF(OR(E1301="",E1301="!!!",F1301="NEW"),"",INDEX(J$1:J1300,SUMPRODUCT(MAX(ROW(E$1:E1300)*(E1301=E$1:E1300)))))</f>
        <v> </v>
      </c>
      <c r="L1301" s="27"/>
    </row>
    <row r="1302" spans="1:12">
      <c r="A1302" s="20" t="s">
        <v>918</v>
      </c>
      <c r="E1302" s="22">
        <f>IF(D1302="?OLD","!!!","")</f>
        <v/>
      </c>
      <c r="F1302" s="23" t="str">
        <f>IF(OR(E1302="",E1302="!!!"),"",IF(NOT(ISNA(VLOOKUP(E1302,E$1:E1301,1,FALSE()))),"OLD",IF(AND(E1302&lt;&gt;"",E1302&lt;&gt;"!!!"),"NEW","")))</f>
        <v> </v>
      </c>
      <c r="G1302" s="24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5" t="str">
        <f>IF(J1302&lt;&gt;1,"",IF(I1302="SBJ","CB","?"))</f>
        <v> </v>
      </c>
      <c r="I1302" s="26" t="str">
        <f>IF(OR(E1302="",E1302="!!!",F1302="NEW"),"",INDEX(B1301:B$2,-1+SUMPRODUCT(MAX(ROW(E1301:E$2)*(E1302=E1301:E$2)))))</f>
        <v> </v>
      </c>
      <c r="J1302" s="26" t="str">
        <f>IF(OR(E1302="",E1302="!!!",F1302="NEW"),"",COUNTBLANK(OFFSET(A$1,,,SUMPRODUCT(MAX(ROW(E$2:E1302)*(E1302=E$2:E1302)))))-COUNTBLANK(OFFSET(A$1,,,SUMPRODUCT(MAX(ROW(E$1:E1301)*(E2=E$1:E1301))))))</f>
        <v> </v>
      </c>
      <c r="K1302" s="26" t="str">
        <f>IF(OR(E1302="",E1302="!!!",F1302="NEW"),"",INDEX(J$1:J1301,SUMPRODUCT(MAX(ROW(E$1:E1301)*(E1302=E$1:E1301)))))</f>
        <v> </v>
      </c>
      <c r="L1302" s="27"/>
    </row>
    <row r="1303" spans="1:12">
      <c r="A1303" s="20" t="s">
        <v>1100</v>
      </c>
      <c r="E1303" s="22">
        <f>IF(D1303="?OLD","!!!","")</f>
        <v/>
      </c>
      <c r="F1303" s="23" t="str">
        <f>IF(OR(E1303="",E1303="!!!"),"",IF(NOT(ISNA(VLOOKUP(E1303,E$1:E1302,1,FALSE()))),"OLD",IF(AND(E1303&lt;&gt;"",E1303&lt;&gt;"!!!"),"NEW","")))</f>
        <v> </v>
      </c>
      <c r="G1303" s="24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5" t="str">
        <f>IF(J1303&lt;&gt;1,"",IF(I1303="SBJ","CB","?"))</f>
        <v> </v>
      </c>
      <c r="I1303" s="26" t="str">
        <f>IF(OR(E1303="",E1303="!!!",F1303="NEW"),"",INDEX(B1302:B$2,-1+SUMPRODUCT(MAX(ROW(E1302:E$2)*(E1303=E1302:E$2)))))</f>
        <v> </v>
      </c>
      <c r="J1303" s="26" t="str">
        <f>IF(OR(E1303="",E1303="!!!",F1303="NEW"),"",COUNTBLANK(OFFSET(A$1,,,SUMPRODUCT(MAX(ROW(E$2:E1303)*(E1303=E$2:E1303)))))-COUNTBLANK(OFFSET(A$1,,,SUMPRODUCT(MAX(ROW(E$1:E1302)*(E2=E$1:E1302))))))</f>
        <v> </v>
      </c>
      <c r="K1303" s="26" t="str">
        <f>IF(OR(E1303="",E1303="!!!",F1303="NEW"),"",INDEX(J$1:J1302,SUMPRODUCT(MAX(ROW(E$1:E1302)*(E1303=E$1:E1302)))))</f>
        <v> </v>
      </c>
      <c r="L1303" s="27"/>
    </row>
    <row r="1304" spans="1:12">
      <c r="A1304" s="20" t="s">
        <v>1101</v>
      </c>
      <c r="B1304" s="21" t="s">
        <v>434</v>
      </c>
      <c r="C1304" s="21" t="s">
        <v>516</v>
      </c>
      <c r="E1304" s="22">
        <f>IF(D1304="?OLD","!!!","")</f>
        <v/>
      </c>
      <c r="F1304" s="23" t="str">
        <f>IF(OR(E1304="",E1304="!!!"),"",IF(NOT(ISNA(VLOOKUP(E1304,E$1:E1303,1,FALSE()))),"OLD",IF(AND(E1304&lt;&gt;"",E1304&lt;&gt;"!!!"),"NEW","")))</f>
        <v> </v>
      </c>
      <c r="G1304" s="24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5" t="str">
        <f>IF(J1304&lt;&gt;1,"",IF(I1304="SBJ","CB","?"))</f>
        <v> </v>
      </c>
      <c r="I1304" s="26" t="str">
        <f>IF(OR(E1304="",E1304="!!!",F1304="NEW"),"",INDEX(B1303:B$2,-1+SUMPRODUCT(MAX(ROW(E1303:E$2)*(E1304=E1303:E$2)))))</f>
        <v> </v>
      </c>
      <c r="J1304" s="26" t="str">
        <f>IF(OR(E1304="",E1304="!!!",F1304="NEW"),"",COUNTBLANK(OFFSET(A$1,,,SUMPRODUCT(MAX(ROW(E$2:E1304)*(E1304=E$2:E1304)))))-COUNTBLANK(OFFSET(A$1,,,SUMPRODUCT(MAX(ROW(E$1:E1303)*(E2=E$1:E1303))))))</f>
        <v> </v>
      </c>
      <c r="K1304" s="26" t="str">
        <f>IF(OR(E1304="",E1304="!!!",F1304="NEW"),"",INDEX(J$1:J1303,SUMPRODUCT(MAX(ROW(E$1:E1303)*(E1304=E$1:E1303)))))</f>
        <v> </v>
      </c>
      <c r="L1304" s="27"/>
    </row>
    <row r="1305" spans="1:12">
      <c r="A1305" s="20" t="s">
        <v>453</v>
      </c>
      <c r="E1305" s="22">
        <f>IF(D1305="?OLD","!!!","")</f>
        <v/>
      </c>
      <c r="F1305" s="23" t="str">
        <f>IF(OR(E1305="",E1305="!!!"),"",IF(NOT(ISNA(VLOOKUP(E1305,E$1:E1304,1,FALSE()))),"OLD",IF(AND(E1305&lt;&gt;"",E1305&lt;&gt;"!!!"),"NEW","")))</f>
        <v> </v>
      </c>
      <c r="G1305" s="24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5" t="str">
        <f>IF(J1305&lt;&gt;1,"",IF(I1305="SBJ","CB","?"))</f>
        <v> </v>
      </c>
      <c r="I1305" s="26" t="str">
        <f>IF(OR(E1305="",E1305="!!!",F1305="NEW"),"",INDEX(B1304:B$2,-1+SUMPRODUCT(MAX(ROW(E1304:E$2)*(E1305=E1304:E$2)))))</f>
        <v> </v>
      </c>
      <c r="J1305" s="26" t="str">
        <f>IF(OR(E1305="",E1305="!!!",F1305="NEW"),"",COUNTBLANK(OFFSET(A$1,,,SUMPRODUCT(MAX(ROW(E$2:E1305)*(E1305=E$2:E1305)))))-COUNTBLANK(OFFSET(A$1,,,SUMPRODUCT(MAX(ROW(E$1:E1304)*(E2=E$1:E1304))))))</f>
        <v> </v>
      </c>
      <c r="K1305" s="26" t="str">
        <f>IF(OR(E1305="",E1305="!!!",F1305="NEW"),"",INDEX(J$1:J1304,SUMPRODUCT(MAX(ROW(E$1:E1304)*(E1305=E$1:E1304)))))</f>
        <v> </v>
      </c>
      <c r="L1305" s="27"/>
    </row>
    <row r="1306" spans="1:12">
      <c r="A1306" s="20" t="s">
        <v>329</v>
      </c>
      <c r="E1306" s="22">
        <f>IF(D1306="?OLD","!!!","")</f>
        <v/>
      </c>
      <c r="F1306" s="23" t="str">
        <f>IF(OR(E1306="",E1306="!!!"),"",IF(NOT(ISNA(VLOOKUP(E1306,E$1:E1305,1,FALSE()))),"OLD",IF(AND(E1306&lt;&gt;"",E1306&lt;&gt;"!!!"),"NEW","")))</f>
        <v> </v>
      </c>
      <c r="G1306" s="24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5" t="str">
        <f>IF(J1306&lt;&gt;1,"",IF(I1306="SBJ","CB","?"))</f>
        <v> </v>
      </c>
      <c r="I1306" s="26" t="str">
        <f>IF(OR(E1306="",E1306="!!!",F1306="NEW"),"",INDEX(B1305:B$2,-1+SUMPRODUCT(MAX(ROW(E1305:E$2)*(E1306=E1305:E$2)))))</f>
        <v> </v>
      </c>
      <c r="J1306" s="26" t="str">
        <f>IF(OR(E1306="",E1306="!!!",F1306="NEW"),"",COUNTBLANK(OFFSET(A$1,,,SUMPRODUCT(MAX(ROW(E$2:E1306)*(E1306=E$2:E1306)))))-COUNTBLANK(OFFSET(A$1,,,SUMPRODUCT(MAX(ROW(E$1:E1305)*(E2=E$1:E1305))))))</f>
        <v> </v>
      </c>
      <c r="K1306" s="26" t="str">
        <f>IF(OR(E1306="",E1306="!!!",F1306="NEW"),"",INDEX(J$1:J1305,SUMPRODUCT(MAX(ROW(E$1:E1305)*(E1306=E$1:E1305)))))</f>
        <v> </v>
      </c>
      <c r="L1306" s="27"/>
    </row>
    <row r="1307" spans="1:12">
      <c r="A1307" s="20" t="s">
        <v>453</v>
      </c>
      <c r="E1307" s="22">
        <f>IF(D1307="?OLD","!!!","")</f>
        <v/>
      </c>
      <c r="F1307" s="23" t="str">
        <f>IF(OR(E1307="",E1307="!!!"),"",IF(NOT(ISNA(VLOOKUP(E1307,E$1:E1306,1,FALSE()))),"OLD",IF(AND(E1307&lt;&gt;"",E1307&lt;&gt;"!!!"),"NEW","")))</f>
        <v> </v>
      </c>
      <c r="G1307" s="24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5" t="str">
        <f>IF(J1307&lt;&gt;1,"",IF(I1307="SBJ","CB","?"))</f>
        <v> </v>
      </c>
      <c r="I1307" s="26" t="str">
        <f>IF(OR(E1307="",E1307="!!!",F1307="NEW"),"",INDEX(B1306:B$2,-1+SUMPRODUCT(MAX(ROW(E1306:E$2)*(E1307=E1306:E$2)))))</f>
        <v> </v>
      </c>
      <c r="J1307" s="26" t="str">
        <f>IF(OR(E1307="",E1307="!!!",F1307="NEW"),"",COUNTBLANK(OFFSET(A$1,,,SUMPRODUCT(MAX(ROW(E$2:E1307)*(E1307=E$2:E1307)))))-COUNTBLANK(OFFSET(A$1,,,SUMPRODUCT(MAX(ROW(E$1:E1306)*(E2=E$1:E1306))))))</f>
        <v> </v>
      </c>
      <c r="K1307" s="26" t="str">
        <f>IF(OR(E1307="",E1307="!!!",F1307="NEW"),"",INDEX(J$1:J1306,SUMPRODUCT(MAX(ROW(E$1:E1306)*(E1307=E$1:E1306)))))</f>
        <v> </v>
      </c>
      <c r="L1307" s="27"/>
    </row>
    <row r="1308" spans="1:12">
      <c r="A1308" s="20" t="s">
        <v>886</v>
      </c>
      <c r="E1308" s="22">
        <f>IF(D1308="?OLD","!!!","")</f>
        <v/>
      </c>
      <c r="F1308" s="23" t="str">
        <f>IF(OR(E1308="",E1308="!!!"),"",IF(NOT(ISNA(VLOOKUP(E1308,E$1:E1307,1,FALSE()))),"OLD",IF(AND(E1308&lt;&gt;"",E1308&lt;&gt;"!!!"),"NEW","")))</f>
        <v> </v>
      </c>
      <c r="G1308" s="24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5" t="str">
        <f>IF(J1308&lt;&gt;1,"",IF(I1308="SBJ","CB","?"))</f>
        <v> </v>
      </c>
      <c r="I1308" s="26" t="str">
        <f>IF(OR(E1308="",E1308="!!!",F1308="NEW"),"",INDEX(B1307:B$2,-1+SUMPRODUCT(MAX(ROW(E1307:E$2)*(E1308=E1307:E$2)))))</f>
        <v> </v>
      </c>
      <c r="J1308" s="26" t="str">
        <f>IF(OR(E1308="",E1308="!!!",F1308="NEW"),"",COUNTBLANK(OFFSET(A$1,,,SUMPRODUCT(MAX(ROW(E$2:E1308)*(E1308=E$2:E1308)))))-COUNTBLANK(OFFSET(A$1,,,SUMPRODUCT(MAX(ROW(E$1:E1307)*(E2=E$1:E1307))))))</f>
        <v> </v>
      </c>
      <c r="K1308" s="26" t="str">
        <f>IF(OR(E1308="",E1308="!!!",F1308="NEW"),"",INDEX(J$1:J1307,SUMPRODUCT(MAX(ROW(E$1:E1307)*(E1308=E$1:E1307)))))</f>
        <v> </v>
      </c>
      <c r="L1308" s="27"/>
    </row>
    <row r="1309" spans="1:12">
      <c r="A1309" s="20" t="s">
        <v>453</v>
      </c>
      <c r="E1309" s="22">
        <f>IF(D1309="?OLD","!!!","")</f>
        <v/>
      </c>
      <c r="F1309" s="23" t="str">
        <f>IF(OR(E1309="",E1309="!!!"),"",IF(NOT(ISNA(VLOOKUP(E1309,E$1:E1308,1,FALSE()))),"OLD",IF(AND(E1309&lt;&gt;"",E1309&lt;&gt;"!!!"),"NEW","")))</f>
        <v> </v>
      </c>
      <c r="G1309" s="24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5" t="str">
        <f>IF(J1309&lt;&gt;1,"",IF(I1309="SBJ","CB","?"))</f>
        <v> </v>
      </c>
      <c r="I1309" s="26" t="str">
        <f>IF(OR(E1309="",E1309="!!!",F1309="NEW"),"",INDEX(B1308:B$2,-1+SUMPRODUCT(MAX(ROW(E1308:E$2)*(E1309=E1308:E$2)))))</f>
        <v> </v>
      </c>
      <c r="J1309" s="26" t="str">
        <f>IF(OR(E1309="",E1309="!!!",F1309="NEW"),"",COUNTBLANK(OFFSET(A$1,,,SUMPRODUCT(MAX(ROW(E$2:E1309)*(E1309=E$2:E1309)))))-COUNTBLANK(OFFSET(A$1,,,SUMPRODUCT(MAX(ROW(E$1:E1308)*(E2=E$1:E1308))))))</f>
        <v> </v>
      </c>
      <c r="K1309" s="26" t="str">
        <f>IF(OR(E1309="",E1309="!!!",F1309="NEW"),"",INDEX(J$1:J1308,SUMPRODUCT(MAX(ROW(E$1:E1308)*(E1309=E$1:E1308)))))</f>
        <v> </v>
      </c>
      <c r="L1309" s="27"/>
    </row>
    <row r="1310" spans="1:12">
      <c r="A1310" s="20" t="s">
        <v>911</v>
      </c>
      <c r="E1310" s="22">
        <f>IF(D1310="?OLD","!!!","")</f>
        <v/>
      </c>
      <c r="F1310" s="23" t="str">
        <f>IF(OR(E1310="",E1310="!!!"),"",IF(NOT(ISNA(VLOOKUP(E1310,E$1:E1309,1,FALSE()))),"OLD",IF(AND(E1310&lt;&gt;"",E1310&lt;&gt;"!!!"),"NEW","")))</f>
        <v> </v>
      </c>
      <c r="G1310" s="24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5" t="str">
        <f>IF(J1310&lt;&gt;1,"",IF(I1310="SBJ","CB","?"))</f>
        <v> </v>
      </c>
      <c r="I1310" s="26" t="str">
        <f>IF(OR(E1310="",E1310="!!!",F1310="NEW"),"",INDEX(B1309:B$2,-1+SUMPRODUCT(MAX(ROW(E1309:E$2)*(E1310=E1309:E$2)))))</f>
        <v> </v>
      </c>
      <c r="J1310" s="26" t="str">
        <f>IF(OR(E1310="",E1310="!!!",F1310="NEW"),"",COUNTBLANK(OFFSET(A$1,,,SUMPRODUCT(MAX(ROW(E$2:E1310)*(E1310=E$2:E1310)))))-COUNTBLANK(OFFSET(A$1,,,SUMPRODUCT(MAX(ROW(E$1:E1309)*(E2=E$1:E1309))))))</f>
        <v> </v>
      </c>
      <c r="K1310" s="26" t="str">
        <f>IF(OR(E1310="",E1310="!!!",F1310="NEW"),"",INDEX(J$1:J1309,SUMPRODUCT(MAX(ROW(E$1:E1309)*(E1310=E$1:E1309)))))</f>
        <v> </v>
      </c>
      <c r="L1310" s="27"/>
    </row>
    <row r="1311" spans="1:12">
      <c r="A1311" s="20" t="s">
        <v>484</v>
      </c>
      <c r="B1311" s="21" t="s">
        <v>533</v>
      </c>
      <c r="C1311" s="21" t="s">
        <v>423</v>
      </c>
      <c r="D1311" s="21" t="s">
        <v>424</v>
      </c>
      <c r="E1311" s="22">
        <f>IF(D1311="?OLD","!!!","")</f>
        <v/>
      </c>
      <c r="F1311" s="23" t="str">
        <f>IF(OR(E1311="",E1311="!!!"),"",IF(NOT(ISNA(VLOOKUP(E1311,E$1:E1310,1,FALSE()))),"OLD",IF(AND(E1311&lt;&gt;"",E1311&lt;&gt;"!!!"),"NEW","")))</f>
        <v> </v>
      </c>
      <c r="G1311" s="24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5" t="str">
        <f>IF(J1311&lt;&gt;1,"",IF(I1311="SBJ","CB","?"))</f>
        <v> </v>
      </c>
      <c r="I1311" s="26" t="str">
        <f>IF(OR(E1311="",E1311="!!!",F1311="NEW"),"",INDEX(B1310:B$2,-1+SUMPRODUCT(MAX(ROW(E1310:E$2)*(E1311=E1310:E$2)))))</f>
        <v> </v>
      </c>
      <c r="J1311" s="26" t="str">
        <f>IF(OR(E1311="",E1311="!!!",F1311="NEW"),"",COUNTBLANK(OFFSET(A$1,,,SUMPRODUCT(MAX(ROW(E$2:E1311)*(E1311=E$2:E1311)))))-COUNTBLANK(OFFSET(A$1,,,SUMPRODUCT(MAX(ROW(E$1:E1310)*(E2=E$1:E1310))))))</f>
        <v> </v>
      </c>
      <c r="K1311" s="26" t="str">
        <f>IF(OR(E1311="",E1311="!!!",F1311="NEW"),"",INDEX(J$1:J1310,SUMPRODUCT(MAX(ROW(E$1:E1310)*(E1311=E$1:E1310)))))</f>
        <v> </v>
      </c>
      <c r="L1311" s="27"/>
    </row>
    <row r="1312" spans="1:12">
      <c r="A1312" s="20" t="s">
        <v>913</v>
      </c>
      <c r="E1312" s="22">
        <f>IF(D1312="?OLD","!!!","")</f>
        <v/>
      </c>
      <c r="F1312" s="23" t="str">
        <f>IF(OR(E1312="",E1312="!!!"),"",IF(NOT(ISNA(VLOOKUP(E1312,E$1:E1311,1,FALSE()))),"OLD",IF(AND(E1312&lt;&gt;"",E1312&lt;&gt;"!!!"),"NEW","")))</f>
        <v> </v>
      </c>
      <c r="G1312" s="24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5" t="str">
        <f>IF(J1312&lt;&gt;1,"",IF(I1312="SBJ","CB","?"))</f>
        <v> </v>
      </c>
      <c r="I1312" s="26" t="str">
        <f>IF(OR(E1312="",E1312="!!!",F1312="NEW"),"",INDEX(B1311:B$2,-1+SUMPRODUCT(MAX(ROW(E1311:E$2)*(E1312=E1311:E$2)))))</f>
        <v> </v>
      </c>
      <c r="J1312" s="26" t="str">
        <f>IF(OR(E1312="",E1312="!!!",F1312="NEW"),"",COUNTBLANK(OFFSET(A$1,,,SUMPRODUCT(MAX(ROW(E$2:E1312)*(E1312=E$2:E1312)))))-COUNTBLANK(OFFSET(A$1,,,SUMPRODUCT(MAX(ROW(E$1:E1311)*(E2=E$1:E1311))))))</f>
        <v> </v>
      </c>
      <c r="K1312" s="26" t="str">
        <f>IF(OR(E1312="",E1312="!!!",F1312="NEW"),"",INDEX(J$1:J1311,SUMPRODUCT(MAX(ROW(E$1:E1311)*(E1312=E$1:E1311)))))</f>
        <v> </v>
      </c>
      <c r="L1312" s="27"/>
    </row>
    <row r="1313" spans="1:12">
      <c r="A1313" s="20" t="s">
        <v>1102</v>
      </c>
      <c r="E1313" s="22">
        <f>IF(D1313="?OLD","!!!","")</f>
        <v/>
      </c>
      <c r="F1313" s="23" t="str">
        <f>IF(OR(E1313="",E1313="!!!"),"",IF(NOT(ISNA(VLOOKUP(E1313,E$1:E1312,1,FALSE()))),"OLD",IF(AND(E1313&lt;&gt;"",E1313&lt;&gt;"!!!"),"NEW","")))</f>
        <v> </v>
      </c>
      <c r="G1313" s="24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5" t="str">
        <f>IF(J1313&lt;&gt;1,"",IF(I1313="SBJ","CB","?"))</f>
        <v> </v>
      </c>
      <c r="I1313" s="26" t="str">
        <f>IF(OR(E1313="",E1313="!!!",F1313="NEW"),"",INDEX(B1312:B$2,-1+SUMPRODUCT(MAX(ROW(E1312:E$2)*(E1313=E1312:E$2)))))</f>
        <v> </v>
      </c>
      <c r="J1313" s="26" t="str">
        <f>IF(OR(E1313="",E1313="!!!",F1313="NEW"),"",COUNTBLANK(OFFSET(A$1,,,SUMPRODUCT(MAX(ROW(E$2:E1313)*(E1313=E$2:E1313)))))-COUNTBLANK(OFFSET(A$1,,,SUMPRODUCT(MAX(ROW(E$1:E1312)*(E2=E$1:E1312))))))</f>
        <v> </v>
      </c>
      <c r="K1313" s="26" t="str">
        <f>IF(OR(E1313="",E1313="!!!",F1313="NEW"),"",INDEX(J$1:J1312,SUMPRODUCT(MAX(ROW(E$1:E1312)*(E1313=E$1:E1312)))))</f>
        <v> </v>
      </c>
      <c r="L1313" s="27"/>
    </row>
    <row r="1314" spans="1:12">
      <c r="A1314" s="20" t="s">
        <v>1103</v>
      </c>
      <c r="B1314" s="21" t="s">
        <v>422</v>
      </c>
      <c r="E1314" s="22">
        <f>IF(D1314="?OLD","!!!","")</f>
        <v/>
      </c>
      <c r="F1314" s="23" t="str">
        <f>IF(OR(E1314="",E1314="!!!"),"",IF(NOT(ISNA(VLOOKUP(E1314,E$1:E1313,1,FALSE()))),"OLD",IF(AND(E1314&lt;&gt;"",E1314&lt;&gt;"!!!"),"NEW","")))</f>
        <v> </v>
      </c>
      <c r="G1314" s="24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5" t="str">
        <f>IF(J1314&lt;&gt;1,"",IF(I1314="SBJ","CB","?"))</f>
        <v> </v>
      </c>
      <c r="I1314" s="26" t="str">
        <f>IF(OR(E1314="",E1314="!!!",F1314="NEW"),"",INDEX(B1313:B$2,-1+SUMPRODUCT(MAX(ROW(E1313:E$2)*(E1314=E1313:E$2)))))</f>
        <v> </v>
      </c>
      <c r="J1314" s="26" t="str">
        <f>IF(OR(E1314="",E1314="!!!",F1314="NEW"),"",COUNTBLANK(OFFSET(A$1,,,SUMPRODUCT(MAX(ROW(E$2:E1314)*(E1314=E$2:E1314)))))-COUNTBLANK(OFFSET(A$1,,,SUMPRODUCT(MAX(ROW(E$1:E1313)*(E2=E$1:E1313))))))</f>
        <v> </v>
      </c>
      <c r="K1314" s="26" t="str">
        <f>IF(OR(E1314="",E1314="!!!",F1314="NEW"),"",INDEX(J$1:J1313,SUMPRODUCT(MAX(ROW(E$1:E1313)*(E1314=E$1:E1313)))))</f>
        <v> </v>
      </c>
      <c r="L1314" s="27"/>
    </row>
    <row r="1315" spans="1:12">
      <c r="A1315" s="20" t="s">
        <v>453</v>
      </c>
      <c r="E1315" s="22">
        <f>IF(D1315="?OLD","!!!","")</f>
        <v/>
      </c>
      <c r="F1315" s="23" t="str">
        <f>IF(OR(E1315="",E1315="!!!"),"",IF(NOT(ISNA(VLOOKUP(E1315,E$1:E1314,1,FALSE()))),"OLD",IF(AND(E1315&lt;&gt;"",E1315&lt;&gt;"!!!"),"NEW","")))</f>
        <v> </v>
      </c>
      <c r="G1315" s="24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5" t="str">
        <f>IF(J1315&lt;&gt;1,"",IF(I1315="SBJ","CB","?"))</f>
        <v> </v>
      </c>
      <c r="I1315" s="26" t="str">
        <f>IF(OR(E1315="",E1315="!!!",F1315="NEW"),"",INDEX(B1314:B$2,-1+SUMPRODUCT(MAX(ROW(E1314:E$2)*(E1315=E1314:E$2)))))</f>
        <v> </v>
      </c>
      <c r="J1315" s="26" t="str">
        <f>IF(OR(E1315="",E1315="!!!",F1315="NEW"),"",COUNTBLANK(OFFSET(A$1,,,SUMPRODUCT(MAX(ROW(E$2:E1315)*(E1315=E$2:E1315)))))-COUNTBLANK(OFFSET(A$1,,,SUMPRODUCT(MAX(ROW(E$1:E1314)*(E2=E$1:E1314))))))</f>
        <v> </v>
      </c>
      <c r="K1315" s="26" t="str">
        <f>IF(OR(E1315="",E1315="!!!",F1315="NEW"),"",INDEX(J$1:J1314,SUMPRODUCT(MAX(ROW(E$1:E1314)*(E1315=E$1:E1314)))))</f>
        <v> </v>
      </c>
      <c r="L1315" s="27"/>
    </row>
    <row r="1316" spans="1:12">
      <c r="A1316" s="20" t="s">
        <v>1104</v>
      </c>
      <c r="E1316" s="22">
        <f>IF(D1316="?OLD","!!!","")</f>
        <v/>
      </c>
      <c r="F1316" s="23" t="str">
        <f>IF(OR(E1316="",E1316="!!!"),"",IF(NOT(ISNA(VLOOKUP(E1316,E$1:E1315,1,FALSE()))),"OLD",IF(AND(E1316&lt;&gt;"",E1316&lt;&gt;"!!!"),"NEW","")))</f>
        <v> </v>
      </c>
      <c r="G1316" s="24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5" t="str">
        <f>IF(J1316&lt;&gt;1,"",IF(I1316="SBJ","CB","?"))</f>
        <v> </v>
      </c>
      <c r="I1316" s="26" t="str">
        <f>IF(OR(E1316="",E1316="!!!",F1316="NEW"),"",INDEX(B1315:B$2,-1+SUMPRODUCT(MAX(ROW(E1315:E$2)*(E1316=E1315:E$2)))))</f>
        <v> </v>
      </c>
      <c r="J1316" s="26" t="str">
        <f>IF(OR(E1316="",E1316="!!!",F1316="NEW"),"",COUNTBLANK(OFFSET(A$1,,,SUMPRODUCT(MAX(ROW(E$2:E1316)*(E1316=E$2:E1316)))))-COUNTBLANK(OFFSET(A$1,,,SUMPRODUCT(MAX(ROW(E$1:E1315)*(E2=E$1:E1315))))))</f>
        <v> </v>
      </c>
      <c r="K1316" s="26" t="str">
        <f>IF(OR(E1316="",E1316="!!!",F1316="NEW"),"",INDEX(J$1:J1315,SUMPRODUCT(MAX(ROW(E$1:E1315)*(E1316=E$1:E1315)))))</f>
        <v> </v>
      </c>
      <c r="L1316" s="27"/>
    </row>
    <row r="1317" spans="1:12">
      <c r="A1317" s="20" t="s">
        <v>1105</v>
      </c>
      <c r="B1317" s="21" t="s">
        <v>533</v>
      </c>
      <c r="C1317" s="21" t="s">
        <v>520</v>
      </c>
      <c r="D1317" s="21" t="s">
        <v>424</v>
      </c>
      <c r="E1317" s="22">
        <f>IF(D1317="?OLD","!!!","")</f>
        <v/>
      </c>
      <c r="F1317" s="23" t="str">
        <f>IF(OR(E1317="",E1317="!!!"),"",IF(NOT(ISNA(VLOOKUP(E1317,E$1:E1316,1,FALSE()))),"OLD",IF(AND(E1317&lt;&gt;"",E1317&lt;&gt;"!!!"),"NEW","")))</f>
        <v> </v>
      </c>
      <c r="G1317" s="24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5" t="str">
        <f>IF(J1317&lt;&gt;1,"",IF(I1317="SBJ","CB","?"))</f>
        <v> </v>
      </c>
      <c r="I1317" s="26" t="str">
        <f>IF(OR(E1317="",E1317="!!!",F1317="NEW"),"",INDEX(B1316:B$2,-1+SUMPRODUCT(MAX(ROW(E1316:E$2)*(E1317=E1316:E$2)))))</f>
        <v> </v>
      </c>
      <c r="J1317" s="26" t="str">
        <f>IF(OR(E1317="",E1317="!!!",F1317="NEW"),"",COUNTBLANK(OFFSET(A$1,,,SUMPRODUCT(MAX(ROW(E$2:E1317)*(E1317=E$2:E1317)))))-COUNTBLANK(OFFSET(A$1,,,SUMPRODUCT(MAX(ROW(E$1:E1316)*(E2=E$1:E1316))))))</f>
        <v> </v>
      </c>
      <c r="K1317" s="26" t="str">
        <f>IF(OR(E1317="",E1317="!!!",F1317="NEW"),"",INDEX(J$1:J1316,SUMPRODUCT(MAX(ROW(E$1:E1316)*(E1317=E$1:E1316)))))</f>
        <v> </v>
      </c>
      <c r="L1317" s="27"/>
    </row>
    <row r="1318" spans="1:12">
      <c r="A1318" s="20" t="s">
        <v>438</v>
      </c>
      <c r="E1318" s="22">
        <f>IF(D1318="?OLD","!!!","")</f>
        <v/>
      </c>
      <c r="F1318" s="23" t="str">
        <f>IF(OR(E1318="",E1318="!!!"),"",IF(NOT(ISNA(VLOOKUP(E1318,E$1:E1317,1,FALSE()))),"OLD",IF(AND(E1318&lt;&gt;"",E1318&lt;&gt;"!!!"),"NEW","")))</f>
        <v> </v>
      </c>
      <c r="G1318" s="24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5" t="str">
        <f>IF(J1318&lt;&gt;1,"",IF(I1318="SBJ","CB","?"))</f>
        <v> </v>
      </c>
      <c r="I1318" s="26" t="str">
        <f>IF(OR(E1318="",E1318="!!!",F1318="NEW"),"",INDEX(B1317:B$2,-1+SUMPRODUCT(MAX(ROW(E1317:E$2)*(E1318=E1317:E$2)))))</f>
        <v> </v>
      </c>
      <c r="J1318" s="26" t="str">
        <f>IF(OR(E1318="",E1318="!!!",F1318="NEW"),"",COUNTBLANK(OFFSET(A$1,,,SUMPRODUCT(MAX(ROW(E$2:E1318)*(E1318=E$2:E1318)))))-COUNTBLANK(OFFSET(A$1,,,SUMPRODUCT(MAX(ROW(E$1:E1317)*(E2=E$1:E1317))))))</f>
        <v> </v>
      </c>
      <c r="K1318" s="26" t="str">
        <f>IF(OR(E1318="",E1318="!!!",F1318="NEW"),"",INDEX(J$1:J1317,SUMPRODUCT(MAX(ROW(E$1:E1317)*(E1318=E$1:E1317)))))</f>
        <v> </v>
      </c>
      <c r="L1318" s="27"/>
    </row>
    <row r="1319" spans="1:12">
      <c r="A1319" s="20"/>
    </row>
    <row r="1320" spans="1:12">
      <c r="A1320" s="20" t="s">
        <v>1106</v>
      </c>
    </row>
    <row r="1321" spans="1:12">
      <c r="A1321" s="20" t="s">
        <v>1107</v>
      </c>
      <c r="E1321" s="22">
        <f>IF(D1321="?OLD","!!!","")</f>
        <v/>
      </c>
      <c r="F1321" s="23" t="str">
        <f>IF(OR(E1321="",E1321="!!!"),"",IF(NOT(ISNA(VLOOKUP(E1321,E$1:E1320,1,FALSE()))),"OLD",IF(AND(E1321&lt;&gt;"",E1321&lt;&gt;"!!!"),"NEW","")))</f>
        <v> </v>
      </c>
      <c r="G1321" s="24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5" t="str">
        <f>IF(J1321&lt;&gt;1,"",IF(I1321="SBJ","CB","?"))</f>
        <v> </v>
      </c>
      <c r="I1321" s="26" t="str">
        <f>IF(OR(E1321="",E1321="!!!",F1321="NEW"),"",INDEX(B1320:B$2,-1+SUMPRODUCT(MAX(ROW(E1320:E$2)*(E1321=E1320:E$2)))))</f>
        <v> </v>
      </c>
      <c r="J1321" s="26" t="str">
        <f>IF(OR(E1321="",E1321="!!!",F1321="NEW"),"",COUNTBLANK(OFFSET(A$1,,,SUMPRODUCT(MAX(ROW(E$2:E1321)*(E1321=E$2:E1321)))))-COUNTBLANK(OFFSET(A$1,,,SUMPRODUCT(MAX(ROW(E$1:E1320)*(E2=E$1:E1320))))))</f>
        <v> </v>
      </c>
      <c r="K1321" s="26" t="str">
        <f>IF(OR(E1321="",E1321="!!!",F1321="NEW"),"",INDEX(J$1:J1320,SUMPRODUCT(MAX(ROW(E$1:E1320)*(E1321=E$1:E1320)))))</f>
        <v> </v>
      </c>
      <c r="L1321" s="27"/>
    </row>
    <row r="1322" spans="1:12">
      <c r="A1322" s="20" t="s">
        <v>453</v>
      </c>
      <c r="E1322" s="22">
        <f>IF(D1322="?OLD","!!!","")</f>
        <v/>
      </c>
      <c r="F1322" s="23" t="str">
        <f>IF(OR(E1322="",E1322="!!!"),"",IF(NOT(ISNA(VLOOKUP(E1322,E$1:E1321,1,FALSE()))),"OLD",IF(AND(E1322&lt;&gt;"",E1322&lt;&gt;"!!!"),"NEW","")))</f>
        <v> </v>
      </c>
      <c r="G1322" s="24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5" t="str">
        <f>IF(J1322&lt;&gt;1,"",IF(I1322="SBJ","CB","?"))</f>
        <v> </v>
      </c>
      <c r="I1322" s="26" t="str">
        <f>IF(OR(E1322="",E1322="!!!",F1322="NEW"),"",INDEX(B1321:B$2,-1+SUMPRODUCT(MAX(ROW(E1321:E$2)*(E1322=E1321:E$2)))))</f>
        <v> </v>
      </c>
      <c r="J1322" s="26" t="str">
        <f>IF(OR(E1322="",E1322="!!!",F1322="NEW"),"",COUNTBLANK(OFFSET(A$1,,,SUMPRODUCT(MAX(ROW(E$2:E1322)*(E1322=E$2:E1322)))))-COUNTBLANK(OFFSET(A$1,,,SUMPRODUCT(MAX(ROW(E$1:E1321)*(E2=E$1:E1321))))))</f>
        <v> </v>
      </c>
      <c r="K1322" s="26" t="str">
        <f>IF(OR(E1322="",E1322="!!!",F1322="NEW"),"",INDEX(J$1:J1321,SUMPRODUCT(MAX(ROW(E$1:E1321)*(E1322=E$1:E1321)))))</f>
        <v> </v>
      </c>
      <c r="L1322" s="27"/>
    </row>
    <row r="1323" spans="1:12">
      <c r="A1323" s="20" t="s">
        <v>459</v>
      </c>
      <c r="E1323" s="22">
        <f>IF(D1323="?OLD","!!!","")</f>
        <v/>
      </c>
      <c r="F1323" s="23" t="str">
        <f>IF(OR(E1323="",E1323="!!!"),"",IF(NOT(ISNA(VLOOKUP(E1323,E$1:E1322,1,FALSE()))),"OLD",IF(AND(E1323&lt;&gt;"",E1323&lt;&gt;"!!!"),"NEW","")))</f>
        <v> </v>
      </c>
      <c r="G1323" s="24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5" t="str">
        <f>IF(J1323&lt;&gt;1,"",IF(I1323="SBJ","CB","?"))</f>
        <v> </v>
      </c>
      <c r="I1323" s="26" t="str">
        <f>IF(OR(E1323="",E1323="!!!",F1323="NEW"),"",INDEX(B1322:B$2,-1+SUMPRODUCT(MAX(ROW(E1322:E$2)*(E1323=E1322:E$2)))))</f>
        <v> </v>
      </c>
      <c r="J1323" s="26" t="str">
        <f>IF(OR(E1323="",E1323="!!!",F1323="NEW"),"",COUNTBLANK(OFFSET(A$1,,,SUMPRODUCT(MAX(ROW(E$2:E1323)*(E1323=E$2:E1323)))))-COUNTBLANK(OFFSET(A$1,,,SUMPRODUCT(MAX(ROW(E$1:E1322)*(E2=E$1:E1322))))))</f>
        <v> </v>
      </c>
      <c r="K1323" s="26" t="str">
        <f>IF(OR(E1323="",E1323="!!!",F1323="NEW"),"",INDEX(J$1:J1322,SUMPRODUCT(MAX(ROW(E$1:E1322)*(E1323=E$1:E1322)))))</f>
        <v> </v>
      </c>
      <c r="L1323" s="27"/>
    </row>
    <row r="1324" spans="1:12">
      <c r="A1324" s="20" t="s">
        <v>1108</v>
      </c>
      <c r="B1324" s="21" t="s">
        <v>556</v>
      </c>
      <c r="E1324" s="22">
        <f>IF(D1324="?OLD","!!!","")</f>
        <v/>
      </c>
      <c r="F1324" s="23" t="str">
        <f>IF(OR(E1324="",E1324="!!!"),"",IF(NOT(ISNA(VLOOKUP(E1324,E$1:E1323,1,FALSE()))),"OLD",IF(AND(E1324&lt;&gt;"",E1324&lt;&gt;"!!!"),"NEW","")))</f>
        <v> </v>
      </c>
      <c r="G1324" s="24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5" t="str">
        <f>IF(J1324&lt;&gt;1,"",IF(I1324="SBJ","CB","?"))</f>
        <v> </v>
      </c>
      <c r="I1324" s="26" t="str">
        <f>IF(OR(E1324="",E1324="!!!",F1324="NEW"),"",INDEX(B1323:B$2,-1+SUMPRODUCT(MAX(ROW(E1323:E$2)*(E1324=E1323:E$2)))))</f>
        <v> </v>
      </c>
      <c r="J1324" s="26" t="str">
        <f>IF(OR(E1324="",E1324="!!!",F1324="NEW"),"",COUNTBLANK(OFFSET(A$1,,,SUMPRODUCT(MAX(ROW(E$2:E1324)*(E1324=E$2:E1324)))))-COUNTBLANK(OFFSET(A$1,,,SUMPRODUCT(MAX(ROW(E$1:E1323)*(E2=E$1:E1323))))))</f>
        <v> </v>
      </c>
      <c r="K1324" s="26" t="str">
        <f>IF(OR(E1324="",E1324="!!!",F1324="NEW"),"",INDEX(J$1:J1323,SUMPRODUCT(MAX(ROW(E$1:E1323)*(E1324=E$1:E1323)))))</f>
        <v> </v>
      </c>
      <c r="L1324" s="27"/>
    </row>
    <row r="1325" spans="1:12">
      <c r="A1325" s="20" t="s">
        <v>975</v>
      </c>
      <c r="E1325" s="22">
        <f>IF(D1325="?OLD","!!!","")</f>
        <v/>
      </c>
      <c r="F1325" s="23" t="str">
        <f>IF(OR(E1325="",E1325="!!!"),"",IF(NOT(ISNA(VLOOKUP(E1325,E$1:E1324,1,FALSE()))),"OLD",IF(AND(E1325&lt;&gt;"",E1325&lt;&gt;"!!!"),"NEW","")))</f>
        <v> </v>
      </c>
      <c r="G1325" s="24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5" t="str">
        <f>IF(J1325&lt;&gt;1,"",IF(I1325="SBJ","CB","?"))</f>
        <v> </v>
      </c>
      <c r="I1325" s="26" t="str">
        <f>IF(OR(E1325="",E1325="!!!",F1325="NEW"),"",INDEX(B1324:B$2,-1+SUMPRODUCT(MAX(ROW(E1324:E$2)*(E1325=E1324:E$2)))))</f>
        <v> </v>
      </c>
      <c r="J1325" s="26" t="str">
        <f>IF(OR(E1325="",E1325="!!!",F1325="NEW"),"",COUNTBLANK(OFFSET(A$1,,,SUMPRODUCT(MAX(ROW(E$2:E1325)*(E1325=E$2:E1325)))))-COUNTBLANK(OFFSET(A$1,,,SUMPRODUCT(MAX(ROW(E$1:E1324)*(E2=E$1:E1324))))))</f>
        <v> </v>
      </c>
      <c r="K1325" s="26" t="str">
        <f>IF(OR(E1325="",E1325="!!!",F1325="NEW"),"",INDEX(J$1:J1324,SUMPRODUCT(MAX(ROW(E$1:E1324)*(E1325=E$1:E1324)))))</f>
        <v> </v>
      </c>
      <c r="L1325" s="27"/>
    </row>
    <row r="1326" spans="1:12">
      <c r="A1326" s="20" t="s">
        <v>696</v>
      </c>
      <c r="E1326" s="22">
        <f>IF(D1326="?OLD","!!!","")</f>
        <v/>
      </c>
      <c r="F1326" s="23" t="str">
        <f>IF(OR(E1326="",E1326="!!!"),"",IF(NOT(ISNA(VLOOKUP(E1326,E$1:E1325,1,FALSE()))),"OLD",IF(AND(E1326&lt;&gt;"",E1326&lt;&gt;"!!!"),"NEW","")))</f>
        <v> </v>
      </c>
      <c r="G1326" s="24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5" t="str">
        <f>IF(J1326&lt;&gt;1,"",IF(I1326="SBJ","CB","?"))</f>
        <v> </v>
      </c>
      <c r="I1326" s="26" t="str">
        <f>IF(OR(E1326="",E1326="!!!",F1326="NEW"),"",INDEX(B1325:B$2,-1+SUMPRODUCT(MAX(ROW(E1325:E$2)*(E1326=E1325:E$2)))))</f>
        <v> </v>
      </c>
      <c r="J1326" s="26" t="str">
        <f>IF(OR(E1326="",E1326="!!!",F1326="NEW"),"",COUNTBLANK(OFFSET(A$1,,,SUMPRODUCT(MAX(ROW(E$2:E1326)*(E1326=E$2:E1326)))))-COUNTBLANK(OFFSET(A$1,,,SUMPRODUCT(MAX(ROW(E$1:E1325)*(E2=E$1:E1325))))))</f>
        <v> </v>
      </c>
      <c r="K1326" s="26" t="str">
        <f>IF(OR(E1326="",E1326="!!!",F1326="NEW"),"",INDEX(J$1:J1325,SUMPRODUCT(MAX(ROW(E$1:E1325)*(E1326=E$1:E1325)))))</f>
        <v> </v>
      </c>
      <c r="L1326" s="27"/>
    </row>
    <row r="1327" spans="1:12">
      <c r="A1327" s="20" t="s">
        <v>1109</v>
      </c>
      <c r="E1327" s="22">
        <f>IF(D1327="?OLD","!!!","")</f>
        <v/>
      </c>
      <c r="F1327" s="23" t="str">
        <f>IF(OR(E1327="",E1327="!!!"),"",IF(NOT(ISNA(VLOOKUP(E1327,E$1:E1326,1,FALSE()))),"OLD",IF(AND(E1327&lt;&gt;"",E1327&lt;&gt;"!!!"),"NEW","")))</f>
        <v> </v>
      </c>
      <c r="G1327" s="24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5" t="str">
        <f>IF(J1327&lt;&gt;1,"",IF(I1327="SBJ","CB","?"))</f>
        <v> </v>
      </c>
      <c r="I1327" s="26" t="str">
        <f>IF(OR(E1327="",E1327="!!!",F1327="NEW"),"",INDEX(B1326:B$2,-1+SUMPRODUCT(MAX(ROW(E1326:E$2)*(E1327=E1326:E$2)))))</f>
        <v> </v>
      </c>
      <c r="J1327" s="26" t="str">
        <f>IF(OR(E1327="",E1327="!!!",F1327="NEW"),"",COUNTBLANK(OFFSET(A$1,,,SUMPRODUCT(MAX(ROW(E$2:E1327)*(E1327=E$2:E1327)))))-COUNTBLANK(OFFSET(A$1,,,SUMPRODUCT(MAX(ROW(E$1:E1326)*(E2=E$1:E1326))))))</f>
        <v> </v>
      </c>
      <c r="K1327" s="26" t="str">
        <f>IF(OR(E1327="",E1327="!!!",F1327="NEW"),"",INDEX(J$1:J1326,SUMPRODUCT(MAX(ROW(E$1:E1326)*(E1327=E$1:E1326)))))</f>
        <v> </v>
      </c>
      <c r="L1327" s="27"/>
    </row>
    <row r="1328" spans="1:12">
      <c r="A1328" s="20" t="s">
        <v>453</v>
      </c>
      <c r="E1328" s="22">
        <f>IF(D1328="?OLD","!!!","")</f>
        <v/>
      </c>
      <c r="F1328" s="23" t="str">
        <f>IF(OR(E1328="",E1328="!!!"),"",IF(NOT(ISNA(VLOOKUP(E1328,E$1:E1327,1,FALSE()))),"OLD",IF(AND(E1328&lt;&gt;"",E1328&lt;&gt;"!!!"),"NEW","")))</f>
        <v> </v>
      </c>
      <c r="G1328" s="24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5" t="str">
        <f>IF(J1328&lt;&gt;1,"",IF(I1328="SBJ","CB","?"))</f>
        <v> </v>
      </c>
      <c r="I1328" s="26" t="str">
        <f>IF(OR(E1328="",E1328="!!!",F1328="NEW"),"",INDEX(B1327:B$2,-1+SUMPRODUCT(MAX(ROW(E1327:E$2)*(E1328=E1327:E$2)))))</f>
        <v> </v>
      </c>
      <c r="J1328" s="26" t="str">
        <f>IF(OR(E1328="",E1328="!!!",F1328="NEW"),"",COUNTBLANK(OFFSET(A$1,,,SUMPRODUCT(MAX(ROW(E$2:E1328)*(E1328=E$2:E1328)))))-COUNTBLANK(OFFSET(A$1,,,SUMPRODUCT(MAX(ROW(E$1:E1327)*(E2=E$1:E1327))))))</f>
        <v> </v>
      </c>
      <c r="K1328" s="26" t="str">
        <f>IF(OR(E1328="",E1328="!!!",F1328="NEW"),"",INDEX(J$1:J1327,SUMPRODUCT(MAX(ROW(E$1:E1327)*(E1328=E$1:E1327)))))</f>
        <v> </v>
      </c>
      <c r="L1328" s="27"/>
    </row>
    <row r="1329" spans="1:12">
      <c r="A1329" s="20" t="s">
        <v>699</v>
      </c>
      <c r="E1329" s="22">
        <f>IF(D1329="?OLD","!!!","")</f>
        <v/>
      </c>
      <c r="F1329" s="23" t="str">
        <f>IF(OR(E1329="",E1329="!!!"),"",IF(NOT(ISNA(VLOOKUP(E1329,E$1:E1328,1,FALSE()))),"OLD",IF(AND(E1329&lt;&gt;"",E1329&lt;&gt;"!!!"),"NEW","")))</f>
        <v> </v>
      </c>
      <c r="G1329" s="24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5" t="str">
        <f>IF(J1329&lt;&gt;1,"",IF(I1329="SBJ","CB","?"))</f>
        <v> </v>
      </c>
      <c r="I1329" s="26" t="str">
        <f>IF(OR(E1329="",E1329="!!!",F1329="NEW"),"",INDEX(B1328:B$2,-1+SUMPRODUCT(MAX(ROW(E1328:E$2)*(E1329=E1328:E$2)))))</f>
        <v> </v>
      </c>
      <c r="J1329" s="26" t="str">
        <f>IF(OR(E1329="",E1329="!!!",F1329="NEW"),"",COUNTBLANK(OFFSET(A$1,,,SUMPRODUCT(MAX(ROW(E$2:E1329)*(E1329=E$2:E1329)))))-COUNTBLANK(OFFSET(A$1,,,SUMPRODUCT(MAX(ROW(E$1:E1328)*(E2=E$1:E1328))))))</f>
        <v> </v>
      </c>
      <c r="K1329" s="26" t="str">
        <f>IF(OR(E1329="",E1329="!!!",F1329="NEW"),"",INDEX(J$1:J1328,SUMPRODUCT(MAX(ROW(E$1:E1328)*(E1329=E$1:E1328)))))</f>
        <v> </v>
      </c>
      <c r="L1329" s="27"/>
    </row>
    <row r="1330" spans="1:12">
      <c r="A1330" s="20" t="s">
        <v>1110</v>
      </c>
      <c r="E1330" s="22">
        <f>IF(D1330="?OLD","!!!","")</f>
        <v/>
      </c>
      <c r="F1330" s="23" t="str">
        <f>IF(OR(E1330="",E1330="!!!"),"",IF(NOT(ISNA(VLOOKUP(E1330,E$1:E1329,1,FALSE()))),"OLD",IF(AND(E1330&lt;&gt;"",E1330&lt;&gt;"!!!"),"NEW","")))</f>
        <v> </v>
      </c>
      <c r="G1330" s="24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5" t="str">
        <f>IF(J1330&lt;&gt;1,"",IF(I1330="SBJ","CB","?"))</f>
        <v> </v>
      </c>
      <c r="I1330" s="26" t="str">
        <f>IF(OR(E1330="",E1330="!!!",F1330="NEW"),"",INDEX(B1329:B$2,-1+SUMPRODUCT(MAX(ROW(E1329:E$2)*(E1330=E1329:E$2)))))</f>
        <v> </v>
      </c>
      <c r="J1330" s="26" t="str">
        <f>IF(OR(E1330="",E1330="!!!",F1330="NEW"),"",COUNTBLANK(OFFSET(A$1,,,SUMPRODUCT(MAX(ROW(E$2:E1330)*(E1330=E$2:E1330)))))-COUNTBLANK(OFFSET(A$1,,,SUMPRODUCT(MAX(ROW(E$1:E1329)*(E2=E$1:E1329))))))</f>
        <v> </v>
      </c>
      <c r="K1330" s="26" t="str">
        <f>IF(OR(E1330="",E1330="!!!",F1330="NEW"),"",INDEX(J$1:J1329,SUMPRODUCT(MAX(ROW(E$1:E1329)*(E1330=E$1:E1329)))))</f>
        <v> </v>
      </c>
      <c r="L1330" s="27"/>
    </row>
    <row r="1331" spans="1:12">
      <c r="A1331" s="20" t="s">
        <v>438</v>
      </c>
      <c r="E1331" s="22">
        <f>IF(D1331="?OLD","!!!","")</f>
        <v/>
      </c>
      <c r="F1331" s="23" t="str">
        <f>IF(OR(E1331="",E1331="!!!"),"",IF(NOT(ISNA(VLOOKUP(E1331,E$1:E1330,1,FALSE()))),"OLD",IF(AND(E1331&lt;&gt;"",E1331&lt;&gt;"!!!"),"NEW","")))</f>
        <v> </v>
      </c>
      <c r="G1331" s="24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5" t="str">
        <f>IF(J1331&lt;&gt;1,"",IF(I1331="SBJ","CB","?"))</f>
        <v> </v>
      </c>
      <c r="I1331" s="26" t="str">
        <f>IF(OR(E1331="",E1331="!!!",F1331="NEW"),"",INDEX(B1330:B$2,-1+SUMPRODUCT(MAX(ROW(E1330:E$2)*(E1331=E1330:E$2)))))</f>
        <v> </v>
      </c>
      <c r="J1331" s="26" t="str">
        <f>IF(OR(E1331="",E1331="!!!",F1331="NEW"),"",COUNTBLANK(OFFSET(A$1,,,SUMPRODUCT(MAX(ROW(E$2:E1331)*(E1331=E$2:E1331)))))-COUNTBLANK(OFFSET(A$1,,,SUMPRODUCT(MAX(ROW(E$1:E1330)*(E2=E$1:E1330))))))</f>
        <v> </v>
      </c>
      <c r="K1331" s="26" t="str">
        <f>IF(OR(E1331="",E1331="!!!",F1331="NEW"),"",INDEX(J$1:J1330,SUMPRODUCT(MAX(ROW(E$1:E1330)*(E1331=E$1:E1330)))))</f>
        <v> </v>
      </c>
      <c r="L1331" s="27"/>
    </row>
    <row r="1332" spans="1:12">
      <c r="A1332" s="20"/>
    </row>
    <row r="1333" spans="1:12">
      <c r="A1333" s="20" t="s">
        <v>1111</v>
      </c>
    </row>
    <row r="1334" spans="1:12">
      <c r="A1334" s="20" t="s">
        <v>579</v>
      </c>
      <c r="E1334" s="22">
        <f>IF(D1334="?OLD","!!!","")</f>
        <v/>
      </c>
      <c r="F1334" s="23" t="str">
        <f>IF(OR(E1334="",E1334="!!!"),"",IF(NOT(ISNA(VLOOKUP(E1334,E$1:E1333,1,FALSE()))),"OLD",IF(AND(E1334&lt;&gt;"",E1334&lt;&gt;"!!!"),"NEW","")))</f>
        <v> </v>
      </c>
      <c r="G1334" s="24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5" t="str">
        <f>IF(J1334&lt;&gt;1,"",IF(I1334="SBJ","CB","?"))</f>
        <v> </v>
      </c>
      <c r="I1334" s="26" t="str">
        <f>IF(OR(E1334="",E1334="!!!",F1334="NEW"),"",INDEX(B1333:B$2,-1+SUMPRODUCT(MAX(ROW(E1333:E$2)*(E1334=E1333:E$2)))))</f>
        <v> </v>
      </c>
      <c r="J1334" s="26" t="str">
        <f>IF(OR(E1334="",E1334="!!!",F1334="NEW"),"",COUNTBLANK(OFFSET(A$1,,,SUMPRODUCT(MAX(ROW(E$2:E1334)*(E1334=E$2:E1334)))))-COUNTBLANK(OFFSET(A$1,,,SUMPRODUCT(MAX(ROW(E$1:E1333)*(E2=E$1:E1333))))))</f>
        <v> </v>
      </c>
      <c r="K1334" s="26" t="str">
        <f>IF(OR(E1334="",E1334="!!!",F1334="NEW"),"",INDEX(J$1:J1333,SUMPRODUCT(MAX(ROW(E$1:E1333)*(E1334=E$1:E1333)))))</f>
        <v> </v>
      </c>
      <c r="L1334" s="27"/>
    </row>
    <row r="1335" spans="1:12">
      <c r="A1335" s="20" t="s">
        <v>482</v>
      </c>
      <c r="B1335" s="21" t="s">
        <v>422</v>
      </c>
      <c r="C1335" s="21" t="s">
        <v>477</v>
      </c>
      <c r="D1335" s="21" t="s">
        <v>424</v>
      </c>
      <c r="E1335" s="22">
        <f>IF(D1335="?OLD","!!!","")</f>
        <v/>
      </c>
      <c r="F1335" s="23" t="str">
        <f>IF(OR(E1335="",E1335="!!!"),"",IF(NOT(ISNA(VLOOKUP(E1335,E$1:E1334,1,FALSE()))),"OLD",IF(AND(E1335&lt;&gt;"",E1335&lt;&gt;"!!!"),"NEW","")))</f>
        <v> </v>
      </c>
      <c r="G1335" s="24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5" t="str">
        <f>IF(J1335&lt;&gt;1,"",IF(I1335="SBJ","CB","?"))</f>
        <v> </v>
      </c>
      <c r="I1335" s="26" t="str">
        <f>IF(OR(E1335="",E1335="!!!",F1335="NEW"),"",INDEX(B1334:B$2,-1+SUMPRODUCT(MAX(ROW(E1334:E$2)*(E1335=E1334:E$2)))))</f>
        <v> </v>
      </c>
      <c r="J1335" s="26" t="str">
        <f>IF(OR(E1335="",E1335="!!!",F1335="NEW"),"",COUNTBLANK(OFFSET(A$1,,,SUMPRODUCT(MAX(ROW(E$2:E1335)*(E1335=E$2:E1335)))))-COUNTBLANK(OFFSET(A$1,,,SUMPRODUCT(MAX(ROW(E$1:E1334)*(E2=E$1:E1334))))))</f>
        <v> </v>
      </c>
      <c r="K1335" s="26" t="str">
        <f>IF(OR(E1335="",E1335="!!!",F1335="NEW"),"",INDEX(J$1:J1334,SUMPRODUCT(MAX(ROW(E$1:E1334)*(E1335=E$1:E1334)))))</f>
        <v> </v>
      </c>
      <c r="L1335" s="27"/>
    </row>
    <row r="1336" spans="1:12">
      <c r="A1336" s="20" t="s">
        <v>1075</v>
      </c>
      <c r="E1336" s="22">
        <f>IF(D1336="?OLD","!!!","")</f>
        <v/>
      </c>
      <c r="F1336" s="23" t="str">
        <f>IF(OR(E1336="",E1336="!!!"),"",IF(NOT(ISNA(VLOOKUP(E1336,E$1:E1335,1,FALSE()))),"OLD",IF(AND(E1336&lt;&gt;"",E1336&lt;&gt;"!!!"),"NEW","")))</f>
        <v> </v>
      </c>
      <c r="G1336" s="24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5" t="str">
        <f>IF(J1336&lt;&gt;1,"",IF(I1336="SBJ","CB","?"))</f>
        <v> </v>
      </c>
      <c r="I1336" s="26" t="str">
        <f>IF(OR(E1336="",E1336="!!!",F1336="NEW"),"",INDEX(B1335:B$2,-1+SUMPRODUCT(MAX(ROW(E1335:E$2)*(E1336=E1335:E$2)))))</f>
        <v> </v>
      </c>
      <c r="J1336" s="26" t="str">
        <f>IF(OR(E1336="",E1336="!!!",F1336="NEW"),"",COUNTBLANK(OFFSET(A$1,,,SUMPRODUCT(MAX(ROW(E$2:E1336)*(E1336=E$2:E1336)))))-COUNTBLANK(OFFSET(A$1,,,SUMPRODUCT(MAX(ROW(E$1:E1335)*(E2=E$1:E1335))))))</f>
        <v> </v>
      </c>
      <c r="K1336" s="26" t="str">
        <f>IF(OR(E1336="",E1336="!!!",F1336="NEW"),"",INDEX(J$1:J1335,SUMPRODUCT(MAX(ROW(E$1:E1335)*(E1336=E$1:E1335)))))</f>
        <v> </v>
      </c>
      <c r="L1336" s="27"/>
    </row>
    <row r="1337" spans="1:12">
      <c r="A1337" s="20" t="s">
        <v>1112</v>
      </c>
      <c r="E1337" s="22">
        <f>IF(D1337="?OLD","!!!","")</f>
        <v/>
      </c>
      <c r="F1337" s="23" t="str">
        <f>IF(OR(E1337="",E1337="!!!"),"",IF(NOT(ISNA(VLOOKUP(E1337,E$1:E1336,1,FALSE()))),"OLD",IF(AND(E1337&lt;&gt;"",E1337&lt;&gt;"!!!"),"NEW","")))</f>
        <v> </v>
      </c>
      <c r="G1337" s="24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5" t="str">
        <f>IF(J1337&lt;&gt;1,"",IF(I1337="SBJ","CB","?"))</f>
        <v> </v>
      </c>
      <c r="I1337" s="26" t="str">
        <f>IF(OR(E1337="",E1337="!!!",F1337="NEW"),"",INDEX(B1336:B$2,-1+SUMPRODUCT(MAX(ROW(E1336:E$2)*(E1337=E1336:E$2)))))</f>
        <v> </v>
      </c>
      <c r="J1337" s="26" t="str">
        <f>IF(OR(E1337="",E1337="!!!",F1337="NEW"),"",COUNTBLANK(OFFSET(A$1,,,SUMPRODUCT(MAX(ROW(E$2:E1337)*(E1337=E$2:E1337)))))-COUNTBLANK(OFFSET(A$1,,,SUMPRODUCT(MAX(ROW(E$1:E1336)*(E2=E$1:E1336))))))</f>
        <v> </v>
      </c>
      <c r="K1337" s="26" t="str">
        <f>IF(OR(E1337="",E1337="!!!",F1337="NEW"),"",INDEX(J$1:J1336,SUMPRODUCT(MAX(ROW(E$1:E1336)*(E1337=E$1:E1336)))))</f>
        <v> </v>
      </c>
      <c r="L1337" s="27"/>
    </row>
    <row r="1338" spans="1:12">
      <c r="A1338" s="20" t="s">
        <v>1113</v>
      </c>
      <c r="E1338" s="22">
        <f>IF(D1338="?OLD","!!!","")</f>
        <v/>
      </c>
      <c r="F1338" s="23" t="str">
        <f>IF(OR(E1338="",E1338="!!!"),"",IF(NOT(ISNA(VLOOKUP(E1338,E$1:E1337,1,FALSE()))),"OLD",IF(AND(E1338&lt;&gt;"",E1338&lt;&gt;"!!!"),"NEW","")))</f>
        <v> </v>
      </c>
      <c r="G1338" s="24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5" t="str">
        <f>IF(J1338&lt;&gt;1,"",IF(I1338="SBJ","CB","?"))</f>
        <v> </v>
      </c>
      <c r="I1338" s="26" t="str">
        <f>IF(OR(E1338="",E1338="!!!",F1338="NEW"),"",INDEX(B1337:B$2,-1+SUMPRODUCT(MAX(ROW(E1337:E$2)*(E1338=E1337:E$2)))))</f>
        <v> </v>
      </c>
      <c r="J1338" s="26" t="str">
        <f>IF(OR(E1338="",E1338="!!!",F1338="NEW"),"",COUNTBLANK(OFFSET(A$1,,,SUMPRODUCT(MAX(ROW(E$2:E1338)*(E1338=E$2:E1338)))))-COUNTBLANK(OFFSET(A$1,,,SUMPRODUCT(MAX(ROW(E$1:E1337)*(E2=E$1:E1337))))))</f>
        <v> </v>
      </c>
      <c r="K1338" s="26" t="str">
        <f>IF(OR(E1338="",E1338="!!!",F1338="NEW"),"",INDEX(J$1:J1337,SUMPRODUCT(MAX(ROW(E$1:E1337)*(E1338=E$1:E1337)))))</f>
        <v> </v>
      </c>
      <c r="L1338" s="27"/>
    </row>
    <row r="1339" spans="1:12">
      <c r="A1339" s="20" t="s">
        <v>1114</v>
      </c>
      <c r="E1339" s="22">
        <f>IF(D1339="?OLD","!!!","")</f>
        <v/>
      </c>
      <c r="F1339" s="23" t="str">
        <f>IF(OR(E1339="",E1339="!!!"),"",IF(NOT(ISNA(VLOOKUP(E1339,E$1:E1338,1,FALSE()))),"OLD",IF(AND(E1339&lt;&gt;"",E1339&lt;&gt;"!!!"),"NEW","")))</f>
        <v> </v>
      </c>
      <c r="G1339" s="24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5" t="str">
        <f>IF(J1339&lt;&gt;1,"",IF(I1339="SBJ","CB","?"))</f>
        <v> </v>
      </c>
      <c r="I1339" s="26" t="str">
        <f>IF(OR(E1339="",E1339="!!!",F1339="NEW"),"",INDEX(B1338:B$2,-1+SUMPRODUCT(MAX(ROW(E1338:E$2)*(E1339=E1338:E$2)))))</f>
        <v> </v>
      </c>
      <c r="J1339" s="26" t="str">
        <f>IF(OR(E1339="",E1339="!!!",F1339="NEW"),"",COUNTBLANK(OFFSET(A$1,,,SUMPRODUCT(MAX(ROW(E$2:E1339)*(E1339=E$2:E1339)))))-COUNTBLANK(OFFSET(A$1,,,SUMPRODUCT(MAX(ROW(E$1:E1338)*(E2=E$1:E1338))))))</f>
        <v> </v>
      </c>
      <c r="K1339" s="26" t="str">
        <f>IF(OR(E1339="",E1339="!!!",F1339="NEW"),"",INDEX(J$1:J1338,SUMPRODUCT(MAX(ROW(E$1:E1338)*(E1339=E$1:E1338)))))</f>
        <v> </v>
      </c>
      <c r="L1339" s="27"/>
    </row>
    <row r="1340" spans="1:12">
      <c r="A1340" s="20" t="s">
        <v>750</v>
      </c>
      <c r="E1340" s="22">
        <f>IF(D1340="?OLD","!!!","")</f>
        <v/>
      </c>
      <c r="F1340" s="23" t="str">
        <f>IF(OR(E1340="",E1340="!!!"),"",IF(NOT(ISNA(VLOOKUP(E1340,E$1:E1339,1,FALSE()))),"OLD",IF(AND(E1340&lt;&gt;"",E1340&lt;&gt;"!!!"),"NEW","")))</f>
        <v> </v>
      </c>
      <c r="G1340" s="24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5" t="str">
        <f>IF(J1340&lt;&gt;1,"",IF(I1340="SBJ","CB","?"))</f>
        <v> </v>
      </c>
      <c r="I1340" s="26" t="str">
        <f>IF(OR(E1340="",E1340="!!!",F1340="NEW"),"",INDEX(B1339:B$2,-1+SUMPRODUCT(MAX(ROW(E1339:E$2)*(E1340=E1339:E$2)))))</f>
        <v> </v>
      </c>
      <c r="J1340" s="26" t="str">
        <f>IF(OR(E1340="",E1340="!!!",F1340="NEW"),"",COUNTBLANK(OFFSET(A$1,,,SUMPRODUCT(MAX(ROW(E$2:E1340)*(E1340=E$2:E1340)))))-COUNTBLANK(OFFSET(A$1,,,SUMPRODUCT(MAX(ROW(E$1:E1339)*(E2=E$1:E1339))))))</f>
        <v> </v>
      </c>
      <c r="K1340" s="26" t="str">
        <f>IF(OR(E1340="",E1340="!!!",F1340="NEW"),"",INDEX(J$1:J1339,SUMPRODUCT(MAX(ROW(E$1:E1339)*(E1340=E$1:E1339)))))</f>
        <v> </v>
      </c>
      <c r="L1340" s="27"/>
    </row>
    <row r="1341" spans="1:12">
      <c r="A1341" s="20" t="s">
        <v>453</v>
      </c>
      <c r="E1341" s="22">
        <f>IF(D1341="?OLD","!!!","")</f>
        <v/>
      </c>
      <c r="F1341" s="23" t="str">
        <f>IF(OR(E1341="",E1341="!!!"),"",IF(NOT(ISNA(VLOOKUP(E1341,E$1:E1340,1,FALSE()))),"OLD",IF(AND(E1341&lt;&gt;"",E1341&lt;&gt;"!!!"),"NEW","")))</f>
        <v> </v>
      </c>
      <c r="G1341" s="24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5" t="str">
        <f>IF(J1341&lt;&gt;1,"",IF(I1341="SBJ","CB","?"))</f>
        <v> </v>
      </c>
      <c r="I1341" s="26" t="str">
        <f>IF(OR(E1341="",E1341="!!!",F1341="NEW"),"",INDEX(B1340:B$2,-1+SUMPRODUCT(MAX(ROW(E1340:E$2)*(E1341=E1340:E$2)))))</f>
        <v> </v>
      </c>
      <c r="J1341" s="26" t="str">
        <f>IF(OR(E1341="",E1341="!!!",F1341="NEW"),"",COUNTBLANK(OFFSET(A$1,,,SUMPRODUCT(MAX(ROW(E$2:E1341)*(E1341=E$2:E1341)))))-COUNTBLANK(OFFSET(A$1,,,SUMPRODUCT(MAX(ROW(E$1:E1340)*(E2=E$1:E1340))))))</f>
        <v> </v>
      </c>
      <c r="K1341" s="26" t="str">
        <f>IF(OR(E1341="",E1341="!!!",F1341="NEW"),"",INDEX(J$1:J1340,SUMPRODUCT(MAX(ROW(E$1:E1340)*(E1341=E$1:E1340)))))</f>
        <v> </v>
      </c>
      <c r="L1341" s="27"/>
    </row>
    <row r="1342" spans="1:12">
      <c r="A1342" s="20" t="s">
        <v>1115</v>
      </c>
      <c r="E1342" s="22">
        <f>IF(D1342="?OLD","!!!","")</f>
        <v/>
      </c>
      <c r="F1342" s="23" t="str">
        <f>IF(OR(E1342="",E1342="!!!"),"",IF(NOT(ISNA(VLOOKUP(E1342,E$1:E1341,1,FALSE()))),"OLD",IF(AND(E1342&lt;&gt;"",E1342&lt;&gt;"!!!"),"NEW","")))</f>
        <v> </v>
      </c>
      <c r="G1342" s="24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5" t="str">
        <f>IF(J1342&lt;&gt;1,"",IF(I1342="SBJ","CB","?"))</f>
        <v> </v>
      </c>
      <c r="I1342" s="26" t="str">
        <f>IF(OR(E1342="",E1342="!!!",F1342="NEW"),"",INDEX(B1341:B$2,-1+SUMPRODUCT(MAX(ROW(E1341:E$2)*(E1342=E1341:E$2)))))</f>
        <v> </v>
      </c>
      <c r="J1342" s="26" t="str">
        <f>IF(OR(E1342="",E1342="!!!",F1342="NEW"),"",COUNTBLANK(OFFSET(A$1,,,SUMPRODUCT(MAX(ROW(E$2:E1342)*(E1342=E$2:E1342)))))-COUNTBLANK(OFFSET(A$1,,,SUMPRODUCT(MAX(ROW(E$1:E1341)*(E2=E$1:E1341))))))</f>
        <v> </v>
      </c>
      <c r="K1342" s="26" t="str">
        <f>IF(OR(E1342="",E1342="!!!",F1342="NEW"),"",INDEX(J$1:J1341,SUMPRODUCT(MAX(ROW(E$1:E1341)*(E1342=E$1:E1341)))))</f>
        <v> </v>
      </c>
      <c r="L1342" s="27"/>
    </row>
    <row r="1343" spans="1:12">
      <c r="A1343" s="20" t="s">
        <v>436</v>
      </c>
      <c r="E1343" s="22">
        <f>IF(D1343="?OLD","!!!","")</f>
        <v/>
      </c>
      <c r="F1343" s="23" t="str">
        <f>IF(OR(E1343="",E1343="!!!"),"",IF(NOT(ISNA(VLOOKUP(E1343,E$1:E1342,1,FALSE()))),"OLD",IF(AND(E1343&lt;&gt;"",E1343&lt;&gt;"!!!"),"NEW","")))</f>
        <v> </v>
      </c>
      <c r="G1343" s="24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5" t="str">
        <f>IF(J1343&lt;&gt;1,"",IF(I1343="SBJ","CB","?"))</f>
        <v> </v>
      </c>
      <c r="I1343" s="26" t="str">
        <f>IF(OR(E1343="",E1343="!!!",F1343="NEW"),"",INDEX(B1342:B$2,-1+SUMPRODUCT(MAX(ROW(E1342:E$2)*(E1343=E1342:E$2)))))</f>
        <v> </v>
      </c>
      <c r="J1343" s="26" t="str">
        <f>IF(OR(E1343="",E1343="!!!",F1343="NEW"),"",COUNTBLANK(OFFSET(A$1,,,SUMPRODUCT(MAX(ROW(E$2:E1343)*(E1343=E$2:E1343)))))-COUNTBLANK(OFFSET(A$1,,,SUMPRODUCT(MAX(ROW(E$1:E1342)*(E2=E$1:E1342))))))</f>
        <v> </v>
      </c>
      <c r="K1343" s="26" t="str">
        <f>IF(OR(E1343="",E1343="!!!",F1343="NEW"),"",INDEX(J$1:J1342,SUMPRODUCT(MAX(ROW(E$1:E1342)*(E1343=E$1:E1342)))))</f>
        <v> </v>
      </c>
      <c r="L1343" s="27"/>
    </row>
    <row r="1344" spans="1:12">
      <c r="A1344" s="20" t="s">
        <v>1064</v>
      </c>
      <c r="E1344" s="22">
        <f>IF(D1344="?OLD","!!!","")</f>
        <v/>
      </c>
      <c r="F1344" s="23" t="str">
        <f>IF(OR(E1344="",E1344="!!!"),"",IF(NOT(ISNA(VLOOKUP(E1344,E$1:E1343,1,FALSE()))),"OLD",IF(AND(E1344&lt;&gt;"",E1344&lt;&gt;"!!!"),"NEW","")))</f>
        <v> </v>
      </c>
      <c r="G1344" s="24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5" t="str">
        <f>IF(J1344&lt;&gt;1,"",IF(I1344="SBJ","CB","?"))</f>
        <v> </v>
      </c>
      <c r="I1344" s="26" t="str">
        <f>IF(OR(E1344="",E1344="!!!",F1344="NEW"),"",INDEX(B1343:B$2,-1+SUMPRODUCT(MAX(ROW(E1343:E$2)*(E1344=E1343:E$2)))))</f>
        <v> </v>
      </c>
      <c r="J1344" s="26" t="str">
        <f>IF(OR(E1344="",E1344="!!!",F1344="NEW"),"",COUNTBLANK(OFFSET(A$1,,,SUMPRODUCT(MAX(ROW(E$2:E1344)*(E1344=E$2:E1344)))))-COUNTBLANK(OFFSET(A$1,,,SUMPRODUCT(MAX(ROW(E$1:E1343)*(E2=E$1:E1343))))))</f>
        <v> </v>
      </c>
      <c r="K1344" s="26" t="str">
        <f>IF(OR(E1344="",E1344="!!!",F1344="NEW"),"",INDEX(J$1:J1343,SUMPRODUCT(MAX(ROW(E$1:E1343)*(E1344=E$1:E1343)))))</f>
        <v> </v>
      </c>
      <c r="L1344" s="27"/>
    </row>
    <row r="1345" spans="1:12">
      <c r="A1345" s="20" t="s">
        <v>1074</v>
      </c>
      <c r="E1345" s="22">
        <f>IF(D1345="?OLD","!!!","")</f>
        <v/>
      </c>
      <c r="F1345" s="23" t="str">
        <f>IF(OR(E1345="",E1345="!!!"),"",IF(NOT(ISNA(VLOOKUP(E1345,E$1:E1344,1,FALSE()))),"OLD",IF(AND(E1345&lt;&gt;"",E1345&lt;&gt;"!!!"),"NEW","")))</f>
        <v> </v>
      </c>
      <c r="G1345" s="24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5" t="str">
        <f>IF(J1345&lt;&gt;1,"",IF(I1345="SBJ","CB","?"))</f>
        <v> </v>
      </c>
      <c r="I1345" s="26" t="str">
        <f>IF(OR(E1345="",E1345="!!!",F1345="NEW"),"",INDEX(B1344:B$2,-1+SUMPRODUCT(MAX(ROW(E1344:E$2)*(E1345=E1344:E$2)))))</f>
        <v> </v>
      </c>
      <c r="J1345" s="26" t="str">
        <f>IF(OR(E1345="",E1345="!!!",F1345="NEW"),"",COUNTBLANK(OFFSET(A$1,,,SUMPRODUCT(MAX(ROW(E$2:E1345)*(E1345=E$2:E1345)))))-COUNTBLANK(OFFSET(A$1,,,SUMPRODUCT(MAX(ROW(E$1:E1344)*(E2=E$1:E1344))))))</f>
        <v> </v>
      </c>
      <c r="K1345" s="26" t="str">
        <f>IF(OR(E1345="",E1345="!!!",F1345="NEW"),"",INDEX(J$1:J1344,SUMPRODUCT(MAX(ROW(E$1:E1344)*(E1345=E$1:E1344)))))</f>
        <v> </v>
      </c>
      <c r="L1345" s="27"/>
    </row>
    <row r="1346" spans="1:12">
      <c r="A1346" s="20" t="s">
        <v>438</v>
      </c>
      <c r="E1346" s="22">
        <f>IF(D1346="?OLD","!!!","")</f>
        <v/>
      </c>
      <c r="F1346" s="23" t="str">
        <f>IF(OR(E1346="",E1346="!!!"),"",IF(NOT(ISNA(VLOOKUP(E1346,E$1:E1345,1,FALSE()))),"OLD",IF(AND(E1346&lt;&gt;"",E1346&lt;&gt;"!!!"),"NEW","")))</f>
        <v> </v>
      </c>
      <c r="G1346" s="24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5" t="str">
        <f>IF(J1346&lt;&gt;1,"",IF(I1346="SBJ","CB","?"))</f>
        <v> </v>
      </c>
      <c r="I1346" s="26" t="str">
        <f>IF(OR(E1346="",E1346="!!!",F1346="NEW"),"",INDEX(B1345:B$2,-1+SUMPRODUCT(MAX(ROW(E1345:E$2)*(E1346=E1345:E$2)))))</f>
        <v> </v>
      </c>
      <c r="J1346" s="26" t="str">
        <f>IF(OR(E1346="",E1346="!!!",F1346="NEW"),"",COUNTBLANK(OFFSET(A$1,,,SUMPRODUCT(MAX(ROW(E$2:E1346)*(E1346=E$2:E1346)))))-COUNTBLANK(OFFSET(A$1,,,SUMPRODUCT(MAX(ROW(E$1:E1345)*(E2=E$1:E1345))))))</f>
        <v> </v>
      </c>
      <c r="K1346" s="26" t="str">
        <f>IF(OR(E1346="",E1346="!!!",F1346="NEW"),"",INDEX(J$1:J1345,SUMPRODUCT(MAX(ROW(E$1:E1345)*(E1346=E$1:E1345)))))</f>
        <v> </v>
      </c>
      <c r="L1346" s="27"/>
    </row>
    <row r="1347" spans="1:12">
      <c r="A1347" s="20"/>
    </row>
    <row r="1348" spans="1:12">
      <c r="A1348" s="20" t="s">
        <v>1116</v>
      </c>
    </row>
    <row r="1349" spans="1:12">
      <c r="A1349" s="20" t="s">
        <v>1021</v>
      </c>
      <c r="E1349" s="22">
        <f>IF(D1349="?OLD","!!!","")</f>
        <v/>
      </c>
      <c r="F1349" s="23" t="str">
        <f>IF(OR(E1349="",E1349="!!!"),"",IF(NOT(ISNA(VLOOKUP(E1349,E$1:E1348,1,FALSE()))),"OLD",IF(AND(E1349&lt;&gt;"",E1349&lt;&gt;"!!!"),"NEW","")))</f>
        <v> </v>
      </c>
      <c r="G1349" s="24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5" t="str">
        <f>IF(J1349&lt;&gt;1,"",IF(I1349="SBJ","CB","?"))</f>
        <v> </v>
      </c>
      <c r="I1349" s="26" t="str">
        <f>IF(OR(E1349="",E1349="!!!",F1349="NEW"),"",INDEX(B1348:B$2,-1+SUMPRODUCT(MAX(ROW(E1348:E$2)*(E1349=E1348:E$2)))))</f>
        <v> </v>
      </c>
      <c r="J1349" s="26" t="str">
        <f>IF(OR(E1349="",E1349="!!!",F1349="NEW"),"",COUNTBLANK(OFFSET(A$1,,,SUMPRODUCT(MAX(ROW(E$2:E1349)*(E1349=E$2:E1349)))))-COUNTBLANK(OFFSET(A$1,,,SUMPRODUCT(MAX(ROW(E$1:E1348)*(E2=E$1:E1348))))))</f>
        <v> </v>
      </c>
      <c r="K1349" s="26" t="str">
        <f>IF(OR(E1349="",E1349="!!!",F1349="NEW"),"",INDEX(J$1:J1348,SUMPRODUCT(MAX(ROW(E$1:E1348)*(E1349=E$1:E1348)))))</f>
        <v> </v>
      </c>
      <c r="L1349" s="27"/>
    </row>
    <row r="1350" spans="1:12">
      <c r="A1350" s="20" t="s">
        <v>1103</v>
      </c>
      <c r="E1350" s="22">
        <f>IF(D1350="?OLD","!!!","")</f>
        <v/>
      </c>
      <c r="F1350" s="23" t="str">
        <f>IF(OR(E1350="",E1350="!!!"),"",IF(NOT(ISNA(VLOOKUP(E1350,E$1:E1349,1,FALSE()))),"OLD",IF(AND(E1350&lt;&gt;"",E1350&lt;&gt;"!!!"),"NEW","")))</f>
        <v> </v>
      </c>
      <c r="G1350" s="24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5" t="str">
        <f>IF(J1350&lt;&gt;1,"",IF(I1350="SBJ","CB","?"))</f>
        <v> </v>
      </c>
      <c r="I1350" s="26" t="str">
        <f>IF(OR(E1350="",E1350="!!!",F1350="NEW"),"",INDEX(B1349:B$2,-1+SUMPRODUCT(MAX(ROW(E1349:E$2)*(E1350=E1349:E$2)))))</f>
        <v> </v>
      </c>
      <c r="J1350" s="26" t="str">
        <f>IF(OR(E1350="",E1350="!!!",F1350="NEW"),"",COUNTBLANK(OFFSET(A$1,,,SUMPRODUCT(MAX(ROW(E$2:E1350)*(E1350=E$2:E1350)))))-COUNTBLANK(OFFSET(A$1,,,SUMPRODUCT(MAX(ROW(E$1:E1349)*(E2=E$1:E1349))))))</f>
        <v> </v>
      </c>
      <c r="K1350" s="26" t="str">
        <f>IF(OR(E1350="",E1350="!!!",F1350="NEW"),"",INDEX(J$1:J1349,SUMPRODUCT(MAX(ROW(E$1:E1349)*(E1350=E$1:E1349)))))</f>
        <v> </v>
      </c>
      <c r="L1350" s="27"/>
    </row>
    <row r="1351" spans="1:12">
      <c r="A1351" s="20" t="s">
        <v>1117</v>
      </c>
      <c r="E1351" s="22">
        <f>IF(D1351="?OLD","!!!","")</f>
        <v/>
      </c>
      <c r="F1351" s="23" t="str">
        <f>IF(OR(E1351="",E1351="!!!"),"",IF(NOT(ISNA(VLOOKUP(E1351,E$1:E1350,1,FALSE()))),"OLD",IF(AND(E1351&lt;&gt;"",E1351&lt;&gt;"!!!"),"NEW","")))</f>
        <v> </v>
      </c>
      <c r="G1351" s="24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5" t="str">
        <f>IF(J1351&lt;&gt;1,"",IF(I1351="SBJ","CB","?"))</f>
        <v> </v>
      </c>
      <c r="I1351" s="26" t="str">
        <f>IF(OR(E1351="",E1351="!!!",F1351="NEW"),"",INDEX(B1350:B$2,-1+SUMPRODUCT(MAX(ROW(E1350:E$2)*(E1351=E1350:E$2)))))</f>
        <v> </v>
      </c>
      <c r="J1351" s="26" t="str">
        <f>IF(OR(E1351="",E1351="!!!",F1351="NEW"),"",COUNTBLANK(OFFSET(A$1,,,SUMPRODUCT(MAX(ROW(E$2:E1351)*(E1351=E$2:E1351)))))-COUNTBLANK(OFFSET(A$1,,,SUMPRODUCT(MAX(ROW(E$1:E1350)*(E2=E$1:E1350))))))</f>
        <v> </v>
      </c>
      <c r="K1351" s="26" t="str">
        <f>IF(OR(E1351="",E1351="!!!",F1351="NEW"),"",INDEX(J$1:J1350,SUMPRODUCT(MAX(ROW(E$1:E1350)*(E1351=E$1:E1350)))))</f>
        <v> </v>
      </c>
      <c r="L1351" s="27"/>
    </row>
    <row r="1352" spans="1:12">
      <c r="A1352" s="20" t="s">
        <v>453</v>
      </c>
      <c r="E1352" s="22">
        <f>IF(D1352="?OLD","!!!","")</f>
        <v/>
      </c>
      <c r="F1352" s="23" t="str">
        <f>IF(OR(E1352="",E1352="!!!"),"",IF(NOT(ISNA(VLOOKUP(E1352,E$1:E1351,1,FALSE()))),"OLD",IF(AND(E1352&lt;&gt;"",E1352&lt;&gt;"!!!"),"NEW","")))</f>
        <v> </v>
      </c>
      <c r="G1352" s="24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5" t="str">
        <f>IF(J1352&lt;&gt;1,"",IF(I1352="SBJ","CB","?"))</f>
        <v> </v>
      </c>
      <c r="I1352" s="26" t="str">
        <f>IF(OR(E1352="",E1352="!!!",F1352="NEW"),"",INDEX(B1351:B$2,-1+SUMPRODUCT(MAX(ROW(E1351:E$2)*(E1352=E1351:E$2)))))</f>
        <v> </v>
      </c>
      <c r="J1352" s="26" t="str">
        <f>IF(OR(E1352="",E1352="!!!",F1352="NEW"),"",COUNTBLANK(OFFSET(A$1,,,SUMPRODUCT(MAX(ROW(E$2:E1352)*(E1352=E$2:E1352)))))-COUNTBLANK(OFFSET(A$1,,,SUMPRODUCT(MAX(ROW(E$1:E1351)*(E2=E$1:E1351))))))</f>
        <v> </v>
      </c>
      <c r="K1352" s="26" t="str">
        <f>IF(OR(E1352="",E1352="!!!",F1352="NEW"),"",INDEX(J$1:J1351,SUMPRODUCT(MAX(ROW(E$1:E1351)*(E1352=E$1:E1351)))))</f>
        <v> </v>
      </c>
      <c r="L1352" s="27"/>
    </row>
    <row r="1353" spans="1:12">
      <c r="A1353" s="20" t="s">
        <v>558</v>
      </c>
      <c r="B1353" s="21" t="s">
        <v>809</v>
      </c>
      <c r="C1353" s="21" t="s">
        <v>481</v>
      </c>
      <c r="E1353" s="22">
        <f>IF(D1353="?OLD","!!!","")</f>
        <v/>
      </c>
      <c r="F1353" s="23" t="str">
        <f>IF(OR(E1353="",E1353="!!!"),"",IF(NOT(ISNA(VLOOKUP(E1353,E$1:E1352,1,FALSE()))),"OLD",IF(AND(E1353&lt;&gt;"",E1353&lt;&gt;"!!!"),"NEW","")))</f>
        <v> </v>
      </c>
      <c r="G1353" s="24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5" t="str">
        <f>IF(J1353&lt;&gt;1,"",IF(I1353="SBJ","CB","?"))</f>
        <v> </v>
      </c>
      <c r="I1353" s="26" t="str">
        <f>IF(OR(E1353="",E1353="!!!",F1353="NEW"),"",INDEX(B1352:B$2,-1+SUMPRODUCT(MAX(ROW(E1352:E$2)*(E1353=E1352:E$2)))))</f>
        <v> </v>
      </c>
      <c r="J1353" s="26" t="str">
        <f>IF(OR(E1353="",E1353="!!!",F1353="NEW"),"",COUNTBLANK(OFFSET(A$1,,,SUMPRODUCT(MAX(ROW(E$2:E1353)*(E1353=E$2:E1353)))))-COUNTBLANK(OFFSET(A$1,,,SUMPRODUCT(MAX(ROW(E$1:E1352)*(E2=E$1:E1352))))))</f>
        <v> </v>
      </c>
      <c r="K1353" s="26" t="str">
        <f>IF(OR(E1353="",E1353="!!!",F1353="NEW"),"",INDEX(J$1:J1352,SUMPRODUCT(MAX(ROW(E$1:E1352)*(E1353=E$1:E1352)))))</f>
        <v> </v>
      </c>
      <c r="L1353" s="27"/>
    </row>
    <row r="1354" spans="1:12">
      <c r="A1354" s="20" t="s">
        <v>492</v>
      </c>
      <c r="B1354" s="21" t="s">
        <v>470</v>
      </c>
      <c r="C1354" s="21" t="s">
        <v>423</v>
      </c>
      <c r="D1354" s="21" t="s">
        <v>424</v>
      </c>
      <c r="E1354" s="22">
        <f>IF(D1354="?OLD","!!!","")</f>
        <v/>
      </c>
      <c r="F1354" s="23" t="str">
        <f>IF(OR(E1354="",E1354="!!!"),"",IF(NOT(ISNA(VLOOKUP(E1354,E$1:E1353,1,FALSE()))),"OLD",IF(AND(E1354&lt;&gt;"",E1354&lt;&gt;"!!!"),"NEW","")))</f>
        <v> </v>
      </c>
      <c r="G1354" s="24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5" t="str">
        <f>IF(J1354&lt;&gt;1,"",IF(I1354="SBJ","CB","?"))</f>
        <v> </v>
      </c>
      <c r="I1354" s="26" t="str">
        <f>IF(OR(E1354="",E1354="!!!",F1354="NEW"),"",INDEX(B1353:B$2,-1+SUMPRODUCT(MAX(ROW(E1353:E$2)*(E1354=E1353:E$2)))))</f>
        <v> </v>
      </c>
      <c r="J1354" s="26" t="str">
        <f>IF(OR(E1354="",E1354="!!!",F1354="NEW"),"",COUNTBLANK(OFFSET(A$1,,,SUMPRODUCT(MAX(ROW(E$2:E1354)*(E1354=E$2:E1354)))))-COUNTBLANK(OFFSET(A$1,,,SUMPRODUCT(MAX(ROW(E$1:E1353)*(E2=E$1:E1353))))))</f>
        <v> </v>
      </c>
      <c r="K1354" s="26" t="str">
        <f>IF(OR(E1354="",E1354="!!!",F1354="NEW"),"",INDEX(J$1:J1353,SUMPRODUCT(MAX(ROW(E$1:E1353)*(E1354=E$1:E1353)))))</f>
        <v> </v>
      </c>
      <c r="L1354" s="27"/>
    </row>
    <row r="1355" spans="1:12">
      <c r="A1355" s="20" t="s">
        <v>1118</v>
      </c>
      <c r="E1355" s="22">
        <f>IF(D1355="?OLD","!!!","")</f>
        <v/>
      </c>
      <c r="F1355" s="23" t="str">
        <f>IF(OR(E1355="",E1355="!!!"),"",IF(NOT(ISNA(VLOOKUP(E1355,E$1:E1354,1,FALSE()))),"OLD",IF(AND(E1355&lt;&gt;"",E1355&lt;&gt;"!!!"),"NEW","")))</f>
        <v> </v>
      </c>
      <c r="G1355" s="24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5" t="str">
        <f>IF(J1355&lt;&gt;1,"",IF(I1355="SBJ","CB","?"))</f>
        <v> </v>
      </c>
      <c r="I1355" s="26" t="str">
        <f>IF(OR(E1355="",E1355="!!!",F1355="NEW"),"",INDEX(B1354:B$2,-1+SUMPRODUCT(MAX(ROW(E1354:E$2)*(E1355=E1354:E$2)))))</f>
        <v> </v>
      </c>
      <c r="J1355" s="26" t="str">
        <f>IF(OR(E1355="",E1355="!!!",F1355="NEW"),"",COUNTBLANK(OFFSET(A$1,,,SUMPRODUCT(MAX(ROW(E$2:E1355)*(E1355=E$2:E1355)))))-COUNTBLANK(OFFSET(A$1,,,SUMPRODUCT(MAX(ROW(E$1:E1354)*(E2=E$1:E1354))))))</f>
        <v> </v>
      </c>
      <c r="K1355" s="26" t="str">
        <f>IF(OR(E1355="",E1355="!!!",F1355="NEW"),"",INDEX(J$1:J1354,SUMPRODUCT(MAX(ROW(E$1:E1354)*(E1355=E$1:E1354)))))</f>
        <v> </v>
      </c>
      <c r="L1355" s="27"/>
    </row>
    <row r="1356" spans="1:12">
      <c r="A1356" s="20" t="s">
        <v>1119</v>
      </c>
      <c r="E1356" s="22">
        <f>IF(D1356="?OLD","!!!","")</f>
        <v/>
      </c>
      <c r="F1356" s="23" t="str">
        <f>IF(OR(E1356="",E1356="!!!"),"",IF(NOT(ISNA(VLOOKUP(E1356,E$1:E1355,1,FALSE()))),"OLD",IF(AND(E1356&lt;&gt;"",E1356&lt;&gt;"!!!"),"NEW","")))</f>
        <v> </v>
      </c>
      <c r="G1356" s="24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5" t="str">
        <f>IF(J1356&lt;&gt;1,"",IF(I1356="SBJ","CB","?"))</f>
        <v> </v>
      </c>
      <c r="I1356" s="26" t="str">
        <f>IF(OR(E1356="",E1356="!!!",F1356="NEW"),"",INDEX(B1355:B$2,-1+SUMPRODUCT(MAX(ROW(E1355:E$2)*(E1356=E1355:E$2)))))</f>
        <v> </v>
      </c>
      <c r="J1356" s="26" t="str">
        <f>IF(OR(E1356="",E1356="!!!",F1356="NEW"),"",COUNTBLANK(OFFSET(A$1,,,SUMPRODUCT(MAX(ROW(E$2:E1356)*(E1356=E$2:E1356)))))-COUNTBLANK(OFFSET(A$1,,,SUMPRODUCT(MAX(ROW(E$1:E1355)*(E2=E$1:E1355))))))</f>
        <v> </v>
      </c>
      <c r="K1356" s="26" t="str">
        <f>IF(OR(E1356="",E1356="!!!",F1356="NEW"),"",INDEX(J$1:J1355,SUMPRODUCT(MAX(ROW(E$1:E1355)*(E1356=E$1:E1355)))))</f>
        <v> </v>
      </c>
      <c r="L1356" s="27"/>
    </row>
    <row r="1357" spans="1:12">
      <c r="A1357" s="20" t="s">
        <v>453</v>
      </c>
      <c r="E1357" s="22">
        <f>IF(D1357="?OLD","!!!","")</f>
        <v/>
      </c>
      <c r="F1357" s="23" t="str">
        <f>IF(OR(E1357="",E1357="!!!"),"",IF(NOT(ISNA(VLOOKUP(E1357,E$1:E1356,1,FALSE()))),"OLD",IF(AND(E1357&lt;&gt;"",E1357&lt;&gt;"!!!"),"NEW","")))</f>
        <v> </v>
      </c>
      <c r="G1357" s="24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5" t="str">
        <f>IF(J1357&lt;&gt;1,"",IF(I1357="SBJ","CB","?"))</f>
        <v> </v>
      </c>
      <c r="I1357" s="26" t="str">
        <f>IF(OR(E1357="",E1357="!!!",F1357="NEW"),"",INDEX(B1356:B$2,-1+SUMPRODUCT(MAX(ROW(E1356:E$2)*(E1357=E1356:E$2)))))</f>
        <v> </v>
      </c>
      <c r="J1357" s="26" t="str">
        <f>IF(OR(E1357="",E1357="!!!",F1357="NEW"),"",COUNTBLANK(OFFSET(A$1,,,SUMPRODUCT(MAX(ROW(E$2:E1357)*(E1357=E$2:E1357)))))-COUNTBLANK(OFFSET(A$1,,,SUMPRODUCT(MAX(ROW(E$1:E1356)*(E2=E$1:E1356))))))</f>
        <v> </v>
      </c>
      <c r="K1357" s="26" t="str">
        <f>IF(OR(E1357="",E1357="!!!",F1357="NEW"),"",INDEX(J$1:J1356,SUMPRODUCT(MAX(ROW(E$1:E1356)*(E1357=E$1:E1356)))))</f>
        <v> </v>
      </c>
      <c r="L1357" s="27"/>
    </row>
    <row r="1358" spans="1:12">
      <c r="A1358" s="20" t="s">
        <v>1120</v>
      </c>
      <c r="E1358" s="22">
        <f>IF(D1358="?OLD","!!!","")</f>
        <v/>
      </c>
      <c r="F1358" s="23" t="str">
        <f>IF(OR(E1358="",E1358="!!!"),"",IF(NOT(ISNA(VLOOKUP(E1358,E$1:E1357,1,FALSE()))),"OLD",IF(AND(E1358&lt;&gt;"",E1358&lt;&gt;"!!!"),"NEW","")))</f>
        <v> </v>
      </c>
      <c r="G1358" s="24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5" t="str">
        <f>IF(J1358&lt;&gt;1,"",IF(I1358="SBJ","CB","?"))</f>
        <v> </v>
      </c>
      <c r="I1358" s="26" t="str">
        <f>IF(OR(E1358="",E1358="!!!",F1358="NEW"),"",INDEX(B1357:B$2,-1+SUMPRODUCT(MAX(ROW(E1357:E$2)*(E1358=E1357:E$2)))))</f>
        <v> </v>
      </c>
      <c r="J1358" s="26" t="str">
        <f>IF(OR(E1358="",E1358="!!!",F1358="NEW"),"",COUNTBLANK(OFFSET(A$1,,,SUMPRODUCT(MAX(ROW(E$2:E1358)*(E1358=E$2:E1358)))))-COUNTBLANK(OFFSET(A$1,,,SUMPRODUCT(MAX(ROW(E$1:E1357)*(E2=E$1:E1357))))))</f>
        <v> </v>
      </c>
      <c r="K1358" s="26" t="str">
        <f>IF(OR(E1358="",E1358="!!!",F1358="NEW"),"",INDEX(J$1:J1357,SUMPRODUCT(MAX(ROW(E$1:E1357)*(E1358=E$1:E1357)))))</f>
        <v> </v>
      </c>
      <c r="L1358" s="27"/>
    </row>
    <row r="1359" spans="1:12">
      <c r="A1359" s="20" t="s">
        <v>1121</v>
      </c>
      <c r="B1359" s="21" t="s">
        <v>691</v>
      </c>
      <c r="E1359" s="22">
        <f>IF(D1359="?OLD","!!!","")</f>
        <v/>
      </c>
      <c r="F1359" s="23" t="str">
        <f>IF(OR(E1359="",E1359="!!!"),"",IF(NOT(ISNA(VLOOKUP(E1359,E$1:E1358,1,FALSE()))),"OLD",IF(AND(E1359&lt;&gt;"",E1359&lt;&gt;"!!!"),"NEW","")))</f>
        <v> </v>
      </c>
      <c r="G1359" s="24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5" t="str">
        <f>IF(J1359&lt;&gt;1,"",IF(I1359="SBJ","CB","?"))</f>
        <v> </v>
      </c>
      <c r="I1359" s="26" t="str">
        <f>IF(OR(E1359="",E1359="!!!",F1359="NEW"),"",INDEX(B1358:B$2,-1+SUMPRODUCT(MAX(ROW(E1358:E$2)*(E1359=E1358:E$2)))))</f>
        <v> </v>
      </c>
      <c r="J1359" s="26" t="str">
        <f>IF(OR(E1359="",E1359="!!!",F1359="NEW"),"",COUNTBLANK(OFFSET(A$1,,,SUMPRODUCT(MAX(ROW(E$2:E1359)*(E1359=E$2:E1359)))))-COUNTBLANK(OFFSET(A$1,,,SUMPRODUCT(MAX(ROW(E$1:E1358)*(E2=E$1:E1358))))))</f>
        <v> </v>
      </c>
      <c r="K1359" s="26" t="str">
        <f>IF(OR(E1359="",E1359="!!!",F1359="NEW"),"",INDEX(J$1:J1358,SUMPRODUCT(MAX(ROW(E$1:E1358)*(E1359=E$1:E1358)))))</f>
        <v> </v>
      </c>
      <c r="L1359" s="27"/>
    </row>
    <row r="1360" spans="1:12">
      <c r="A1360" s="20" t="s">
        <v>1122</v>
      </c>
      <c r="E1360" s="22">
        <f>IF(D1360="?OLD","!!!","")</f>
        <v/>
      </c>
      <c r="F1360" s="23" t="str">
        <f>IF(OR(E1360="",E1360="!!!"),"",IF(NOT(ISNA(VLOOKUP(E1360,E$1:E1359,1,FALSE()))),"OLD",IF(AND(E1360&lt;&gt;"",E1360&lt;&gt;"!!!"),"NEW","")))</f>
        <v> </v>
      </c>
      <c r="G1360" s="24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5" t="str">
        <f>IF(J1360&lt;&gt;1,"",IF(I1360="SBJ","CB","?"))</f>
        <v> </v>
      </c>
      <c r="I1360" s="26" t="str">
        <f>IF(OR(E1360="",E1360="!!!",F1360="NEW"),"",INDEX(B1359:B$2,-1+SUMPRODUCT(MAX(ROW(E1359:E$2)*(E1360=E1359:E$2)))))</f>
        <v> </v>
      </c>
      <c r="J1360" s="26" t="str">
        <f>IF(OR(E1360="",E1360="!!!",F1360="NEW"),"",COUNTBLANK(OFFSET(A$1,,,SUMPRODUCT(MAX(ROW(E$2:E1360)*(E1360=E$2:E1360)))))-COUNTBLANK(OFFSET(A$1,,,SUMPRODUCT(MAX(ROW(E$1:E1359)*(E2=E$1:E1359))))))</f>
        <v> </v>
      </c>
      <c r="K1360" s="26" t="str">
        <f>IF(OR(E1360="",E1360="!!!",F1360="NEW"),"",INDEX(J$1:J1359,SUMPRODUCT(MAX(ROW(E$1:E1359)*(E1360=E$1:E1359)))))</f>
        <v> </v>
      </c>
      <c r="L1360" s="27"/>
    </row>
    <row r="1361" spans="1:12">
      <c r="A1361" s="20" t="s">
        <v>1123</v>
      </c>
      <c r="E1361" s="22">
        <f>IF(D1361="?OLD","!!!","")</f>
        <v/>
      </c>
      <c r="F1361" s="23" t="str">
        <f>IF(OR(E1361="",E1361="!!!"),"",IF(NOT(ISNA(VLOOKUP(E1361,E$1:E1360,1,FALSE()))),"OLD",IF(AND(E1361&lt;&gt;"",E1361&lt;&gt;"!!!"),"NEW","")))</f>
        <v> </v>
      </c>
      <c r="G1361" s="24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5" t="str">
        <f>IF(J1361&lt;&gt;1,"",IF(I1361="SBJ","CB","?"))</f>
        <v> </v>
      </c>
      <c r="I1361" s="26" t="str">
        <f>IF(OR(E1361="",E1361="!!!",F1361="NEW"),"",INDEX(B1360:B$2,-1+SUMPRODUCT(MAX(ROW(E1360:E$2)*(E1361=E1360:E$2)))))</f>
        <v> </v>
      </c>
      <c r="J1361" s="26" t="str">
        <f>IF(OR(E1361="",E1361="!!!",F1361="NEW"),"",COUNTBLANK(OFFSET(A$1,,,SUMPRODUCT(MAX(ROW(E$2:E1361)*(E1361=E$2:E1361)))))-COUNTBLANK(OFFSET(A$1,,,SUMPRODUCT(MAX(ROW(E$1:E1360)*(E2=E$1:E1360))))))</f>
        <v> </v>
      </c>
      <c r="K1361" s="26" t="str">
        <f>IF(OR(E1361="",E1361="!!!",F1361="NEW"),"",INDEX(J$1:J1360,SUMPRODUCT(MAX(ROW(E$1:E1360)*(E1361=E$1:E1360)))))</f>
        <v> </v>
      </c>
      <c r="L1361" s="27"/>
    </row>
    <row r="1362" spans="1:12">
      <c r="A1362" s="20" t="s">
        <v>1019</v>
      </c>
      <c r="E1362" s="22">
        <f>IF(D1362="?OLD","!!!","")</f>
        <v/>
      </c>
      <c r="F1362" s="23" t="str">
        <f>IF(OR(E1362="",E1362="!!!"),"",IF(NOT(ISNA(VLOOKUP(E1362,E$1:E1361,1,FALSE()))),"OLD",IF(AND(E1362&lt;&gt;"",E1362&lt;&gt;"!!!"),"NEW","")))</f>
        <v> </v>
      </c>
      <c r="G1362" s="24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5" t="str">
        <f>IF(J1362&lt;&gt;1,"",IF(I1362="SBJ","CB","?"))</f>
        <v> </v>
      </c>
      <c r="I1362" s="26" t="str">
        <f>IF(OR(E1362="",E1362="!!!",F1362="NEW"),"",INDEX(B1361:B$2,-1+SUMPRODUCT(MAX(ROW(E1361:E$2)*(E1362=E1361:E$2)))))</f>
        <v> </v>
      </c>
      <c r="J1362" s="26" t="str">
        <f>IF(OR(E1362="",E1362="!!!",F1362="NEW"),"",COUNTBLANK(OFFSET(A$1,,,SUMPRODUCT(MAX(ROW(E$2:E1362)*(E1362=E$2:E1362)))))-COUNTBLANK(OFFSET(A$1,,,SUMPRODUCT(MAX(ROW(E$1:E1361)*(E2=E$1:E1361))))))</f>
        <v> </v>
      </c>
      <c r="K1362" s="26" t="str">
        <f>IF(OR(E1362="",E1362="!!!",F1362="NEW"),"",INDEX(J$1:J1361,SUMPRODUCT(MAX(ROW(E$1:E1361)*(E1362=E$1:E1361)))))</f>
        <v> </v>
      </c>
      <c r="L1362" s="27"/>
    </row>
    <row r="1363" spans="1:12">
      <c r="A1363" s="20" t="s">
        <v>453</v>
      </c>
      <c r="E1363" s="22">
        <f>IF(D1363="?OLD","!!!","")</f>
        <v/>
      </c>
      <c r="F1363" s="23" t="str">
        <f>IF(OR(E1363="",E1363="!!!"),"",IF(NOT(ISNA(VLOOKUP(E1363,E$1:E1362,1,FALSE()))),"OLD",IF(AND(E1363&lt;&gt;"",E1363&lt;&gt;"!!!"),"NEW","")))</f>
        <v> </v>
      </c>
      <c r="G1363" s="24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5" t="str">
        <f>IF(J1363&lt;&gt;1,"",IF(I1363="SBJ","CB","?"))</f>
        <v> </v>
      </c>
      <c r="I1363" s="26" t="str">
        <f>IF(OR(E1363="",E1363="!!!",F1363="NEW"),"",INDEX(B1362:B$2,-1+SUMPRODUCT(MAX(ROW(E1362:E$2)*(E1363=E1362:E$2)))))</f>
        <v> </v>
      </c>
      <c r="J1363" s="26" t="str">
        <f>IF(OR(E1363="",E1363="!!!",F1363="NEW"),"",COUNTBLANK(OFFSET(A$1,,,SUMPRODUCT(MAX(ROW(E$2:E1363)*(E1363=E$2:E1363)))))-COUNTBLANK(OFFSET(A$1,,,SUMPRODUCT(MAX(ROW(E$1:E1362)*(E2=E$1:E1362))))))</f>
        <v> </v>
      </c>
      <c r="K1363" s="26" t="str">
        <f>IF(OR(E1363="",E1363="!!!",F1363="NEW"),"",INDEX(J$1:J1362,SUMPRODUCT(MAX(ROW(E$1:E1362)*(E1363=E$1:E1362)))))</f>
        <v> </v>
      </c>
      <c r="L1363" s="27"/>
    </row>
    <row r="1364" spans="1:12">
      <c r="A1364" s="20" t="s">
        <v>329</v>
      </c>
      <c r="E1364" s="22">
        <f>IF(D1364="?OLD","!!!","")</f>
        <v/>
      </c>
      <c r="F1364" s="23" t="str">
        <f>IF(OR(E1364="",E1364="!!!"),"",IF(NOT(ISNA(VLOOKUP(E1364,E$1:E1363,1,FALSE()))),"OLD",IF(AND(E1364&lt;&gt;"",E1364&lt;&gt;"!!!"),"NEW","")))</f>
        <v> </v>
      </c>
      <c r="G1364" s="24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5" t="str">
        <f>IF(J1364&lt;&gt;1,"",IF(I1364="SBJ","CB","?"))</f>
        <v> </v>
      </c>
      <c r="I1364" s="26" t="str">
        <f>IF(OR(E1364="",E1364="!!!",F1364="NEW"),"",INDEX(B1363:B$2,-1+SUMPRODUCT(MAX(ROW(E1363:E$2)*(E1364=E1363:E$2)))))</f>
        <v> </v>
      </c>
      <c r="J1364" s="26" t="str">
        <f>IF(OR(E1364="",E1364="!!!",F1364="NEW"),"",COUNTBLANK(OFFSET(A$1,,,SUMPRODUCT(MAX(ROW(E$2:E1364)*(E1364=E$2:E1364)))))-COUNTBLANK(OFFSET(A$1,,,SUMPRODUCT(MAX(ROW(E$1:E1363)*(E2=E$1:E1363))))))</f>
        <v> </v>
      </c>
      <c r="K1364" s="26" t="str">
        <f>IF(OR(E1364="",E1364="!!!",F1364="NEW"),"",INDEX(J$1:J1363,SUMPRODUCT(MAX(ROW(E$1:E1363)*(E1364=E$1:E1363)))))</f>
        <v> </v>
      </c>
      <c r="L1364" s="27"/>
    </row>
    <row r="1365" spans="1:12">
      <c r="A1365" s="20" t="s">
        <v>1112</v>
      </c>
      <c r="E1365" s="22">
        <f>IF(D1365="?OLD","!!!","")</f>
        <v/>
      </c>
      <c r="F1365" s="23" t="str">
        <f>IF(OR(E1365="",E1365="!!!"),"",IF(NOT(ISNA(VLOOKUP(E1365,E$1:E1364,1,FALSE()))),"OLD",IF(AND(E1365&lt;&gt;"",E1365&lt;&gt;"!!!"),"NEW","")))</f>
        <v> </v>
      </c>
      <c r="G1365" s="24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5" t="str">
        <f>IF(J1365&lt;&gt;1,"",IF(I1365="SBJ","CB","?"))</f>
        <v> </v>
      </c>
      <c r="I1365" s="26" t="str">
        <f>IF(OR(E1365="",E1365="!!!",F1365="NEW"),"",INDEX(B1364:B$2,-1+SUMPRODUCT(MAX(ROW(E1364:E$2)*(E1365=E1364:E$2)))))</f>
        <v> </v>
      </c>
      <c r="J1365" s="26" t="str">
        <f>IF(OR(E1365="",E1365="!!!",F1365="NEW"),"",COUNTBLANK(OFFSET(A$1,,,SUMPRODUCT(MAX(ROW(E$2:E1365)*(E1365=E$2:E1365)))))-COUNTBLANK(OFFSET(A$1,,,SUMPRODUCT(MAX(ROW(E$1:E1364)*(E2=E$1:E1364))))))</f>
        <v> </v>
      </c>
      <c r="K1365" s="26" t="str">
        <f>IF(OR(E1365="",E1365="!!!",F1365="NEW"),"",INDEX(J$1:J1364,SUMPRODUCT(MAX(ROW(E$1:E1364)*(E1365=E$1:E1364)))))</f>
        <v> </v>
      </c>
      <c r="L1365" s="27"/>
    </row>
    <row r="1366" spans="1:12">
      <c r="A1366" s="20" t="s">
        <v>1113</v>
      </c>
      <c r="B1366" s="21" t="s">
        <v>422</v>
      </c>
      <c r="E1366" s="22">
        <f>IF(D1366="?OLD","!!!","")</f>
        <v/>
      </c>
      <c r="F1366" s="23" t="str">
        <f>IF(OR(E1366="",E1366="!!!"),"",IF(NOT(ISNA(VLOOKUP(E1366,E$1:E1365,1,FALSE()))),"OLD",IF(AND(E1366&lt;&gt;"",E1366&lt;&gt;"!!!"),"NEW","")))</f>
        <v> </v>
      </c>
      <c r="G1366" s="24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5" t="str">
        <f>IF(J1366&lt;&gt;1,"",IF(I1366="SBJ","CB","?"))</f>
        <v> </v>
      </c>
      <c r="I1366" s="26" t="str">
        <f>IF(OR(E1366="",E1366="!!!",F1366="NEW"),"",INDEX(B1365:B$2,-1+SUMPRODUCT(MAX(ROW(E1365:E$2)*(E1366=E1365:E$2)))))</f>
        <v> </v>
      </c>
      <c r="J1366" s="26" t="str">
        <f>IF(OR(E1366="",E1366="!!!",F1366="NEW"),"",COUNTBLANK(OFFSET(A$1,,,SUMPRODUCT(MAX(ROW(E$2:E1366)*(E1366=E$2:E1366)))))-COUNTBLANK(OFFSET(A$1,,,SUMPRODUCT(MAX(ROW(E$1:E1365)*(E2=E$1:E1365))))))</f>
        <v> </v>
      </c>
      <c r="K1366" s="26" t="str">
        <f>IF(OR(E1366="",E1366="!!!",F1366="NEW"),"",INDEX(J$1:J1365,SUMPRODUCT(MAX(ROW(E$1:E1365)*(E1366=E$1:E1365)))))</f>
        <v> </v>
      </c>
      <c r="L1366" s="27"/>
    </row>
    <row r="1367" spans="1:12">
      <c r="A1367" s="20" t="s">
        <v>1114</v>
      </c>
      <c r="E1367" s="22">
        <f>IF(D1367="?OLD","!!!","")</f>
        <v/>
      </c>
      <c r="F1367" s="23" t="str">
        <f>IF(OR(E1367="",E1367="!!!"),"",IF(NOT(ISNA(VLOOKUP(E1367,E$1:E1366,1,FALSE()))),"OLD",IF(AND(E1367&lt;&gt;"",E1367&lt;&gt;"!!!"),"NEW","")))</f>
        <v> </v>
      </c>
      <c r="G1367" s="24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5" t="str">
        <f>IF(J1367&lt;&gt;1,"",IF(I1367="SBJ","CB","?"))</f>
        <v> </v>
      </c>
      <c r="I1367" s="26" t="str">
        <f>IF(OR(E1367="",E1367="!!!",F1367="NEW"),"",INDEX(B1366:B$2,-1+SUMPRODUCT(MAX(ROW(E1366:E$2)*(E1367=E1366:E$2)))))</f>
        <v> </v>
      </c>
      <c r="J1367" s="26" t="str">
        <f>IF(OR(E1367="",E1367="!!!",F1367="NEW"),"",COUNTBLANK(OFFSET(A$1,,,SUMPRODUCT(MAX(ROW(E$2:E1367)*(E1367=E$2:E1367)))))-COUNTBLANK(OFFSET(A$1,,,SUMPRODUCT(MAX(ROW(E$1:E1366)*(E2=E$1:E1366))))))</f>
        <v> </v>
      </c>
      <c r="K1367" s="26" t="str">
        <f>IF(OR(E1367="",E1367="!!!",F1367="NEW"),"",INDEX(J$1:J1366,SUMPRODUCT(MAX(ROW(E$1:E1366)*(E1367=E$1:E1366)))))</f>
        <v> </v>
      </c>
      <c r="L1367" s="27"/>
    </row>
    <row r="1368" spans="1:12">
      <c r="A1368" s="20" t="s">
        <v>1019</v>
      </c>
      <c r="E1368" s="22">
        <f>IF(D1368="?OLD","!!!","")</f>
        <v/>
      </c>
      <c r="F1368" s="23" t="str">
        <f>IF(OR(E1368="",E1368="!!!"),"",IF(NOT(ISNA(VLOOKUP(E1368,E$1:E1367,1,FALSE()))),"OLD",IF(AND(E1368&lt;&gt;"",E1368&lt;&gt;"!!!"),"NEW","")))</f>
        <v> </v>
      </c>
      <c r="G1368" s="24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5" t="str">
        <f>IF(J1368&lt;&gt;1,"",IF(I1368="SBJ","CB","?"))</f>
        <v> </v>
      </c>
      <c r="I1368" s="26" t="str">
        <f>IF(OR(E1368="",E1368="!!!",F1368="NEW"),"",INDEX(B1367:B$2,-1+SUMPRODUCT(MAX(ROW(E1367:E$2)*(E1368=E1367:E$2)))))</f>
        <v> </v>
      </c>
      <c r="J1368" s="26" t="str">
        <f>IF(OR(E1368="",E1368="!!!",F1368="NEW"),"",COUNTBLANK(OFFSET(A$1,,,SUMPRODUCT(MAX(ROW(E$2:E1368)*(E1368=E$2:E1368)))))-COUNTBLANK(OFFSET(A$1,,,SUMPRODUCT(MAX(ROW(E$1:E1367)*(E2=E$1:E1367))))))</f>
        <v> </v>
      </c>
      <c r="K1368" s="26" t="str">
        <f>IF(OR(E1368="",E1368="!!!",F1368="NEW"),"",INDEX(J$1:J1367,SUMPRODUCT(MAX(ROW(E$1:E1367)*(E1368=E$1:E1367)))))</f>
        <v> </v>
      </c>
      <c r="L1368" s="27"/>
    </row>
    <row r="1369" spans="1:12">
      <c r="A1369" s="20" t="s">
        <v>1124</v>
      </c>
      <c r="E1369" s="22">
        <f>IF(D1369="?OLD","!!!","")</f>
        <v/>
      </c>
      <c r="F1369" s="23" t="str">
        <f>IF(OR(E1369="",E1369="!!!"),"",IF(NOT(ISNA(VLOOKUP(E1369,E$1:E1368,1,FALSE()))),"OLD",IF(AND(E1369&lt;&gt;"",E1369&lt;&gt;"!!!"),"NEW","")))</f>
        <v> </v>
      </c>
      <c r="G1369" s="24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5" t="str">
        <f>IF(J1369&lt;&gt;1,"",IF(I1369="SBJ","CB","?"))</f>
        <v> </v>
      </c>
      <c r="I1369" s="26" t="str">
        <f>IF(OR(E1369="",E1369="!!!",F1369="NEW"),"",INDEX(B1368:B$2,-1+SUMPRODUCT(MAX(ROW(E1368:E$2)*(E1369=E1368:E$2)))))</f>
        <v> </v>
      </c>
      <c r="J1369" s="26" t="str">
        <f>IF(OR(E1369="",E1369="!!!",F1369="NEW"),"",COUNTBLANK(OFFSET(A$1,,,SUMPRODUCT(MAX(ROW(E$2:E1369)*(E1369=E$2:E1369)))))-COUNTBLANK(OFFSET(A$1,,,SUMPRODUCT(MAX(ROW(E$1:E1368)*(E2=E$1:E1368))))))</f>
        <v> </v>
      </c>
      <c r="K1369" s="26" t="str">
        <f>IF(OR(E1369="",E1369="!!!",F1369="NEW"),"",INDEX(J$1:J1368,SUMPRODUCT(MAX(ROW(E$1:E1368)*(E1369=E$1:E1368)))))</f>
        <v> </v>
      </c>
      <c r="L1369" s="27"/>
    </row>
    <row r="1370" spans="1:12">
      <c r="A1370" s="20" t="s">
        <v>478</v>
      </c>
      <c r="E1370" s="22">
        <f>IF(D1370="?OLD","!!!","")</f>
        <v/>
      </c>
      <c r="F1370" s="23" t="str">
        <f>IF(OR(E1370="",E1370="!!!"),"",IF(NOT(ISNA(VLOOKUP(E1370,E$1:E1369,1,FALSE()))),"OLD",IF(AND(E1370&lt;&gt;"",E1370&lt;&gt;"!!!"),"NEW","")))</f>
        <v> </v>
      </c>
      <c r="G1370" s="24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5" t="str">
        <f>IF(J1370&lt;&gt;1,"",IF(I1370="SBJ","CB","?"))</f>
        <v> </v>
      </c>
      <c r="I1370" s="26" t="str">
        <f>IF(OR(E1370="",E1370="!!!",F1370="NEW"),"",INDEX(B1369:B$2,-1+SUMPRODUCT(MAX(ROW(E1369:E$2)*(E1370=E1369:E$2)))))</f>
        <v> </v>
      </c>
      <c r="J1370" s="26" t="str">
        <f>IF(OR(E1370="",E1370="!!!",F1370="NEW"),"",COUNTBLANK(OFFSET(A$1,,,SUMPRODUCT(MAX(ROW(E$2:E1370)*(E1370=E$2:E1370)))))-COUNTBLANK(OFFSET(A$1,,,SUMPRODUCT(MAX(ROW(E$1:E1369)*(E2=E$1:E1369))))))</f>
        <v> </v>
      </c>
      <c r="K1370" s="26" t="str">
        <f>IF(OR(E1370="",E1370="!!!",F1370="NEW"),"",INDEX(J$1:J1369,SUMPRODUCT(MAX(ROW(E$1:E1369)*(E1370=E$1:E1369)))))</f>
        <v> </v>
      </c>
      <c r="L1370" s="27"/>
    </row>
    <row r="1371" spans="1:12">
      <c r="A1371" s="20" t="s">
        <v>1125</v>
      </c>
      <c r="E1371" s="22">
        <f>IF(D1371="?OLD","!!!","")</f>
        <v/>
      </c>
      <c r="F1371" s="23" t="str">
        <f>IF(OR(E1371="",E1371="!!!"),"",IF(NOT(ISNA(VLOOKUP(E1371,E$1:E1370,1,FALSE()))),"OLD",IF(AND(E1371&lt;&gt;"",E1371&lt;&gt;"!!!"),"NEW","")))</f>
        <v> </v>
      </c>
      <c r="G1371" s="24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5" t="str">
        <f>IF(J1371&lt;&gt;1,"",IF(I1371="SBJ","CB","?"))</f>
        <v> </v>
      </c>
      <c r="I1371" s="26" t="str">
        <f>IF(OR(E1371="",E1371="!!!",F1371="NEW"),"",INDEX(B1370:B$2,-1+SUMPRODUCT(MAX(ROW(E1370:E$2)*(E1371=E1370:E$2)))))</f>
        <v> </v>
      </c>
      <c r="J1371" s="26" t="str">
        <f>IF(OR(E1371="",E1371="!!!",F1371="NEW"),"",COUNTBLANK(OFFSET(A$1,,,SUMPRODUCT(MAX(ROW(E$2:E1371)*(E1371=E$2:E1371)))))-COUNTBLANK(OFFSET(A$1,,,SUMPRODUCT(MAX(ROW(E$1:E1370)*(E2=E$1:E1370))))))</f>
        <v> </v>
      </c>
      <c r="K1371" s="26" t="str">
        <f>IF(OR(E1371="",E1371="!!!",F1371="NEW"),"",INDEX(J$1:J1370,SUMPRODUCT(MAX(ROW(E$1:E1370)*(E1371=E$1:E1370)))))</f>
        <v> </v>
      </c>
      <c r="L1371" s="27"/>
    </row>
    <row r="1372" spans="1:12">
      <c r="A1372" s="20" t="s">
        <v>1126</v>
      </c>
      <c r="E1372" s="22">
        <f>IF(D1372="?OLD","!!!","")</f>
        <v/>
      </c>
      <c r="F1372" s="23" t="str">
        <f>IF(OR(E1372="",E1372="!!!"),"",IF(NOT(ISNA(VLOOKUP(E1372,E$1:E1371,1,FALSE()))),"OLD",IF(AND(E1372&lt;&gt;"",E1372&lt;&gt;"!!!"),"NEW","")))</f>
        <v> </v>
      </c>
      <c r="G1372" s="24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5" t="str">
        <f>IF(J1372&lt;&gt;1,"",IF(I1372="SBJ","CB","?"))</f>
        <v> </v>
      </c>
      <c r="I1372" s="26" t="str">
        <f>IF(OR(E1372="",E1372="!!!",F1372="NEW"),"",INDEX(B1371:B$2,-1+SUMPRODUCT(MAX(ROW(E1371:E$2)*(E1372=E1371:E$2)))))</f>
        <v> </v>
      </c>
      <c r="J1372" s="26" t="str">
        <f>IF(OR(E1372="",E1372="!!!",F1372="NEW"),"",COUNTBLANK(OFFSET(A$1,,,SUMPRODUCT(MAX(ROW(E$2:E1372)*(E1372=E$2:E1372)))))-COUNTBLANK(OFFSET(A$1,,,SUMPRODUCT(MAX(ROW(E$1:E1371)*(E2=E$1:E1371))))))</f>
        <v> </v>
      </c>
      <c r="K1372" s="26" t="str">
        <f>IF(OR(E1372="",E1372="!!!",F1372="NEW"),"",INDEX(J$1:J1371,SUMPRODUCT(MAX(ROW(E$1:E1371)*(E1372=E$1:E1371)))))</f>
        <v> </v>
      </c>
      <c r="L1372" s="27"/>
    </row>
    <row r="1373" spans="1:12">
      <c r="A1373" s="20" t="s">
        <v>1093</v>
      </c>
      <c r="E1373" s="22">
        <f>IF(D1373="?OLD","!!!","")</f>
        <v/>
      </c>
      <c r="F1373" s="23" t="str">
        <f>IF(OR(E1373="",E1373="!!!"),"",IF(NOT(ISNA(VLOOKUP(E1373,E$1:E1372,1,FALSE()))),"OLD",IF(AND(E1373&lt;&gt;"",E1373&lt;&gt;"!!!"),"NEW","")))</f>
        <v> </v>
      </c>
      <c r="G1373" s="24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5" t="str">
        <f>IF(J1373&lt;&gt;1,"",IF(I1373="SBJ","CB","?"))</f>
        <v> </v>
      </c>
      <c r="I1373" s="26" t="str">
        <f>IF(OR(E1373="",E1373="!!!",F1373="NEW"),"",INDEX(B1372:B$2,-1+SUMPRODUCT(MAX(ROW(E1372:E$2)*(E1373=E1372:E$2)))))</f>
        <v> </v>
      </c>
      <c r="J1373" s="26" t="str">
        <f>IF(OR(E1373="",E1373="!!!",F1373="NEW"),"",COUNTBLANK(OFFSET(A$1,,,SUMPRODUCT(MAX(ROW(E$2:E1373)*(E1373=E$2:E1373)))))-COUNTBLANK(OFFSET(A$1,,,SUMPRODUCT(MAX(ROW(E$1:E1372)*(E2=E$1:E1372))))))</f>
        <v> </v>
      </c>
      <c r="K1373" s="26" t="str">
        <f>IF(OR(E1373="",E1373="!!!",F1373="NEW"),"",INDEX(J$1:J1372,SUMPRODUCT(MAX(ROW(E$1:E1372)*(E1373=E$1:E1372)))))</f>
        <v> </v>
      </c>
      <c r="L1373" s="27"/>
    </row>
    <row r="1374" spans="1:12">
      <c r="A1374" s="20" t="s">
        <v>1087</v>
      </c>
      <c r="E1374" s="22">
        <f>IF(D1374="?OLD","!!!","")</f>
        <v/>
      </c>
      <c r="F1374" s="23" t="str">
        <f>IF(OR(E1374="",E1374="!!!"),"",IF(NOT(ISNA(VLOOKUP(E1374,E$1:E1373,1,FALSE()))),"OLD",IF(AND(E1374&lt;&gt;"",E1374&lt;&gt;"!!!"),"NEW","")))</f>
        <v> </v>
      </c>
      <c r="G1374" s="24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5" t="str">
        <f>IF(J1374&lt;&gt;1,"",IF(I1374="SBJ","CB","?"))</f>
        <v> </v>
      </c>
      <c r="I1374" s="26" t="str">
        <f>IF(OR(E1374="",E1374="!!!",F1374="NEW"),"",INDEX(B1373:B$2,-1+SUMPRODUCT(MAX(ROW(E1373:E$2)*(E1374=E1373:E$2)))))</f>
        <v> </v>
      </c>
      <c r="J1374" s="26" t="str">
        <f>IF(OR(E1374="",E1374="!!!",F1374="NEW"),"",COUNTBLANK(OFFSET(A$1,,,SUMPRODUCT(MAX(ROW(E$2:E1374)*(E1374=E$2:E1374)))))-COUNTBLANK(OFFSET(A$1,,,SUMPRODUCT(MAX(ROW(E$1:E1373)*(E2=E$1:E1373))))))</f>
        <v> </v>
      </c>
      <c r="K1374" s="26" t="str">
        <f>IF(OR(E1374="",E1374="!!!",F1374="NEW"),"",INDEX(J$1:J1373,SUMPRODUCT(MAX(ROW(E$1:E1373)*(E1374=E$1:E1373)))))</f>
        <v> </v>
      </c>
      <c r="L1374" s="27"/>
    </row>
    <row r="1375" spans="1:12">
      <c r="A1375" s="20" t="s">
        <v>453</v>
      </c>
      <c r="E1375" s="22">
        <f>IF(D1375="?OLD","!!!","")</f>
        <v/>
      </c>
      <c r="F1375" s="23" t="str">
        <f>IF(OR(E1375="",E1375="!!!"),"",IF(NOT(ISNA(VLOOKUP(E1375,E$1:E1374,1,FALSE()))),"OLD",IF(AND(E1375&lt;&gt;"",E1375&lt;&gt;"!!!"),"NEW","")))</f>
        <v> </v>
      </c>
      <c r="G1375" s="24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5" t="str">
        <f>IF(J1375&lt;&gt;1,"",IF(I1375="SBJ","CB","?"))</f>
        <v> </v>
      </c>
      <c r="I1375" s="26" t="str">
        <f>IF(OR(E1375="",E1375="!!!",F1375="NEW"),"",INDEX(B1374:B$2,-1+SUMPRODUCT(MAX(ROW(E1374:E$2)*(E1375=E1374:E$2)))))</f>
        <v> </v>
      </c>
      <c r="J1375" s="26" t="str">
        <f>IF(OR(E1375="",E1375="!!!",F1375="NEW"),"",COUNTBLANK(OFFSET(A$1,,,SUMPRODUCT(MAX(ROW(E$2:E1375)*(E1375=E$2:E1375)))))-COUNTBLANK(OFFSET(A$1,,,SUMPRODUCT(MAX(ROW(E$1:E1374)*(E2=E$1:E1374))))))</f>
        <v> </v>
      </c>
      <c r="K1375" s="26" t="str">
        <f>IF(OR(E1375="",E1375="!!!",F1375="NEW"),"",INDEX(J$1:J1374,SUMPRODUCT(MAX(ROW(E$1:E1374)*(E1375=E$1:E1374)))))</f>
        <v> </v>
      </c>
      <c r="L1375" s="27"/>
    </row>
    <row r="1376" spans="1:12">
      <c r="A1376" s="20" t="s">
        <v>558</v>
      </c>
      <c r="B1376" s="21" t="s">
        <v>536</v>
      </c>
      <c r="C1376" s="21" t="s">
        <v>481</v>
      </c>
      <c r="E1376" s="22">
        <f>IF(D1376="?OLD","!!!","")</f>
        <v/>
      </c>
      <c r="F1376" s="23" t="str">
        <f>IF(OR(E1376="",E1376="!!!"),"",IF(NOT(ISNA(VLOOKUP(E1376,E$1:E1375,1,FALSE()))),"OLD",IF(AND(E1376&lt;&gt;"",E1376&lt;&gt;"!!!"),"NEW","")))</f>
        <v> </v>
      </c>
      <c r="G1376" s="24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5" t="str">
        <f>IF(J1376&lt;&gt;1,"",IF(I1376="SBJ","CB","?"))</f>
        <v> </v>
      </c>
      <c r="I1376" s="26" t="str">
        <f>IF(OR(E1376="",E1376="!!!",F1376="NEW"),"",INDEX(B1375:B$2,-1+SUMPRODUCT(MAX(ROW(E1375:E$2)*(E1376=E1375:E$2)))))</f>
        <v> </v>
      </c>
      <c r="J1376" s="26" t="str">
        <f>IF(OR(E1376="",E1376="!!!",F1376="NEW"),"",COUNTBLANK(OFFSET(A$1,,,SUMPRODUCT(MAX(ROW(E$2:E1376)*(E1376=E$2:E1376)))))-COUNTBLANK(OFFSET(A$1,,,SUMPRODUCT(MAX(ROW(E$1:E1375)*(E2=E$1:E1375))))))</f>
        <v> </v>
      </c>
      <c r="K1376" s="26" t="str">
        <f>IF(OR(E1376="",E1376="!!!",F1376="NEW"),"",INDEX(J$1:J1375,SUMPRODUCT(MAX(ROW(E$1:E1375)*(E1376=E$1:E1375)))))</f>
        <v> </v>
      </c>
      <c r="L1376" s="27"/>
    </row>
    <row r="1377" spans="1:12">
      <c r="A1377" s="20" t="s">
        <v>492</v>
      </c>
      <c r="B1377" s="21" t="s">
        <v>462</v>
      </c>
      <c r="C1377" s="21" t="s">
        <v>423</v>
      </c>
      <c r="D1377" s="21" t="s">
        <v>424</v>
      </c>
      <c r="E1377" s="22">
        <f>IF(D1377="?OLD","!!!","")</f>
        <v/>
      </c>
      <c r="F1377" s="23" t="str">
        <f>IF(OR(E1377="",E1377="!!!"),"",IF(NOT(ISNA(VLOOKUP(E1377,E$1:E1376,1,FALSE()))),"OLD",IF(AND(E1377&lt;&gt;"",E1377&lt;&gt;"!!!"),"NEW","")))</f>
        <v> </v>
      </c>
      <c r="G1377" s="24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5" t="str">
        <f>IF(J1377&lt;&gt;1,"",IF(I1377="SBJ","CB","?"))</f>
        <v> </v>
      </c>
      <c r="I1377" s="26" t="str">
        <f>IF(OR(E1377="",E1377="!!!",F1377="NEW"),"",INDEX(B1376:B$2,-1+SUMPRODUCT(MAX(ROW(E1376:E$2)*(E1377=E1376:E$2)))))</f>
        <v> </v>
      </c>
      <c r="J1377" s="26" t="str">
        <f>IF(OR(E1377="",E1377="!!!",F1377="NEW"),"",COUNTBLANK(OFFSET(A$1,,,SUMPRODUCT(MAX(ROW(E$2:E1377)*(E1377=E$2:E1377)))))-COUNTBLANK(OFFSET(A$1,,,SUMPRODUCT(MAX(ROW(E$1:E1376)*(E2=E$1:E1376))))))</f>
        <v> </v>
      </c>
      <c r="K1377" s="26" t="str">
        <f>IF(OR(E1377="",E1377="!!!",F1377="NEW"),"",INDEX(J$1:J1376,SUMPRODUCT(MAX(ROW(E$1:E1376)*(E1377=E$1:E1376)))))</f>
        <v> </v>
      </c>
      <c r="L1377" s="27"/>
    </row>
    <row r="1378" spans="1:12">
      <c r="A1378" s="20" t="s">
        <v>1118</v>
      </c>
      <c r="E1378" s="22">
        <f>IF(D1378="?OLD","!!!","")</f>
        <v/>
      </c>
      <c r="F1378" s="23" t="str">
        <f>IF(OR(E1378="",E1378="!!!"),"",IF(NOT(ISNA(VLOOKUP(E1378,E$1:E1377,1,FALSE()))),"OLD",IF(AND(E1378&lt;&gt;"",E1378&lt;&gt;"!!!"),"NEW","")))</f>
        <v> </v>
      </c>
      <c r="G1378" s="24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5" t="str">
        <f>IF(J1378&lt;&gt;1,"",IF(I1378="SBJ","CB","?"))</f>
        <v> </v>
      </c>
      <c r="I1378" s="26" t="str">
        <f>IF(OR(E1378="",E1378="!!!",F1378="NEW"),"",INDEX(B1377:B$2,-1+SUMPRODUCT(MAX(ROW(E1377:E$2)*(E1378=E1377:E$2)))))</f>
        <v> </v>
      </c>
      <c r="J1378" s="26" t="str">
        <f>IF(OR(E1378="",E1378="!!!",F1378="NEW"),"",COUNTBLANK(OFFSET(A$1,,,SUMPRODUCT(MAX(ROW(E$2:E1378)*(E1378=E$2:E1378)))))-COUNTBLANK(OFFSET(A$1,,,SUMPRODUCT(MAX(ROW(E$1:E1377)*(E2=E$1:E1377))))))</f>
        <v> </v>
      </c>
      <c r="K1378" s="26" t="str">
        <f>IF(OR(E1378="",E1378="!!!",F1378="NEW"),"",INDEX(J$1:J1377,SUMPRODUCT(MAX(ROW(E$1:E1377)*(E1378=E$1:E1377)))))</f>
        <v> </v>
      </c>
      <c r="L1378" s="27"/>
    </row>
    <row r="1379" spans="1:12">
      <c r="A1379" s="20" t="s">
        <v>44</v>
      </c>
      <c r="E1379" s="22">
        <f>IF(D1379="?OLD","!!!","")</f>
        <v/>
      </c>
      <c r="F1379" s="23" t="str">
        <f>IF(OR(E1379="",E1379="!!!"),"",IF(NOT(ISNA(VLOOKUP(E1379,E$1:E1378,1,FALSE()))),"OLD",IF(AND(E1379&lt;&gt;"",E1379&lt;&gt;"!!!"),"NEW","")))</f>
        <v> </v>
      </c>
      <c r="G1379" s="24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5" t="str">
        <f>IF(J1379&lt;&gt;1,"",IF(I1379="SBJ","CB","?"))</f>
        <v> </v>
      </c>
      <c r="I1379" s="26" t="str">
        <f>IF(OR(E1379="",E1379="!!!",F1379="NEW"),"",INDEX(B1378:B$2,-1+SUMPRODUCT(MAX(ROW(E1378:E$2)*(E1379=E1378:E$2)))))</f>
        <v> </v>
      </c>
      <c r="J1379" s="26" t="str">
        <f>IF(OR(E1379="",E1379="!!!",F1379="NEW"),"",COUNTBLANK(OFFSET(A$1,,,SUMPRODUCT(MAX(ROW(E$2:E1379)*(E1379=E$2:E1379)))))-COUNTBLANK(OFFSET(A$1,,,SUMPRODUCT(MAX(ROW(E$1:E1378)*(E2=E$1:E1378))))))</f>
        <v> </v>
      </c>
      <c r="K1379" s="26" t="str">
        <f>IF(OR(E1379="",E1379="!!!",F1379="NEW"),"",INDEX(J$1:J1378,SUMPRODUCT(MAX(ROW(E$1:E1378)*(E1379=E$1:E1378)))))</f>
        <v> </v>
      </c>
      <c r="L1379" s="27"/>
    </row>
    <row r="1380" spans="1:12">
      <c r="A1380" s="20" t="s">
        <v>506</v>
      </c>
      <c r="E1380" s="22">
        <f>IF(D1380="?OLD","!!!","")</f>
        <v/>
      </c>
      <c r="F1380" s="23" t="str">
        <f>IF(OR(E1380="",E1380="!!!"),"",IF(NOT(ISNA(VLOOKUP(E1380,E$1:E1379,1,FALSE()))),"OLD",IF(AND(E1380&lt;&gt;"",E1380&lt;&gt;"!!!"),"NEW","")))</f>
        <v> </v>
      </c>
      <c r="G1380" s="24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5" t="str">
        <f>IF(J1380&lt;&gt;1,"",IF(I1380="SBJ","CB","?"))</f>
        <v> </v>
      </c>
      <c r="I1380" s="26" t="str">
        <f>IF(OR(E1380="",E1380="!!!",F1380="NEW"),"",INDEX(B1379:B$2,-1+SUMPRODUCT(MAX(ROW(E1379:E$2)*(E1380=E1379:E$2)))))</f>
        <v> </v>
      </c>
      <c r="J1380" s="26" t="str">
        <f>IF(OR(E1380="",E1380="!!!",F1380="NEW"),"",COUNTBLANK(OFFSET(A$1,,,SUMPRODUCT(MAX(ROW(E$2:E1380)*(E1380=E$2:E1380)))))-COUNTBLANK(OFFSET(A$1,,,SUMPRODUCT(MAX(ROW(E$1:E1379)*(E2=E$1:E1379))))))</f>
        <v> </v>
      </c>
      <c r="K1380" s="26" t="str">
        <f>IF(OR(E1380="",E1380="!!!",F1380="NEW"),"",INDEX(J$1:J1379,SUMPRODUCT(MAX(ROW(E$1:E1379)*(E1380=E$1:E1379)))))</f>
        <v> </v>
      </c>
      <c r="L1380" s="27"/>
    </row>
    <row r="1381" spans="1:12">
      <c r="A1381" s="20" t="s">
        <v>624</v>
      </c>
      <c r="E1381" s="22">
        <f>IF(D1381="?OLD","!!!","")</f>
        <v/>
      </c>
      <c r="F1381" s="23" t="str">
        <f>IF(OR(E1381="",E1381="!!!"),"",IF(NOT(ISNA(VLOOKUP(E1381,E$1:E1380,1,FALSE()))),"OLD",IF(AND(E1381&lt;&gt;"",E1381&lt;&gt;"!!!"),"NEW","")))</f>
        <v> </v>
      </c>
      <c r="G1381" s="24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5" t="str">
        <f>IF(J1381&lt;&gt;1,"",IF(I1381="SBJ","CB","?"))</f>
        <v> </v>
      </c>
      <c r="I1381" s="26" t="str">
        <f>IF(OR(E1381="",E1381="!!!",F1381="NEW"),"",INDEX(B1380:B$2,-1+SUMPRODUCT(MAX(ROW(E1380:E$2)*(E1381=E1380:E$2)))))</f>
        <v> </v>
      </c>
      <c r="J1381" s="26" t="str">
        <f>IF(OR(E1381="",E1381="!!!",F1381="NEW"),"",COUNTBLANK(OFFSET(A$1,,,SUMPRODUCT(MAX(ROW(E$2:E1381)*(E1381=E$2:E1381)))))-COUNTBLANK(OFFSET(A$1,,,SUMPRODUCT(MAX(ROW(E$1:E1380)*(E2=E$1:E1380))))))</f>
        <v> </v>
      </c>
      <c r="K1381" s="26" t="str">
        <f>IF(OR(E1381="",E1381="!!!",F1381="NEW"),"",INDEX(J$1:J1380,SUMPRODUCT(MAX(ROW(E$1:E1380)*(E1381=E$1:E1380)))))</f>
        <v> </v>
      </c>
      <c r="L1381" s="27"/>
    </row>
    <row r="1382" spans="1:12">
      <c r="A1382" s="20" t="s">
        <v>1019</v>
      </c>
      <c r="B1382" s="21" t="s">
        <v>432</v>
      </c>
      <c r="C1382" s="21" t="s">
        <v>471</v>
      </c>
      <c r="D1382" s="21" t="s">
        <v>424</v>
      </c>
      <c r="E1382" s="22">
        <f>IF(D1382="?OLD","!!!","")</f>
        <v/>
      </c>
      <c r="F1382" s="23" t="str">
        <f>IF(OR(E1382="",E1382="!!!"),"",IF(NOT(ISNA(VLOOKUP(E1382,E$1:E1381,1,FALSE()))),"OLD",IF(AND(E1382&lt;&gt;"",E1382&lt;&gt;"!!!"),"NEW","")))</f>
        <v> </v>
      </c>
      <c r="G1382" s="24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5" t="str">
        <f>IF(J1382&lt;&gt;1,"",IF(I1382="SBJ","CB","?"))</f>
        <v> </v>
      </c>
      <c r="I1382" s="26" t="str">
        <f>IF(OR(E1382="",E1382="!!!",F1382="NEW"),"",INDEX(B1381:B$2,-1+SUMPRODUCT(MAX(ROW(E1381:E$2)*(E1382=E1381:E$2)))))</f>
        <v> </v>
      </c>
      <c r="J1382" s="26" t="str">
        <f>IF(OR(E1382="",E1382="!!!",F1382="NEW"),"",COUNTBLANK(OFFSET(A$1,,,SUMPRODUCT(MAX(ROW(E$2:E1382)*(E1382=E$2:E1382)))))-COUNTBLANK(OFFSET(A$1,,,SUMPRODUCT(MAX(ROW(E$1:E1381)*(E2=E$1:E1381))))))</f>
        <v> </v>
      </c>
      <c r="K1382" s="26" t="str">
        <f>IF(OR(E1382="",E1382="!!!",F1382="NEW"),"",INDEX(J$1:J1381,SUMPRODUCT(MAX(ROW(E$1:E1381)*(E1382=E$1:E1381)))))</f>
        <v> </v>
      </c>
      <c r="L1382" s="27"/>
    </row>
    <row r="1383" spans="1:12">
      <c r="A1383" s="20" t="s">
        <v>453</v>
      </c>
      <c r="E1383" s="22">
        <f>IF(D1383="?OLD","!!!","")</f>
        <v/>
      </c>
      <c r="F1383" s="23" t="str">
        <f>IF(OR(E1383="",E1383="!!!"),"",IF(NOT(ISNA(VLOOKUP(E1383,E$1:E1382,1,FALSE()))),"OLD",IF(AND(E1383&lt;&gt;"",E1383&lt;&gt;"!!!"),"NEW","")))</f>
        <v> </v>
      </c>
      <c r="G1383" s="24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5" t="str">
        <f>IF(J1383&lt;&gt;1,"",IF(I1383="SBJ","CB","?"))</f>
        <v> </v>
      </c>
      <c r="I1383" s="26" t="str">
        <f>IF(OR(E1383="",E1383="!!!",F1383="NEW"),"",INDEX(B1382:B$2,-1+SUMPRODUCT(MAX(ROW(E1382:E$2)*(E1383=E1382:E$2)))))</f>
        <v> </v>
      </c>
      <c r="J1383" s="26" t="str">
        <f>IF(OR(E1383="",E1383="!!!",F1383="NEW"),"",COUNTBLANK(OFFSET(A$1,,,SUMPRODUCT(MAX(ROW(E$2:E1383)*(E1383=E$2:E1383)))))-COUNTBLANK(OFFSET(A$1,,,SUMPRODUCT(MAX(ROW(E$1:E1382)*(E2=E$1:E1382))))))</f>
        <v> </v>
      </c>
      <c r="K1383" s="26" t="str">
        <f>IF(OR(E1383="",E1383="!!!",F1383="NEW"),"",INDEX(J$1:J1382,SUMPRODUCT(MAX(ROW(E$1:E1382)*(E1383=E$1:E1382)))))</f>
        <v> </v>
      </c>
      <c r="L1383" s="27"/>
    </row>
    <row r="1384" spans="1:12">
      <c r="A1384" s="20" t="s">
        <v>482</v>
      </c>
      <c r="B1384" s="21" t="s">
        <v>476</v>
      </c>
      <c r="C1384" s="21" t="s">
        <v>477</v>
      </c>
      <c r="D1384" s="21" t="s">
        <v>424</v>
      </c>
      <c r="E1384" s="22">
        <f>IF(D1384="?OLD","!!!","")</f>
        <v/>
      </c>
      <c r="F1384" s="23" t="str">
        <f>IF(OR(E1384="",E1384="!!!"),"",IF(NOT(ISNA(VLOOKUP(E1384,E$1:E1383,1,FALSE()))),"OLD",IF(AND(E1384&lt;&gt;"",E1384&lt;&gt;"!!!"),"NEW","")))</f>
        <v> </v>
      </c>
      <c r="G1384" s="24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5" t="str">
        <f>IF(J1384&lt;&gt;1,"",IF(I1384="SBJ","CB","?"))</f>
        <v> </v>
      </c>
      <c r="I1384" s="26" t="str">
        <f>IF(OR(E1384="",E1384="!!!",F1384="NEW"),"",INDEX(B1383:B$2,-1+SUMPRODUCT(MAX(ROW(E1383:E$2)*(E1384=E1383:E$2)))))</f>
        <v> </v>
      </c>
      <c r="J1384" s="26" t="str">
        <f>IF(OR(E1384="",E1384="!!!",F1384="NEW"),"",COUNTBLANK(OFFSET(A$1,,,SUMPRODUCT(MAX(ROW(E$2:E1384)*(E1384=E$2:E1384)))))-COUNTBLANK(OFFSET(A$1,,,SUMPRODUCT(MAX(ROW(E$1:E1383)*(E2=E$1:E1383))))))</f>
        <v> </v>
      </c>
      <c r="K1384" s="26" t="str">
        <f>IF(OR(E1384="",E1384="!!!",F1384="NEW"),"",INDEX(J$1:J1383,SUMPRODUCT(MAX(ROW(E$1:E1383)*(E1384=E$1:E1383)))))</f>
        <v> </v>
      </c>
      <c r="L1384" s="27"/>
    </row>
    <row r="1385" spans="1:12">
      <c r="A1385" s="20" t="s">
        <v>1044</v>
      </c>
      <c r="E1385" s="22">
        <f>IF(D1385="?OLD","!!!","")</f>
        <v/>
      </c>
      <c r="F1385" s="23" t="str">
        <f>IF(OR(E1385="",E1385="!!!"),"",IF(NOT(ISNA(VLOOKUP(E1385,E$1:E1384,1,FALSE()))),"OLD",IF(AND(E1385&lt;&gt;"",E1385&lt;&gt;"!!!"),"NEW","")))</f>
        <v> </v>
      </c>
      <c r="G1385" s="24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5" t="str">
        <f>IF(J1385&lt;&gt;1,"",IF(I1385="SBJ","CB","?"))</f>
        <v> </v>
      </c>
      <c r="I1385" s="26" t="str">
        <f>IF(OR(E1385="",E1385="!!!",F1385="NEW"),"",INDEX(B1384:B$2,-1+SUMPRODUCT(MAX(ROW(E1384:E$2)*(E1385=E1384:E$2)))))</f>
        <v> </v>
      </c>
      <c r="J1385" s="26" t="str">
        <f>IF(OR(E1385="",E1385="!!!",F1385="NEW"),"",COUNTBLANK(OFFSET(A$1,,,SUMPRODUCT(MAX(ROW(E$2:E1385)*(E1385=E$2:E1385)))))-COUNTBLANK(OFFSET(A$1,,,SUMPRODUCT(MAX(ROW(E$1:E1384)*(E2=E$1:E1384))))))</f>
        <v> </v>
      </c>
      <c r="K1385" s="26" t="str">
        <f>IF(OR(E1385="",E1385="!!!",F1385="NEW"),"",INDEX(J$1:J1384,SUMPRODUCT(MAX(ROW(E$1:E1384)*(E1385=E$1:E1384)))))</f>
        <v> </v>
      </c>
      <c r="L1385" s="27"/>
    </row>
    <row r="1386" spans="1:12">
      <c r="A1386" s="20" t="s">
        <v>506</v>
      </c>
      <c r="E1386" s="22">
        <f>IF(D1386="?OLD","!!!","")</f>
        <v/>
      </c>
      <c r="F1386" s="23" t="str">
        <f>IF(OR(E1386="",E1386="!!!"),"",IF(NOT(ISNA(VLOOKUP(E1386,E$1:E1385,1,FALSE()))),"OLD",IF(AND(E1386&lt;&gt;"",E1386&lt;&gt;"!!!"),"NEW","")))</f>
        <v> </v>
      </c>
      <c r="G1386" s="24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5" t="str">
        <f>IF(J1386&lt;&gt;1,"",IF(I1386="SBJ","CB","?"))</f>
        <v> </v>
      </c>
      <c r="I1386" s="26" t="str">
        <f>IF(OR(E1386="",E1386="!!!",F1386="NEW"),"",INDEX(B1385:B$2,-1+SUMPRODUCT(MAX(ROW(E1385:E$2)*(E1386=E1385:E$2)))))</f>
        <v> </v>
      </c>
      <c r="J1386" s="26" t="str">
        <f>IF(OR(E1386="",E1386="!!!",F1386="NEW"),"",COUNTBLANK(OFFSET(A$1,,,SUMPRODUCT(MAX(ROW(E$2:E1386)*(E1386=E$2:E1386)))))-COUNTBLANK(OFFSET(A$1,,,SUMPRODUCT(MAX(ROW(E$1:E1385)*(E2=E$1:E1385))))))</f>
        <v> </v>
      </c>
      <c r="K1386" s="26" t="str">
        <f>IF(OR(E1386="",E1386="!!!",F1386="NEW"),"",INDEX(J$1:J1385,SUMPRODUCT(MAX(ROW(E$1:E1385)*(E1386=E$1:E1385)))))</f>
        <v> </v>
      </c>
      <c r="L1386" s="27"/>
    </row>
    <row r="1387" spans="1:12">
      <c r="A1387" s="20" t="s">
        <v>1127</v>
      </c>
      <c r="E1387" s="22">
        <f>IF(D1387="?OLD","!!!","")</f>
        <v/>
      </c>
      <c r="F1387" s="23" t="str">
        <f>IF(OR(E1387="",E1387="!!!"),"",IF(NOT(ISNA(VLOOKUP(E1387,E$1:E1386,1,FALSE()))),"OLD",IF(AND(E1387&lt;&gt;"",E1387&lt;&gt;"!!!"),"NEW","")))</f>
        <v> </v>
      </c>
      <c r="G1387" s="24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5" t="str">
        <f>IF(J1387&lt;&gt;1,"",IF(I1387="SBJ","CB","?"))</f>
        <v> </v>
      </c>
      <c r="I1387" s="26" t="str">
        <f>IF(OR(E1387="",E1387="!!!",F1387="NEW"),"",INDEX(B1386:B$2,-1+SUMPRODUCT(MAX(ROW(E1386:E$2)*(E1387=E1386:E$2)))))</f>
        <v> </v>
      </c>
      <c r="J1387" s="26" t="str">
        <f>IF(OR(E1387="",E1387="!!!",F1387="NEW"),"",COUNTBLANK(OFFSET(A$1,,,SUMPRODUCT(MAX(ROW(E$2:E1387)*(E1387=E$2:E1387)))))-COUNTBLANK(OFFSET(A$1,,,SUMPRODUCT(MAX(ROW(E$1:E1386)*(E2=E$1:E1386))))))</f>
        <v> </v>
      </c>
      <c r="K1387" s="26" t="str">
        <f>IF(OR(E1387="",E1387="!!!",F1387="NEW"),"",INDEX(J$1:J1386,SUMPRODUCT(MAX(ROW(E$1:E1386)*(E1387=E$1:E1386)))))</f>
        <v> </v>
      </c>
      <c r="L1387" s="27"/>
    </row>
    <row r="1388" spans="1:12">
      <c r="A1388" s="20" t="s">
        <v>47</v>
      </c>
      <c r="E1388" s="22">
        <f>IF(D1388="?OLD","!!!","")</f>
        <v/>
      </c>
      <c r="F1388" s="23" t="str">
        <f>IF(OR(E1388="",E1388="!!!"),"",IF(NOT(ISNA(VLOOKUP(E1388,E$1:E1387,1,FALSE()))),"OLD",IF(AND(E1388&lt;&gt;"",E1388&lt;&gt;"!!!"),"NEW","")))</f>
        <v> </v>
      </c>
      <c r="G1388" s="24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5" t="str">
        <f>IF(J1388&lt;&gt;1,"",IF(I1388="SBJ","CB","?"))</f>
        <v> </v>
      </c>
      <c r="I1388" s="26" t="str">
        <f>IF(OR(E1388="",E1388="!!!",F1388="NEW"),"",INDEX(B1387:B$2,-1+SUMPRODUCT(MAX(ROW(E1387:E$2)*(E1388=E1387:E$2)))))</f>
        <v> </v>
      </c>
      <c r="J1388" s="26" t="str">
        <f>IF(OR(E1388="",E1388="!!!",F1388="NEW"),"",COUNTBLANK(OFFSET(A$1,,,SUMPRODUCT(MAX(ROW(E$2:E1388)*(E1388=E$2:E1388)))))-COUNTBLANK(OFFSET(A$1,,,SUMPRODUCT(MAX(ROW(E$1:E1387)*(E2=E$1:E1387))))))</f>
        <v> </v>
      </c>
      <c r="K1388" s="26" t="str">
        <f>IF(OR(E1388="",E1388="!!!",F1388="NEW"),"",INDEX(J$1:J1387,SUMPRODUCT(MAX(ROW(E$1:E1387)*(E1388=E$1:E1387)))))</f>
        <v> </v>
      </c>
      <c r="L1388" s="27"/>
    </row>
    <row r="1389" spans="1:12">
      <c r="A1389" s="20" t="s">
        <v>632</v>
      </c>
      <c r="E1389" s="22">
        <f>IF(D1389="?OLD","!!!","")</f>
        <v/>
      </c>
      <c r="F1389" s="23" t="str">
        <f>IF(OR(E1389="",E1389="!!!"),"",IF(NOT(ISNA(VLOOKUP(E1389,E$1:E1388,1,FALSE()))),"OLD",IF(AND(E1389&lt;&gt;"",E1389&lt;&gt;"!!!"),"NEW","")))</f>
        <v> </v>
      </c>
      <c r="G1389" s="24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5" t="str">
        <f>IF(J1389&lt;&gt;1,"",IF(I1389="SBJ","CB","?"))</f>
        <v> </v>
      </c>
      <c r="I1389" s="26" t="str">
        <f>IF(OR(E1389="",E1389="!!!",F1389="NEW"),"",INDEX(B1388:B$2,-1+SUMPRODUCT(MAX(ROW(E1388:E$2)*(E1389=E1388:E$2)))))</f>
        <v> </v>
      </c>
      <c r="J1389" s="26" t="str">
        <f>IF(OR(E1389="",E1389="!!!",F1389="NEW"),"",COUNTBLANK(OFFSET(A$1,,,SUMPRODUCT(MAX(ROW(E$2:E1389)*(E1389=E$2:E1389)))))-COUNTBLANK(OFFSET(A$1,,,SUMPRODUCT(MAX(ROW(E$1:E1388)*(E2=E$1:E1388))))))</f>
        <v> </v>
      </c>
      <c r="K1389" s="26" t="str">
        <f>IF(OR(E1389="",E1389="!!!",F1389="NEW"),"",INDEX(J$1:J1388,SUMPRODUCT(MAX(ROW(E$1:E1388)*(E1389=E$1:E1388)))))</f>
        <v> </v>
      </c>
      <c r="L1389" s="27"/>
    </row>
    <row r="1390" spans="1:12">
      <c r="A1390" s="20" t="s">
        <v>39</v>
      </c>
      <c r="E1390" s="22">
        <f>IF(D1390="?OLD","!!!","")</f>
        <v/>
      </c>
      <c r="F1390" s="23" t="str">
        <f>IF(OR(E1390="",E1390="!!!"),"",IF(NOT(ISNA(VLOOKUP(E1390,E$1:E1389,1,FALSE()))),"OLD",IF(AND(E1390&lt;&gt;"",E1390&lt;&gt;"!!!"),"NEW","")))</f>
        <v> </v>
      </c>
      <c r="G1390" s="24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5" t="str">
        <f>IF(J1390&lt;&gt;1,"",IF(I1390="SBJ","CB","?"))</f>
        <v> </v>
      </c>
      <c r="I1390" s="26" t="str">
        <f>IF(OR(E1390="",E1390="!!!",F1390="NEW"),"",INDEX(B1389:B$2,-1+SUMPRODUCT(MAX(ROW(E1389:E$2)*(E1390=E1389:E$2)))))</f>
        <v> </v>
      </c>
      <c r="J1390" s="26" t="str">
        <f>IF(OR(E1390="",E1390="!!!",F1390="NEW"),"",COUNTBLANK(OFFSET(A$1,,,SUMPRODUCT(MAX(ROW(E$2:E1390)*(E1390=E$2:E1390)))))-COUNTBLANK(OFFSET(A$1,,,SUMPRODUCT(MAX(ROW(E$1:E1389)*(E2=E$1:E1389))))))</f>
        <v> </v>
      </c>
      <c r="K1390" s="26" t="str">
        <f>IF(OR(E1390="",E1390="!!!",F1390="NEW"),"",INDEX(J$1:J1389,SUMPRODUCT(MAX(ROW(E$1:E1389)*(E1390=E$1:E1389)))))</f>
        <v> </v>
      </c>
      <c r="L1390" s="27"/>
    </row>
    <row r="1391" spans="1:12">
      <c r="A1391" s="20" t="s">
        <v>1128</v>
      </c>
      <c r="B1391" s="21" t="s">
        <v>432</v>
      </c>
      <c r="C1391" s="21" t="s">
        <v>516</v>
      </c>
      <c r="E1391" s="22">
        <f>IF(D1391="?OLD","!!!","")</f>
        <v/>
      </c>
      <c r="F1391" s="23" t="str">
        <f>IF(OR(E1391="",E1391="!!!"),"",IF(NOT(ISNA(VLOOKUP(E1391,E$1:E1390,1,FALSE()))),"OLD",IF(AND(E1391&lt;&gt;"",E1391&lt;&gt;"!!!"),"NEW","")))</f>
        <v> </v>
      </c>
      <c r="G1391" s="24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5" t="str">
        <f>IF(J1391&lt;&gt;1,"",IF(I1391="SBJ","CB","?"))</f>
        <v> </v>
      </c>
      <c r="I1391" s="26" t="str">
        <f>IF(OR(E1391="",E1391="!!!",F1391="NEW"),"",INDEX(B1390:B$2,-1+SUMPRODUCT(MAX(ROW(E1390:E$2)*(E1391=E1390:E$2)))))</f>
        <v> </v>
      </c>
      <c r="J1391" s="26" t="str">
        <f>IF(OR(E1391="",E1391="!!!",F1391="NEW"),"",COUNTBLANK(OFFSET(A$1,,,SUMPRODUCT(MAX(ROW(E$2:E1391)*(E1391=E$2:E1391)))))-COUNTBLANK(OFFSET(A$1,,,SUMPRODUCT(MAX(ROW(E$1:E1390)*(E2=E$1:E1390))))))</f>
        <v> </v>
      </c>
      <c r="K1391" s="26" t="str">
        <f>IF(OR(E1391="",E1391="!!!",F1391="NEW"),"",INDEX(J$1:J1390,SUMPRODUCT(MAX(ROW(E$1:E1390)*(E1391=E$1:E1390)))))</f>
        <v> </v>
      </c>
      <c r="L1391" s="27"/>
    </row>
    <row r="1392" spans="1:12">
      <c r="A1392" s="20" t="s">
        <v>438</v>
      </c>
      <c r="E1392" s="22">
        <f>IF(D1392="?OLD","!!!","")</f>
        <v/>
      </c>
      <c r="F1392" s="23" t="str">
        <f>IF(OR(E1392="",E1392="!!!"),"",IF(NOT(ISNA(VLOOKUP(E1392,E$1:E1391,1,FALSE()))),"OLD",IF(AND(E1392&lt;&gt;"",E1392&lt;&gt;"!!!"),"NEW","")))</f>
        <v> </v>
      </c>
      <c r="G1392" s="24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5" t="str">
        <f>IF(J1392&lt;&gt;1,"",IF(I1392="SBJ","CB","?"))</f>
        <v> </v>
      </c>
      <c r="I1392" s="26" t="str">
        <f>IF(OR(E1392="",E1392="!!!",F1392="NEW"),"",INDEX(B1391:B$2,-1+SUMPRODUCT(MAX(ROW(E1391:E$2)*(E1392=E1391:E$2)))))</f>
        <v> </v>
      </c>
      <c r="J1392" s="26" t="str">
        <f>IF(OR(E1392="",E1392="!!!",F1392="NEW"),"",COUNTBLANK(OFFSET(A$1,,,SUMPRODUCT(MAX(ROW(E$2:E1392)*(E1392=E$2:E1392)))))-COUNTBLANK(OFFSET(A$1,,,SUMPRODUCT(MAX(ROW(E$1:E1391)*(E2=E$1:E1391))))))</f>
        <v> </v>
      </c>
      <c r="K1392" s="26" t="str">
        <f>IF(OR(E1392="",E1392="!!!",F1392="NEW"),"",INDEX(J$1:J1391,SUMPRODUCT(MAX(ROW(E$1:E1391)*(E1392=E$1:E1391)))))</f>
        <v> </v>
      </c>
      <c r="L1392" s="27"/>
    </row>
    <row r="1393" spans="1:12">
      <c r="A1393" s="20"/>
    </row>
    <row r="1394" spans="1:12">
      <c r="A1394" s="20" t="s">
        <v>1129</v>
      </c>
    </row>
    <row r="1395" spans="1:12">
      <c r="A1395" s="20" t="s">
        <v>755</v>
      </c>
      <c r="B1395" s="21" t="s">
        <v>422</v>
      </c>
      <c r="C1395" s="21" t="s">
        <v>477</v>
      </c>
      <c r="D1395" s="21" t="s">
        <v>424</v>
      </c>
      <c r="E1395" s="22">
        <f>IF(D1395="?OLD","!!!","")</f>
        <v/>
      </c>
      <c r="F1395" s="23" t="str">
        <f>IF(OR(E1395="",E1395="!!!"),"",IF(NOT(ISNA(VLOOKUP(E1395,E$1:E1394,1,FALSE()))),"OLD",IF(AND(E1395&lt;&gt;"",E1395&lt;&gt;"!!!"),"NEW","")))</f>
        <v> </v>
      </c>
      <c r="G1395" s="24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5" t="str">
        <f>IF(J1395&lt;&gt;1,"",IF(I1395="SBJ","CB","?"))</f>
        <v> </v>
      </c>
      <c r="I1395" s="26" t="str">
        <f>IF(OR(E1395="",E1395="!!!",F1395="NEW"),"",INDEX(B1394:B$2,-1+SUMPRODUCT(MAX(ROW(E1394:E$2)*(E1395=E1394:E$2)))))</f>
        <v> </v>
      </c>
      <c r="J1395" s="26" t="str">
        <f>IF(OR(E1395="",E1395="!!!",F1395="NEW"),"",COUNTBLANK(OFFSET(A$1,,,SUMPRODUCT(MAX(ROW(E$2:E1395)*(E1395=E$2:E1395)))))-COUNTBLANK(OFFSET(A$1,,,SUMPRODUCT(MAX(ROW(E$1:E1394)*(E2=E$1:E1394))))))</f>
        <v> </v>
      </c>
      <c r="K1395" s="26" t="str">
        <f>IF(OR(E1395="",E1395="!!!",F1395="NEW"),"",INDEX(J$1:J1394,SUMPRODUCT(MAX(ROW(E$1:E1394)*(E1395=E$1:E1394)))))</f>
        <v> </v>
      </c>
      <c r="L1395" s="27"/>
    </row>
    <row r="1396" spans="1:12">
      <c r="A1396" s="20" t="s">
        <v>453</v>
      </c>
      <c r="E1396" s="22">
        <f>IF(D1396="?OLD","!!!","")</f>
        <v/>
      </c>
      <c r="F1396" s="23" t="str">
        <f>IF(OR(E1396="",E1396="!!!"),"",IF(NOT(ISNA(VLOOKUP(E1396,E$1:E1395,1,FALSE()))),"OLD",IF(AND(E1396&lt;&gt;"",E1396&lt;&gt;"!!!"),"NEW","")))</f>
        <v> </v>
      </c>
      <c r="G1396" s="24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5" t="str">
        <f>IF(J1396&lt;&gt;1,"",IF(I1396="SBJ","CB","?"))</f>
        <v> </v>
      </c>
      <c r="I1396" s="26" t="str">
        <f>IF(OR(E1396="",E1396="!!!",F1396="NEW"),"",INDEX(B1395:B$2,-1+SUMPRODUCT(MAX(ROW(E1395:E$2)*(E1396=E1395:E$2)))))</f>
        <v> </v>
      </c>
      <c r="J1396" s="26" t="str">
        <f>IF(OR(E1396="",E1396="!!!",F1396="NEW"),"",COUNTBLANK(OFFSET(A$1,,,SUMPRODUCT(MAX(ROW(E$2:E1396)*(E1396=E$2:E1396)))))-COUNTBLANK(OFFSET(A$1,,,SUMPRODUCT(MAX(ROW(E$1:E1395)*(E2=E$1:E1395))))))</f>
        <v> </v>
      </c>
      <c r="K1396" s="26" t="str">
        <f>IF(OR(E1396="",E1396="!!!",F1396="NEW"),"",INDEX(J$1:J1395,SUMPRODUCT(MAX(ROW(E$1:E1395)*(E1396=E$1:E1395)))))</f>
        <v> </v>
      </c>
      <c r="L1396" s="27"/>
    </row>
    <row r="1397" spans="1:12">
      <c r="A1397" s="20" t="s">
        <v>728</v>
      </c>
      <c r="B1397" s="21" t="s">
        <v>556</v>
      </c>
      <c r="C1397" s="21" t="s">
        <v>423</v>
      </c>
      <c r="D1397" s="21" t="s">
        <v>424</v>
      </c>
      <c r="E1397" s="22">
        <f>IF(D1397="?OLD","!!!","")</f>
        <v/>
      </c>
      <c r="F1397" s="23" t="str">
        <f>IF(OR(E1397="",E1397="!!!"),"",IF(NOT(ISNA(VLOOKUP(E1397,E$1:E1396,1,FALSE()))),"OLD",IF(AND(E1397&lt;&gt;"",E1397&lt;&gt;"!!!"),"NEW","")))</f>
        <v> </v>
      </c>
      <c r="G1397" s="24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5" t="str">
        <f>IF(J1397&lt;&gt;1,"",IF(I1397="SBJ","CB","?"))</f>
        <v> </v>
      </c>
      <c r="I1397" s="26" t="str">
        <f>IF(OR(E1397="",E1397="!!!",F1397="NEW"),"",INDEX(B1396:B$2,-1+SUMPRODUCT(MAX(ROW(E1396:E$2)*(E1397=E1396:E$2)))))</f>
        <v> </v>
      </c>
      <c r="J1397" s="26" t="str">
        <f>IF(OR(E1397="",E1397="!!!",F1397="NEW"),"",COUNTBLANK(OFFSET(A$1,,,SUMPRODUCT(MAX(ROW(E$2:E1397)*(E1397=E$2:E1397)))))-COUNTBLANK(OFFSET(A$1,,,SUMPRODUCT(MAX(ROW(E$1:E1396)*(E2=E$1:E1396))))))</f>
        <v> </v>
      </c>
      <c r="K1397" s="26" t="str">
        <f>IF(OR(E1397="",E1397="!!!",F1397="NEW"),"",INDEX(J$1:J1396,SUMPRODUCT(MAX(ROW(E$1:E1396)*(E1397=E$1:E1396)))))</f>
        <v> </v>
      </c>
      <c r="L1397" s="27"/>
    </row>
    <row r="1398" spans="1:12">
      <c r="A1398" s="20" t="s">
        <v>1008</v>
      </c>
      <c r="E1398" s="22">
        <f>IF(D1398="?OLD","!!!","")</f>
        <v/>
      </c>
      <c r="F1398" s="23" t="str">
        <f>IF(OR(E1398="",E1398="!!!"),"",IF(NOT(ISNA(VLOOKUP(E1398,E$1:E1397,1,FALSE()))),"OLD",IF(AND(E1398&lt;&gt;"",E1398&lt;&gt;"!!!"),"NEW","")))</f>
        <v> </v>
      </c>
      <c r="G1398" s="24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5" t="str">
        <f>IF(J1398&lt;&gt;1,"",IF(I1398="SBJ","CB","?"))</f>
        <v> </v>
      </c>
      <c r="I1398" s="26" t="str">
        <f>IF(OR(E1398="",E1398="!!!",F1398="NEW"),"",INDEX(B1397:B$2,-1+SUMPRODUCT(MAX(ROW(E1397:E$2)*(E1398=E1397:E$2)))))</f>
        <v> </v>
      </c>
      <c r="J1398" s="26" t="str">
        <f>IF(OR(E1398="",E1398="!!!",F1398="NEW"),"",COUNTBLANK(OFFSET(A$1,,,SUMPRODUCT(MAX(ROW(E$2:E1398)*(E1398=E$2:E1398)))))-COUNTBLANK(OFFSET(A$1,,,SUMPRODUCT(MAX(ROW(E$1:E1397)*(E2=E$1:E1397))))))</f>
        <v> </v>
      </c>
      <c r="K1398" s="26" t="str">
        <f>IF(OR(E1398="",E1398="!!!",F1398="NEW"),"",INDEX(J$1:J1397,SUMPRODUCT(MAX(ROW(E$1:E1397)*(E1398=E$1:E1397)))))</f>
        <v> </v>
      </c>
      <c r="L1398" s="27"/>
    </row>
    <row r="1399" spans="1:12">
      <c r="A1399" s="20" t="s">
        <v>453</v>
      </c>
      <c r="E1399" s="22">
        <f>IF(D1399="?OLD","!!!","")</f>
        <v/>
      </c>
      <c r="F1399" s="23" t="str">
        <f>IF(OR(E1399="",E1399="!!!"),"",IF(NOT(ISNA(VLOOKUP(E1399,E$1:E1398,1,FALSE()))),"OLD",IF(AND(E1399&lt;&gt;"",E1399&lt;&gt;"!!!"),"NEW","")))</f>
        <v> </v>
      </c>
      <c r="G1399" s="24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5" t="str">
        <f>IF(J1399&lt;&gt;1,"",IF(I1399="SBJ","CB","?"))</f>
        <v> </v>
      </c>
      <c r="I1399" s="26" t="str">
        <f>IF(OR(E1399="",E1399="!!!",F1399="NEW"),"",INDEX(B1398:B$2,-1+SUMPRODUCT(MAX(ROW(E1398:E$2)*(E1399=E1398:E$2)))))</f>
        <v> </v>
      </c>
      <c r="J1399" s="26" t="str">
        <f>IF(OR(E1399="",E1399="!!!",F1399="NEW"),"",COUNTBLANK(OFFSET(A$1,,,SUMPRODUCT(MAX(ROW(E$2:E1399)*(E1399=E$2:E1399)))))-COUNTBLANK(OFFSET(A$1,,,SUMPRODUCT(MAX(ROW(E$1:E1398)*(E2=E$1:E1398))))))</f>
        <v> </v>
      </c>
      <c r="K1399" s="26" t="str">
        <f>IF(OR(E1399="",E1399="!!!",F1399="NEW"),"",INDEX(J$1:J1398,SUMPRODUCT(MAX(ROW(E$1:E1398)*(E1399=E$1:E1398)))))</f>
        <v> </v>
      </c>
      <c r="L1399" s="27"/>
    </row>
    <row r="1400" spans="1:12">
      <c r="A1400" s="20" t="s">
        <v>486</v>
      </c>
      <c r="E1400" s="22">
        <f>IF(D1400="?OLD","!!!","")</f>
        <v/>
      </c>
      <c r="F1400" s="23" t="str">
        <f>IF(OR(E1400="",E1400="!!!"),"",IF(NOT(ISNA(VLOOKUP(E1400,E$1:E1399,1,FALSE()))),"OLD",IF(AND(E1400&lt;&gt;"",E1400&lt;&gt;"!!!"),"NEW","")))</f>
        <v> </v>
      </c>
      <c r="G1400" s="24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5" t="str">
        <f>IF(J1400&lt;&gt;1,"",IF(I1400="SBJ","CB","?"))</f>
        <v> </v>
      </c>
      <c r="I1400" s="26" t="str">
        <f>IF(OR(E1400="",E1400="!!!",F1400="NEW"),"",INDEX(B1399:B$2,-1+SUMPRODUCT(MAX(ROW(E1399:E$2)*(E1400=E1399:E$2)))))</f>
        <v> </v>
      </c>
      <c r="J1400" s="26" t="str">
        <f>IF(OR(E1400="",E1400="!!!",F1400="NEW"),"",COUNTBLANK(OFFSET(A$1,,,SUMPRODUCT(MAX(ROW(E$2:E1400)*(E1400=E$2:E1400)))))-COUNTBLANK(OFFSET(A$1,,,SUMPRODUCT(MAX(ROW(E$1:E1399)*(E2=E$1:E1399))))))</f>
        <v> </v>
      </c>
      <c r="K1400" s="26" t="str">
        <f>IF(OR(E1400="",E1400="!!!",F1400="NEW"),"",INDEX(J$1:J1399,SUMPRODUCT(MAX(ROW(E$1:E1399)*(E1400=E$1:E1399)))))</f>
        <v> </v>
      </c>
      <c r="L1400" s="27"/>
    </row>
    <row r="1401" spans="1:12">
      <c r="A1401" s="20" t="s">
        <v>1130</v>
      </c>
      <c r="E1401" s="22">
        <f>IF(D1401="?OLD","!!!","")</f>
        <v/>
      </c>
      <c r="F1401" s="23" t="str">
        <f>IF(OR(E1401="",E1401="!!!"),"",IF(NOT(ISNA(VLOOKUP(E1401,E$1:E1400,1,FALSE()))),"OLD",IF(AND(E1401&lt;&gt;"",E1401&lt;&gt;"!!!"),"NEW","")))</f>
        <v> </v>
      </c>
      <c r="G1401" s="24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5" t="str">
        <f>IF(J1401&lt;&gt;1,"",IF(I1401="SBJ","CB","?"))</f>
        <v> </v>
      </c>
      <c r="I1401" s="26" t="str">
        <f>IF(OR(E1401="",E1401="!!!",F1401="NEW"),"",INDEX(B1400:B$2,-1+SUMPRODUCT(MAX(ROW(E1400:E$2)*(E1401=E1400:E$2)))))</f>
        <v> </v>
      </c>
      <c r="J1401" s="26" t="str">
        <f>IF(OR(E1401="",E1401="!!!",F1401="NEW"),"",COUNTBLANK(OFFSET(A$1,,,SUMPRODUCT(MAX(ROW(E$2:E1401)*(E1401=E$2:E1401)))))-COUNTBLANK(OFFSET(A$1,,,SUMPRODUCT(MAX(ROW(E$1:E1400)*(E2=E$1:E1400))))))</f>
        <v> </v>
      </c>
      <c r="K1401" s="26" t="str">
        <f>IF(OR(E1401="",E1401="!!!",F1401="NEW"),"",INDEX(J$1:J1400,SUMPRODUCT(MAX(ROW(E$1:E1400)*(E1401=E$1:E1400)))))</f>
        <v> </v>
      </c>
      <c r="L1401" s="27"/>
    </row>
    <row r="1402" spans="1:12">
      <c r="A1402" s="20" t="s">
        <v>1131</v>
      </c>
      <c r="E1402" s="22">
        <f>IF(D1402="?OLD","!!!","")</f>
        <v/>
      </c>
      <c r="F1402" s="23" t="str">
        <f>IF(OR(E1402="",E1402="!!!"),"",IF(NOT(ISNA(VLOOKUP(E1402,E$1:E1401,1,FALSE()))),"OLD",IF(AND(E1402&lt;&gt;"",E1402&lt;&gt;"!!!"),"NEW","")))</f>
        <v> </v>
      </c>
      <c r="G1402" s="24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5" t="str">
        <f>IF(J1402&lt;&gt;1,"",IF(I1402="SBJ","CB","?"))</f>
        <v> </v>
      </c>
      <c r="I1402" s="26" t="str">
        <f>IF(OR(E1402="",E1402="!!!",F1402="NEW"),"",INDEX(B1401:B$2,-1+SUMPRODUCT(MAX(ROW(E1401:E$2)*(E1402=E1401:E$2)))))</f>
        <v> </v>
      </c>
      <c r="J1402" s="26" t="str">
        <f>IF(OR(E1402="",E1402="!!!",F1402="NEW"),"",COUNTBLANK(OFFSET(A$1,,,SUMPRODUCT(MAX(ROW(E$2:E1402)*(E1402=E$2:E1402)))))-COUNTBLANK(OFFSET(A$1,,,SUMPRODUCT(MAX(ROW(E$1:E1401)*(E2=E$1:E1401))))))</f>
        <v> </v>
      </c>
      <c r="K1402" s="26" t="str">
        <f>IF(OR(E1402="",E1402="!!!",F1402="NEW"),"",INDEX(J$1:J1401,SUMPRODUCT(MAX(ROW(E$1:E1401)*(E1402=E$1:E1401)))))</f>
        <v> </v>
      </c>
      <c r="L1402" s="27"/>
    </row>
    <row r="1403" spans="1:12">
      <c r="A1403" s="20" t="s">
        <v>453</v>
      </c>
      <c r="E1403" s="22">
        <f>IF(D1403="?OLD","!!!","")</f>
        <v/>
      </c>
      <c r="F1403" s="23" t="str">
        <f>IF(OR(E1403="",E1403="!!!"),"",IF(NOT(ISNA(VLOOKUP(E1403,E$1:E1402,1,FALSE()))),"OLD",IF(AND(E1403&lt;&gt;"",E1403&lt;&gt;"!!!"),"NEW","")))</f>
        <v> </v>
      </c>
      <c r="G1403" s="24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5" t="str">
        <f>IF(J1403&lt;&gt;1,"",IF(I1403="SBJ","CB","?"))</f>
        <v> </v>
      </c>
      <c r="I1403" s="26" t="str">
        <f>IF(OR(E1403="",E1403="!!!",F1403="NEW"),"",INDEX(B1402:B$2,-1+SUMPRODUCT(MAX(ROW(E1402:E$2)*(E1403=E1402:E$2)))))</f>
        <v> </v>
      </c>
      <c r="J1403" s="26" t="str">
        <f>IF(OR(E1403="",E1403="!!!",F1403="NEW"),"",COUNTBLANK(OFFSET(A$1,,,SUMPRODUCT(MAX(ROW(E$2:E1403)*(E1403=E$2:E1403)))))-COUNTBLANK(OFFSET(A$1,,,SUMPRODUCT(MAX(ROW(E$1:E1402)*(E2=E$1:E1402))))))</f>
        <v> </v>
      </c>
      <c r="K1403" s="26" t="str">
        <f>IF(OR(E1403="",E1403="!!!",F1403="NEW"),"",INDEX(J$1:J1402,SUMPRODUCT(MAX(ROW(E$1:E1402)*(E1403=E$1:E1402)))))</f>
        <v> </v>
      </c>
      <c r="L1403" s="27"/>
    </row>
    <row r="1404" spans="1:12">
      <c r="A1404" s="20" t="s">
        <v>1132</v>
      </c>
      <c r="E1404" s="22">
        <f>IF(D1404="?OLD","!!!","")</f>
        <v/>
      </c>
      <c r="F1404" s="23" t="str">
        <f>IF(OR(E1404="",E1404="!!!"),"",IF(NOT(ISNA(VLOOKUP(E1404,E$1:E1403,1,FALSE()))),"OLD",IF(AND(E1404&lt;&gt;"",E1404&lt;&gt;"!!!"),"NEW","")))</f>
        <v> </v>
      </c>
      <c r="G1404" s="24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5" t="str">
        <f>IF(J1404&lt;&gt;1,"",IF(I1404="SBJ","CB","?"))</f>
        <v> </v>
      </c>
      <c r="I1404" s="26" t="str">
        <f>IF(OR(E1404="",E1404="!!!",F1404="NEW"),"",INDEX(B1403:B$2,-1+SUMPRODUCT(MAX(ROW(E1403:E$2)*(E1404=E1403:E$2)))))</f>
        <v> </v>
      </c>
      <c r="J1404" s="26" t="str">
        <f>IF(OR(E1404="",E1404="!!!",F1404="NEW"),"",COUNTBLANK(OFFSET(A$1,,,SUMPRODUCT(MAX(ROW(E$2:E1404)*(E1404=E$2:E1404)))))-COUNTBLANK(OFFSET(A$1,,,SUMPRODUCT(MAX(ROW(E$1:E1403)*(E2=E$1:E1403))))))</f>
        <v> </v>
      </c>
      <c r="K1404" s="26" t="str">
        <f>IF(OR(E1404="",E1404="!!!",F1404="NEW"),"",INDEX(J$1:J1403,SUMPRODUCT(MAX(ROW(E$1:E1403)*(E1404=E$1:E1403)))))</f>
        <v> </v>
      </c>
      <c r="L1404" s="27"/>
    </row>
    <row r="1405" spans="1:12">
      <c r="A1405" s="20" t="s">
        <v>1131</v>
      </c>
      <c r="E1405" s="22">
        <f>IF(D1405="?OLD","!!!","")</f>
        <v/>
      </c>
      <c r="F1405" s="23" t="str">
        <f>IF(OR(E1405="",E1405="!!!"),"",IF(NOT(ISNA(VLOOKUP(E1405,E$1:E1404,1,FALSE()))),"OLD",IF(AND(E1405&lt;&gt;"",E1405&lt;&gt;"!!!"),"NEW","")))</f>
        <v> </v>
      </c>
      <c r="G1405" s="24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5" t="str">
        <f>IF(J1405&lt;&gt;1,"",IF(I1405="SBJ","CB","?"))</f>
        <v> </v>
      </c>
      <c r="I1405" s="26" t="str">
        <f>IF(OR(E1405="",E1405="!!!",F1405="NEW"),"",INDEX(B1404:B$2,-1+SUMPRODUCT(MAX(ROW(E1404:E$2)*(E1405=E1404:E$2)))))</f>
        <v> </v>
      </c>
      <c r="J1405" s="26" t="str">
        <f>IF(OR(E1405="",E1405="!!!",F1405="NEW"),"",COUNTBLANK(OFFSET(A$1,,,SUMPRODUCT(MAX(ROW(E$2:E1405)*(E1405=E$2:E1405)))))-COUNTBLANK(OFFSET(A$1,,,SUMPRODUCT(MAX(ROW(E$1:E1404)*(E2=E$1:E1404))))))</f>
        <v> </v>
      </c>
      <c r="K1405" s="26" t="str">
        <f>IF(OR(E1405="",E1405="!!!",F1405="NEW"),"",INDEX(J$1:J1404,SUMPRODUCT(MAX(ROW(E$1:E1404)*(E1405=E$1:E1404)))))</f>
        <v> </v>
      </c>
      <c r="L1405" s="27"/>
    </row>
    <row r="1406" spans="1:12">
      <c r="A1406" s="20" t="s">
        <v>893</v>
      </c>
      <c r="E1406" s="22">
        <f>IF(D1406="?OLD","!!!","")</f>
        <v/>
      </c>
      <c r="F1406" s="23" t="str">
        <f>IF(OR(E1406="",E1406="!!!"),"",IF(NOT(ISNA(VLOOKUP(E1406,E$1:E1405,1,FALSE()))),"OLD",IF(AND(E1406&lt;&gt;"",E1406&lt;&gt;"!!!"),"NEW","")))</f>
        <v> </v>
      </c>
      <c r="G1406" s="24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5" t="str">
        <f>IF(J1406&lt;&gt;1,"",IF(I1406="SBJ","CB","?"))</f>
        <v> </v>
      </c>
      <c r="I1406" s="26" t="str">
        <f>IF(OR(E1406="",E1406="!!!",F1406="NEW"),"",INDEX(B1405:B$2,-1+SUMPRODUCT(MAX(ROW(E1405:E$2)*(E1406=E1405:E$2)))))</f>
        <v> </v>
      </c>
      <c r="J1406" s="26" t="str">
        <f>IF(OR(E1406="",E1406="!!!",F1406="NEW"),"",COUNTBLANK(OFFSET(A$1,,,SUMPRODUCT(MAX(ROW(E$2:E1406)*(E1406=E$2:E1406)))))-COUNTBLANK(OFFSET(A$1,,,SUMPRODUCT(MAX(ROW(E$1:E1405)*(E2=E$1:E1405))))))</f>
        <v> </v>
      </c>
      <c r="K1406" s="26" t="str">
        <f>IF(OR(E1406="",E1406="!!!",F1406="NEW"),"",INDEX(J$1:J1405,SUMPRODUCT(MAX(ROW(E$1:E1405)*(E1406=E$1:E1405)))))</f>
        <v> </v>
      </c>
      <c r="L1406" s="27"/>
    </row>
    <row r="1407" spans="1:12">
      <c r="A1407" s="20" t="s">
        <v>1085</v>
      </c>
      <c r="E1407" s="22">
        <f>IF(D1407="?OLD","!!!","")</f>
        <v/>
      </c>
      <c r="F1407" s="23" t="str">
        <f>IF(OR(E1407="",E1407="!!!"),"",IF(NOT(ISNA(VLOOKUP(E1407,E$1:E1406,1,FALSE()))),"OLD",IF(AND(E1407&lt;&gt;"",E1407&lt;&gt;"!!!"),"NEW","")))</f>
        <v> </v>
      </c>
      <c r="G1407" s="24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5" t="str">
        <f>IF(J1407&lt;&gt;1,"",IF(I1407="SBJ","CB","?"))</f>
        <v> </v>
      </c>
      <c r="I1407" s="26" t="str">
        <f>IF(OR(E1407="",E1407="!!!",F1407="NEW"),"",INDEX(B1406:B$2,-1+SUMPRODUCT(MAX(ROW(E1406:E$2)*(E1407=E1406:E$2)))))</f>
        <v> </v>
      </c>
      <c r="J1407" s="26" t="str">
        <f>IF(OR(E1407="",E1407="!!!",F1407="NEW"),"",COUNTBLANK(OFFSET(A$1,,,SUMPRODUCT(MAX(ROW(E$2:E1407)*(E1407=E$2:E1407)))))-COUNTBLANK(OFFSET(A$1,,,SUMPRODUCT(MAX(ROW(E$1:E1406)*(E2=E$1:E1406))))))</f>
        <v> </v>
      </c>
      <c r="K1407" s="26" t="str">
        <f>IF(OR(E1407="",E1407="!!!",F1407="NEW"),"",INDEX(J$1:J1406,SUMPRODUCT(MAX(ROW(E$1:E1406)*(E1407=E$1:E1406)))))</f>
        <v> </v>
      </c>
      <c r="L1407" s="27"/>
    </row>
    <row r="1408" spans="1:12">
      <c r="A1408" s="20" t="s">
        <v>453</v>
      </c>
      <c r="E1408" s="22">
        <f>IF(D1408="?OLD","!!!","")</f>
        <v/>
      </c>
      <c r="F1408" s="23" t="str">
        <f>IF(OR(E1408="",E1408="!!!"),"",IF(NOT(ISNA(VLOOKUP(E1408,E$1:E1407,1,FALSE()))),"OLD",IF(AND(E1408&lt;&gt;"",E1408&lt;&gt;"!!!"),"NEW","")))</f>
        <v> </v>
      </c>
      <c r="G1408" s="24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5" t="str">
        <f>IF(J1408&lt;&gt;1,"",IF(I1408="SBJ","CB","?"))</f>
        <v> </v>
      </c>
      <c r="I1408" s="26" t="str">
        <f>IF(OR(E1408="",E1408="!!!",F1408="NEW"),"",INDEX(B1407:B$2,-1+SUMPRODUCT(MAX(ROW(E1407:E$2)*(E1408=E1407:E$2)))))</f>
        <v> </v>
      </c>
      <c r="J1408" s="26" t="str">
        <f>IF(OR(E1408="",E1408="!!!",F1408="NEW"),"",COUNTBLANK(OFFSET(A$1,,,SUMPRODUCT(MAX(ROW(E$2:E1408)*(E1408=E$2:E1408)))))-COUNTBLANK(OFFSET(A$1,,,SUMPRODUCT(MAX(ROW(E$1:E1407)*(E2=E$1:E1407))))))</f>
        <v> </v>
      </c>
      <c r="K1408" s="26" t="str">
        <f>IF(OR(E1408="",E1408="!!!",F1408="NEW"),"",INDEX(J$1:J1407,SUMPRODUCT(MAX(ROW(E$1:E1407)*(E1408=E$1:E1407)))))</f>
        <v> </v>
      </c>
      <c r="L1408" s="27"/>
    </row>
    <row r="1409" spans="1:12">
      <c r="A1409" s="20" t="s">
        <v>506</v>
      </c>
      <c r="E1409" s="22">
        <f>IF(D1409="?OLD","!!!","")</f>
        <v/>
      </c>
      <c r="F1409" s="23" t="str">
        <f>IF(OR(E1409="",E1409="!!!"),"",IF(NOT(ISNA(VLOOKUP(E1409,E$1:E1408,1,FALSE()))),"OLD",IF(AND(E1409&lt;&gt;"",E1409&lt;&gt;"!!!"),"NEW","")))</f>
        <v> </v>
      </c>
      <c r="G1409" s="24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5" t="str">
        <f>IF(J1409&lt;&gt;1,"",IF(I1409="SBJ","CB","?"))</f>
        <v> </v>
      </c>
      <c r="I1409" s="26" t="str">
        <f>IF(OR(E1409="",E1409="!!!",F1409="NEW"),"",INDEX(B1408:B$2,-1+SUMPRODUCT(MAX(ROW(E1408:E$2)*(E1409=E1408:E$2)))))</f>
        <v> </v>
      </c>
      <c r="J1409" s="26" t="str">
        <f>IF(OR(E1409="",E1409="!!!",F1409="NEW"),"",COUNTBLANK(OFFSET(A$1,,,SUMPRODUCT(MAX(ROW(E$2:E1409)*(E1409=E$2:E1409)))))-COUNTBLANK(OFFSET(A$1,,,SUMPRODUCT(MAX(ROW(E$1:E1408)*(E2=E$1:E1408))))))</f>
        <v> </v>
      </c>
      <c r="K1409" s="26" t="str">
        <f>IF(OR(E1409="",E1409="!!!",F1409="NEW"),"",INDEX(J$1:J1408,SUMPRODUCT(MAX(ROW(E$1:E1408)*(E1409=E$1:E1408)))))</f>
        <v> </v>
      </c>
      <c r="L1409" s="27"/>
    </row>
    <row r="1410" spans="1:12">
      <c r="A1410" s="20" t="s">
        <v>991</v>
      </c>
      <c r="B1410" s="21" t="s">
        <v>491</v>
      </c>
      <c r="C1410" s="21" t="s">
        <v>481</v>
      </c>
      <c r="E1410" s="22">
        <f>IF(D1410="?OLD","!!!","")</f>
        <v/>
      </c>
      <c r="F1410" s="23" t="str">
        <f>IF(OR(E1410="",E1410="!!!"),"",IF(NOT(ISNA(VLOOKUP(E1410,E$1:E1409,1,FALSE()))),"OLD",IF(AND(E1410&lt;&gt;"",E1410&lt;&gt;"!!!"),"NEW","")))</f>
        <v> </v>
      </c>
      <c r="G1410" s="24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5" t="str">
        <f>IF(J1410&lt;&gt;1,"",IF(I1410="SBJ","CB","?"))</f>
        <v> </v>
      </c>
      <c r="I1410" s="26" t="str">
        <f>IF(OR(E1410="",E1410="!!!",F1410="NEW"),"",INDEX(B1409:B$2,-1+SUMPRODUCT(MAX(ROW(E1409:E$2)*(E1410=E1409:E$2)))))</f>
        <v> </v>
      </c>
      <c r="J1410" s="26" t="str">
        <f>IF(OR(E1410="",E1410="!!!",F1410="NEW"),"",COUNTBLANK(OFFSET(A$1,,,SUMPRODUCT(MAX(ROW(E$2:E1410)*(E1410=E$2:E1410)))))-COUNTBLANK(OFFSET(A$1,,,SUMPRODUCT(MAX(ROW(E$1:E1409)*(E2=E$1:E1409))))))</f>
        <v> </v>
      </c>
      <c r="K1410" s="26" t="str">
        <f>IF(OR(E1410="",E1410="!!!",F1410="NEW"),"",INDEX(J$1:J1409,SUMPRODUCT(MAX(ROW(E$1:E1409)*(E1410=E$1:E1409)))))</f>
        <v> </v>
      </c>
      <c r="L1410" s="27"/>
    </row>
    <row r="1411" spans="1:12">
      <c r="A1411" s="20" t="s">
        <v>492</v>
      </c>
      <c r="B1411" s="21" t="s">
        <v>940</v>
      </c>
      <c r="C1411" s="21" t="s">
        <v>423</v>
      </c>
      <c r="D1411" s="21" t="s">
        <v>424</v>
      </c>
      <c r="E1411" s="22">
        <f>IF(D1411="?OLD","!!!","")</f>
        <v/>
      </c>
      <c r="F1411" s="23" t="str">
        <f>IF(OR(E1411="",E1411="!!!"),"",IF(NOT(ISNA(VLOOKUP(E1411,E$1:E1410,1,FALSE()))),"OLD",IF(AND(E1411&lt;&gt;"",E1411&lt;&gt;"!!!"),"NEW","")))</f>
        <v> </v>
      </c>
      <c r="G1411" s="24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5" t="str">
        <f>IF(J1411&lt;&gt;1,"",IF(I1411="SBJ","CB","?"))</f>
        <v> </v>
      </c>
      <c r="I1411" s="26" t="str">
        <f>IF(OR(E1411="",E1411="!!!",F1411="NEW"),"",INDEX(B1410:B$2,-1+SUMPRODUCT(MAX(ROW(E1410:E$2)*(E1411=E1410:E$2)))))</f>
        <v> </v>
      </c>
      <c r="J1411" s="26" t="str">
        <f>IF(OR(E1411="",E1411="!!!",F1411="NEW"),"",COUNTBLANK(OFFSET(A$1,,,SUMPRODUCT(MAX(ROW(E$2:E1411)*(E1411=E$2:E1411)))))-COUNTBLANK(OFFSET(A$1,,,SUMPRODUCT(MAX(ROW(E$1:E1410)*(E2=E$1:E1410))))))</f>
        <v> </v>
      </c>
      <c r="K1411" s="26" t="str">
        <f>IF(OR(E1411="",E1411="!!!",F1411="NEW"),"",INDEX(J$1:J1410,SUMPRODUCT(MAX(ROW(E$1:E1410)*(E1411=E$1:E1410)))))</f>
        <v> </v>
      </c>
      <c r="L1411" s="27"/>
    </row>
    <row r="1412" spans="1:12">
      <c r="A1412" s="20" t="s">
        <v>1133</v>
      </c>
      <c r="E1412" s="22">
        <f>IF(D1412="?OLD","!!!","")</f>
        <v/>
      </c>
      <c r="F1412" s="23" t="str">
        <f>IF(OR(E1412="",E1412="!!!"),"",IF(NOT(ISNA(VLOOKUP(E1412,E$1:E1411,1,FALSE()))),"OLD",IF(AND(E1412&lt;&gt;"",E1412&lt;&gt;"!!!"),"NEW","")))</f>
        <v> </v>
      </c>
      <c r="G1412" s="24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5" t="str">
        <f>IF(J1412&lt;&gt;1,"",IF(I1412="SBJ","CB","?"))</f>
        <v> </v>
      </c>
      <c r="I1412" s="26" t="str">
        <f>IF(OR(E1412="",E1412="!!!",F1412="NEW"),"",INDEX(B1411:B$2,-1+SUMPRODUCT(MAX(ROW(E1411:E$2)*(E1412=E1411:E$2)))))</f>
        <v> </v>
      </c>
      <c r="J1412" s="26" t="str">
        <f>IF(OR(E1412="",E1412="!!!",F1412="NEW"),"",COUNTBLANK(OFFSET(A$1,,,SUMPRODUCT(MAX(ROW(E$2:E1412)*(E1412=E$2:E1412)))))-COUNTBLANK(OFFSET(A$1,,,SUMPRODUCT(MAX(ROW(E$1:E1411)*(E2=E$1:E1411))))))</f>
        <v> </v>
      </c>
      <c r="K1412" s="26" t="str">
        <f>IF(OR(E1412="",E1412="!!!",F1412="NEW"),"",INDEX(J$1:J1411,SUMPRODUCT(MAX(ROW(E$1:E1411)*(E1412=E$1:E1411)))))</f>
        <v> </v>
      </c>
      <c r="L1412" s="27"/>
    </row>
    <row r="1413" spans="1:12">
      <c r="A1413" s="20" t="s">
        <v>438</v>
      </c>
      <c r="E1413" s="22">
        <f>IF(D1413="?OLD","!!!","")</f>
        <v/>
      </c>
      <c r="F1413" s="23" t="str">
        <f>IF(OR(E1413="",E1413="!!!"),"",IF(NOT(ISNA(VLOOKUP(E1413,E$1:E1412,1,FALSE()))),"OLD",IF(AND(E1413&lt;&gt;"",E1413&lt;&gt;"!!!"),"NEW","")))</f>
        <v> </v>
      </c>
      <c r="G1413" s="24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5" t="str">
        <f>IF(J1413&lt;&gt;1,"",IF(I1413="SBJ","CB","?"))</f>
        <v> </v>
      </c>
      <c r="I1413" s="26" t="str">
        <f>IF(OR(E1413="",E1413="!!!",F1413="NEW"),"",INDEX(B1412:B$2,-1+SUMPRODUCT(MAX(ROW(E1412:E$2)*(E1413=E1412:E$2)))))</f>
        <v> </v>
      </c>
      <c r="J1413" s="26" t="str">
        <f>IF(OR(E1413="",E1413="!!!",F1413="NEW"),"",COUNTBLANK(OFFSET(A$1,,,SUMPRODUCT(MAX(ROW(E$2:E1413)*(E1413=E$2:E1413)))))-COUNTBLANK(OFFSET(A$1,,,SUMPRODUCT(MAX(ROW(E$1:E1412)*(E2=E$1:E1412))))))</f>
        <v> </v>
      </c>
      <c r="K1413" s="26" t="str">
        <f>IF(OR(E1413="",E1413="!!!",F1413="NEW"),"",INDEX(J$1:J1412,SUMPRODUCT(MAX(ROW(E$1:E1412)*(E1413=E$1:E1412)))))</f>
        <v> </v>
      </c>
      <c r="L1413" s="27"/>
    </row>
    <row r="1414" spans="1:12">
      <c r="A1414" s="20"/>
    </row>
    <row r="1415" spans="1:12">
      <c r="A1415" s="20" t="s">
        <v>1134</v>
      </c>
    </row>
    <row r="1416" spans="1:12">
      <c r="A1416" s="20" t="s">
        <v>1135</v>
      </c>
      <c r="E1416" s="22">
        <f>IF(D1416="?OLD","!!!","")</f>
        <v/>
      </c>
      <c r="F1416" s="23" t="str">
        <f>IF(OR(E1416="",E1416="!!!"),"",IF(NOT(ISNA(VLOOKUP(E1416,E$1:E1415,1,FALSE()))),"OLD",IF(AND(E1416&lt;&gt;"",E1416&lt;&gt;"!!!"),"NEW","")))</f>
        <v> </v>
      </c>
      <c r="G1416" s="24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5" t="str">
        <f>IF(J1416&lt;&gt;1,"",IF(I1416="SBJ","CB","?"))</f>
        <v> </v>
      </c>
      <c r="I1416" s="26" t="str">
        <f>IF(OR(E1416="",E1416="!!!",F1416="NEW"),"",INDEX(B1415:B$2,-1+SUMPRODUCT(MAX(ROW(E1415:E$2)*(E1416=E1415:E$2)))))</f>
        <v> </v>
      </c>
      <c r="J1416" s="26" t="str">
        <f>IF(OR(E1416="",E1416="!!!",F1416="NEW"),"",COUNTBLANK(OFFSET(A$1,,,SUMPRODUCT(MAX(ROW(E$2:E1416)*(E1416=E$2:E1416)))))-COUNTBLANK(OFFSET(A$1,,,SUMPRODUCT(MAX(ROW(E$1:E1415)*(E2=E$1:E1415))))))</f>
        <v> </v>
      </c>
      <c r="K1416" s="26" t="str">
        <f>IF(OR(E1416="",E1416="!!!",F1416="NEW"),"",INDEX(J$1:J1415,SUMPRODUCT(MAX(ROW(E$1:E1415)*(E1416=E$1:E1415)))))</f>
        <v> </v>
      </c>
      <c r="L1416" s="27"/>
    </row>
    <row r="1417" spans="1:12">
      <c r="A1417" s="20" t="s">
        <v>1136</v>
      </c>
      <c r="E1417" s="22">
        <f>IF(D1417="?OLD","!!!","")</f>
        <v/>
      </c>
      <c r="F1417" s="23" t="str">
        <f>IF(OR(E1417="",E1417="!!!"),"",IF(NOT(ISNA(VLOOKUP(E1417,E$1:E1416,1,FALSE()))),"OLD",IF(AND(E1417&lt;&gt;"",E1417&lt;&gt;"!!!"),"NEW","")))</f>
        <v> </v>
      </c>
      <c r="G1417" s="24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5" t="str">
        <f>IF(J1417&lt;&gt;1,"",IF(I1417="SBJ","CB","?"))</f>
        <v> </v>
      </c>
      <c r="I1417" s="26" t="str">
        <f>IF(OR(E1417="",E1417="!!!",F1417="NEW"),"",INDEX(B1416:B$2,-1+SUMPRODUCT(MAX(ROW(E1416:E$2)*(E1417=E1416:E$2)))))</f>
        <v> </v>
      </c>
      <c r="J1417" s="26" t="str">
        <f>IF(OR(E1417="",E1417="!!!",F1417="NEW"),"",COUNTBLANK(OFFSET(A$1,,,SUMPRODUCT(MAX(ROW(E$2:E1417)*(E1417=E$2:E1417)))))-COUNTBLANK(OFFSET(A$1,,,SUMPRODUCT(MAX(ROW(E$1:E1416)*(E2=E$1:E1416))))))</f>
        <v> </v>
      </c>
      <c r="K1417" s="26" t="str">
        <f>IF(OR(E1417="",E1417="!!!",F1417="NEW"),"",INDEX(J$1:J1416,SUMPRODUCT(MAX(ROW(E$1:E1416)*(E1417=E$1:E1416)))))</f>
        <v> </v>
      </c>
      <c r="L1417" s="27"/>
    </row>
    <row r="1418" spans="1:12">
      <c r="A1418" s="20" t="s">
        <v>1137</v>
      </c>
      <c r="E1418" s="22">
        <f>IF(D1418="?OLD","!!!","")</f>
        <v/>
      </c>
      <c r="F1418" s="23" t="str">
        <f>IF(OR(E1418="",E1418="!!!"),"",IF(NOT(ISNA(VLOOKUP(E1418,E$1:E1417,1,FALSE()))),"OLD",IF(AND(E1418&lt;&gt;"",E1418&lt;&gt;"!!!"),"NEW","")))</f>
        <v> </v>
      </c>
      <c r="G1418" s="24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5" t="str">
        <f>IF(J1418&lt;&gt;1,"",IF(I1418="SBJ","CB","?"))</f>
        <v> </v>
      </c>
      <c r="I1418" s="26" t="str">
        <f>IF(OR(E1418="",E1418="!!!",F1418="NEW"),"",INDEX(B1417:B$2,-1+SUMPRODUCT(MAX(ROW(E1417:E$2)*(E1418=E1417:E$2)))))</f>
        <v> </v>
      </c>
      <c r="J1418" s="26" t="str">
        <f>IF(OR(E1418="",E1418="!!!",F1418="NEW"),"",COUNTBLANK(OFFSET(A$1,,,SUMPRODUCT(MAX(ROW(E$2:E1418)*(E1418=E$2:E1418)))))-COUNTBLANK(OFFSET(A$1,,,SUMPRODUCT(MAX(ROW(E$1:E1417)*(E2=E$1:E1417))))))</f>
        <v> </v>
      </c>
      <c r="K1418" s="26" t="str">
        <f>IF(OR(E1418="",E1418="!!!",F1418="NEW"),"",INDEX(J$1:J1417,SUMPRODUCT(MAX(ROW(E$1:E1417)*(E1418=E$1:E1417)))))</f>
        <v> </v>
      </c>
      <c r="L1418" s="27"/>
    </row>
    <row r="1419" spans="1:12">
      <c r="A1419" s="20" t="s">
        <v>453</v>
      </c>
      <c r="E1419" s="22">
        <f>IF(D1419="?OLD","!!!","")</f>
        <v/>
      </c>
      <c r="F1419" s="23" t="str">
        <f>IF(OR(E1419="",E1419="!!!"),"",IF(NOT(ISNA(VLOOKUP(E1419,E$1:E1418,1,FALSE()))),"OLD",IF(AND(E1419&lt;&gt;"",E1419&lt;&gt;"!!!"),"NEW","")))</f>
        <v> </v>
      </c>
      <c r="G1419" s="24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5" t="str">
        <f>IF(J1419&lt;&gt;1,"",IF(I1419="SBJ","CB","?"))</f>
        <v> </v>
      </c>
      <c r="I1419" s="26" t="str">
        <f>IF(OR(E1419="",E1419="!!!",F1419="NEW"),"",INDEX(B1418:B$2,-1+SUMPRODUCT(MAX(ROW(E1418:E$2)*(E1419=E1418:E$2)))))</f>
        <v> </v>
      </c>
      <c r="J1419" s="26" t="str">
        <f>IF(OR(E1419="",E1419="!!!",F1419="NEW"),"",COUNTBLANK(OFFSET(A$1,,,SUMPRODUCT(MAX(ROW(E$2:E1419)*(E1419=E$2:E1419)))))-COUNTBLANK(OFFSET(A$1,,,SUMPRODUCT(MAX(ROW(E$1:E1418)*(E2=E$1:E1418))))))</f>
        <v> </v>
      </c>
      <c r="K1419" s="26" t="str">
        <f>IF(OR(E1419="",E1419="!!!",F1419="NEW"),"",INDEX(J$1:J1418,SUMPRODUCT(MAX(ROW(E$1:E1418)*(E1419=E$1:E1418)))))</f>
        <v> </v>
      </c>
      <c r="L1419" s="27"/>
    </row>
    <row r="1420" spans="1:12">
      <c r="A1420" s="20" t="s">
        <v>1137</v>
      </c>
      <c r="B1420" s="21" t="s">
        <v>659</v>
      </c>
      <c r="C1420" s="21" t="s">
        <v>435</v>
      </c>
      <c r="D1420" s="21" t="s">
        <v>424</v>
      </c>
      <c r="E1420" s="22">
        <f>IF(D1420="?OLD","!!!","")</f>
        <v/>
      </c>
      <c r="F1420" s="23" t="str">
        <f>IF(OR(E1420="",E1420="!!!"),"",IF(NOT(ISNA(VLOOKUP(E1420,E$1:E1419,1,FALSE()))),"OLD",IF(AND(E1420&lt;&gt;"",E1420&lt;&gt;"!!!"),"NEW","")))</f>
        <v> </v>
      </c>
      <c r="G1420" s="24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5" t="str">
        <f>IF(J1420&lt;&gt;1,"",IF(I1420="SBJ","CB","?"))</f>
        <v> </v>
      </c>
      <c r="I1420" s="26" t="str">
        <f>IF(OR(E1420="",E1420="!!!",F1420="NEW"),"",INDEX(B1419:B$2,-1+SUMPRODUCT(MAX(ROW(E1419:E$2)*(E1420=E1419:E$2)))))</f>
        <v> </v>
      </c>
      <c r="J1420" s="26" t="str">
        <f>IF(OR(E1420="",E1420="!!!",F1420="NEW"),"",COUNTBLANK(OFFSET(A$1,,,SUMPRODUCT(MAX(ROW(E$2:E1420)*(E1420=E$2:E1420)))))-COUNTBLANK(OFFSET(A$1,,,SUMPRODUCT(MAX(ROW(E$1:E1419)*(E2=E$1:E1419))))))</f>
        <v> </v>
      </c>
      <c r="K1420" s="26" t="str">
        <f>IF(OR(E1420="",E1420="!!!",F1420="NEW"),"",INDEX(J$1:J1419,SUMPRODUCT(MAX(ROW(E$1:E1419)*(E1420=E$1:E1419)))))</f>
        <v> </v>
      </c>
      <c r="L1420" s="27"/>
    </row>
    <row r="1421" spans="1:12">
      <c r="A1421" s="20" t="s">
        <v>1138</v>
      </c>
      <c r="B1421" s="21" t="s">
        <v>434</v>
      </c>
      <c r="C1421" s="21" t="s">
        <v>520</v>
      </c>
      <c r="D1421" s="21" t="s">
        <v>424</v>
      </c>
      <c r="E1421" s="22">
        <f>IF(D1421="?OLD","!!!","")</f>
        <v/>
      </c>
      <c r="F1421" s="23" t="str">
        <f>IF(OR(E1421="",E1421="!!!"),"",IF(NOT(ISNA(VLOOKUP(E1421,E$1:E1420,1,FALSE()))),"OLD",IF(AND(E1421&lt;&gt;"",E1421&lt;&gt;"!!!"),"NEW","")))</f>
        <v> </v>
      </c>
      <c r="G1421" s="24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5" t="str">
        <f>IF(J1421&lt;&gt;1,"",IF(I1421="SBJ","CB","?"))</f>
        <v> </v>
      </c>
      <c r="I1421" s="26" t="str">
        <f>IF(OR(E1421="",E1421="!!!",F1421="NEW"),"",INDEX(B1420:B$2,-1+SUMPRODUCT(MAX(ROW(E1420:E$2)*(E1421=E1420:E$2)))))</f>
        <v> </v>
      </c>
      <c r="J1421" s="26" t="str">
        <f>IF(OR(E1421="",E1421="!!!",F1421="NEW"),"",COUNTBLANK(OFFSET(A$1,,,SUMPRODUCT(MAX(ROW(E$2:E1421)*(E1421=E$2:E1421)))))-COUNTBLANK(OFFSET(A$1,,,SUMPRODUCT(MAX(ROW(E$1:E1420)*(E2=E$1:E1420))))))</f>
        <v> </v>
      </c>
      <c r="K1421" s="26" t="str">
        <f>IF(OR(E1421="",E1421="!!!",F1421="NEW"),"",INDEX(J$1:J1420,SUMPRODUCT(MAX(ROW(E$1:E1420)*(E1421=E$1:E1420)))))</f>
        <v> </v>
      </c>
      <c r="L1421" s="27"/>
    </row>
    <row r="1422" spans="1:12">
      <c r="A1422" s="20" t="s">
        <v>1139</v>
      </c>
      <c r="B1422" s="21" t="s">
        <v>432</v>
      </c>
      <c r="C1422" s="21" t="s">
        <v>520</v>
      </c>
      <c r="D1422" s="21" t="s">
        <v>424</v>
      </c>
      <c r="E1422" s="22">
        <f>IF(D1422="?OLD","!!!","")</f>
        <v/>
      </c>
      <c r="F1422" s="23" t="str">
        <f>IF(OR(E1422="",E1422="!!!"),"",IF(NOT(ISNA(VLOOKUP(E1422,E$1:E1421,1,FALSE()))),"OLD",IF(AND(E1422&lt;&gt;"",E1422&lt;&gt;"!!!"),"NEW","")))</f>
        <v> </v>
      </c>
      <c r="G1422" s="24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5" t="str">
        <f>IF(J1422&lt;&gt;1,"",IF(I1422="SBJ","CB","?"))</f>
        <v> </v>
      </c>
      <c r="I1422" s="26" t="str">
        <f>IF(OR(E1422="",E1422="!!!",F1422="NEW"),"",INDEX(B1421:B$2,-1+SUMPRODUCT(MAX(ROW(E1421:E$2)*(E1422=E1421:E$2)))))</f>
        <v> </v>
      </c>
      <c r="J1422" s="26" t="str">
        <f>IF(OR(E1422="",E1422="!!!",F1422="NEW"),"",COUNTBLANK(OFFSET(A$1,,,SUMPRODUCT(MAX(ROW(E$2:E1422)*(E1422=E$2:E1422)))))-COUNTBLANK(OFFSET(A$1,,,SUMPRODUCT(MAX(ROW(E$1:E1421)*(E2=E$1:E1421))))))</f>
        <v> </v>
      </c>
      <c r="K1422" s="26" t="str">
        <f>IF(OR(E1422="",E1422="!!!",F1422="NEW"),"",INDEX(J$1:J1421,SUMPRODUCT(MAX(ROW(E$1:E1421)*(E1422=E$1:E1421)))))</f>
        <v> </v>
      </c>
      <c r="L1422" s="27"/>
    </row>
    <row r="1423" spans="1:12">
      <c r="A1423" s="20" t="s">
        <v>453</v>
      </c>
      <c r="E1423" s="22">
        <f>IF(D1423="?OLD","!!!","")</f>
        <v/>
      </c>
      <c r="F1423" s="23" t="str">
        <f>IF(OR(E1423="",E1423="!!!"),"",IF(NOT(ISNA(VLOOKUP(E1423,E$1:E1422,1,FALSE()))),"OLD",IF(AND(E1423&lt;&gt;"",E1423&lt;&gt;"!!!"),"NEW","")))</f>
        <v> </v>
      </c>
      <c r="G1423" s="24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5" t="str">
        <f>IF(J1423&lt;&gt;1,"",IF(I1423="SBJ","CB","?"))</f>
        <v> </v>
      </c>
      <c r="I1423" s="26" t="str">
        <f>IF(OR(E1423="",E1423="!!!",F1423="NEW"),"",INDEX(B1422:B$2,-1+SUMPRODUCT(MAX(ROW(E1422:E$2)*(E1423=E1422:E$2)))))</f>
        <v> </v>
      </c>
      <c r="J1423" s="26" t="str">
        <f>IF(OR(E1423="",E1423="!!!",F1423="NEW"),"",COUNTBLANK(OFFSET(A$1,,,SUMPRODUCT(MAX(ROW(E$2:E1423)*(E1423=E$2:E1423)))))-COUNTBLANK(OFFSET(A$1,,,SUMPRODUCT(MAX(ROW(E$1:E1422)*(E2=E$1:E1422))))))</f>
        <v> </v>
      </c>
      <c r="K1423" s="26" t="str">
        <f>IF(OR(E1423="",E1423="!!!",F1423="NEW"),"",INDEX(J$1:J1422,SUMPRODUCT(MAX(ROW(E$1:E1422)*(E1423=E$1:E1422)))))</f>
        <v> </v>
      </c>
      <c r="L1423" s="27"/>
    </row>
    <row r="1424" spans="1:12">
      <c r="A1424" s="20" t="s">
        <v>859</v>
      </c>
      <c r="E1424" s="22">
        <f>IF(D1424="?OLD","!!!","")</f>
        <v/>
      </c>
      <c r="F1424" s="23" t="str">
        <f>IF(OR(E1424="",E1424="!!!"),"",IF(NOT(ISNA(VLOOKUP(E1424,E$1:E1423,1,FALSE()))),"OLD",IF(AND(E1424&lt;&gt;"",E1424&lt;&gt;"!!!"),"NEW","")))</f>
        <v> </v>
      </c>
      <c r="G1424" s="24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5" t="str">
        <f>IF(J1424&lt;&gt;1,"",IF(I1424="SBJ","CB","?"))</f>
        <v> </v>
      </c>
      <c r="I1424" s="26" t="str">
        <f>IF(OR(E1424="",E1424="!!!",F1424="NEW"),"",INDEX(B1423:B$2,-1+SUMPRODUCT(MAX(ROW(E1423:E$2)*(E1424=E1423:E$2)))))</f>
        <v> </v>
      </c>
      <c r="J1424" s="26" t="str">
        <f>IF(OR(E1424="",E1424="!!!",F1424="NEW"),"",COUNTBLANK(OFFSET(A$1,,,SUMPRODUCT(MAX(ROW(E$2:E1424)*(E1424=E$2:E1424)))))-COUNTBLANK(OFFSET(A$1,,,SUMPRODUCT(MAX(ROW(E$1:E1423)*(E2=E$1:E1423))))))</f>
        <v> </v>
      </c>
      <c r="K1424" s="26" t="str">
        <f>IF(OR(E1424="",E1424="!!!",F1424="NEW"),"",INDEX(J$1:J1423,SUMPRODUCT(MAX(ROW(E$1:E1423)*(E1424=E$1:E1423)))))</f>
        <v> </v>
      </c>
      <c r="L1424" s="27"/>
    </row>
    <row r="1425" spans="1:12">
      <c r="A1425" s="20" t="s">
        <v>1140</v>
      </c>
      <c r="E1425" s="22">
        <f>IF(D1425="?OLD","!!!","")</f>
        <v/>
      </c>
      <c r="F1425" s="23" t="str">
        <f>IF(OR(E1425="",E1425="!!!"),"",IF(NOT(ISNA(VLOOKUP(E1425,E$1:E1424,1,FALSE()))),"OLD",IF(AND(E1425&lt;&gt;"",E1425&lt;&gt;"!!!"),"NEW","")))</f>
        <v> </v>
      </c>
      <c r="G1425" s="24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5" t="str">
        <f>IF(J1425&lt;&gt;1,"",IF(I1425="SBJ","CB","?"))</f>
        <v> </v>
      </c>
      <c r="I1425" s="26" t="str">
        <f>IF(OR(E1425="",E1425="!!!",F1425="NEW"),"",INDEX(B1424:B$2,-1+SUMPRODUCT(MAX(ROW(E1424:E$2)*(E1425=E1424:E$2)))))</f>
        <v> </v>
      </c>
      <c r="J1425" s="26" t="str">
        <f>IF(OR(E1425="",E1425="!!!",F1425="NEW"),"",COUNTBLANK(OFFSET(A$1,,,SUMPRODUCT(MAX(ROW(E$2:E1425)*(E1425=E$2:E1425)))))-COUNTBLANK(OFFSET(A$1,,,SUMPRODUCT(MAX(ROW(E$1:E1424)*(E2=E$1:E1424))))))</f>
        <v> </v>
      </c>
      <c r="K1425" s="26" t="str">
        <f>IF(OR(E1425="",E1425="!!!",F1425="NEW"),"",INDEX(J$1:J1424,SUMPRODUCT(MAX(ROW(E$1:E1424)*(E1425=E$1:E1424)))))</f>
        <v> </v>
      </c>
      <c r="L1425" s="27"/>
    </row>
    <row r="1426" spans="1:12">
      <c r="A1426" s="20" t="s">
        <v>506</v>
      </c>
      <c r="E1426" s="22">
        <f>IF(D1426="?OLD","!!!","")</f>
        <v/>
      </c>
      <c r="F1426" s="23" t="str">
        <f>IF(OR(E1426="",E1426="!!!"),"",IF(NOT(ISNA(VLOOKUP(E1426,E$1:E1425,1,FALSE()))),"OLD",IF(AND(E1426&lt;&gt;"",E1426&lt;&gt;"!!!"),"NEW","")))</f>
        <v> </v>
      </c>
      <c r="G1426" s="24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5" t="str">
        <f>IF(J1426&lt;&gt;1,"",IF(I1426="SBJ","CB","?"))</f>
        <v> </v>
      </c>
      <c r="I1426" s="26" t="str">
        <f>IF(OR(E1426="",E1426="!!!",F1426="NEW"),"",INDEX(B1425:B$2,-1+SUMPRODUCT(MAX(ROW(E1425:E$2)*(E1426=E1425:E$2)))))</f>
        <v> </v>
      </c>
      <c r="J1426" s="26" t="str">
        <f>IF(OR(E1426="",E1426="!!!",F1426="NEW"),"",COUNTBLANK(OFFSET(A$1,,,SUMPRODUCT(MAX(ROW(E$2:E1426)*(E1426=E$2:E1426)))))-COUNTBLANK(OFFSET(A$1,,,SUMPRODUCT(MAX(ROW(E$1:E1425)*(E2=E$1:E1425))))))</f>
        <v> </v>
      </c>
      <c r="K1426" s="26" t="str">
        <f>IF(OR(E1426="",E1426="!!!",F1426="NEW"),"",INDEX(J$1:J1425,SUMPRODUCT(MAX(ROW(E$1:E1425)*(E1426=E$1:E1425)))))</f>
        <v> </v>
      </c>
      <c r="L1426" s="27"/>
    </row>
    <row r="1427" spans="1:12">
      <c r="A1427" s="20" t="s">
        <v>1036</v>
      </c>
      <c r="E1427" s="22">
        <f>IF(D1427="?OLD","!!!","")</f>
        <v/>
      </c>
      <c r="F1427" s="23" t="str">
        <f>IF(OR(E1427="",E1427="!!!"),"",IF(NOT(ISNA(VLOOKUP(E1427,E$1:E1426,1,FALSE()))),"OLD",IF(AND(E1427&lt;&gt;"",E1427&lt;&gt;"!!!"),"NEW","")))</f>
        <v> </v>
      </c>
      <c r="G1427" s="24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5" t="str">
        <f>IF(J1427&lt;&gt;1,"",IF(I1427="SBJ","CB","?"))</f>
        <v> </v>
      </c>
      <c r="I1427" s="26" t="str">
        <f>IF(OR(E1427="",E1427="!!!",F1427="NEW"),"",INDEX(B1426:B$2,-1+SUMPRODUCT(MAX(ROW(E1426:E$2)*(E1427=E1426:E$2)))))</f>
        <v> </v>
      </c>
      <c r="J1427" s="26" t="str">
        <f>IF(OR(E1427="",E1427="!!!",F1427="NEW"),"",COUNTBLANK(OFFSET(A$1,,,SUMPRODUCT(MAX(ROW(E$2:E1427)*(E1427=E$2:E1427)))))-COUNTBLANK(OFFSET(A$1,,,SUMPRODUCT(MAX(ROW(E$1:E1426)*(E2=E$1:E1426))))))</f>
        <v> </v>
      </c>
      <c r="K1427" s="26" t="str">
        <f>IF(OR(E1427="",E1427="!!!",F1427="NEW"),"",INDEX(J$1:J1426,SUMPRODUCT(MAX(ROW(E$1:E1426)*(E1427=E$1:E1426)))))</f>
        <v> </v>
      </c>
      <c r="L1427" s="27"/>
    </row>
    <row r="1428" spans="1:12">
      <c r="A1428" s="20" t="s">
        <v>1141</v>
      </c>
      <c r="B1428" s="21" t="s">
        <v>659</v>
      </c>
      <c r="C1428" s="21" t="s">
        <v>435</v>
      </c>
      <c r="D1428" s="21" t="s">
        <v>424</v>
      </c>
      <c r="E1428" s="22">
        <f>IF(D1428="?OLD","!!!","")</f>
        <v/>
      </c>
      <c r="F1428" s="23" t="str">
        <f>IF(OR(E1428="",E1428="!!!"),"",IF(NOT(ISNA(VLOOKUP(E1428,E$1:E1427,1,FALSE()))),"OLD",IF(AND(E1428&lt;&gt;"",E1428&lt;&gt;"!!!"),"NEW","")))</f>
        <v> </v>
      </c>
      <c r="G1428" s="24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5" t="str">
        <f>IF(J1428&lt;&gt;1,"",IF(I1428="SBJ","CB","?"))</f>
        <v> </v>
      </c>
      <c r="I1428" s="26" t="str">
        <f>IF(OR(E1428="",E1428="!!!",F1428="NEW"),"",INDEX(B1427:B$2,-1+SUMPRODUCT(MAX(ROW(E1427:E$2)*(E1428=E1427:E$2)))))</f>
        <v> </v>
      </c>
      <c r="J1428" s="26" t="str">
        <f>IF(OR(E1428="",E1428="!!!",F1428="NEW"),"",COUNTBLANK(OFFSET(A$1,,,SUMPRODUCT(MAX(ROW(E$2:E1428)*(E1428=E$2:E1428)))))-COUNTBLANK(OFFSET(A$1,,,SUMPRODUCT(MAX(ROW(E$1:E1427)*(E2=E$1:E1427))))))</f>
        <v> </v>
      </c>
      <c r="K1428" s="26" t="str">
        <f>IF(OR(E1428="",E1428="!!!",F1428="NEW"),"",INDEX(J$1:J1427,SUMPRODUCT(MAX(ROW(E$1:E1427)*(E1428=E$1:E1427)))))</f>
        <v> </v>
      </c>
      <c r="L1428" s="27"/>
    </row>
    <row r="1429" spans="1:12">
      <c r="A1429" s="20" t="s">
        <v>1142</v>
      </c>
      <c r="B1429" s="21" t="s">
        <v>434</v>
      </c>
      <c r="C1429" s="21" t="s">
        <v>520</v>
      </c>
      <c r="D1429" s="21" t="s">
        <v>424</v>
      </c>
      <c r="E1429" s="22">
        <f>IF(D1429="?OLD","!!!","")</f>
        <v/>
      </c>
      <c r="F1429" s="23" t="str">
        <f>IF(OR(E1429="",E1429="!!!"),"",IF(NOT(ISNA(VLOOKUP(E1429,E$1:E1428,1,FALSE()))),"OLD",IF(AND(E1429&lt;&gt;"",E1429&lt;&gt;"!!!"),"NEW","")))</f>
        <v> </v>
      </c>
      <c r="G1429" s="24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5" t="str">
        <f>IF(J1429&lt;&gt;1,"",IF(I1429="SBJ","CB","?"))</f>
        <v> </v>
      </c>
      <c r="I1429" s="26" t="str">
        <f>IF(OR(E1429="",E1429="!!!",F1429="NEW"),"",INDEX(B1428:B$2,-1+SUMPRODUCT(MAX(ROW(E1428:E$2)*(E1429=E1428:E$2)))))</f>
        <v> </v>
      </c>
      <c r="J1429" s="26" t="str">
        <f>IF(OR(E1429="",E1429="!!!",F1429="NEW"),"",COUNTBLANK(OFFSET(A$1,,,SUMPRODUCT(MAX(ROW(E$2:E1429)*(E1429=E$2:E1429)))))-COUNTBLANK(OFFSET(A$1,,,SUMPRODUCT(MAX(ROW(E$1:E1428)*(E2=E$1:E1428))))))</f>
        <v> </v>
      </c>
      <c r="K1429" s="26" t="str">
        <f>IF(OR(E1429="",E1429="!!!",F1429="NEW"),"",INDEX(J$1:J1428,SUMPRODUCT(MAX(ROW(E$1:E1428)*(E1429=E$1:E1428)))))</f>
        <v> </v>
      </c>
      <c r="L1429" s="27"/>
    </row>
    <row r="1430" spans="1:12">
      <c r="A1430" s="20" t="s">
        <v>1143</v>
      </c>
      <c r="B1430" s="21" t="s">
        <v>432</v>
      </c>
      <c r="C1430" s="21" t="s">
        <v>520</v>
      </c>
      <c r="D1430" s="21" t="s">
        <v>424</v>
      </c>
      <c r="E1430" s="22">
        <f>IF(D1430="?OLD","!!!","")</f>
        <v/>
      </c>
      <c r="F1430" s="23" t="str">
        <f>IF(OR(E1430="",E1430="!!!"),"",IF(NOT(ISNA(VLOOKUP(E1430,E$1:E1429,1,FALSE()))),"OLD",IF(AND(E1430&lt;&gt;"",E1430&lt;&gt;"!!!"),"NEW","")))</f>
        <v> </v>
      </c>
      <c r="G1430" s="24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5" t="str">
        <f>IF(J1430&lt;&gt;1,"",IF(I1430="SBJ","CB","?"))</f>
        <v> </v>
      </c>
      <c r="I1430" s="26" t="str">
        <f>IF(OR(E1430="",E1430="!!!",F1430="NEW"),"",INDEX(B1429:B$2,-1+SUMPRODUCT(MAX(ROW(E1429:E$2)*(E1430=E1429:E$2)))))</f>
        <v> </v>
      </c>
      <c r="J1430" s="26" t="str">
        <f>IF(OR(E1430="",E1430="!!!",F1430="NEW"),"",COUNTBLANK(OFFSET(A$1,,,SUMPRODUCT(MAX(ROW(E$2:E1430)*(E1430=E$2:E1430)))))-COUNTBLANK(OFFSET(A$1,,,SUMPRODUCT(MAX(ROW(E$1:E1429)*(E2=E$1:E1429))))))</f>
        <v> </v>
      </c>
      <c r="K1430" s="26" t="str">
        <f>IF(OR(E1430="",E1430="!!!",F1430="NEW"),"",INDEX(J$1:J1429,SUMPRODUCT(MAX(ROW(E$1:E1429)*(E1430=E$1:E1429)))))</f>
        <v> </v>
      </c>
      <c r="L1430" s="27"/>
    </row>
    <row r="1431" spans="1:12">
      <c r="A1431" s="20" t="s">
        <v>1144</v>
      </c>
      <c r="B1431" s="21" t="s">
        <v>432</v>
      </c>
      <c r="C1431" s="21" t="s">
        <v>520</v>
      </c>
      <c r="D1431" s="21" t="s">
        <v>424</v>
      </c>
      <c r="E1431" s="22">
        <f>IF(D1431="?OLD","!!!","")</f>
        <v/>
      </c>
      <c r="F1431" s="23" t="str">
        <f>IF(OR(E1431="",E1431="!!!"),"",IF(NOT(ISNA(VLOOKUP(E1431,E$1:E1430,1,FALSE()))),"OLD",IF(AND(E1431&lt;&gt;"",E1431&lt;&gt;"!!!"),"NEW","")))</f>
        <v> </v>
      </c>
      <c r="G1431" s="24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5" t="str">
        <f>IF(J1431&lt;&gt;1,"",IF(I1431="SBJ","CB","?"))</f>
        <v> </v>
      </c>
      <c r="I1431" s="26" t="str">
        <f>IF(OR(E1431="",E1431="!!!",F1431="NEW"),"",INDEX(B1430:B$2,-1+SUMPRODUCT(MAX(ROW(E1430:E$2)*(E1431=E1430:E$2)))))</f>
        <v> </v>
      </c>
      <c r="J1431" s="26" t="str">
        <f>IF(OR(E1431="",E1431="!!!",F1431="NEW"),"",COUNTBLANK(OFFSET(A$1,,,SUMPRODUCT(MAX(ROW(E$2:E1431)*(E1431=E$2:E1431)))))-COUNTBLANK(OFFSET(A$1,,,SUMPRODUCT(MAX(ROW(E$1:E1430)*(E2=E$1:E1430))))))</f>
        <v> </v>
      </c>
      <c r="K1431" s="26" t="str">
        <f>IF(OR(E1431="",E1431="!!!",F1431="NEW"),"",INDEX(J$1:J1430,SUMPRODUCT(MAX(ROW(E$1:E1430)*(E1431=E$1:E1430)))))</f>
        <v> </v>
      </c>
      <c r="L1431" s="27"/>
    </row>
    <row r="1432" spans="1:12">
      <c r="A1432" s="20" t="s">
        <v>506</v>
      </c>
      <c r="E1432" s="22">
        <f>IF(D1432="?OLD","!!!","")</f>
        <v/>
      </c>
      <c r="F1432" s="23" t="str">
        <f>IF(OR(E1432="",E1432="!!!"),"",IF(NOT(ISNA(VLOOKUP(E1432,E$1:E1431,1,FALSE()))),"OLD",IF(AND(E1432&lt;&gt;"",E1432&lt;&gt;"!!!"),"NEW","")))</f>
        <v> </v>
      </c>
      <c r="G1432" s="24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5" t="str">
        <f>IF(J1432&lt;&gt;1,"",IF(I1432="SBJ","CB","?"))</f>
        <v> </v>
      </c>
      <c r="I1432" s="26" t="str">
        <f>IF(OR(E1432="",E1432="!!!",F1432="NEW"),"",INDEX(B1431:B$2,-1+SUMPRODUCT(MAX(ROW(E1431:E$2)*(E1432=E1431:E$2)))))</f>
        <v> </v>
      </c>
      <c r="J1432" s="26" t="str">
        <f>IF(OR(E1432="",E1432="!!!",F1432="NEW"),"",COUNTBLANK(OFFSET(A$1,,,SUMPRODUCT(MAX(ROW(E$2:E1432)*(E1432=E$2:E1432)))))-COUNTBLANK(OFFSET(A$1,,,SUMPRODUCT(MAX(ROW(E$1:E1431)*(E2=E$1:E1431))))))</f>
        <v> </v>
      </c>
      <c r="K1432" s="26" t="str">
        <f>IF(OR(E1432="",E1432="!!!",F1432="NEW"),"",INDEX(J$1:J1431,SUMPRODUCT(MAX(ROW(E$1:E1431)*(E1432=E$1:E1431)))))</f>
        <v> </v>
      </c>
      <c r="L1432" s="27"/>
    </row>
    <row r="1433" spans="1:12">
      <c r="A1433" s="20" t="s">
        <v>1145</v>
      </c>
      <c r="E1433" s="22">
        <f>IF(D1433="?OLD","!!!","")</f>
        <v/>
      </c>
      <c r="F1433" s="23" t="str">
        <f>IF(OR(E1433="",E1433="!!!"),"",IF(NOT(ISNA(VLOOKUP(E1433,E$1:E1432,1,FALSE()))),"OLD",IF(AND(E1433&lt;&gt;"",E1433&lt;&gt;"!!!"),"NEW","")))</f>
        <v> </v>
      </c>
      <c r="G1433" s="24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5" t="str">
        <f>IF(J1433&lt;&gt;1,"",IF(I1433="SBJ","CB","?"))</f>
        <v> </v>
      </c>
      <c r="I1433" s="26" t="str">
        <f>IF(OR(E1433="",E1433="!!!",F1433="NEW"),"",INDEX(B1432:B$2,-1+SUMPRODUCT(MAX(ROW(E1432:E$2)*(E1433=E1432:E$2)))))</f>
        <v> </v>
      </c>
      <c r="J1433" s="26" t="str">
        <f>IF(OR(E1433="",E1433="!!!",F1433="NEW"),"",COUNTBLANK(OFFSET(A$1,,,SUMPRODUCT(MAX(ROW(E$2:E1433)*(E1433=E$2:E1433)))))-COUNTBLANK(OFFSET(A$1,,,SUMPRODUCT(MAX(ROW(E$1:E1432)*(E2=E$1:E1432))))))</f>
        <v> </v>
      </c>
      <c r="K1433" s="26" t="str">
        <f>IF(OR(E1433="",E1433="!!!",F1433="NEW"),"",INDEX(J$1:J1432,SUMPRODUCT(MAX(ROW(E$1:E1432)*(E1433=E$1:E1432)))))</f>
        <v> </v>
      </c>
      <c r="L1433" s="27"/>
    </row>
    <row r="1434" spans="1:12">
      <c r="A1434" s="20" t="s">
        <v>1146</v>
      </c>
      <c r="B1434" s="21" t="s">
        <v>533</v>
      </c>
      <c r="C1434" s="21" t="s">
        <v>516</v>
      </c>
      <c r="E1434" s="22">
        <f>IF(D1434="?OLD","!!!","")</f>
        <v/>
      </c>
      <c r="F1434" s="23" t="str">
        <f>IF(OR(E1434="",E1434="!!!"),"",IF(NOT(ISNA(VLOOKUP(E1434,E$1:E1433,1,FALSE()))),"OLD",IF(AND(E1434&lt;&gt;"",E1434&lt;&gt;"!!!"),"NEW","")))</f>
        <v> </v>
      </c>
      <c r="G1434" s="24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5" t="str">
        <f>IF(J1434&lt;&gt;1,"",IF(I1434="SBJ","CB","?"))</f>
        <v> </v>
      </c>
      <c r="I1434" s="26" t="str">
        <f>IF(OR(E1434="",E1434="!!!",F1434="NEW"),"",INDEX(B1433:B$2,-1+SUMPRODUCT(MAX(ROW(E1433:E$2)*(E1434=E1433:E$2)))))</f>
        <v> </v>
      </c>
      <c r="J1434" s="26" t="str">
        <f>IF(OR(E1434="",E1434="!!!",F1434="NEW"),"",COUNTBLANK(OFFSET(A$1,,,SUMPRODUCT(MAX(ROW(E$2:E1434)*(E1434=E$2:E1434)))))-COUNTBLANK(OFFSET(A$1,,,SUMPRODUCT(MAX(ROW(E$1:E1433)*(E2=E$1:E1433))))))</f>
        <v> </v>
      </c>
      <c r="K1434" s="26" t="str">
        <f>IF(OR(E1434="",E1434="!!!",F1434="NEW"),"",INDEX(J$1:J1433,SUMPRODUCT(MAX(ROW(E$1:E1433)*(E1434=E$1:E1433)))))</f>
        <v> </v>
      </c>
      <c r="L1434" s="27"/>
    </row>
    <row r="1435" spans="1:12">
      <c r="A1435" s="20" t="s">
        <v>453</v>
      </c>
      <c r="E1435" s="22">
        <f>IF(D1435="?OLD","!!!","")</f>
        <v/>
      </c>
      <c r="F1435" s="23" t="str">
        <f>IF(OR(E1435="",E1435="!!!"),"",IF(NOT(ISNA(VLOOKUP(E1435,E$1:E1434,1,FALSE()))),"OLD",IF(AND(E1435&lt;&gt;"",E1435&lt;&gt;"!!!"),"NEW","")))</f>
        <v> </v>
      </c>
      <c r="G1435" s="24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5" t="str">
        <f>IF(J1435&lt;&gt;1,"",IF(I1435="SBJ","CB","?"))</f>
        <v> </v>
      </c>
      <c r="I1435" s="26" t="str">
        <f>IF(OR(E1435="",E1435="!!!",F1435="NEW"),"",INDEX(B1434:B$2,-1+SUMPRODUCT(MAX(ROW(E1434:E$2)*(E1435=E1434:E$2)))))</f>
        <v> </v>
      </c>
      <c r="J1435" s="26" t="str">
        <f>IF(OR(E1435="",E1435="!!!",F1435="NEW"),"",COUNTBLANK(OFFSET(A$1,,,SUMPRODUCT(MAX(ROW(E$2:E1435)*(E1435=E$2:E1435)))))-COUNTBLANK(OFFSET(A$1,,,SUMPRODUCT(MAX(ROW(E$1:E1434)*(E2=E$1:E1434))))))</f>
        <v> </v>
      </c>
      <c r="K1435" s="26" t="str">
        <f>IF(OR(E1435="",E1435="!!!",F1435="NEW"),"",INDEX(J$1:J1434,SUMPRODUCT(MAX(ROW(E$1:E1434)*(E1435=E$1:E1434)))))</f>
        <v> </v>
      </c>
      <c r="L1435" s="27"/>
    </row>
    <row r="1436" spans="1:12">
      <c r="A1436" s="20" t="s">
        <v>430</v>
      </c>
      <c r="E1436" s="22">
        <f>IF(D1436="?OLD","!!!","")</f>
        <v/>
      </c>
      <c r="F1436" s="23" t="str">
        <f>IF(OR(E1436="",E1436="!!!"),"",IF(NOT(ISNA(VLOOKUP(E1436,E$1:E1435,1,FALSE()))),"OLD",IF(AND(E1436&lt;&gt;"",E1436&lt;&gt;"!!!"),"NEW","")))</f>
        <v> </v>
      </c>
      <c r="G1436" s="24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5" t="str">
        <f>IF(J1436&lt;&gt;1,"",IF(I1436="SBJ","CB","?"))</f>
        <v> </v>
      </c>
      <c r="I1436" s="26" t="str">
        <f>IF(OR(E1436="",E1436="!!!",F1436="NEW"),"",INDEX(B1435:B$2,-1+SUMPRODUCT(MAX(ROW(E1435:E$2)*(E1436=E1435:E$2)))))</f>
        <v> </v>
      </c>
      <c r="J1436" s="26" t="str">
        <f>IF(OR(E1436="",E1436="!!!",F1436="NEW"),"",COUNTBLANK(OFFSET(A$1,,,SUMPRODUCT(MAX(ROW(E$2:E1436)*(E1436=E$2:E1436)))))-COUNTBLANK(OFFSET(A$1,,,SUMPRODUCT(MAX(ROW(E$1:E1435)*(E2=E$1:E1435))))))</f>
        <v> </v>
      </c>
      <c r="K1436" s="26" t="str">
        <f>IF(OR(E1436="",E1436="!!!",F1436="NEW"),"",INDEX(J$1:J1435,SUMPRODUCT(MAX(ROW(E$1:E1435)*(E1436=E$1:E1435)))))</f>
        <v> </v>
      </c>
      <c r="L1436" s="27"/>
    </row>
    <row r="1437" spans="1:12">
      <c r="A1437" s="20" t="s">
        <v>1147</v>
      </c>
      <c r="E1437" s="22">
        <f>IF(D1437="?OLD","!!!","")</f>
        <v/>
      </c>
      <c r="F1437" s="23" t="str">
        <f>IF(OR(E1437="",E1437="!!!"),"",IF(NOT(ISNA(VLOOKUP(E1437,E$1:E1436,1,FALSE()))),"OLD",IF(AND(E1437&lt;&gt;"",E1437&lt;&gt;"!!!"),"NEW","")))</f>
        <v> </v>
      </c>
      <c r="G1437" s="24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5" t="str">
        <f>IF(J1437&lt;&gt;1,"",IF(I1437="SBJ","CB","?"))</f>
        <v> </v>
      </c>
      <c r="I1437" s="26" t="str">
        <f>IF(OR(E1437="",E1437="!!!",F1437="NEW"),"",INDEX(B1436:B$2,-1+SUMPRODUCT(MAX(ROW(E1436:E$2)*(E1437=E1436:E$2)))))</f>
        <v> </v>
      </c>
      <c r="J1437" s="26" t="str">
        <f>IF(OR(E1437="",E1437="!!!",F1437="NEW"),"",COUNTBLANK(OFFSET(A$1,,,SUMPRODUCT(MAX(ROW(E$2:E1437)*(E1437=E$2:E1437)))))-COUNTBLANK(OFFSET(A$1,,,SUMPRODUCT(MAX(ROW(E$1:E1436)*(E2=E$1:E1436))))))</f>
        <v> </v>
      </c>
      <c r="K1437" s="26" t="str">
        <f>IF(OR(E1437="",E1437="!!!",F1437="NEW"),"",INDEX(J$1:J1436,SUMPRODUCT(MAX(ROW(E$1:E1436)*(E1437=E$1:E1436)))))</f>
        <v> </v>
      </c>
      <c r="L1437" s="27"/>
    </row>
    <row r="1438" spans="1:12">
      <c r="A1438" s="20" t="s">
        <v>1148</v>
      </c>
      <c r="E1438" s="22">
        <f>IF(D1438="?OLD","!!!","")</f>
        <v/>
      </c>
      <c r="F1438" s="23" t="str">
        <f>IF(OR(E1438="",E1438="!!!"),"",IF(NOT(ISNA(VLOOKUP(E1438,E$1:E1437,1,FALSE()))),"OLD",IF(AND(E1438&lt;&gt;"",E1438&lt;&gt;"!!!"),"NEW","")))</f>
        <v> </v>
      </c>
      <c r="G1438" s="24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5" t="str">
        <f>IF(J1438&lt;&gt;1,"",IF(I1438="SBJ","CB","?"))</f>
        <v> </v>
      </c>
      <c r="I1438" s="26" t="str">
        <f>IF(OR(E1438="",E1438="!!!",F1438="NEW"),"",INDEX(B1437:B$2,-1+SUMPRODUCT(MAX(ROW(E1437:E$2)*(E1438=E1437:E$2)))))</f>
        <v> </v>
      </c>
      <c r="J1438" s="26" t="str">
        <f>IF(OR(E1438="",E1438="!!!",F1438="NEW"),"",COUNTBLANK(OFFSET(A$1,,,SUMPRODUCT(MAX(ROW(E$2:E1438)*(E1438=E$2:E1438)))))-COUNTBLANK(OFFSET(A$1,,,SUMPRODUCT(MAX(ROW(E$1:E1437)*(E2=E$1:E1437))))))</f>
        <v> </v>
      </c>
      <c r="K1438" s="26" t="str">
        <f>IF(OR(E1438="",E1438="!!!",F1438="NEW"),"",INDEX(J$1:J1437,SUMPRODUCT(MAX(ROW(E$1:E1437)*(E1438=E$1:E1437)))))</f>
        <v> </v>
      </c>
      <c r="L1438" s="27"/>
    </row>
    <row r="1439" spans="1:12">
      <c r="A1439" s="20" t="s">
        <v>1149</v>
      </c>
      <c r="E1439" s="22">
        <f>IF(D1439="?OLD","!!!","")</f>
        <v/>
      </c>
      <c r="F1439" s="23" t="str">
        <f>IF(OR(E1439="",E1439="!!!"),"",IF(NOT(ISNA(VLOOKUP(E1439,E$1:E1438,1,FALSE()))),"OLD",IF(AND(E1439&lt;&gt;"",E1439&lt;&gt;"!!!"),"NEW","")))</f>
        <v> </v>
      </c>
      <c r="G1439" s="24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5" t="str">
        <f>IF(J1439&lt;&gt;1,"",IF(I1439="SBJ","CB","?"))</f>
        <v> </v>
      </c>
      <c r="I1439" s="26" t="str">
        <f>IF(OR(E1439="",E1439="!!!",F1439="NEW"),"",INDEX(B1438:B$2,-1+SUMPRODUCT(MAX(ROW(E1438:E$2)*(E1439=E1438:E$2)))))</f>
        <v> </v>
      </c>
      <c r="J1439" s="26" t="str">
        <f>IF(OR(E1439="",E1439="!!!",F1439="NEW"),"",COUNTBLANK(OFFSET(A$1,,,SUMPRODUCT(MAX(ROW(E$2:E1439)*(E1439=E$2:E1439)))))-COUNTBLANK(OFFSET(A$1,,,SUMPRODUCT(MAX(ROW(E$1:E1438)*(E2=E$1:E1438))))))</f>
        <v> </v>
      </c>
      <c r="K1439" s="26" t="str">
        <f>IF(OR(E1439="",E1439="!!!",F1439="NEW"),"",INDEX(J$1:J1438,SUMPRODUCT(MAX(ROW(E$1:E1438)*(E1439=E$1:E1438)))))</f>
        <v> </v>
      </c>
      <c r="L1439" s="27"/>
    </row>
    <row r="1440" spans="1:12">
      <c r="A1440" s="20" t="s">
        <v>1150</v>
      </c>
      <c r="B1440" s="21" t="s">
        <v>556</v>
      </c>
      <c r="C1440" s="21" t="s">
        <v>516</v>
      </c>
      <c r="E1440" s="22">
        <f>IF(D1440="?OLD","!!!","")</f>
        <v/>
      </c>
      <c r="F1440" s="23" t="str">
        <f>IF(OR(E1440="",E1440="!!!"),"",IF(NOT(ISNA(VLOOKUP(E1440,E$1:E1439,1,FALSE()))),"OLD",IF(AND(E1440&lt;&gt;"",E1440&lt;&gt;"!!!"),"NEW","")))</f>
        <v> </v>
      </c>
      <c r="G1440" s="24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5" t="str">
        <f>IF(J1440&lt;&gt;1,"",IF(I1440="SBJ","CB","?"))</f>
        <v> </v>
      </c>
      <c r="I1440" s="26" t="str">
        <f>IF(OR(E1440="",E1440="!!!",F1440="NEW"),"",INDEX(B1439:B$2,-1+SUMPRODUCT(MAX(ROW(E1439:E$2)*(E1440=E1439:E$2)))))</f>
        <v> </v>
      </c>
      <c r="J1440" s="26" t="str">
        <f>IF(OR(E1440="",E1440="!!!",F1440="NEW"),"",COUNTBLANK(OFFSET(A$1,,,SUMPRODUCT(MAX(ROW(E$2:E1440)*(E1440=E$2:E1440)))))-COUNTBLANK(OFFSET(A$1,,,SUMPRODUCT(MAX(ROW(E$1:E1439)*(E2=E$1:E1439))))))</f>
        <v> </v>
      </c>
      <c r="K1440" s="26" t="str">
        <f>IF(OR(E1440="",E1440="!!!",F1440="NEW"),"",INDEX(J$1:J1439,SUMPRODUCT(MAX(ROW(E$1:E1439)*(E1440=E$1:E1439)))))</f>
        <v> </v>
      </c>
      <c r="L1440" s="27"/>
    </row>
    <row r="1441" spans="1:12">
      <c r="A1441" s="20" t="s">
        <v>1151</v>
      </c>
      <c r="E1441" s="22">
        <f>IF(D1441="?OLD","!!!","")</f>
        <v/>
      </c>
      <c r="F1441" s="23" t="str">
        <f>IF(OR(E1441="",E1441="!!!"),"",IF(NOT(ISNA(VLOOKUP(E1441,E$1:E1440,1,FALSE()))),"OLD",IF(AND(E1441&lt;&gt;"",E1441&lt;&gt;"!!!"),"NEW","")))</f>
        <v> </v>
      </c>
      <c r="G1441" s="24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5" t="str">
        <f>IF(J1441&lt;&gt;1,"",IF(I1441="SBJ","CB","?"))</f>
        <v> </v>
      </c>
      <c r="I1441" s="26" t="str">
        <f>IF(OR(E1441="",E1441="!!!",F1441="NEW"),"",INDEX(B1440:B$2,-1+SUMPRODUCT(MAX(ROW(E1440:E$2)*(E1441=E1440:E$2)))))</f>
        <v> </v>
      </c>
      <c r="J1441" s="26" t="str">
        <f>IF(OR(E1441="",E1441="!!!",F1441="NEW"),"",COUNTBLANK(OFFSET(A$1,,,SUMPRODUCT(MAX(ROW(E$2:E1441)*(E1441=E$2:E1441)))))-COUNTBLANK(OFFSET(A$1,,,SUMPRODUCT(MAX(ROW(E$1:E1440)*(E2=E$1:E1440))))))</f>
        <v> </v>
      </c>
      <c r="K1441" s="26" t="str">
        <f>IF(OR(E1441="",E1441="!!!",F1441="NEW"),"",INDEX(J$1:J1440,SUMPRODUCT(MAX(ROW(E$1:E1440)*(E1441=E$1:E1440)))))</f>
        <v> </v>
      </c>
      <c r="L1441" s="27"/>
    </row>
    <row r="1442" spans="1:12">
      <c r="A1442" s="20" t="s">
        <v>430</v>
      </c>
      <c r="E1442" s="22">
        <f>IF(D1442="?OLD","!!!","")</f>
        <v/>
      </c>
      <c r="F1442" s="23" t="str">
        <f>IF(OR(E1442="",E1442="!!!"),"",IF(NOT(ISNA(VLOOKUP(E1442,E$1:E1441,1,FALSE()))),"OLD",IF(AND(E1442&lt;&gt;"",E1442&lt;&gt;"!!!"),"NEW","")))</f>
        <v> </v>
      </c>
      <c r="G1442" s="24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5" t="str">
        <f>IF(J1442&lt;&gt;1,"",IF(I1442="SBJ","CB","?"))</f>
        <v> </v>
      </c>
      <c r="I1442" s="26" t="str">
        <f>IF(OR(E1442="",E1442="!!!",F1442="NEW"),"",INDEX(B1441:B$2,-1+SUMPRODUCT(MAX(ROW(E1441:E$2)*(E1442=E1441:E$2)))))</f>
        <v> </v>
      </c>
      <c r="J1442" s="26" t="str">
        <f>IF(OR(E1442="",E1442="!!!",F1442="NEW"),"",COUNTBLANK(OFFSET(A$1,,,SUMPRODUCT(MAX(ROW(E$2:E1442)*(E1442=E$2:E1442)))))-COUNTBLANK(OFFSET(A$1,,,SUMPRODUCT(MAX(ROW(E$1:E1441)*(E2=E$1:E1441))))))</f>
        <v> </v>
      </c>
      <c r="K1442" s="26" t="str">
        <f>IF(OR(E1442="",E1442="!!!",F1442="NEW"),"",INDEX(J$1:J1441,SUMPRODUCT(MAX(ROW(E$1:E1441)*(E1442=E$1:E1441)))))</f>
        <v> </v>
      </c>
      <c r="L1442" s="27"/>
    </row>
    <row r="1443" spans="1:12">
      <c r="A1443" s="20" t="s">
        <v>1024</v>
      </c>
      <c r="E1443" s="22">
        <f>IF(D1443="?OLD","!!!","")</f>
        <v/>
      </c>
      <c r="F1443" s="23" t="str">
        <f>IF(OR(E1443="",E1443="!!!"),"",IF(NOT(ISNA(VLOOKUP(E1443,E$1:E1442,1,FALSE()))),"OLD",IF(AND(E1443&lt;&gt;"",E1443&lt;&gt;"!!!"),"NEW","")))</f>
        <v> </v>
      </c>
      <c r="G1443" s="24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5" t="str">
        <f>IF(J1443&lt;&gt;1,"",IF(I1443="SBJ","CB","?"))</f>
        <v> </v>
      </c>
      <c r="I1443" s="26" t="str">
        <f>IF(OR(E1443="",E1443="!!!",F1443="NEW"),"",INDEX(B1442:B$2,-1+SUMPRODUCT(MAX(ROW(E1442:E$2)*(E1443=E1442:E$2)))))</f>
        <v> </v>
      </c>
      <c r="J1443" s="26" t="str">
        <f>IF(OR(E1443="",E1443="!!!",F1443="NEW"),"",COUNTBLANK(OFFSET(A$1,,,SUMPRODUCT(MAX(ROW(E$2:E1443)*(E1443=E$2:E1443)))))-COUNTBLANK(OFFSET(A$1,,,SUMPRODUCT(MAX(ROW(E$1:E1442)*(E2=E$1:E1442))))))</f>
        <v> </v>
      </c>
      <c r="K1443" s="26" t="str">
        <f>IF(OR(E1443="",E1443="!!!",F1443="NEW"),"",INDEX(J$1:J1442,SUMPRODUCT(MAX(ROW(E$1:E1442)*(E1443=E$1:E1442)))))</f>
        <v> </v>
      </c>
      <c r="L1443" s="27"/>
    </row>
    <row r="1444" spans="1:12">
      <c r="A1444" s="20" t="s">
        <v>47</v>
      </c>
      <c r="E1444" s="22">
        <f>IF(D1444="?OLD","!!!","")</f>
        <v/>
      </c>
      <c r="F1444" s="23" t="str">
        <f>IF(OR(E1444="",E1444="!!!"),"",IF(NOT(ISNA(VLOOKUP(E1444,E$1:E1443,1,FALSE()))),"OLD",IF(AND(E1444&lt;&gt;"",E1444&lt;&gt;"!!!"),"NEW","")))</f>
        <v> </v>
      </c>
      <c r="G1444" s="24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5" t="str">
        <f>IF(J1444&lt;&gt;1,"",IF(I1444="SBJ","CB","?"))</f>
        <v> </v>
      </c>
      <c r="I1444" s="26" t="str">
        <f>IF(OR(E1444="",E1444="!!!",F1444="NEW"),"",INDEX(B1443:B$2,-1+SUMPRODUCT(MAX(ROW(E1443:E$2)*(E1444=E1443:E$2)))))</f>
        <v> </v>
      </c>
      <c r="J1444" s="26" t="str">
        <f>IF(OR(E1444="",E1444="!!!",F1444="NEW"),"",COUNTBLANK(OFFSET(A$1,,,SUMPRODUCT(MAX(ROW(E$2:E1444)*(E1444=E$2:E1444)))))-COUNTBLANK(OFFSET(A$1,,,SUMPRODUCT(MAX(ROW(E$1:E1443)*(E2=E$1:E1443))))))</f>
        <v> </v>
      </c>
      <c r="K1444" s="26" t="str">
        <f>IF(OR(E1444="",E1444="!!!",F1444="NEW"),"",INDEX(J$1:J1443,SUMPRODUCT(MAX(ROW(E$1:E1443)*(E1444=E$1:E1443)))))</f>
        <v> </v>
      </c>
      <c r="L1444" s="27"/>
    </row>
    <row r="1445" spans="1:12">
      <c r="A1445" s="20" t="s">
        <v>1128</v>
      </c>
      <c r="B1445" s="21" t="s">
        <v>434</v>
      </c>
      <c r="C1445" s="21" t="s">
        <v>516</v>
      </c>
      <c r="E1445" s="22">
        <f>IF(D1445="?OLD","!!!","")</f>
        <v/>
      </c>
      <c r="F1445" s="23" t="str">
        <f>IF(OR(E1445="",E1445="!!!"),"",IF(NOT(ISNA(VLOOKUP(E1445,E$1:E1444,1,FALSE()))),"OLD",IF(AND(E1445&lt;&gt;"",E1445&lt;&gt;"!!!"),"NEW","")))</f>
        <v> </v>
      </c>
      <c r="G1445" s="24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5" t="str">
        <f>IF(J1445&lt;&gt;1,"",IF(I1445="SBJ","CB","?"))</f>
        <v> </v>
      </c>
      <c r="I1445" s="26" t="str">
        <f>IF(OR(E1445="",E1445="!!!",F1445="NEW"),"",INDEX(B1444:B$2,-1+SUMPRODUCT(MAX(ROW(E1444:E$2)*(E1445=E1444:E$2)))))</f>
        <v> </v>
      </c>
      <c r="J1445" s="26" t="str">
        <f>IF(OR(E1445="",E1445="!!!",F1445="NEW"),"",COUNTBLANK(OFFSET(A$1,,,SUMPRODUCT(MAX(ROW(E$2:E1445)*(E1445=E$2:E1445)))))-COUNTBLANK(OFFSET(A$1,,,SUMPRODUCT(MAX(ROW(E$1:E1444)*(E2=E$1:E1444))))))</f>
        <v> </v>
      </c>
      <c r="K1445" s="26" t="str">
        <f>IF(OR(E1445="",E1445="!!!",F1445="NEW"),"",INDEX(J$1:J1444,SUMPRODUCT(MAX(ROW(E$1:E1444)*(E1445=E$1:E1444)))))</f>
        <v> </v>
      </c>
      <c r="L1445" s="27"/>
    </row>
    <row r="1446" spans="1:12">
      <c r="A1446" s="20" t="s">
        <v>1152</v>
      </c>
      <c r="E1446" s="22">
        <f>IF(D1446="?OLD","!!!","")</f>
        <v/>
      </c>
      <c r="F1446" s="23" t="str">
        <f>IF(OR(E1446="",E1446="!!!"),"",IF(NOT(ISNA(VLOOKUP(E1446,E$1:E1445,1,FALSE()))),"OLD",IF(AND(E1446&lt;&gt;"",E1446&lt;&gt;"!!!"),"NEW","")))</f>
        <v> </v>
      </c>
      <c r="G1446" s="24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5" t="str">
        <f>IF(J1446&lt;&gt;1,"",IF(I1446="SBJ","CB","?"))</f>
        <v> </v>
      </c>
      <c r="I1446" s="26" t="str">
        <f>IF(OR(E1446="",E1446="!!!",F1446="NEW"),"",INDEX(B1445:B$2,-1+SUMPRODUCT(MAX(ROW(E1445:E$2)*(E1446=E1445:E$2)))))</f>
        <v> </v>
      </c>
      <c r="J1446" s="26" t="str">
        <f>IF(OR(E1446="",E1446="!!!",F1446="NEW"),"",COUNTBLANK(OFFSET(A$1,,,SUMPRODUCT(MAX(ROW(E$2:E1446)*(E1446=E$2:E1446)))))-COUNTBLANK(OFFSET(A$1,,,SUMPRODUCT(MAX(ROW(E$1:E1445)*(E2=E$1:E1445))))))</f>
        <v> </v>
      </c>
      <c r="K1446" s="26" t="str">
        <f>IF(OR(E1446="",E1446="!!!",F1446="NEW"),"",INDEX(J$1:J1445,SUMPRODUCT(MAX(ROW(E$1:E1445)*(E1446=E$1:E1445)))))</f>
        <v> </v>
      </c>
      <c r="L1446" s="27"/>
    </row>
    <row r="1447" spans="1:12">
      <c r="A1447" s="20" t="s">
        <v>545</v>
      </c>
      <c r="E1447" s="22">
        <f>IF(D1447="?OLD","!!!","")</f>
        <v/>
      </c>
      <c r="F1447" s="23" t="str">
        <f>IF(OR(E1447="",E1447="!!!"),"",IF(NOT(ISNA(VLOOKUP(E1447,E$1:E1446,1,FALSE()))),"OLD",IF(AND(E1447&lt;&gt;"",E1447&lt;&gt;"!!!"),"NEW","")))</f>
        <v> </v>
      </c>
      <c r="G1447" s="24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5" t="str">
        <f>IF(J1447&lt;&gt;1,"",IF(I1447="SBJ","CB","?"))</f>
        <v> </v>
      </c>
      <c r="I1447" s="26" t="str">
        <f>IF(OR(E1447="",E1447="!!!",F1447="NEW"),"",INDEX(B1446:B$2,-1+SUMPRODUCT(MAX(ROW(E1446:E$2)*(E1447=E1446:E$2)))))</f>
        <v> </v>
      </c>
      <c r="J1447" s="26" t="str">
        <f>IF(OR(E1447="",E1447="!!!",F1447="NEW"),"",COUNTBLANK(OFFSET(A$1,,,SUMPRODUCT(MAX(ROW(E$2:E1447)*(E1447=E$2:E1447)))))-COUNTBLANK(OFFSET(A$1,,,SUMPRODUCT(MAX(ROW(E$1:E1446)*(E2=E$1:E1446))))))</f>
        <v> </v>
      </c>
      <c r="K1447" s="26" t="str">
        <f>IF(OR(E1447="",E1447="!!!",F1447="NEW"),"",INDEX(J$1:J1446,SUMPRODUCT(MAX(ROW(E$1:E1446)*(E1447=E$1:E1446)))))</f>
        <v> </v>
      </c>
      <c r="L1447" s="27"/>
    </row>
    <row r="1448" spans="1:12">
      <c r="A1448" s="20" t="s">
        <v>1153</v>
      </c>
      <c r="E1448" s="22">
        <f>IF(D1448="?OLD","!!!","")</f>
        <v/>
      </c>
      <c r="F1448" s="23" t="str">
        <f>IF(OR(E1448="",E1448="!!!"),"",IF(NOT(ISNA(VLOOKUP(E1448,E$1:E1447,1,FALSE()))),"OLD",IF(AND(E1448&lt;&gt;"",E1448&lt;&gt;"!!!"),"NEW","")))</f>
        <v> </v>
      </c>
      <c r="G1448" s="24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5" t="str">
        <f>IF(J1448&lt;&gt;1,"",IF(I1448="SBJ","CB","?"))</f>
        <v> </v>
      </c>
      <c r="I1448" s="26" t="str">
        <f>IF(OR(E1448="",E1448="!!!",F1448="NEW"),"",INDEX(B1447:B$2,-1+SUMPRODUCT(MAX(ROW(E1447:E$2)*(E1448=E1447:E$2)))))</f>
        <v> </v>
      </c>
      <c r="J1448" s="26" t="str">
        <f>IF(OR(E1448="",E1448="!!!",F1448="NEW"),"",COUNTBLANK(OFFSET(A$1,,,SUMPRODUCT(MAX(ROW(E$2:E1448)*(E1448=E$2:E1448)))))-COUNTBLANK(OFFSET(A$1,,,SUMPRODUCT(MAX(ROW(E$1:E1447)*(E2=E$1:E1447))))))</f>
        <v> </v>
      </c>
      <c r="K1448" s="26" t="str">
        <f>IF(OR(E1448="",E1448="!!!",F1448="NEW"),"",INDEX(J$1:J1447,SUMPRODUCT(MAX(ROW(E$1:E1447)*(E1448=E$1:E1447)))))</f>
        <v> </v>
      </c>
      <c r="L1448" s="27"/>
    </row>
    <row r="1449" spans="1:12">
      <c r="A1449" s="20" t="s">
        <v>1154</v>
      </c>
      <c r="E1449" s="22">
        <f>IF(D1449="?OLD","!!!","")</f>
        <v/>
      </c>
      <c r="F1449" s="23" t="str">
        <f>IF(OR(E1449="",E1449="!!!"),"",IF(NOT(ISNA(VLOOKUP(E1449,E$1:E1448,1,FALSE()))),"OLD",IF(AND(E1449&lt;&gt;"",E1449&lt;&gt;"!!!"),"NEW","")))</f>
        <v> </v>
      </c>
      <c r="G1449" s="24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5" t="str">
        <f>IF(J1449&lt;&gt;1,"",IF(I1449="SBJ","CB","?"))</f>
        <v> </v>
      </c>
      <c r="I1449" s="26" t="str">
        <f>IF(OR(E1449="",E1449="!!!",F1449="NEW"),"",INDEX(B1448:B$2,-1+SUMPRODUCT(MAX(ROW(E1448:E$2)*(E1449=E1448:E$2)))))</f>
        <v> </v>
      </c>
      <c r="J1449" s="26" t="str">
        <f>IF(OR(E1449="",E1449="!!!",F1449="NEW"),"",COUNTBLANK(OFFSET(A$1,,,SUMPRODUCT(MAX(ROW(E$2:E1449)*(E1449=E$2:E1449)))))-COUNTBLANK(OFFSET(A$1,,,SUMPRODUCT(MAX(ROW(E$1:E1448)*(E2=E$1:E1448))))))</f>
        <v> </v>
      </c>
      <c r="K1449" s="26" t="str">
        <f>IF(OR(E1449="",E1449="!!!",F1449="NEW"),"",INDEX(J$1:J1448,SUMPRODUCT(MAX(ROW(E$1:E1448)*(E1449=E$1:E1448)))))</f>
        <v> </v>
      </c>
      <c r="L1449" s="27"/>
    </row>
    <row r="1450" spans="1:12">
      <c r="A1450" s="20" t="s">
        <v>1155</v>
      </c>
      <c r="E1450" s="22">
        <f>IF(D1450="?OLD","!!!","")</f>
        <v/>
      </c>
      <c r="F1450" s="23" t="str">
        <f>IF(OR(E1450="",E1450="!!!"),"",IF(NOT(ISNA(VLOOKUP(E1450,E$1:E1449,1,FALSE()))),"OLD",IF(AND(E1450&lt;&gt;"",E1450&lt;&gt;"!!!"),"NEW","")))</f>
        <v> </v>
      </c>
      <c r="G1450" s="24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5" t="str">
        <f>IF(J1450&lt;&gt;1,"",IF(I1450="SBJ","CB","?"))</f>
        <v> </v>
      </c>
      <c r="I1450" s="26" t="str">
        <f>IF(OR(E1450="",E1450="!!!",F1450="NEW"),"",INDEX(B1449:B$2,-1+SUMPRODUCT(MAX(ROW(E1449:E$2)*(E1450=E1449:E$2)))))</f>
        <v> </v>
      </c>
      <c r="J1450" s="26" t="str">
        <f>IF(OR(E1450="",E1450="!!!",F1450="NEW"),"",COUNTBLANK(OFFSET(A$1,,,SUMPRODUCT(MAX(ROW(E$2:E1450)*(E1450=E$2:E1450)))))-COUNTBLANK(OFFSET(A$1,,,SUMPRODUCT(MAX(ROW(E$1:E1449)*(E2=E$1:E1449))))))</f>
        <v> </v>
      </c>
      <c r="K1450" s="26" t="str">
        <f>IF(OR(E1450="",E1450="!!!",F1450="NEW"),"",INDEX(J$1:J1449,SUMPRODUCT(MAX(ROW(E$1:E1449)*(E1450=E$1:E1449)))))</f>
        <v> </v>
      </c>
      <c r="L1450" s="27"/>
    </row>
    <row r="1451" spans="1:12">
      <c r="A1451" s="20" t="s">
        <v>1156</v>
      </c>
      <c r="E1451" s="22">
        <f>IF(D1451="?OLD","!!!","")</f>
        <v/>
      </c>
      <c r="F1451" s="23" t="str">
        <f>IF(OR(E1451="",E1451="!!!"),"",IF(NOT(ISNA(VLOOKUP(E1451,E$1:E1450,1,FALSE()))),"OLD",IF(AND(E1451&lt;&gt;"",E1451&lt;&gt;"!!!"),"NEW","")))</f>
        <v> </v>
      </c>
      <c r="G1451" s="24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5" t="str">
        <f>IF(J1451&lt;&gt;1,"",IF(I1451="SBJ","CB","?"))</f>
        <v> </v>
      </c>
      <c r="I1451" s="26" t="str">
        <f>IF(OR(E1451="",E1451="!!!",F1451="NEW"),"",INDEX(B1450:B$2,-1+SUMPRODUCT(MAX(ROW(E1450:E$2)*(E1451=E1450:E$2)))))</f>
        <v> </v>
      </c>
      <c r="J1451" s="26" t="str">
        <f>IF(OR(E1451="",E1451="!!!",F1451="NEW"),"",COUNTBLANK(OFFSET(A$1,,,SUMPRODUCT(MAX(ROW(E$2:E1451)*(E1451=E$2:E1451)))))-COUNTBLANK(OFFSET(A$1,,,SUMPRODUCT(MAX(ROW(E$1:E1450)*(E2=E$1:E1450))))))</f>
        <v> </v>
      </c>
      <c r="K1451" s="26" t="str">
        <f>IF(OR(E1451="",E1451="!!!",F1451="NEW"),"",INDEX(J$1:J1450,SUMPRODUCT(MAX(ROW(E$1:E1450)*(E1451=E$1:E1450)))))</f>
        <v> </v>
      </c>
      <c r="L1451" s="27"/>
    </row>
    <row r="1452" spans="1:12">
      <c r="A1452" s="20" t="s">
        <v>1157</v>
      </c>
      <c r="E1452" s="22">
        <f>IF(D1452="?OLD","!!!","")</f>
        <v/>
      </c>
      <c r="F1452" s="23" t="str">
        <f>IF(OR(E1452="",E1452="!!!"),"",IF(NOT(ISNA(VLOOKUP(E1452,E$1:E1451,1,FALSE()))),"OLD",IF(AND(E1452&lt;&gt;"",E1452&lt;&gt;"!!!"),"NEW","")))</f>
        <v> </v>
      </c>
      <c r="G1452" s="24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5" t="str">
        <f>IF(J1452&lt;&gt;1,"",IF(I1452="SBJ","CB","?"))</f>
        <v> </v>
      </c>
      <c r="I1452" s="26" t="str">
        <f>IF(OR(E1452="",E1452="!!!",F1452="NEW"),"",INDEX(B1451:B$2,-1+SUMPRODUCT(MAX(ROW(E1451:E$2)*(E1452=E1451:E$2)))))</f>
        <v> </v>
      </c>
      <c r="J1452" s="26" t="str">
        <f>IF(OR(E1452="",E1452="!!!",F1452="NEW"),"",COUNTBLANK(OFFSET(A$1,,,SUMPRODUCT(MAX(ROW(E$2:E1452)*(E1452=E$2:E1452)))))-COUNTBLANK(OFFSET(A$1,,,SUMPRODUCT(MAX(ROW(E$1:E1451)*(E2=E$1:E1451))))))</f>
        <v> </v>
      </c>
      <c r="K1452" s="26" t="str">
        <f>IF(OR(E1452="",E1452="!!!",F1452="NEW"),"",INDEX(J$1:J1451,SUMPRODUCT(MAX(ROW(E$1:E1451)*(E1452=E$1:E1451)))))</f>
        <v> </v>
      </c>
      <c r="L1452" s="27"/>
    </row>
    <row r="1453" spans="1:12">
      <c r="A1453" s="20" t="s">
        <v>1158</v>
      </c>
      <c r="B1453" s="21" t="s">
        <v>491</v>
      </c>
      <c r="C1453" s="21" t="s">
        <v>516</v>
      </c>
      <c r="E1453" s="22">
        <f>IF(D1453="?OLD","!!!","")</f>
        <v/>
      </c>
      <c r="F1453" s="23" t="str">
        <f>IF(OR(E1453="",E1453="!!!"),"",IF(NOT(ISNA(VLOOKUP(E1453,E$1:E1452,1,FALSE()))),"OLD",IF(AND(E1453&lt;&gt;"",E1453&lt;&gt;"!!!"),"NEW","")))</f>
        <v> </v>
      </c>
      <c r="G1453" s="24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5" t="str">
        <f>IF(J1453&lt;&gt;1,"",IF(I1453="SBJ","CB","?"))</f>
        <v> </v>
      </c>
      <c r="I1453" s="26" t="str">
        <f>IF(OR(E1453="",E1453="!!!",F1453="NEW"),"",INDEX(B1452:B$2,-1+SUMPRODUCT(MAX(ROW(E1452:E$2)*(E1453=E1452:E$2)))))</f>
        <v> </v>
      </c>
      <c r="J1453" s="26" t="str">
        <f>IF(OR(E1453="",E1453="!!!",F1453="NEW"),"",COUNTBLANK(OFFSET(A$1,,,SUMPRODUCT(MAX(ROW(E$2:E1453)*(E1453=E$2:E1453)))))-COUNTBLANK(OFFSET(A$1,,,SUMPRODUCT(MAX(ROW(E$1:E1452)*(E2=E$1:E1452))))))</f>
        <v> </v>
      </c>
      <c r="K1453" s="26" t="str">
        <f>IF(OR(E1453="",E1453="!!!",F1453="NEW"),"",INDEX(J$1:J1452,SUMPRODUCT(MAX(ROW(E$1:E1452)*(E1453=E$1:E1452)))))</f>
        <v> </v>
      </c>
      <c r="L1453" s="27"/>
    </row>
    <row r="1454" spans="1:12">
      <c r="A1454" s="20" t="s">
        <v>438</v>
      </c>
      <c r="E1454" s="22">
        <f>IF(D1454="?OLD","!!!","")</f>
        <v/>
      </c>
      <c r="F1454" s="23" t="str">
        <f>IF(OR(E1454="",E1454="!!!"),"",IF(NOT(ISNA(VLOOKUP(E1454,E$1:E1453,1,FALSE()))),"OLD",IF(AND(E1454&lt;&gt;"",E1454&lt;&gt;"!!!"),"NEW","")))</f>
        <v> </v>
      </c>
      <c r="G1454" s="24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5" t="str">
        <f>IF(J1454&lt;&gt;1,"",IF(I1454="SBJ","CB","?"))</f>
        <v> </v>
      </c>
      <c r="I1454" s="26" t="str">
        <f>IF(OR(E1454="",E1454="!!!",F1454="NEW"),"",INDEX(B1453:B$2,-1+SUMPRODUCT(MAX(ROW(E1453:E$2)*(E1454=E1453:E$2)))))</f>
        <v> </v>
      </c>
      <c r="J1454" s="26" t="str">
        <f>IF(OR(E1454="",E1454="!!!",F1454="NEW"),"",COUNTBLANK(OFFSET(A$1,,,SUMPRODUCT(MAX(ROW(E$2:E1454)*(E1454=E$2:E1454)))))-COUNTBLANK(OFFSET(A$1,,,SUMPRODUCT(MAX(ROW(E$1:E1453)*(E2=E$1:E1453))))))</f>
        <v> </v>
      </c>
      <c r="K1454" s="26" t="str">
        <f>IF(OR(E1454="",E1454="!!!",F1454="NEW"),"",INDEX(J$1:J1453,SUMPRODUCT(MAX(ROW(E$1:E1453)*(E1454=E$1:E1453)))))</f>
        <v> </v>
      </c>
      <c r="L1454" s="27"/>
    </row>
    <row r="1455" spans="1:12">
      <c r="A1455" s="20"/>
    </row>
    <row r="1456" spans="1:12">
      <c r="A1456" s="20" t="s">
        <v>1159</v>
      </c>
    </row>
    <row r="1457" spans="1:12">
      <c r="A1457" s="20" t="s">
        <v>1160</v>
      </c>
      <c r="E1457" s="22">
        <f>IF(D1457="?OLD","!!!","")</f>
        <v/>
      </c>
      <c r="F1457" s="23" t="str">
        <f>IF(OR(E1457="",E1457="!!!"),"",IF(NOT(ISNA(VLOOKUP(E1457,E$1:E1456,1,FALSE()))),"OLD",IF(AND(E1457&lt;&gt;"",E1457&lt;&gt;"!!!"),"NEW","")))</f>
        <v> </v>
      </c>
      <c r="G1457" s="24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5" t="str">
        <f>IF(J1457&lt;&gt;1,"",IF(I1457="SBJ","CB","?"))</f>
        <v> </v>
      </c>
      <c r="I1457" s="26" t="str">
        <f>IF(OR(E1457="",E1457="!!!",F1457="NEW"),"",INDEX(B1456:B$2,-1+SUMPRODUCT(MAX(ROW(E1456:E$2)*(E1457=E1456:E$2)))))</f>
        <v> </v>
      </c>
      <c r="J1457" s="26" t="str">
        <f>IF(OR(E1457="",E1457="!!!",F1457="NEW"),"",COUNTBLANK(OFFSET(A$1,,,SUMPRODUCT(MAX(ROW(E$2:E1457)*(E1457=E$2:E1457)))))-COUNTBLANK(OFFSET(A$1,,,SUMPRODUCT(MAX(ROW(E$1:E1456)*(E2=E$1:E1456))))))</f>
        <v> </v>
      </c>
      <c r="K1457" s="26" t="str">
        <f>IF(OR(E1457="",E1457="!!!",F1457="NEW"),"",INDEX(J$1:J1456,SUMPRODUCT(MAX(ROW(E$1:E1456)*(E1457=E$1:E1456)))))</f>
        <v> </v>
      </c>
      <c r="L1457" s="27"/>
    </row>
    <row r="1458" spans="1:12">
      <c r="A1458" s="20" t="s">
        <v>774</v>
      </c>
      <c r="E1458" s="22">
        <f>IF(D1458="?OLD","!!!","")</f>
        <v/>
      </c>
      <c r="F1458" s="23" t="str">
        <f>IF(OR(E1458="",E1458="!!!"),"",IF(NOT(ISNA(VLOOKUP(E1458,E$1:E1457,1,FALSE()))),"OLD",IF(AND(E1458&lt;&gt;"",E1458&lt;&gt;"!!!"),"NEW","")))</f>
        <v> </v>
      </c>
      <c r="G1458" s="24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5" t="str">
        <f>IF(J1458&lt;&gt;1,"",IF(I1458="SBJ","CB","?"))</f>
        <v> </v>
      </c>
      <c r="I1458" s="26" t="str">
        <f>IF(OR(E1458="",E1458="!!!",F1458="NEW"),"",INDEX(B1457:B$2,-1+SUMPRODUCT(MAX(ROW(E1457:E$2)*(E1458=E1457:E$2)))))</f>
        <v> </v>
      </c>
      <c r="J1458" s="26" t="str">
        <f>IF(OR(E1458="",E1458="!!!",F1458="NEW"),"",COUNTBLANK(OFFSET(A$1,,,SUMPRODUCT(MAX(ROW(E$2:E1458)*(E1458=E$2:E1458)))))-COUNTBLANK(OFFSET(A$1,,,SUMPRODUCT(MAX(ROW(E$1:E1457)*(E2=E$1:E1457))))))</f>
        <v> </v>
      </c>
      <c r="K1458" s="26" t="str">
        <f>IF(OR(E1458="",E1458="!!!",F1458="NEW"),"",INDEX(J$1:J1457,SUMPRODUCT(MAX(ROW(E$1:E1457)*(E1458=E$1:E1457)))))</f>
        <v> </v>
      </c>
      <c r="L1458" s="27"/>
    </row>
    <row r="1459" spans="1:12">
      <c r="A1459" s="20" t="s">
        <v>775</v>
      </c>
      <c r="E1459" s="22">
        <f>IF(D1459="?OLD","!!!","")</f>
        <v/>
      </c>
      <c r="F1459" s="23" t="str">
        <f>IF(OR(E1459="",E1459="!!!"),"",IF(NOT(ISNA(VLOOKUP(E1459,E$1:E1458,1,FALSE()))),"OLD",IF(AND(E1459&lt;&gt;"",E1459&lt;&gt;"!!!"),"NEW","")))</f>
        <v> </v>
      </c>
      <c r="G1459" s="24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5" t="str">
        <f>IF(J1459&lt;&gt;1,"",IF(I1459="SBJ","CB","?"))</f>
        <v> </v>
      </c>
      <c r="I1459" s="26" t="str">
        <f>IF(OR(E1459="",E1459="!!!",F1459="NEW"),"",INDEX(B1458:B$2,-1+SUMPRODUCT(MAX(ROW(E1458:E$2)*(E1459=E1458:E$2)))))</f>
        <v> </v>
      </c>
      <c r="J1459" s="26" t="str">
        <f>IF(OR(E1459="",E1459="!!!",F1459="NEW"),"",COUNTBLANK(OFFSET(A$1,,,SUMPRODUCT(MAX(ROW(E$2:E1459)*(E1459=E$2:E1459)))))-COUNTBLANK(OFFSET(A$1,,,SUMPRODUCT(MAX(ROW(E$1:E1458)*(E2=E$1:E1458))))))</f>
        <v> </v>
      </c>
      <c r="K1459" s="26" t="str">
        <f>IF(OR(E1459="",E1459="!!!",F1459="NEW"),"",INDEX(J$1:J1458,SUMPRODUCT(MAX(ROW(E$1:E1458)*(E1459=E$1:E1458)))))</f>
        <v> </v>
      </c>
      <c r="L1459" s="27"/>
    </row>
    <row r="1460" spans="1:12">
      <c r="A1460" s="20" t="s">
        <v>666</v>
      </c>
      <c r="B1460" s="21" t="s">
        <v>422</v>
      </c>
      <c r="E1460" s="22">
        <f>IF(D1460="?OLD","!!!","")</f>
        <v/>
      </c>
      <c r="F1460" s="23" t="str">
        <f>IF(OR(E1460="",E1460="!!!"),"",IF(NOT(ISNA(VLOOKUP(E1460,E$1:E1459,1,FALSE()))),"OLD",IF(AND(E1460&lt;&gt;"",E1460&lt;&gt;"!!!"),"NEW","")))</f>
        <v> </v>
      </c>
      <c r="G1460" s="24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5" t="str">
        <f>IF(J1460&lt;&gt;1,"",IF(I1460="SBJ","CB","?"))</f>
        <v> </v>
      </c>
      <c r="I1460" s="26" t="str">
        <f>IF(OR(E1460="",E1460="!!!",F1460="NEW"),"",INDEX(B1459:B$2,-1+SUMPRODUCT(MAX(ROW(E1459:E$2)*(E1460=E1459:E$2)))))</f>
        <v> </v>
      </c>
      <c r="J1460" s="26" t="str">
        <f>IF(OR(E1460="",E1460="!!!",F1460="NEW"),"",COUNTBLANK(OFFSET(A$1,,,SUMPRODUCT(MAX(ROW(E$2:E1460)*(E1460=E$2:E1460)))))-COUNTBLANK(OFFSET(A$1,,,SUMPRODUCT(MAX(ROW(E$1:E1459)*(E2=E$1:E1459))))))</f>
        <v> </v>
      </c>
      <c r="K1460" s="26" t="str">
        <f>IF(OR(E1460="",E1460="!!!",F1460="NEW"),"",INDEX(J$1:J1459,SUMPRODUCT(MAX(ROW(E$1:E1459)*(E1460=E$1:E1459)))))</f>
        <v> </v>
      </c>
      <c r="L1460" s="27"/>
    </row>
    <row r="1461" spans="1:12">
      <c r="A1461" s="20" t="s">
        <v>1153</v>
      </c>
      <c r="E1461" s="22">
        <f>IF(D1461="?OLD","!!!","")</f>
        <v/>
      </c>
      <c r="F1461" s="23" t="str">
        <f>IF(OR(E1461="",E1461="!!!"),"",IF(NOT(ISNA(VLOOKUP(E1461,E$1:E1460,1,FALSE()))),"OLD",IF(AND(E1461&lt;&gt;"",E1461&lt;&gt;"!!!"),"NEW","")))</f>
        <v> </v>
      </c>
      <c r="G1461" s="24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5" t="str">
        <f>IF(J1461&lt;&gt;1,"",IF(I1461="SBJ","CB","?"))</f>
        <v> </v>
      </c>
      <c r="I1461" s="26" t="str">
        <f>IF(OR(E1461="",E1461="!!!",F1461="NEW"),"",INDEX(B1460:B$2,-1+SUMPRODUCT(MAX(ROW(E1460:E$2)*(E1461=E1460:E$2)))))</f>
        <v> </v>
      </c>
      <c r="J1461" s="26" t="str">
        <f>IF(OR(E1461="",E1461="!!!",F1461="NEW"),"",COUNTBLANK(OFFSET(A$1,,,SUMPRODUCT(MAX(ROW(E$2:E1461)*(E1461=E$2:E1461)))))-COUNTBLANK(OFFSET(A$1,,,SUMPRODUCT(MAX(ROW(E$1:E1460)*(E2=E$1:E1460))))))</f>
        <v> </v>
      </c>
      <c r="K1461" s="26" t="str">
        <f>IF(OR(E1461="",E1461="!!!",F1461="NEW"),"",INDEX(J$1:J1460,SUMPRODUCT(MAX(ROW(E$1:E1460)*(E1461=E$1:E1460)))))</f>
        <v> </v>
      </c>
      <c r="L1461" s="27"/>
    </row>
    <row r="1462" spans="1:12">
      <c r="A1462" s="20" t="s">
        <v>1154</v>
      </c>
      <c r="E1462" s="22">
        <f>IF(D1462="?OLD","!!!","")</f>
        <v/>
      </c>
      <c r="F1462" s="23" t="str">
        <f>IF(OR(E1462="",E1462="!!!"),"",IF(NOT(ISNA(VLOOKUP(E1462,E$1:E1461,1,FALSE()))),"OLD",IF(AND(E1462&lt;&gt;"",E1462&lt;&gt;"!!!"),"NEW","")))</f>
        <v> </v>
      </c>
      <c r="G1462" s="24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5" t="str">
        <f>IF(J1462&lt;&gt;1,"",IF(I1462="SBJ","CB","?"))</f>
        <v> </v>
      </c>
      <c r="I1462" s="26" t="str">
        <f>IF(OR(E1462="",E1462="!!!",F1462="NEW"),"",INDEX(B1461:B$2,-1+SUMPRODUCT(MAX(ROW(E1461:E$2)*(E1462=E1461:E$2)))))</f>
        <v> </v>
      </c>
      <c r="J1462" s="26" t="str">
        <f>IF(OR(E1462="",E1462="!!!",F1462="NEW"),"",COUNTBLANK(OFFSET(A$1,,,SUMPRODUCT(MAX(ROW(E$2:E1462)*(E1462=E$2:E1462)))))-COUNTBLANK(OFFSET(A$1,,,SUMPRODUCT(MAX(ROW(E$1:E1461)*(E2=E$1:E1461))))))</f>
        <v> </v>
      </c>
      <c r="K1462" s="26" t="str">
        <f>IF(OR(E1462="",E1462="!!!",F1462="NEW"),"",INDEX(J$1:J1461,SUMPRODUCT(MAX(ROW(E$1:E1461)*(E1462=E$1:E1461)))))</f>
        <v> </v>
      </c>
      <c r="L1462" s="27"/>
    </row>
    <row r="1463" spans="1:12">
      <c r="A1463" s="20" t="s">
        <v>1161</v>
      </c>
      <c r="E1463" s="22">
        <f>IF(D1463="?OLD","!!!","")</f>
        <v/>
      </c>
      <c r="F1463" s="23" t="str">
        <f>IF(OR(E1463="",E1463="!!!"),"",IF(NOT(ISNA(VLOOKUP(E1463,E$1:E1462,1,FALSE()))),"OLD",IF(AND(E1463&lt;&gt;"",E1463&lt;&gt;"!!!"),"NEW","")))</f>
        <v> </v>
      </c>
      <c r="G1463" s="24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5" t="str">
        <f>IF(J1463&lt;&gt;1,"",IF(I1463="SBJ","CB","?"))</f>
        <v> </v>
      </c>
      <c r="I1463" s="26" t="str">
        <f>IF(OR(E1463="",E1463="!!!",F1463="NEW"),"",INDEX(B1462:B$2,-1+SUMPRODUCT(MAX(ROW(E1462:E$2)*(E1463=E1462:E$2)))))</f>
        <v> </v>
      </c>
      <c r="J1463" s="26" t="str">
        <f>IF(OR(E1463="",E1463="!!!",F1463="NEW"),"",COUNTBLANK(OFFSET(A$1,,,SUMPRODUCT(MAX(ROW(E$2:E1463)*(E1463=E$2:E1463)))))-COUNTBLANK(OFFSET(A$1,,,SUMPRODUCT(MAX(ROW(E$1:E1462)*(E2=E$1:E1462))))))</f>
        <v> </v>
      </c>
      <c r="K1463" s="26" t="str">
        <f>IF(OR(E1463="",E1463="!!!",F1463="NEW"),"",INDEX(J$1:J1462,SUMPRODUCT(MAX(ROW(E$1:E1462)*(E1463=E$1:E1462)))))</f>
        <v> </v>
      </c>
      <c r="L1463" s="27"/>
    </row>
    <row r="1464" spans="1:12">
      <c r="A1464" s="20" t="s">
        <v>438</v>
      </c>
      <c r="E1464" s="22">
        <f>IF(D1464="?OLD","!!!","")</f>
        <v/>
      </c>
      <c r="F1464" s="23" t="str">
        <f>IF(OR(E1464="",E1464="!!!"),"",IF(NOT(ISNA(VLOOKUP(E1464,E$1:E1463,1,FALSE()))),"OLD",IF(AND(E1464&lt;&gt;"",E1464&lt;&gt;"!!!"),"NEW","")))</f>
        <v> </v>
      </c>
      <c r="G1464" s="24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5" t="str">
        <f>IF(J1464&lt;&gt;1,"",IF(I1464="SBJ","CB","?"))</f>
        <v> </v>
      </c>
      <c r="I1464" s="26" t="str">
        <f>IF(OR(E1464="",E1464="!!!",F1464="NEW"),"",INDEX(B1463:B$2,-1+SUMPRODUCT(MAX(ROW(E1463:E$2)*(E1464=E1463:E$2)))))</f>
        <v> </v>
      </c>
      <c r="J1464" s="26" t="str">
        <f>IF(OR(E1464="",E1464="!!!",F1464="NEW"),"",COUNTBLANK(OFFSET(A$1,,,SUMPRODUCT(MAX(ROW(E$2:E1464)*(E1464=E$2:E1464)))))-COUNTBLANK(OFFSET(A$1,,,SUMPRODUCT(MAX(ROW(E$1:E1463)*(E2=E$1:E1463))))))</f>
        <v> </v>
      </c>
      <c r="K1464" s="26" t="str">
        <f>IF(OR(E1464="",E1464="!!!",F1464="NEW"),"",INDEX(J$1:J1463,SUMPRODUCT(MAX(ROW(E$1:E1463)*(E1464=E$1:E1463)))))</f>
        <v> </v>
      </c>
      <c r="L1464" s="27"/>
    </row>
    <row r="1465" spans="1:12">
      <c r="A1465" s="20"/>
    </row>
    <row r="1466" spans="1:12">
      <c r="A1466" s="20" t="s">
        <v>1162</v>
      </c>
    </row>
    <row r="1467" spans="1:12">
      <c r="A1467" s="20" t="s">
        <v>783</v>
      </c>
      <c r="E1467" s="22">
        <f>IF(D1467="?OLD","!!!","")</f>
        <v/>
      </c>
      <c r="F1467" s="23" t="str">
        <f>IF(OR(E1467="",E1467="!!!"),"",IF(NOT(ISNA(VLOOKUP(E1467,E$1:E1466,1,FALSE()))),"OLD",IF(AND(E1467&lt;&gt;"",E1467&lt;&gt;"!!!"),"NEW","")))</f>
        <v> </v>
      </c>
      <c r="G1467" s="24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5" t="str">
        <f>IF(J1467&lt;&gt;1,"",IF(I1467="SBJ","CB","?"))</f>
        <v> </v>
      </c>
      <c r="I1467" s="26" t="str">
        <f>IF(OR(E1467="",E1467="!!!",F1467="NEW"),"",INDEX(B1466:B$2,-1+SUMPRODUCT(MAX(ROW(E1466:E$2)*(E1467=E1466:E$2)))))</f>
        <v> </v>
      </c>
      <c r="J1467" s="26" t="str">
        <f>IF(OR(E1467="",E1467="!!!",F1467="NEW"),"",COUNTBLANK(OFFSET(A$1,,,SUMPRODUCT(MAX(ROW(E$2:E1467)*(E1467=E$2:E1467)))))-COUNTBLANK(OFFSET(A$1,,,SUMPRODUCT(MAX(ROW(E$1:E1466)*(E2=E$1:E1466))))))</f>
        <v> </v>
      </c>
      <c r="K1467" s="26" t="str">
        <f>IF(OR(E1467="",E1467="!!!",F1467="NEW"),"",INDEX(J$1:J1466,SUMPRODUCT(MAX(ROW(E$1:E1466)*(E1467=E$1:E1466)))))</f>
        <v> </v>
      </c>
      <c r="L1467" s="27"/>
    </row>
    <row r="1468" spans="1:12">
      <c r="A1468" s="20" t="s">
        <v>760</v>
      </c>
      <c r="E1468" s="22">
        <f>IF(D1468="?OLD","!!!","")</f>
        <v/>
      </c>
      <c r="F1468" s="23" t="str">
        <f>IF(OR(E1468="",E1468="!!!"),"",IF(NOT(ISNA(VLOOKUP(E1468,E$1:E1467,1,FALSE()))),"OLD",IF(AND(E1468&lt;&gt;"",E1468&lt;&gt;"!!!"),"NEW","")))</f>
        <v> </v>
      </c>
      <c r="G1468" s="24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5" t="str">
        <f>IF(J1468&lt;&gt;1,"",IF(I1468="SBJ","CB","?"))</f>
        <v> </v>
      </c>
      <c r="I1468" s="26" t="str">
        <f>IF(OR(E1468="",E1468="!!!",F1468="NEW"),"",INDEX(B1467:B$2,-1+SUMPRODUCT(MAX(ROW(E1467:E$2)*(E1468=E1467:E$2)))))</f>
        <v> </v>
      </c>
      <c r="J1468" s="26" t="str">
        <f>IF(OR(E1468="",E1468="!!!",F1468="NEW"),"",COUNTBLANK(OFFSET(A$1,,,SUMPRODUCT(MAX(ROW(E$2:E1468)*(E1468=E$2:E1468)))))-COUNTBLANK(OFFSET(A$1,,,SUMPRODUCT(MAX(ROW(E$1:E1467)*(E2=E$1:E1467))))))</f>
        <v> </v>
      </c>
      <c r="K1468" s="26" t="str">
        <f>IF(OR(E1468="",E1468="!!!",F1468="NEW"),"",INDEX(J$1:J1467,SUMPRODUCT(MAX(ROW(E$1:E1467)*(E1468=E$1:E1467)))))</f>
        <v> </v>
      </c>
      <c r="L1468" s="27"/>
    </row>
    <row r="1469" spans="1:12">
      <c r="A1469" s="20" t="s">
        <v>1163</v>
      </c>
      <c r="E1469" s="22">
        <f>IF(D1469="?OLD","!!!","")</f>
        <v/>
      </c>
      <c r="F1469" s="23" t="str">
        <f>IF(OR(E1469="",E1469="!!!"),"",IF(NOT(ISNA(VLOOKUP(E1469,E$1:E1468,1,FALSE()))),"OLD",IF(AND(E1469&lt;&gt;"",E1469&lt;&gt;"!!!"),"NEW","")))</f>
        <v> </v>
      </c>
      <c r="G1469" s="24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5" t="str">
        <f>IF(J1469&lt;&gt;1,"",IF(I1469="SBJ","CB","?"))</f>
        <v> </v>
      </c>
      <c r="I1469" s="26" t="str">
        <f>IF(OR(E1469="",E1469="!!!",F1469="NEW"),"",INDEX(B1468:B$2,-1+SUMPRODUCT(MAX(ROW(E1468:E$2)*(E1469=E1468:E$2)))))</f>
        <v> </v>
      </c>
      <c r="J1469" s="26" t="str">
        <f>IF(OR(E1469="",E1469="!!!",F1469="NEW"),"",COUNTBLANK(OFFSET(A$1,,,SUMPRODUCT(MAX(ROW(E$2:E1469)*(E1469=E$2:E1469)))))-COUNTBLANK(OFFSET(A$1,,,SUMPRODUCT(MAX(ROW(E$1:E1468)*(E2=E$1:E1468))))))</f>
        <v> </v>
      </c>
      <c r="K1469" s="26" t="str">
        <f>IF(OR(E1469="",E1469="!!!",F1469="NEW"),"",INDEX(J$1:J1468,SUMPRODUCT(MAX(ROW(E$1:E1468)*(E1469=E$1:E1468)))))</f>
        <v> </v>
      </c>
      <c r="L1469" s="27"/>
    </row>
    <row r="1470" spans="1:12">
      <c r="A1470" s="20" t="s">
        <v>1128</v>
      </c>
      <c r="E1470" s="22">
        <f>IF(D1470="?OLD","!!!","")</f>
        <v/>
      </c>
      <c r="F1470" s="23" t="str">
        <f>IF(OR(E1470="",E1470="!!!"),"",IF(NOT(ISNA(VLOOKUP(E1470,E$1:E1469,1,FALSE()))),"OLD",IF(AND(E1470&lt;&gt;"",E1470&lt;&gt;"!!!"),"NEW","")))</f>
        <v> </v>
      </c>
      <c r="G1470" s="24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5" t="str">
        <f>IF(J1470&lt;&gt;1,"",IF(I1470="SBJ","CB","?"))</f>
        <v> </v>
      </c>
      <c r="I1470" s="26" t="str">
        <f>IF(OR(E1470="",E1470="!!!",F1470="NEW"),"",INDEX(B1469:B$2,-1+SUMPRODUCT(MAX(ROW(E1469:E$2)*(E1470=E1469:E$2)))))</f>
        <v> </v>
      </c>
      <c r="J1470" s="26" t="str">
        <f>IF(OR(E1470="",E1470="!!!",F1470="NEW"),"",COUNTBLANK(OFFSET(A$1,,,SUMPRODUCT(MAX(ROW(E$2:E1470)*(E1470=E$2:E1470)))))-COUNTBLANK(OFFSET(A$1,,,SUMPRODUCT(MAX(ROW(E$1:E1469)*(E2=E$1:E1469))))))</f>
        <v> </v>
      </c>
      <c r="K1470" s="26" t="str">
        <f>IF(OR(E1470="",E1470="!!!",F1470="NEW"),"",INDEX(J$1:J1469,SUMPRODUCT(MAX(ROW(E$1:E1469)*(E1470=E$1:E1469)))))</f>
        <v> </v>
      </c>
      <c r="L1470" s="27"/>
    </row>
    <row r="1471" spans="1:12">
      <c r="A1471" s="20" t="s">
        <v>928</v>
      </c>
      <c r="B1471" s="21" t="s">
        <v>422</v>
      </c>
      <c r="C1471" s="21" t="s">
        <v>423</v>
      </c>
      <c r="D1471" s="21" t="s">
        <v>424</v>
      </c>
      <c r="E1471" s="22">
        <f>IF(D1471="?OLD","!!!","")</f>
        <v/>
      </c>
      <c r="F1471" s="23" t="str">
        <f>IF(OR(E1471="",E1471="!!!"),"",IF(NOT(ISNA(VLOOKUP(E1471,E$1:E1470,1,FALSE()))),"OLD",IF(AND(E1471&lt;&gt;"",E1471&lt;&gt;"!!!"),"NEW","")))</f>
        <v> </v>
      </c>
      <c r="G1471" s="24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5" t="str">
        <f>IF(J1471&lt;&gt;1,"",IF(I1471="SBJ","CB","?"))</f>
        <v> </v>
      </c>
      <c r="I1471" s="26" t="str">
        <f>IF(OR(E1471="",E1471="!!!",F1471="NEW"),"",INDEX(B1470:B$2,-1+SUMPRODUCT(MAX(ROW(E1470:E$2)*(E1471=E1470:E$2)))))</f>
        <v> </v>
      </c>
      <c r="J1471" s="26" t="str">
        <f>IF(OR(E1471="",E1471="!!!",F1471="NEW"),"",COUNTBLANK(OFFSET(A$1,,,SUMPRODUCT(MAX(ROW(E$2:E1471)*(E1471=E$2:E1471)))))-COUNTBLANK(OFFSET(A$1,,,SUMPRODUCT(MAX(ROW(E$1:E1470)*(E2=E$1:E1470))))))</f>
        <v> </v>
      </c>
      <c r="K1471" s="26" t="str">
        <f>IF(OR(E1471="",E1471="!!!",F1471="NEW"),"",INDEX(J$1:J1470,SUMPRODUCT(MAX(ROW(E$1:E1470)*(E1471=E$1:E1470)))))</f>
        <v> </v>
      </c>
      <c r="L1471" s="27"/>
    </row>
    <row r="1472" spans="1:12">
      <c r="A1472" s="20" t="s">
        <v>1161</v>
      </c>
      <c r="E1472" s="22">
        <f>IF(D1472="?OLD","!!!","")</f>
        <v/>
      </c>
      <c r="F1472" s="23" t="str">
        <f>IF(OR(E1472="",E1472="!!!"),"",IF(NOT(ISNA(VLOOKUP(E1472,E$1:E1471,1,FALSE()))),"OLD",IF(AND(E1472&lt;&gt;"",E1472&lt;&gt;"!!!"),"NEW","")))</f>
        <v> </v>
      </c>
      <c r="G1472" s="24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5" t="str">
        <f>IF(J1472&lt;&gt;1,"",IF(I1472="SBJ","CB","?"))</f>
        <v> </v>
      </c>
      <c r="I1472" s="26" t="str">
        <f>IF(OR(E1472="",E1472="!!!",F1472="NEW"),"",INDEX(B1471:B$2,-1+SUMPRODUCT(MAX(ROW(E1471:E$2)*(E1472=E1471:E$2)))))</f>
        <v> </v>
      </c>
      <c r="J1472" s="26" t="str">
        <f>IF(OR(E1472="",E1472="!!!",F1472="NEW"),"",COUNTBLANK(OFFSET(A$1,,,SUMPRODUCT(MAX(ROW(E$2:E1472)*(E1472=E$2:E1472)))))-COUNTBLANK(OFFSET(A$1,,,SUMPRODUCT(MAX(ROW(E$1:E1471)*(E2=E$1:E1471))))))</f>
        <v> </v>
      </c>
      <c r="K1472" s="26" t="str">
        <f>IF(OR(E1472="",E1472="!!!",F1472="NEW"),"",INDEX(J$1:J1471,SUMPRODUCT(MAX(ROW(E$1:E1471)*(E1472=E$1:E1471)))))</f>
        <v> </v>
      </c>
      <c r="L1472" s="27"/>
    </row>
    <row r="1473" spans="1:12">
      <c r="A1473" s="20" t="s">
        <v>1164</v>
      </c>
      <c r="E1473" s="22">
        <f>IF(D1473="?OLD","!!!","")</f>
        <v/>
      </c>
      <c r="F1473" s="23" t="str">
        <f>IF(OR(E1473="",E1473="!!!"),"",IF(NOT(ISNA(VLOOKUP(E1473,E$1:E1472,1,FALSE()))),"OLD",IF(AND(E1473&lt;&gt;"",E1473&lt;&gt;"!!!"),"NEW","")))</f>
        <v> </v>
      </c>
      <c r="G1473" s="24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5" t="str">
        <f>IF(J1473&lt;&gt;1,"",IF(I1473="SBJ","CB","?"))</f>
        <v> </v>
      </c>
      <c r="I1473" s="26" t="str">
        <f>IF(OR(E1473="",E1473="!!!",F1473="NEW"),"",INDEX(B1472:B$2,-1+SUMPRODUCT(MAX(ROW(E1472:E$2)*(E1473=E1472:E$2)))))</f>
        <v> </v>
      </c>
      <c r="J1473" s="26" t="str">
        <f>IF(OR(E1473="",E1473="!!!",F1473="NEW"),"",COUNTBLANK(OFFSET(A$1,,,SUMPRODUCT(MAX(ROW(E$2:E1473)*(E1473=E$2:E1473)))))-COUNTBLANK(OFFSET(A$1,,,SUMPRODUCT(MAX(ROW(E$1:E1472)*(E2=E$1:E1472))))))</f>
        <v> </v>
      </c>
      <c r="K1473" s="26" t="str">
        <f>IF(OR(E1473="",E1473="!!!",F1473="NEW"),"",INDEX(J$1:J1472,SUMPRODUCT(MAX(ROW(E$1:E1472)*(E1473=E$1:E1472)))))</f>
        <v> </v>
      </c>
      <c r="L1473" s="27"/>
    </row>
    <row r="1474" spans="1:12">
      <c r="A1474" s="20" t="s">
        <v>1165</v>
      </c>
      <c r="E1474" s="22">
        <f>IF(D1474="?OLD","!!!","")</f>
        <v/>
      </c>
      <c r="F1474" s="23" t="str">
        <f>IF(OR(E1474="",E1474="!!!"),"",IF(NOT(ISNA(VLOOKUP(E1474,E$1:E1473,1,FALSE()))),"OLD",IF(AND(E1474&lt;&gt;"",E1474&lt;&gt;"!!!"),"NEW","")))</f>
        <v> </v>
      </c>
      <c r="G1474" s="24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5" t="str">
        <f>IF(J1474&lt;&gt;1,"",IF(I1474="SBJ","CB","?"))</f>
        <v> </v>
      </c>
      <c r="I1474" s="26" t="str">
        <f>IF(OR(E1474="",E1474="!!!",F1474="NEW"),"",INDEX(B1473:B$2,-1+SUMPRODUCT(MAX(ROW(E1473:E$2)*(E1474=E1473:E$2)))))</f>
        <v> </v>
      </c>
      <c r="J1474" s="26" t="str">
        <f>IF(OR(E1474="",E1474="!!!",F1474="NEW"),"",COUNTBLANK(OFFSET(A$1,,,SUMPRODUCT(MAX(ROW(E$2:E1474)*(E1474=E$2:E1474)))))-COUNTBLANK(OFFSET(A$1,,,SUMPRODUCT(MAX(ROW(E$1:E1473)*(E2=E$1:E1473))))))</f>
        <v> </v>
      </c>
      <c r="K1474" s="26" t="str">
        <f>IF(OR(E1474="",E1474="!!!",F1474="NEW"),"",INDEX(J$1:J1473,SUMPRODUCT(MAX(ROW(E$1:E1473)*(E1474=E$1:E1473)))))</f>
        <v> </v>
      </c>
      <c r="L1474" s="27"/>
    </row>
    <row r="1475" spans="1:12">
      <c r="A1475" s="20" t="s">
        <v>453</v>
      </c>
      <c r="E1475" s="22">
        <f>IF(D1475="?OLD","!!!","")</f>
        <v/>
      </c>
      <c r="F1475" s="23" t="str">
        <f>IF(OR(E1475="",E1475="!!!"),"",IF(NOT(ISNA(VLOOKUP(E1475,E$1:E1474,1,FALSE()))),"OLD",IF(AND(E1475&lt;&gt;"",E1475&lt;&gt;"!!!"),"NEW","")))</f>
        <v> </v>
      </c>
      <c r="G1475" s="24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5" t="str">
        <f>IF(J1475&lt;&gt;1,"",IF(I1475="SBJ","CB","?"))</f>
        <v> </v>
      </c>
      <c r="I1475" s="26" t="str">
        <f>IF(OR(E1475="",E1475="!!!",F1475="NEW"),"",INDEX(B1474:B$2,-1+SUMPRODUCT(MAX(ROW(E1474:E$2)*(E1475=E1474:E$2)))))</f>
        <v> </v>
      </c>
      <c r="J1475" s="26" t="str">
        <f>IF(OR(E1475="",E1475="!!!",F1475="NEW"),"",COUNTBLANK(OFFSET(A$1,,,SUMPRODUCT(MAX(ROW(E$2:E1475)*(E1475=E$2:E1475)))))-COUNTBLANK(OFFSET(A$1,,,SUMPRODUCT(MAX(ROW(E$1:E1474)*(E2=E$1:E1474))))))</f>
        <v> </v>
      </c>
      <c r="K1475" s="26" t="str">
        <f>IF(OR(E1475="",E1475="!!!",F1475="NEW"),"",INDEX(J$1:J1474,SUMPRODUCT(MAX(ROW(E$1:E1474)*(E1475=E$1:E1474)))))</f>
        <v> </v>
      </c>
      <c r="L1475" s="27"/>
    </row>
    <row r="1476" spans="1:12">
      <c r="A1476" s="20" t="s">
        <v>918</v>
      </c>
      <c r="E1476" s="22">
        <f>IF(D1476="?OLD","!!!","")</f>
        <v/>
      </c>
      <c r="F1476" s="23" t="str">
        <f>IF(OR(E1476="",E1476="!!!"),"",IF(NOT(ISNA(VLOOKUP(E1476,E$1:E1475,1,FALSE()))),"OLD",IF(AND(E1476&lt;&gt;"",E1476&lt;&gt;"!!!"),"NEW","")))</f>
        <v> </v>
      </c>
      <c r="G1476" s="24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5" t="str">
        <f>IF(J1476&lt;&gt;1,"",IF(I1476="SBJ","CB","?"))</f>
        <v> </v>
      </c>
      <c r="I1476" s="26" t="str">
        <f>IF(OR(E1476="",E1476="!!!",F1476="NEW"),"",INDEX(B1475:B$2,-1+SUMPRODUCT(MAX(ROW(E1475:E$2)*(E1476=E1475:E$2)))))</f>
        <v> </v>
      </c>
      <c r="J1476" s="26" t="str">
        <f>IF(OR(E1476="",E1476="!!!",F1476="NEW"),"",COUNTBLANK(OFFSET(A$1,,,SUMPRODUCT(MAX(ROW(E$2:E1476)*(E1476=E$2:E1476)))))-COUNTBLANK(OFFSET(A$1,,,SUMPRODUCT(MAX(ROW(E$1:E1475)*(E2=E$1:E1475))))))</f>
        <v> </v>
      </c>
      <c r="K1476" s="26" t="str">
        <f>IF(OR(E1476="",E1476="!!!",F1476="NEW"),"",INDEX(J$1:J1475,SUMPRODUCT(MAX(ROW(E$1:E1475)*(E1476=E$1:E1475)))))</f>
        <v> </v>
      </c>
      <c r="L1476" s="27"/>
    </row>
    <row r="1477" spans="1:12">
      <c r="A1477" s="20" t="s">
        <v>1166</v>
      </c>
      <c r="E1477" s="22">
        <f>IF(D1477="?OLD","!!!","")</f>
        <v/>
      </c>
      <c r="F1477" s="23" t="str">
        <f>IF(OR(E1477="",E1477="!!!"),"",IF(NOT(ISNA(VLOOKUP(E1477,E$1:E1476,1,FALSE()))),"OLD",IF(AND(E1477&lt;&gt;"",E1477&lt;&gt;"!!!"),"NEW","")))</f>
        <v> </v>
      </c>
      <c r="G1477" s="24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5" t="str">
        <f>IF(J1477&lt;&gt;1,"",IF(I1477="SBJ","CB","?"))</f>
        <v> </v>
      </c>
      <c r="I1477" s="26" t="str">
        <f>IF(OR(E1477="",E1477="!!!",F1477="NEW"),"",INDEX(B1476:B$2,-1+SUMPRODUCT(MAX(ROW(E1476:E$2)*(E1477=E1476:E$2)))))</f>
        <v> </v>
      </c>
      <c r="J1477" s="26" t="str">
        <f>IF(OR(E1477="",E1477="!!!",F1477="NEW"),"",COUNTBLANK(OFFSET(A$1,,,SUMPRODUCT(MAX(ROW(E$2:E1477)*(E1477=E$2:E1477)))))-COUNTBLANK(OFFSET(A$1,,,SUMPRODUCT(MAX(ROW(E$1:E1476)*(E2=E$1:E1476))))))</f>
        <v> </v>
      </c>
      <c r="K1477" s="26" t="str">
        <f>IF(OR(E1477="",E1477="!!!",F1477="NEW"),"",INDEX(J$1:J1476,SUMPRODUCT(MAX(ROW(E$1:E1476)*(E1477=E$1:E1476)))))</f>
        <v> </v>
      </c>
      <c r="L1477" s="27"/>
    </row>
    <row r="1478" spans="1:12">
      <c r="A1478" s="20" t="s">
        <v>453</v>
      </c>
      <c r="E1478" s="22">
        <f>IF(D1478="?OLD","!!!","")</f>
        <v/>
      </c>
      <c r="F1478" s="23" t="str">
        <f>IF(OR(E1478="",E1478="!!!"),"",IF(NOT(ISNA(VLOOKUP(E1478,E$1:E1477,1,FALSE()))),"OLD",IF(AND(E1478&lt;&gt;"",E1478&lt;&gt;"!!!"),"NEW","")))</f>
        <v> </v>
      </c>
      <c r="G1478" s="24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5" t="str">
        <f>IF(J1478&lt;&gt;1,"",IF(I1478="SBJ","CB","?"))</f>
        <v> </v>
      </c>
      <c r="I1478" s="26" t="str">
        <f>IF(OR(E1478="",E1478="!!!",F1478="NEW"),"",INDEX(B1477:B$2,-1+SUMPRODUCT(MAX(ROW(E1477:E$2)*(E1478=E1477:E$2)))))</f>
        <v> </v>
      </c>
      <c r="J1478" s="26" t="str">
        <f>IF(OR(E1478="",E1478="!!!",F1478="NEW"),"",COUNTBLANK(OFFSET(A$1,,,SUMPRODUCT(MAX(ROW(E$2:E1478)*(E1478=E$2:E1478)))))-COUNTBLANK(OFFSET(A$1,,,SUMPRODUCT(MAX(ROW(E$1:E1477)*(E2=E$1:E1477))))))</f>
        <v> </v>
      </c>
      <c r="K1478" s="26" t="str">
        <f>IF(OR(E1478="",E1478="!!!",F1478="NEW"),"",INDEX(J$1:J1477,SUMPRODUCT(MAX(ROW(E$1:E1477)*(E1478=E$1:E1477)))))</f>
        <v> </v>
      </c>
      <c r="L1478" s="27"/>
    </row>
    <row r="1479" spans="1:12">
      <c r="A1479" s="20" t="s">
        <v>776</v>
      </c>
      <c r="E1479" s="22">
        <f>IF(D1479="?OLD","!!!","")</f>
        <v/>
      </c>
      <c r="F1479" s="23" t="str">
        <f>IF(OR(E1479="",E1479="!!!"),"",IF(NOT(ISNA(VLOOKUP(E1479,E$1:E1478,1,FALSE()))),"OLD",IF(AND(E1479&lt;&gt;"",E1479&lt;&gt;"!!!"),"NEW","")))</f>
        <v> </v>
      </c>
      <c r="G1479" s="24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5" t="str">
        <f>IF(J1479&lt;&gt;1,"",IF(I1479="SBJ","CB","?"))</f>
        <v> </v>
      </c>
      <c r="I1479" s="26" t="str">
        <f>IF(OR(E1479="",E1479="!!!",F1479="NEW"),"",INDEX(B1478:B$2,-1+SUMPRODUCT(MAX(ROW(E1478:E$2)*(E1479=E1478:E$2)))))</f>
        <v> </v>
      </c>
      <c r="J1479" s="26" t="str">
        <f>IF(OR(E1479="",E1479="!!!",F1479="NEW"),"",COUNTBLANK(OFFSET(A$1,,,SUMPRODUCT(MAX(ROW(E$2:E1479)*(E1479=E$2:E1479)))))-COUNTBLANK(OFFSET(A$1,,,SUMPRODUCT(MAX(ROW(E$1:E1478)*(E2=E$1:E1478))))))</f>
        <v> </v>
      </c>
      <c r="K1479" s="26" t="str">
        <f>IF(OR(E1479="",E1479="!!!",F1479="NEW"),"",INDEX(J$1:J1478,SUMPRODUCT(MAX(ROW(E$1:E1478)*(E1479=E$1:E1478)))))</f>
        <v> </v>
      </c>
      <c r="L1479" s="27"/>
    </row>
    <row r="1480" spans="1:12">
      <c r="A1480" s="20" t="s">
        <v>683</v>
      </c>
      <c r="E1480" s="22">
        <f>IF(D1480="?OLD","!!!","")</f>
        <v/>
      </c>
      <c r="F1480" s="23" t="str">
        <f>IF(OR(E1480="",E1480="!!!"),"",IF(NOT(ISNA(VLOOKUP(E1480,E$1:E1479,1,FALSE()))),"OLD",IF(AND(E1480&lt;&gt;"",E1480&lt;&gt;"!!!"),"NEW","")))</f>
        <v> </v>
      </c>
      <c r="G1480" s="24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5" t="str">
        <f>IF(J1480&lt;&gt;1,"",IF(I1480="SBJ","CB","?"))</f>
        <v> </v>
      </c>
      <c r="I1480" s="26" t="str">
        <f>IF(OR(E1480="",E1480="!!!",F1480="NEW"),"",INDEX(B1479:B$2,-1+SUMPRODUCT(MAX(ROW(E1479:E$2)*(E1480=E1479:E$2)))))</f>
        <v> </v>
      </c>
      <c r="J1480" s="26" t="str">
        <f>IF(OR(E1480="",E1480="!!!",F1480="NEW"),"",COUNTBLANK(OFFSET(A$1,,,SUMPRODUCT(MAX(ROW(E$2:E1480)*(E1480=E$2:E1480)))))-COUNTBLANK(OFFSET(A$1,,,SUMPRODUCT(MAX(ROW(E$1:E1479)*(E2=E$1:E1479))))))</f>
        <v> </v>
      </c>
      <c r="K1480" s="26" t="str">
        <f>IF(OR(E1480="",E1480="!!!",F1480="NEW"),"",INDEX(J$1:J1479,SUMPRODUCT(MAX(ROW(E$1:E1479)*(E1480=E$1:E1479)))))</f>
        <v> </v>
      </c>
      <c r="L1480" s="27"/>
    </row>
    <row r="1481" spans="1:12">
      <c r="A1481" s="20" t="s">
        <v>666</v>
      </c>
      <c r="B1481" s="21" t="s">
        <v>556</v>
      </c>
      <c r="C1481" s="21" t="s">
        <v>471</v>
      </c>
      <c r="D1481" s="21" t="s">
        <v>424</v>
      </c>
      <c r="E1481" s="22">
        <f>IF(D1481="?OLD","!!!","")</f>
        <v/>
      </c>
      <c r="F1481" s="23" t="str">
        <f>IF(OR(E1481="",E1481="!!!"),"",IF(NOT(ISNA(VLOOKUP(E1481,E$1:E1480,1,FALSE()))),"OLD",IF(AND(E1481&lt;&gt;"",E1481&lt;&gt;"!!!"),"NEW","")))</f>
        <v> </v>
      </c>
      <c r="G1481" s="24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5" t="str">
        <f>IF(J1481&lt;&gt;1,"",IF(I1481="SBJ","CB","?"))</f>
        <v> </v>
      </c>
      <c r="I1481" s="26" t="str">
        <f>IF(OR(E1481="",E1481="!!!",F1481="NEW"),"",INDEX(B1480:B$2,-1+SUMPRODUCT(MAX(ROW(E1480:E$2)*(E1481=E1480:E$2)))))</f>
        <v> </v>
      </c>
      <c r="J1481" s="26" t="str">
        <f>IF(OR(E1481="",E1481="!!!",F1481="NEW"),"",COUNTBLANK(OFFSET(A$1,,,SUMPRODUCT(MAX(ROW(E$2:E1481)*(E1481=E$2:E1481)))))-COUNTBLANK(OFFSET(A$1,,,SUMPRODUCT(MAX(ROW(E$1:E1480)*(E2=E$1:E1480))))))</f>
        <v> </v>
      </c>
      <c r="K1481" s="26" t="str">
        <f>IF(OR(E1481="",E1481="!!!",F1481="NEW"),"",INDEX(J$1:J1480,SUMPRODUCT(MAX(ROW(E$1:E1480)*(E1481=E$1:E1480)))))</f>
        <v> </v>
      </c>
      <c r="L1481" s="27"/>
    </row>
    <row r="1482" spans="1:12">
      <c r="A1482" s="20" t="s">
        <v>1167</v>
      </c>
      <c r="E1482" s="22">
        <f>IF(D1482="?OLD","!!!","")</f>
        <v/>
      </c>
      <c r="F1482" s="23" t="str">
        <f>IF(OR(E1482="",E1482="!!!"),"",IF(NOT(ISNA(VLOOKUP(E1482,E$1:E1481,1,FALSE()))),"OLD",IF(AND(E1482&lt;&gt;"",E1482&lt;&gt;"!!!"),"NEW","")))</f>
        <v> </v>
      </c>
      <c r="G1482" s="24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5" t="str">
        <f>IF(J1482&lt;&gt;1,"",IF(I1482="SBJ","CB","?"))</f>
        <v> </v>
      </c>
      <c r="I1482" s="26" t="str">
        <f>IF(OR(E1482="",E1482="!!!",F1482="NEW"),"",INDEX(B1481:B$2,-1+SUMPRODUCT(MAX(ROW(E1481:E$2)*(E1482=E1481:E$2)))))</f>
        <v> </v>
      </c>
      <c r="J1482" s="26" t="str">
        <f>IF(OR(E1482="",E1482="!!!",F1482="NEW"),"",COUNTBLANK(OFFSET(A$1,,,SUMPRODUCT(MAX(ROW(E$2:E1482)*(E1482=E$2:E1482)))))-COUNTBLANK(OFFSET(A$1,,,SUMPRODUCT(MAX(ROW(E$1:E1481)*(E2=E$1:E1481))))))</f>
        <v> </v>
      </c>
      <c r="K1482" s="26" t="str">
        <f>IF(OR(E1482="",E1482="!!!",F1482="NEW"),"",INDEX(J$1:J1481,SUMPRODUCT(MAX(ROW(E$1:E1481)*(E1482=E$1:E1481)))))</f>
        <v> </v>
      </c>
      <c r="L1482" s="27"/>
    </row>
    <row r="1483" spans="1:12">
      <c r="A1483" s="20" t="s">
        <v>1168</v>
      </c>
      <c r="B1483" s="21" t="s">
        <v>556</v>
      </c>
      <c r="E1483" s="22">
        <f>IF(D1483="?OLD","!!!","")</f>
        <v/>
      </c>
      <c r="F1483" s="23" t="str">
        <f>IF(OR(E1483="",E1483="!!!"),"",IF(NOT(ISNA(VLOOKUP(E1483,E$1:E1482,1,FALSE()))),"OLD",IF(AND(E1483&lt;&gt;"",E1483&lt;&gt;"!!!"),"NEW","")))</f>
        <v> </v>
      </c>
      <c r="G1483" s="24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5" t="str">
        <f>IF(J1483&lt;&gt;1,"",IF(I1483="SBJ","CB","?"))</f>
        <v> </v>
      </c>
      <c r="I1483" s="26" t="str">
        <f>IF(OR(E1483="",E1483="!!!",F1483="NEW"),"",INDEX(B1482:B$2,-1+SUMPRODUCT(MAX(ROW(E1482:E$2)*(E1483=E1482:E$2)))))</f>
        <v> </v>
      </c>
      <c r="J1483" s="26" t="str">
        <f>IF(OR(E1483="",E1483="!!!",F1483="NEW"),"",COUNTBLANK(OFFSET(A$1,,,SUMPRODUCT(MAX(ROW(E$2:E1483)*(E1483=E$2:E1483)))))-COUNTBLANK(OFFSET(A$1,,,SUMPRODUCT(MAX(ROW(E$1:E1482)*(E2=E$1:E1482))))))</f>
        <v> </v>
      </c>
      <c r="K1483" s="26" t="str">
        <f>IF(OR(E1483="",E1483="!!!",F1483="NEW"),"",INDEX(J$1:J1482,SUMPRODUCT(MAX(ROW(E$1:E1482)*(E1483=E$1:E1482)))))</f>
        <v> </v>
      </c>
      <c r="L1483" s="27"/>
    </row>
    <row r="1484" spans="1:12">
      <c r="A1484" s="20" t="s">
        <v>1169</v>
      </c>
      <c r="E1484" s="22">
        <f>IF(D1484="?OLD","!!!","")</f>
        <v/>
      </c>
      <c r="F1484" s="23" t="str">
        <f>IF(OR(E1484="",E1484="!!!"),"",IF(NOT(ISNA(VLOOKUP(E1484,E$1:E1483,1,FALSE()))),"OLD",IF(AND(E1484&lt;&gt;"",E1484&lt;&gt;"!!!"),"NEW","")))</f>
        <v> </v>
      </c>
      <c r="G1484" s="24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5" t="str">
        <f>IF(J1484&lt;&gt;1,"",IF(I1484="SBJ","CB","?"))</f>
        <v> </v>
      </c>
      <c r="I1484" s="26" t="str">
        <f>IF(OR(E1484="",E1484="!!!",F1484="NEW"),"",INDEX(B1483:B$2,-1+SUMPRODUCT(MAX(ROW(E1483:E$2)*(E1484=E1483:E$2)))))</f>
        <v> </v>
      </c>
      <c r="J1484" s="26" t="str">
        <f>IF(OR(E1484="",E1484="!!!",F1484="NEW"),"",COUNTBLANK(OFFSET(A$1,,,SUMPRODUCT(MAX(ROW(E$2:E1484)*(E1484=E$2:E1484)))))-COUNTBLANK(OFFSET(A$1,,,SUMPRODUCT(MAX(ROW(E$1:E1483)*(E2=E$1:E1483))))))</f>
        <v> </v>
      </c>
      <c r="K1484" s="26" t="str">
        <f>IF(OR(E1484="",E1484="!!!",F1484="NEW"),"",INDEX(J$1:J1483,SUMPRODUCT(MAX(ROW(E$1:E1483)*(E1484=E$1:E1483)))))</f>
        <v> </v>
      </c>
      <c r="L1484" s="27"/>
    </row>
    <row r="1485" spans="1:12">
      <c r="A1485" s="20" t="s">
        <v>1151</v>
      </c>
      <c r="B1485" s="21" t="s">
        <v>434</v>
      </c>
      <c r="C1485" s="21" t="s">
        <v>516</v>
      </c>
      <c r="E1485" s="22">
        <f>IF(D1485="?OLD","!!!","")</f>
        <v/>
      </c>
      <c r="F1485" s="23" t="str">
        <f>IF(OR(E1485="",E1485="!!!"),"",IF(NOT(ISNA(VLOOKUP(E1485,E$1:E1484,1,FALSE()))),"OLD",IF(AND(E1485&lt;&gt;"",E1485&lt;&gt;"!!!"),"NEW","")))</f>
        <v> </v>
      </c>
      <c r="G1485" s="24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5" t="str">
        <f>IF(J1485&lt;&gt;1,"",IF(I1485="SBJ","CB","?"))</f>
        <v> </v>
      </c>
      <c r="I1485" s="26" t="str">
        <f>IF(OR(E1485="",E1485="!!!",F1485="NEW"),"",INDEX(B1484:B$2,-1+SUMPRODUCT(MAX(ROW(E1484:E$2)*(E1485=E1484:E$2)))))</f>
        <v> </v>
      </c>
      <c r="J1485" s="26" t="str">
        <f>IF(OR(E1485="",E1485="!!!",F1485="NEW"),"",COUNTBLANK(OFFSET(A$1,,,SUMPRODUCT(MAX(ROW(E$2:E1485)*(E1485=E$2:E1485)))))-COUNTBLANK(OFFSET(A$1,,,SUMPRODUCT(MAX(ROW(E$1:E1484)*(E2=E$1:E1484))))))</f>
        <v> </v>
      </c>
      <c r="K1485" s="26" t="str">
        <f>IF(OR(E1485="",E1485="!!!",F1485="NEW"),"",INDEX(J$1:J1484,SUMPRODUCT(MAX(ROW(E$1:E1484)*(E1485=E$1:E1484)))))</f>
        <v> </v>
      </c>
      <c r="L1485" s="27"/>
    </row>
    <row r="1486" spans="1:12">
      <c r="A1486" s="20" t="s">
        <v>453</v>
      </c>
      <c r="E1486" s="22">
        <f>IF(D1486="?OLD","!!!","")</f>
        <v/>
      </c>
      <c r="F1486" s="23" t="str">
        <f>IF(OR(E1486="",E1486="!!!"),"",IF(NOT(ISNA(VLOOKUP(E1486,E$1:E1485,1,FALSE()))),"OLD",IF(AND(E1486&lt;&gt;"",E1486&lt;&gt;"!!!"),"NEW","")))</f>
        <v> </v>
      </c>
      <c r="G1486" s="24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5" t="str">
        <f>IF(J1486&lt;&gt;1,"",IF(I1486="SBJ","CB","?"))</f>
        <v> </v>
      </c>
      <c r="I1486" s="26" t="str">
        <f>IF(OR(E1486="",E1486="!!!",F1486="NEW"),"",INDEX(B1485:B$2,-1+SUMPRODUCT(MAX(ROW(E1485:E$2)*(E1486=E1485:E$2)))))</f>
        <v> </v>
      </c>
      <c r="J1486" s="26" t="str">
        <f>IF(OR(E1486="",E1486="!!!",F1486="NEW"),"",COUNTBLANK(OFFSET(A$1,,,SUMPRODUCT(MAX(ROW(E$2:E1486)*(E1486=E$2:E1486)))))-COUNTBLANK(OFFSET(A$1,,,SUMPRODUCT(MAX(ROW(E$1:E1485)*(E2=E$1:E1485))))))</f>
        <v> </v>
      </c>
      <c r="K1486" s="26" t="str">
        <f>IF(OR(E1486="",E1486="!!!",F1486="NEW"),"",INDEX(J$1:J1485,SUMPRODUCT(MAX(ROW(E$1:E1485)*(E1486=E$1:E1485)))))</f>
        <v> </v>
      </c>
      <c r="L1486" s="27"/>
    </row>
    <row r="1487" spans="1:12">
      <c r="A1487" s="20" t="s">
        <v>430</v>
      </c>
      <c r="E1487" s="22">
        <f>IF(D1487="?OLD","!!!","")</f>
        <v/>
      </c>
      <c r="F1487" s="23" t="str">
        <f>IF(OR(E1487="",E1487="!!!"),"",IF(NOT(ISNA(VLOOKUP(E1487,E$1:E1486,1,FALSE()))),"OLD",IF(AND(E1487&lt;&gt;"",E1487&lt;&gt;"!!!"),"NEW","")))</f>
        <v> </v>
      </c>
      <c r="G1487" s="24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5" t="str">
        <f>IF(J1487&lt;&gt;1,"",IF(I1487="SBJ","CB","?"))</f>
        <v> </v>
      </c>
      <c r="I1487" s="26" t="str">
        <f>IF(OR(E1487="",E1487="!!!",F1487="NEW"),"",INDEX(B1486:B$2,-1+SUMPRODUCT(MAX(ROW(E1486:E$2)*(E1487=E1486:E$2)))))</f>
        <v> </v>
      </c>
      <c r="J1487" s="26" t="str">
        <f>IF(OR(E1487="",E1487="!!!",F1487="NEW"),"",COUNTBLANK(OFFSET(A$1,,,SUMPRODUCT(MAX(ROW(E$2:E1487)*(E1487=E$2:E1487)))))-COUNTBLANK(OFFSET(A$1,,,SUMPRODUCT(MAX(ROW(E$1:E1486)*(E2=E$1:E1486))))))</f>
        <v> </v>
      </c>
      <c r="K1487" s="26" t="str">
        <f>IF(OR(E1487="",E1487="!!!",F1487="NEW"),"",INDEX(J$1:J1486,SUMPRODUCT(MAX(ROW(E$1:E1486)*(E1487=E$1:E1486)))))</f>
        <v> </v>
      </c>
      <c r="L1487" s="27"/>
    </row>
    <row r="1488" spans="1:12">
      <c r="A1488" s="20" t="s">
        <v>1170</v>
      </c>
      <c r="E1488" s="22">
        <f>IF(D1488="?OLD","!!!","")</f>
        <v/>
      </c>
      <c r="F1488" s="23" t="str">
        <f>IF(OR(E1488="",E1488="!!!"),"",IF(NOT(ISNA(VLOOKUP(E1488,E$1:E1487,1,FALSE()))),"OLD",IF(AND(E1488&lt;&gt;"",E1488&lt;&gt;"!!!"),"NEW","")))</f>
        <v> </v>
      </c>
      <c r="G1488" s="24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5" t="str">
        <f>IF(J1488&lt;&gt;1,"",IF(I1488="SBJ","CB","?"))</f>
        <v> </v>
      </c>
      <c r="I1488" s="26" t="str">
        <f>IF(OR(E1488="",E1488="!!!",F1488="NEW"),"",INDEX(B1487:B$2,-1+SUMPRODUCT(MAX(ROW(E1487:E$2)*(E1488=E1487:E$2)))))</f>
        <v> </v>
      </c>
      <c r="J1488" s="26" t="str">
        <f>IF(OR(E1488="",E1488="!!!",F1488="NEW"),"",COUNTBLANK(OFFSET(A$1,,,SUMPRODUCT(MAX(ROW(E$2:E1488)*(E1488=E$2:E1488)))))-COUNTBLANK(OFFSET(A$1,,,SUMPRODUCT(MAX(ROW(E$1:E1487)*(E2=E$1:E1487))))))</f>
        <v> </v>
      </c>
      <c r="K1488" s="26" t="str">
        <f>IF(OR(E1488="",E1488="!!!",F1488="NEW"),"",INDEX(J$1:J1487,SUMPRODUCT(MAX(ROW(E$1:E1487)*(E1488=E$1:E1487)))))</f>
        <v> </v>
      </c>
      <c r="L1488" s="27"/>
    </row>
    <row r="1489" spans="1:12">
      <c r="A1489" s="20" t="s">
        <v>1171</v>
      </c>
      <c r="E1489" s="22">
        <f>IF(D1489="?OLD","!!!","")</f>
        <v/>
      </c>
      <c r="F1489" s="23" t="str">
        <f>IF(OR(E1489="",E1489="!!!"),"",IF(NOT(ISNA(VLOOKUP(E1489,E$1:E1488,1,FALSE()))),"OLD",IF(AND(E1489&lt;&gt;"",E1489&lt;&gt;"!!!"),"NEW","")))</f>
        <v> </v>
      </c>
      <c r="G1489" s="24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5" t="str">
        <f>IF(J1489&lt;&gt;1,"",IF(I1489="SBJ","CB","?"))</f>
        <v> </v>
      </c>
      <c r="I1489" s="26" t="str">
        <f>IF(OR(E1489="",E1489="!!!",F1489="NEW"),"",INDEX(B1488:B$2,-1+SUMPRODUCT(MAX(ROW(E1488:E$2)*(E1489=E1488:E$2)))))</f>
        <v> </v>
      </c>
      <c r="J1489" s="26" t="str">
        <f>IF(OR(E1489="",E1489="!!!",F1489="NEW"),"",COUNTBLANK(OFFSET(A$1,,,SUMPRODUCT(MAX(ROW(E$2:E1489)*(E1489=E$2:E1489)))))-COUNTBLANK(OFFSET(A$1,,,SUMPRODUCT(MAX(ROW(E$1:E1488)*(E2=E$1:E1488))))))</f>
        <v> </v>
      </c>
      <c r="K1489" s="26" t="str">
        <f>IF(OR(E1489="",E1489="!!!",F1489="NEW"),"",INDEX(J$1:J1488,SUMPRODUCT(MAX(ROW(E$1:E1488)*(E1489=E$1:E1488)))))</f>
        <v> </v>
      </c>
      <c r="L1489" s="27"/>
    </row>
    <row r="1490" spans="1:12">
      <c r="A1490" s="20" t="s">
        <v>453</v>
      </c>
      <c r="E1490" s="22">
        <f>IF(D1490="?OLD","!!!","")</f>
        <v/>
      </c>
      <c r="F1490" s="23" t="str">
        <f>IF(OR(E1490="",E1490="!!!"),"",IF(NOT(ISNA(VLOOKUP(E1490,E$1:E1489,1,FALSE()))),"OLD",IF(AND(E1490&lt;&gt;"",E1490&lt;&gt;"!!!"),"NEW","")))</f>
        <v> </v>
      </c>
      <c r="G1490" s="24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5" t="str">
        <f>IF(J1490&lt;&gt;1,"",IF(I1490="SBJ","CB","?"))</f>
        <v> </v>
      </c>
      <c r="I1490" s="26" t="str">
        <f>IF(OR(E1490="",E1490="!!!",F1490="NEW"),"",INDEX(B1489:B$2,-1+SUMPRODUCT(MAX(ROW(E1489:E$2)*(E1490=E1489:E$2)))))</f>
        <v> </v>
      </c>
      <c r="J1490" s="26" t="str">
        <f>IF(OR(E1490="",E1490="!!!",F1490="NEW"),"",COUNTBLANK(OFFSET(A$1,,,SUMPRODUCT(MAX(ROW(E$2:E1490)*(E1490=E$2:E1490)))))-COUNTBLANK(OFFSET(A$1,,,SUMPRODUCT(MAX(ROW(E$1:E1489)*(E2=E$1:E1489))))))</f>
        <v> </v>
      </c>
      <c r="K1490" s="26" t="str">
        <f>IF(OR(E1490="",E1490="!!!",F1490="NEW"),"",INDEX(J$1:J1489,SUMPRODUCT(MAX(ROW(E$1:E1489)*(E1490=E$1:E1489)))))</f>
        <v> </v>
      </c>
      <c r="L1490" s="27"/>
    </row>
    <row r="1491" spans="1:12">
      <c r="A1491" s="20" t="s">
        <v>459</v>
      </c>
      <c r="E1491" s="22">
        <f>IF(D1491="?OLD","!!!","")</f>
        <v/>
      </c>
      <c r="F1491" s="23" t="str">
        <f>IF(OR(E1491="",E1491="!!!"),"",IF(NOT(ISNA(VLOOKUP(E1491,E$1:E1490,1,FALSE()))),"OLD",IF(AND(E1491&lt;&gt;"",E1491&lt;&gt;"!!!"),"NEW","")))</f>
        <v> </v>
      </c>
      <c r="G1491" s="24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5" t="str">
        <f>IF(J1491&lt;&gt;1,"",IF(I1491="SBJ","CB","?"))</f>
        <v> </v>
      </c>
      <c r="I1491" s="26" t="str">
        <f>IF(OR(E1491="",E1491="!!!",F1491="NEW"),"",INDEX(B1490:B$2,-1+SUMPRODUCT(MAX(ROW(E1490:E$2)*(E1491=E1490:E$2)))))</f>
        <v> </v>
      </c>
      <c r="J1491" s="26" t="str">
        <f>IF(OR(E1491="",E1491="!!!",F1491="NEW"),"",COUNTBLANK(OFFSET(A$1,,,SUMPRODUCT(MAX(ROW(E$2:E1491)*(E1491=E$2:E1491)))))-COUNTBLANK(OFFSET(A$1,,,SUMPRODUCT(MAX(ROW(E$1:E1490)*(E2=E$1:E1490))))))</f>
        <v> </v>
      </c>
      <c r="K1491" s="26" t="str">
        <f>IF(OR(E1491="",E1491="!!!",F1491="NEW"),"",INDEX(J$1:J1490,SUMPRODUCT(MAX(ROW(E$1:E1490)*(E1491=E$1:E1490)))))</f>
        <v> </v>
      </c>
      <c r="L1491" s="27"/>
    </row>
    <row r="1492" spans="1:12">
      <c r="A1492" s="20" t="s">
        <v>478</v>
      </c>
      <c r="E1492" s="22">
        <f>IF(D1492="?OLD","!!!","")</f>
        <v/>
      </c>
      <c r="F1492" s="23" t="str">
        <f>IF(OR(E1492="",E1492="!!!"),"",IF(NOT(ISNA(VLOOKUP(E1492,E$1:E1491,1,FALSE()))),"OLD",IF(AND(E1492&lt;&gt;"",E1492&lt;&gt;"!!!"),"NEW","")))</f>
        <v> </v>
      </c>
      <c r="G1492" s="24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5" t="str">
        <f>IF(J1492&lt;&gt;1,"",IF(I1492="SBJ","CB","?"))</f>
        <v> </v>
      </c>
      <c r="I1492" s="26" t="str">
        <f>IF(OR(E1492="",E1492="!!!",F1492="NEW"),"",INDEX(B1491:B$2,-1+SUMPRODUCT(MAX(ROW(E1491:E$2)*(E1492=E1491:E$2)))))</f>
        <v> </v>
      </c>
      <c r="J1492" s="26" t="str">
        <f>IF(OR(E1492="",E1492="!!!",F1492="NEW"),"",COUNTBLANK(OFFSET(A$1,,,SUMPRODUCT(MAX(ROW(E$2:E1492)*(E1492=E$2:E1492)))))-COUNTBLANK(OFFSET(A$1,,,SUMPRODUCT(MAX(ROW(E$1:E1491)*(E2=E$1:E1491))))))</f>
        <v> </v>
      </c>
      <c r="K1492" s="26" t="str">
        <f>IF(OR(E1492="",E1492="!!!",F1492="NEW"),"",INDEX(J$1:J1491,SUMPRODUCT(MAX(ROW(E$1:E1491)*(E1492=E$1:E1491)))))</f>
        <v> </v>
      </c>
      <c r="L1492" s="27"/>
    </row>
    <row r="1493" spans="1:12">
      <c r="A1493" s="20" t="s">
        <v>1172</v>
      </c>
      <c r="E1493" s="22">
        <f>IF(D1493="?OLD","!!!","")</f>
        <v/>
      </c>
      <c r="F1493" s="23" t="str">
        <f>IF(OR(E1493="",E1493="!!!"),"",IF(NOT(ISNA(VLOOKUP(E1493,E$1:E1492,1,FALSE()))),"OLD",IF(AND(E1493&lt;&gt;"",E1493&lt;&gt;"!!!"),"NEW","")))</f>
        <v> </v>
      </c>
      <c r="G1493" s="24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5" t="str">
        <f>IF(J1493&lt;&gt;1,"",IF(I1493="SBJ","CB","?"))</f>
        <v> </v>
      </c>
      <c r="I1493" s="26" t="str">
        <f>IF(OR(E1493="",E1493="!!!",F1493="NEW"),"",INDEX(B1492:B$2,-1+SUMPRODUCT(MAX(ROW(E1492:E$2)*(E1493=E1492:E$2)))))</f>
        <v> </v>
      </c>
      <c r="J1493" s="26" t="str">
        <f>IF(OR(E1493="",E1493="!!!",F1493="NEW"),"",COUNTBLANK(OFFSET(A$1,,,SUMPRODUCT(MAX(ROW(E$2:E1493)*(E1493=E$2:E1493)))))-COUNTBLANK(OFFSET(A$1,,,SUMPRODUCT(MAX(ROW(E$1:E1492)*(E2=E$1:E1492))))))</f>
        <v> </v>
      </c>
      <c r="K1493" s="26" t="str">
        <f>IF(OR(E1493="",E1493="!!!",F1493="NEW"),"",INDEX(J$1:J1492,SUMPRODUCT(MAX(ROW(E$1:E1492)*(E1493=E$1:E1492)))))</f>
        <v> </v>
      </c>
      <c r="L1493" s="27"/>
    </row>
    <row r="1494" spans="1:12">
      <c r="A1494" s="20" t="s">
        <v>1146</v>
      </c>
      <c r="B1494" s="21" t="s">
        <v>434</v>
      </c>
      <c r="C1494" s="21" t="s">
        <v>516</v>
      </c>
      <c r="E1494" s="22">
        <f>IF(D1494="?OLD","!!!","")</f>
        <v/>
      </c>
      <c r="F1494" s="23" t="str">
        <f>IF(OR(E1494="",E1494="!!!"),"",IF(NOT(ISNA(VLOOKUP(E1494,E$1:E1493,1,FALSE()))),"OLD",IF(AND(E1494&lt;&gt;"",E1494&lt;&gt;"!!!"),"NEW","")))</f>
        <v> </v>
      </c>
      <c r="G1494" s="24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5" t="str">
        <f>IF(J1494&lt;&gt;1,"",IF(I1494="SBJ","CB","?"))</f>
        <v> </v>
      </c>
      <c r="I1494" s="26" t="str">
        <f>IF(OR(E1494="",E1494="!!!",F1494="NEW"),"",INDEX(B1493:B$2,-1+SUMPRODUCT(MAX(ROW(E1493:E$2)*(E1494=E1493:E$2)))))</f>
        <v> </v>
      </c>
      <c r="J1494" s="26" t="str">
        <f>IF(OR(E1494="",E1494="!!!",F1494="NEW"),"",COUNTBLANK(OFFSET(A$1,,,SUMPRODUCT(MAX(ROW(E$2:E1494)*(E1494=E$2:E1494)))))-COUNTBLANK(OFFSET(A$1,,,SUMPRODUCT(MAX(ROW(E$1:E1493)*(E2=E$1:E1493))))))</f>
        <v> </v>
      </c>
      <c r="K1494" s="26" t="str">
        <f>IF(OR(E1494="",E1494="!!!",F1494="NEW"),"",INDEX(J$1:J1493,SUMPRODUCT(MAX(ROW(E$1:E1493)*(E1494=E$1:E1493)))))</f>
        <v> </v>
      </c>
      <c r="L1494" s="27"/>
    </row>
    <row r="1495" spans="1:12">
      <c r="A1495" s="20" t="s">
        <v>928</v>
      </c>
      <c r="B1495" s="21" t="s">
        <v>462</v>
      </c>
      <c r="C1495" s="21" t="s">
        <v>423</v>
      </c>
      <c r="D1495" s="21" t="s">
        <v>424</v>
      </c>
      <c r="E1495" s="22">
        <f>IF(D1495="?OLD","!!!","")</f>
        <v/>
      </c>
      <c r="F1495" s="23" t="str">
        <f>IF(OR(E1495="",E1495="!!!"),"",IF(NOT(ISNA(VLOOKUP(E1495,E$1:E1494,1,FALSE()))),"OLD",IF(AND(E1495&lt;&gt;"",E1495&lt;&gt;"!!!"),"NEW","")))</f>
        <v> </v>
      </c>
      <c r="G1495" s="24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5" t="str">
        <f>IF(J1495&lt;&gt;1,"",IF(I1495="SBJ","CB","?"))</f>
        <v> </v>
      </c>
      <c r="I1495" s="26" t="str">
        <f>IF(OR(E1495="",E1495="!!!",F1495="NEW"),"",INDEX(B1494:B$2,-1+SUMPRODUCT(MAX(ROW(E1494:E$2)*(E1495=E1494:E$2)))))</f>
        <v> </v>
      </c>
      <c r="J1495" s="26" t="str">
        <f>IF(OR(E1495="",E1495="!!!",F1495="NEW"),"",COUNTBLANK(OFFSET(A$1,,,SUMPRODUCT(MAX(ROW(E$2:E1495)*(E1495=E$2:E1495)))))-COUNTBLANK(OFFSET(A$1,,,SUMPRODUCT(MAX(ROW(E$1:E1494)*(E2=E$1:E1494))))))</f>
        <v> </v>
      </c>
      <c r="K1495" s="26" t="str">
        <f>IF(OR(E1495="",E1495="!!!",F1495="NEW"),"",INDEX(J$1:J1494,SUMPRODUCT(MAX(ROW(E$1:E1494)*(E1495=E$1:E1494)))))</f>
        <v> </v>
      </c>
      <c r="L1495" s="27"/>
    </row>
    <row r="1496" spans="1:12">
      <c r="A1496" s="20" t="s">
        <v>913</v>
      </c>
      <c r="E1496" s="22">
        <f>IF(D1496="?OLD","!!!","")</f>
        <v/>
      </c>
      <c r="F1496" s="23" t="str">
        <f>IF(OR(E1496="",E1496="!!!"),"",IF(NOT(ISNA(VLOOKUP(E1496,E$1:E1495,1,FALSE()))),"OLD",IF(AND(E1496&lt;&gt;"",E1496&lt;&gt;"!!!"),"NEW","")))</f>
        <v> </v>
      </c>
      <c r="G1496" s="24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5" t="str">
        <f>IF(J1496&lt;&gt;1,"",IF(I1496="SBJ","CB","?"))</f>
        <v> </v>
      </c>
      <c r="I1496" s="26" t="str">
        <f>IF(OR(E1496="",E1496="!!!",F1496="NEW"),"",INDEX(B1495:B$2,-1+SUMPRODUCT(MAX(ROW(E1495:E$2)*(E1496=E1495:E$2)))))</f>
        <v> </v>
      </c>
      <c r="J1496" s="26" t="str">
        <f>IF(OR(E1496="",E1496="!!!",F1496="NEW"),"",COUNTBLANK(OFFSET(A$1,,,SUMPRODUCT(MAX(ROW(E$2:E1496)*(E1496=E$2:E1496)))))-COUNTBLANK(OFFSET(A$1,,,SUMPRODUCT(MAX(ROW(E$1:E1495)*(E2=E$1:E1495))))))</f>
        <v> </v>
      </c>
      <c r="K1496" s="26" t="str">
        <f>IF(OR(E1496="",E1496="!!!",F1496="NEW"),"",INDEX(J$1:J1495,SUMPRODUCT(MAX(ROW(E$1:E1495)*(E1496=E$1:E1495)))))</f>
        <v> </v>
      </c>
      <c r="L1496" s="27"/>
    </row>
    <row r="1497" spans="1:12">
      <c r="A1497" s="20" t="s">
        <v>1173</v>
      </c>
      <c r="E1497" s="22">
        <f>IF(D1497="?OLD","!!!","")</f>
        <v/>
      </c>
      <c r="F1497" s="23" t="str">
        <f>IF(OR(E1497="",E1497="!!!"),"",IF(NOT(ISNA(VLOOKUP(E1497,E$1:E1496,1,FALSE()))),"OLD",IF(AND(E1497&lt;&gt;"",E1497&lt;&gt;"!!!"),"NEW","")))</f>
        <v> </v>
      </c>
      <c r="G1497" s="24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5" t="str">
        <f>IF(J1497&lt;&gt;1,"",IF(I1497="SBJ","CB","?"))</f>
        <v> </v>
      </c>
      <c r="I1497" s="26" t="str">
        <f>IF(OR(E1497="",E1497="!!!",F1497="NEW"),"",INDEX(B1496:B$2,-1+SUMPRODUCT(MAX(ROW(E1496:E$2)*(E1497=E1496:E$2)))))</f>
        <v> </v>
      </c>
      <c r="J1497" s="26" t="str">
        <f>IF(OR(E1497="",E1497="!!!",F1497="NEW"),"",COUNTBLANK(OFFSET(A$1,,,SUMPRODUCT(MAX(ROW(E$2:E1497)*(E1497=E$2:E1497)))))-COUNTBLANK(OFFSET(A$1,,,SUMPRODUCT(MAX(ROW(E$1:E1496)*(E2=E$1:E1496))))))</f>
        <v> </v>
      </c>
      <c r="K1497" s="26" t="str">
        <f>IF(OR(E1497="",E1497="!!!",F1497="NEW"),"",INDEX(J$1:J1496,SUMPRODUCT(MAX(ROW(E$1:E1496)*(E1497=E$1:E1496)))))</f>
        <v> </v>
      </c>
      <c r="L1497" s="27"/>
    </row>
    <row r="1498" spans="1:12">
      <c r="A1498" s="20" t="s">
        <v>385</v>
      </c>
      <c r="E1498" s="22">
        <f>IF(D1498="?OLD","!!!","")</f>
        <v/>
      </c>
      <c r="F1498" s="23" t="str">
        <f>IF(OR(E1498="",E1498="!!!"),"",IF(NOT(ISNA(VLOOKUP(E1498,E$1:E1497,1,FALSE()))),"OLD",IF(AND(E1498&lt;&gt;"",E1498&lt;&gt;"!!!"),"NEW","")))</f>
        <v> </v>
      </c>
      <c r="G1498" s="24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5" t="str">
        <f>IF(J1498&lt;&gt;1,"",IF(I1498="SBJ","CB","?"))</f>
        <v> </v>
      </c>
      <c r="I1498" s="26" t="str">
        <f>IF(OR(E1498="",E1498="!!!",F1498="NEW"),"",INDEX(B1497:B$2,-1+SUMPRODUCT(MAX(ROW(E1497:E$2)*(E1498=E1497:E$2)))))</f>
        <v> </v>
      </c>
      <c r="J1498" s="26" t="str">
        <f>IF(OR(E1498="",E1498="!!!",F1498="NEW"),"",COUNTBLANK(OFFSET(A$1,,,SUMPRODUCT(MAX(ROW(E$2:E1498)*(E1498=E$2:E1498)))))-COUNTBLANK(OFFSET(A$1,,,SUMPRODUCT(MAX(ROW(E$1:E1497)*(E2=E$1:E1497))))))</f>
        <v> </v>
      </c>
      <c r="K1498" s="26" t="str">
        <f>IF(OR(E1498="",E1498="!!!",F1498="NEW"),"",INDEX(J$1:J1497,SUMPRODUCT(MAX(ROW(E$1:E1497)*(E1498=E$1:E1497)))))</f>
        <v> </v>
      </c>
      <c r="L1498" s="27"/>
    </row>
    <row r="1499" spans="1:12">
      <c r="A1499" s="20" t="s">
        <v>1151</v>
      </c>
      <c r="B1499" s="21" t="s">
        <v>434</v>
      </c>
      <c r="C1499" s="21" t="s">
        <v>516</v>
      </c>
      <c r="E1499" s="22">
        <f>IF(D1499="?OLD","!!!","")</f>
        <v/>
      </c>
      <c r="F1499" s="23" t="str">
        <f>IF(OR(E1499="",E1499="!!!"),"",IF(NOT(ISNA(VLOOKUP(E1499,E$1:E1498,1,FALSE()))),"OLD",IF(AND(E1499&lt;&gt;"",E1499&lt;&gt;"!!!"),"NEW","")))</f>
        <v> </v>
      </c>
      <c r="G1499" s="24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5" t="str">
        <f>IF(J1499&lt;&gt;1,"",IF(I1499="SBJ","CB","?"))</f>
        <v> </v>
      </c>
      <c r="I1499" s="26" t="str">
        <f>IF(OR(E1499="",E1499="!!!",F1499="NEW"),"",INDEX(B1498:B$2,-1+SUMPRODUCT(MAX(ROW(E1498:E$2)*(E1499=E1498:E$2)))))</f>
        <v> </v>
      </c>
      <c r="J1499" s="26" t="str">
        <f>IF(OR(E1499="",E1499="!!!",F1499="NEW"),"",COUNTBLANK(OFFSET(A$1,,,SUMPRODUCT(MAX(ROW(E$2:E1499)*(E1499=E$2:E1499)))))-COUNTBLANK(OFFSET(A$1,,,SUMPRODUCT(MAX(ROW(E$1:E1498)*(E2=E$1:E1498))))))</f>
        <v> </v>
      </c>
      <c r="K1499" s="26" t="str">
        <f>IF(OR(E1499="",E1499="!!!",F1499="NEW"),"",INDEX(J$1:J1498,SUMPRODUCT(MAX(ROW(E$1:E1498)*(E1499=E$1:E1498)))))</f>
        <v> </v>
      </c>
      <c r="L1499" s="27"/>
    </row>
    <row r="1500" spans="1:12">
      <c r="A1500" s="20" t="s">
        <v>566</v>
      </c>
      <c r="E1500" s="22">
        <f>IF(D1500="?OLD","!!!","")</f>
        <v/>
      </c>
      <c r="F1500" s="23" t="str">
        <f>IF(OR(E1500="",E1500="!!!"),"",IF(NOT(ISNA(VLOOKUP(E1500,E$1:E1499,1,FALSE()))),"OLD",IF(AND(E1500&lt;&gt;"",E1500&lt;&gt;"!!!"),"NEW","")))</f>
        <v> </v>
      </c>
      <c r="G1500" s="24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5" t="str">
        <f>IF(J1500&lt;&gt;1,"",IF(I1500="SBJ","CB","?"))</f>
        <v> </v>
      </c>
      <c r="I1500" s="26" t="str">
        <f>IF(OR(E1500="",E1500="!!!",F1500="NEW"),"",INDEX(B1499:B$2,-1+SUMPRODUCT(MAX(ROW(E1499:E$2)*(E1500=E1499:E$2)))))</f>
        <v> </v>
      </c>
      <c r="J1500" s="26" t="str">
        <f>IF(OR(E1500="",E1500="!!!",F1500="NEW"),"",COUNTBLANK(OFFSET(A$1,,,SUMPRODUCT(MAX(ROW(E$2:E1500)*(E1500=E$2:E1500)))))-COUNTBLANK(OFFSET(A$1,,,SUMPRODUCT(MAX(ROW(E$1:E1499)*(E2=E$1:E1499))))))</f>
        <v> </v>
      </c>
      <c r="K1500" s="26" t="str">
        <f>IF(OR(E1500="",E1500="!!!",F1500="NEW"),"",INDEX(J$1:J1499,SUMPRODUCT(MAX(ROW(E$1:E1499)*(E1500=E$1:E1499)))))</f>
        <v> </v>
      </c>
      <c r="L1500" s="27"/>
    </row>
    <row r="1501" spans="1:12">
      <c r="A1501" s="20" t="s">
        <v>1174</v>
      </c>
      <c r="B1501" s="21" t="s">
        <v>462</v>
      </c>
      <c r="E1501" s="22">
        <f>IF(D1501="?OLD","!!!","")</f>
        <v/>
      </c>
      <c r="F1501" s="23" t="str">
        <f>IF(OR(E1501="",E1501="!!!"),"",IF(NOT(ISNA(VLOOKUP(E1501,E$1:E1500,1,FALSE()))),"OLD",IF(AND(E1501&lt;&gt;"",E1501&lt;&gt;"!!!"),"NEW","")))</f>
        <v> </v>
      </c>
      <c r="G1501" s="24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5" t="str">
        <f>IF(J1501&lt;&gt;1,"",IF(I1501="SBJ","CB","?"))</f>
        <v> </v>
      </c>
      <c r="I1501" s="26" t="str">
        <f>IF(OR(E1501="",E1501="!!!",F1501="NEW"),"",INDEX(B1500:B$2,-1+SUMPRODUCT(MAX(ROW(E1500:E$2)*(E1501=E1500:E$2)))))</f>
        <v> </v>
      </c>
      <c r="J1501" s="26" t="str">
        <f>IF(OR(E1501="",E1501="!!!",F1501="NEW"),"",COUNTBLANK(OFFSET(A$1,,,SUMPRODUCT(MAX(ROW(E$2:E1501)*(E1501=E$2:E1501)))))-COUNTBLANK(OFFSET(A$1,,,SUMPRODUCT(MAX(ROW(E$1:E1500)*(E2=E$1:E1500))))))</f>
        <v> </v>
      </c>
      <c r="K1501" s="26" t="str">
        <f>IF(OR(E1501="",E1501="!!!",F1501="NEW"),"",INDEX(J$1:J1500,SUMPRODUCT(MAX(ROW(E$1:E1500)*(E1501=E$1:E1500)))))</f>
        <v> </v>
      </c>
      <c r="L1501" s="27"/>
    </row>
    <row r="1502" spans="1:12">
      <c r="A1502" s="20" t="s">
        <v>643</v>
      </c>
      <c r="E1502" s="22">
        <f>IF(D1502="?OLD","!!!","")</f>
        <v/>
      </c>
      <c r="F1502" s="23" t="str">
        <f>IF(OR(E1502="",E1502="!!!"),"",IF(NOT(ISNA(VLOOKUP(E1502,E$1:E1501,1,FALSE()))),"OLD",IF(AND(E1502&lt;&gt;"",E1502&lt;&gt;"!!!"),"NEW","")))</f>
        <v> </v>
      </c>
      <c r="G1502" s="24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5" t="str">
        <f>IF(J1502&lt;&gt;1,"",IF(I1502="SBJ","CB","?"))</f>
        <v> </v>
      </c>
      <c r="I1502" s="26" t="str">
        <f>IF(OR(E1502="",E1502="!!!",F1502="NEW"),"",INDEX(B1501:B$2,-1+SUMPRODUCT(MAX(ROW(E1501:E$2)*(E1502=E1501:E$2)))))</f>
        <v> </v>
      </c>
      <c r="J1502" s="26" t="str">
        <f>IF(OR(E1502="",E1502="!!!",F1502="NEW"),"",COUNTBLANK(OFFSET(A$1,,,SUMPRODUCT(MAX(ROW(E$2:E1502)*(E1502=E$2:E1502)))))-COUNTBLANK(OFFSET(A$1,,,SUMPRODUCT(MAX(ROW(E$1:E1501)*(E2=E$1:E1501))))))</f>
        <v> </v>
      </c>
      <c r="K1502" s="26" t="str">
        <f>IF(OR(E1502="",E1502="!!!",F1502="NEW"),"",INDEX(J$1:J1501,SUMPRODUCT(MAX(ROW(E$1:E1501)*(E1502=E$1:E1501)))))</f>
        <v> </v>
      </c>
      <c r="L1502" s="27"/>
    </row>
    <row r="1503" spans="1:12">
      <c r="A1503" s="20" t="s">
        <v>1153</v>
      </c>
      <c r="E1503" s="22">
        <f>IF(D1503="?OLD","!!!","")</f>
        <v/>
      </c>
      <c r="F1503" s="23" t="str">
        <f>IF(OR(E1503="",E1503="!!!"),"",IF(NOT(ISNA(VLOOKUP(E1503,E$1:E1502,1,FALSE()))),"OLD",IF(AND(E1503&lt;&gt;"",E1503&lt;&gt;"!!!"),"NEW","")))</f>
        <v> </v>
      </c>
      <c r="G1503" s="24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5" t="str">
        <f>IF(J1503&lt;&gt;1,"",IF(I1503="SBJ","CB","?"))</f>
        <v> </v>
      </c>
      <c r="I1503" s="26" t="str">
        <f>IF(OR(E1503="",E1503="!!!",F1503="NEW"),"",INDEX(B1502:B$2,-1+SUMPRODUCT(MAX(ROW(E1502:E$2)*(E1503=E1502:E$2)))))</f>
        <v> </v>
      </c>
      <c r="J1503" s="26" t="str">
        <f>IF(OR(E1503="",E1503="!!!",F1503="NEW"),"",COUNTBLANK(OFFSET(A$1,,,SUMPRODUCT(MAX(ROW(E$2:E1503)*(E1503=E$2:E1503)))))-COUNTBLANK(OFFSET(A$1,,,SUMPRODUCT(MAX(ROW(E$1:E1502)*(E2=E$1:E1502))))))</f>
        <v> </v>
      </c>
      <c r="K1503" s="26" t="str">
        <f>IF(OR(E1503="",E1503="!!!",F1503="NEW"),"",INDEX(J$1:J1502,SUMPRODUCT(MAX(ROW(E$1:E1502)*(E1503=E$1:E1502)))))</f>
        <v> </v>
      </c>
      <c r="L1503" s="27"/>
    </row>
    <row r="1504" spans="1:12">
      <c r="A1504" s="20" t="s">
        <v>1154</v>
      </c>
      <c r="E1504" s="22">
        <f>IF(D1504="?OLD","!!!","")</f>
        <v/>
      </c>
      <c r="F1504" s="23" t="str">
        <f>IF(OR(E1504="",E1504="!!!"),"",IF(NOT(ISNA(VLOOKUP(E1504,E$1:E1503,1,FALSE()))),"OLD",IF(AND(E1504&lt;&gt;"",E1504&lt;&gt;"!!!"),"NEW","")))</f>
        <v> </v>
      </c>
      <c r="G1504" s="24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5" t="str">
        <f>IF(J1504&lt;&gt;1,"",IF(I1504="SBJ","CB","?"))</f>
        <v> </v>
      </c>
      <c r="I1504" s="26" t="str">
        <f>IF(OR(E1504="",E1504="!!!",F1504="NEW"),"",INDEX(B1503:B$2,-1+SUMPRODUCT(MAX(ROW(E1503:E$2)*(E1504=E1503:E$2)))))</f>
        <v> </v>
      </c>
      <c r="J1504" s="26" t="str">
        <f>IF(OR(E1504="",E1504="!!!",F1504="NEW"),"",COUNTBLANK(OFFSET(A$1,,,SUMPRODUCT(MAX(ROW(E$2:E1504)*(E1504=E$2:E1504)))))-COUNTBLANK(OFFSET(A$1,,,SUMPRODUCT(MAX(ROW(E$1:E1503)*(E2=E$1:E1503))))))</f>
        <v> </v>
      </c>
      <c r="K1504" s="26" t="str">
        <f>IF(OR(E1504="",E1504="!!!",F1504="NEW"),"",INDEX(J$1:J1503,SUMPRODUCT(MAX(ROW(E$1:E1503)*(E1504=E$1:E1503)))))</f>
        <v> </v>
      </c>
      <c r="L1504" s="27"/>
    </row>
    <row r="1505" spans="1:12">
      <c r="A1505" s="20" t="s">
        <v>465</v>
      </c>
      <c r="E1505" s="22">
        <f>IF(D1505="?OLD","!!!","")</f>
        <v/>
      </c>
      <c r="F1505" s="23" t="str">
        <f>IF(OR(E1505="",E1505="!!!"),"",IF(NOT(ISNA(VLOOKUP(E1505,E$1:E1504,1,FALSE()))),"OLD",IF(AND(E1505&lt;&gt;"",E1505&lt;&gt;"!!!"),"NEW","")))</f>
        <v> </v>
      </c>
      <c r="G1505" s="24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5" t="str">
        <f>IF(J1505&lt;&gt;1,"",IF(I1505="SBJ","CB","?"))</f>
        <v> </v>
      </c>
      <c r="I1505" s="26" t="str">
        <f>IF(OR(E1505="",E1505="!!!",F1505="NEW"),"",INDEX(B1504:B$2,-1+SUMPRODUCT(MAX(ROW(E1504:E$2)*(E1505=E1504:E$2)))))</f>
        <v> </v>
      </c>
      <c r="J1505" s="26" t="str">
        <f>IF(OR(E1505="",E1505="!!!",F1505="NEW"),"",COUNTBLANK(OFFSET(A$1,,,SUMPRODUCT(MAX(ROW(E$2:E1505)*(E1505=E$2:E1505)))))-COUNTBLANK(OFFSET(A$1,,,SUMPRODUCT(MAX(ROW(E$1:E1504)*(E2=E$1:E1504))))))</f>
        <v> </v>
      </c>
      <c r="K1505" s="26" t="str">
        <f>IF(OR(E1505="",E1505="!!!",F1505="NEW"),"",INDEX(J$1:J1504,SUMPRODUCT(MAX(ROW(E$1:E1504)*(E1505=E$1:E1504)))))</f>
        <v> </v>
      </c>
      <c r="L1505" s="27"/>
    </row>
    <row r="1506" spans="1:12">
      <c r="A1506" s="20" t="s">
        <v>1175</v>
      </c>
      <c r="E1506" s="22">
        <f>IF(D1506="?OLD","!!!","")</f>
        <v/>
      </c>
      <c r="F1506" s="23" t="str">
        <f>IF(OR(E1506="",E1506="!!!"),"",IF(NOT(ISNA(VLOOKUP(E1506,E$1:E1505,1,FALSE()))),"OLD",IF(AND(E1506&lt;&gt;"",E1506&lt;&gt;"!!!"),"NEW","")))</f>
        <v> </v>
      </c>
      <c r="G1506" s="24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5" t="str">
        <f>IF(J1506&lt;&gt;1,"",IF(I1506="SBJ","CB","?"))</f>
        <v> </v>
      </c>
      <c r="I1506" s="26" t="str">
        <f>IF(OR(E1506="",E1506="!!!",F1506="NEW"),"",INDEX(B1505:B$2,-1+SUMPRODUCT(MAX(ROW(E1505:E$2)*(E1506=E1505:E$2)))))</f>
        <v> </v>
      </c>
      <c r="J1506" s="26" t="str">
        <f>IF(OR(E1506="",E1506="!!!",F1506="NEW"),"",COUNTBLANK(OFFSET(A$1,,,SUMPRODUCT(MAX(ROW(E$2:E1506)*(E1506=E$2:E1506)))))-COUNTBLANK(OFFSET(A$1,,,SUMPRODUCT(MAX(ROW(E$1:E1505)*(E2=E$1:E1505))))))</f>
        <v> </v>
      </c>
      <c r="K1506" s="26" t="str">
        <f>IF(OR(E1506="",E1506="!!!",F1506="NEW"),"",INDEX(J$1:J1505,SUMPRODUCT(MAX(ROW(E$1:E1505)*(E1506=E$1:E1505)))))</f>
        <v> </v>
      </c>
      <c r="L1506" s="27"/>
    </row>
    <row r="1507" spans="1:12">
      <c r="A1507" s="20" t="s">
        <v>632</v>
      </c>
      <c r="E1507" s="22">
        <f>IF(D1507="?OLD","!!!","")</f>
        <v/>
      </c>
      <c r="F1507" s="23" t="str">
        <f>IF(OR(E1507="",E1507="!!!"),"",IF(NOT(ISNA(VLOOKUP(E1507,E$1:E1506,1,FALSE()))),"OLD",IF(AND(E1507&lt;&gt;"",E1507&lt;&gt;"!!!"),"NEW","")))</f>
        <v> </v>
      </c>
      <c r="G1507" s="24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5" t="str">
        <f>IF(J1507&lt;&gt;1,"",IF(I1507="SBJ","CB","?"))</f>
        <v> </v>
      </c>
      <c r="I1507" s="26" t="str">
        <f>IF(OR(E1507="",E1507="!!!",F1507="NEW"),"",INDEX(B1506:B$2,-1+SUMPRODUCT(MAX(ROW(E1506:E$2)*(E1507=E1506:E$2)))))</f>
        <v> </v>
      </c>
      <c r="J1507" s="26" t="str">
        <f>IF(OR(E1507="",E1507="!!!",F1507="NEW"),"",COUNTBLANK(OFFSET(A$1,,,SUMPRODUCT(MAX(ROW(E$2:E1507)*(E1507=E$2:E1507)))))-COUNTBLANK(OFFSET(A$1,,,SUMPRODUCT(MAX(ROW(E$1:E1506)*(E2=E$1:E1506))))))</f>
        <v> </v>
      </c>
      <c r="K1507" s="26" t="str">
        <f>IF(OR(E1507="",E1507="!!!",F1507="NEW"),"",INDEX(J$1:J1506,SUMPRODUCT(MAX(ROW(E$1:E1506)*(E1507=E$1:E1506)))))</f>
        <v> </v>
      </c>
      <c r="L1507" s="27"/>
    </row>
    <row r="1508" spans="1:12">
      <c r="A1508" s="20" t="s">
        <v>1176</v>
      </c>
      <c r="E1508" s="22">
        <f>IF(D1508="?OLD","!!!","")</f>
        <v/>
      </c>
      <c r="F1508" s="23" t="str">
        <f>IF(OR(E1508="",E1508="!!!"),"",IF(NOT(ISNA(VLOOKUP(E1508,E$1:E1507,1,FALSE()))),"OLD",IF(AND(E1508&lt;&gt;"",E1508&lt;&gt;"!!!"),"NEW","")))</f>
        <v> </v>
      </c>
      <c r="G1508" s="24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5" t="str">
        <f>IF(J1508&lt;&gt;1,"",IF(I1508="SBJ","CB","?"))</f>
        <v> </v>
      </c>
      <c r="I1508" s="26" t="str">
        <f>IF(OR(E1508="",E1508="!!!",F1508="NEW"),"",INDEX(B1507:B$2,-1+SUMPRODUCT(MAX(ROW(E1507:E$2)*(E1508=E1507:E$2)))))</f>
        <v> </v>
      </c>
      <c r="J1508" s="26" t="str">
        <f>IF(OR(E1508="",E1508="!!!",F1508="NEW"),"",COUNTBLANK(OFFSET(A$1,,,SUMPRODUCT(MAX(ROW(E$2:E1508)*(E1508=E$2:E1508)))))-COUNTBLANK(OFFSET(A$1,,,SUMPRODUCT(MAX(ROW(E$1:E1507)*(E2=E$1:E1507))))))</f>
        <v> </v>
      </c>
      <c r="K1508" s="26" t="str">
        <f>IF(OR(E1508="",E1508="!!!",F1508="NEW"),"",INDEX(J$1:J1507,SUMPRODUCT(MAX(ROW(E$1:E1507)*(E1508=E$1:E1507)))))</f>
        <v> </v>
      </c>
      <c r="L1508" s="27"/>
    </row>
    <row r="1509" spans="1:12">
      <c r="A1509" s="20" t="s">
        <v>878</v>
      </c>
      <c r="B1509" s="21" t="s">
        <v>432</v>
      </c>
      <c r="C1509" s="21" t="s">
        <v>516</v>
      </c>
      <c r="E1509" s="22">
        <f>IF(D1509="?OLD","!!!","")</f>
        <v/>
      </c>
      <c r="F1509" s="23" t="str">
        <f>IF(OR(E1509="",E1509="!!!"),"",IF(NOT(ISNA(VLOOKUP(E1509,E$1:E1508,1,FALSE()))),"OLD",IF(AND(E1509&lt;&gt;"",E1509&lt;&gt;"!!!"),"NEW","")))</f>
        <v> </v>
      </c>
      <c r="G1509" s="24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5" t="str">
        <f>IF(J1509&lt;&gt;1,"",IF(I1509="SBJ","CB","?"))</f>
        <v> </v>
      </c>
      <c r="I1509" s="26" t="str">
        <f>IF(OR(E1509="",E1509="!!!",F1509="NEW"),"",INDEX(B1508:B$2,-1+SUMPRODUCT(MAX(ROW(E1508:E$2)*(E1509=E1508:E$2)))))</f>
        <v> </v>
      </c>
      <c r="J1509" s="26" t="str">
        <f>IF(OR(E1509="",E1509="!!!",F1509="NEW"),"",COUNTBLANK(OFFSET(A$1,,,SUMPRODUCT(MAX(ROW(E$2:E1509)*(E1509=E$2:E1509)))))-COUNTBLANK(OFFSET(A$1,,,SUMPRODUCT(MAX(ROW(E$1:E1508)*(E2=E$1:E1508))))))</f>
        <v> </v>
      </c>
      <c r="K1509" s="26" t="str">
        <f>IF(OR(E1509="",E1509="!!!",F1509="NEW"),"",INDEX(J$1:J1508,SUMPRODUCT(MAX(ROW(E$1:E1508)*(E1509=E$1:E1508)))))</f>
        <v> </v>
      </c>
      <c r="L1509" s="27"/>
    </row>
    <row r="1510" spans="1:12">
      <c r="A1510" s="20" t="s">
        <v>506</v>
      </c>
      <c r="E1510" s="22">
        <f>IF(D1510="?OLD","!!!","")</f>
        <v/>
      </c>
      <c r="F1510" s="23" t="str">
        <f>IF(OR(E1510="",E1510="!!!"),"",IF(NOT(ISNA(VLOOKUP(E1510,E$1:E1509,1,FALSE()))),"OLD",IF(AND(E1510&lt;&gt;"",E1510&lt;&gt;"!!!"),"NEW","")))</f>
        <v> </v>
      </c>
      <c r="G1510" s="24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5" t="str">
        <f>IF(J1510&lt;&gt;1,"",IF(I1510="SBJ","CB","?"))</f>
        <v> </v>
      </c>
      <c r="I1510" s="26" t="str">
        <f>IF(OR(E1510="",E1510="!!!",F1510="NEW"),"",INDEX(B1509:B$2,-1+SUMPRODUCT(MAX(ROW(E1509:E$2)*(E1510=E1509:E$2)))))</f>
        <v> </v>
      </c>
      <c r="J1510" s="26" t="str">
        <f>IF(OR(E1510="",E1510="!!!",F1510="NEW"),"",COUNTBLANK(OFFSET(A$1,,,SUMPRODUCT(MAX(ROW(E$2:E1510)*(E1510=E$2:E1510)))))-COUNTBLANK(OFFSET(A$1,,,SUMPRODUCT(MAX(ROW(E$1:E1509)*(E2=E$1:E1509))))))</f>
        <v> </v>
      </c>
      <c r="K1510" s="26" t="str">
        <f>IF(OR(E1510="",E1510="!!!",F1510="NEW"),"",INDEX(J$1:J1509,SUMPRODUCT(MAX(ROW(E$1:E1509)*(E1510=E$1:E1509)))))</f>
        <v> </v>
      </c>
      <c r="L1510" s="27"/>
    </row>
    <row r="1511" spans="1:12">
      <c r="A1511" s="20" t="s">
        <v>760</v>
      </c>
      <c r="E1511" s="22">
        <f>IF(D1511="?OLD","!!!","")</f>
        <v/>
      </c>
      <c r="F1511" s="23" t="str">
        <f>IF(OR(E1511="",E1511="!!!"),"",IF(NOT(ISNA(VLOOKUP(E1511,E$1:E1510,1,FALSE()))),"OLD",IF(AND(E1511&lt;&gt;"",E1511&lt;&gt;"!!!"),"NEW","")))</f>
        <v> </v>
      </c>
      <c r="G1511" s="24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5" t="str">
        <f>IF(J1511&lt;&gt;1,"",IF(I1511="SBJ","CB","?"))</f>
        <v> </v>
      </c>
      <c r="I1511" s="26" t="str">
        <f>IF(OR(E1511="",E1511="!!!",F1511="NEW"),"",INDEX(B1510:B$2,-1+SUMPRODUCT(MAX(ROW(E1510:E$2)*(E1511=E1510:E$2)))))</f>
        <v> </v>
      </c>
      <c r="J1511" s="26" t="str">
        <f>IF(OR(E1511="",E1511="!!!",F1511="NEW"),"",COUNTBLANK(OFFSET(A$1,,,SUMPRODUCT(MAX(ROW(E$2:E1511)*(E1511=E$2:E1511)))))-COUNTBLANK(OFFSET(A$1,,,SUMPRODUCT(MAX(ROW(E$1:E1510)*(E2=E$1:E1510))))))</f>
        <v> </v>
      </c>
      <c r="K1511" s="26" t="str">
        <f>IF(OR(E1511="",E1511="!!!",F1511="NEW"),"",INDEX(J$1:J1510,SUMPRODUCT(MAX(ROW(E$1:E1510)*(E1511=E$1:E1510)))))</f>
        <v> </v>
      </c>
      <c r="L1511" s="27"/>
    </row>
    <row r="1512" spans="1:12">
      <c r="A1512" s="20" t="s">
        <v>1155</v>
      </c>
      <c r="E1512" s="22">
        <f>IF(D1512="?OLD","!!!","")</f>
        <v/>
      </c>
      <c r="F1512" s="23" t="str">
        <f>IF(OR(E1512="",E1512="!!!"),"",IF(NOT(ISNA(VLOOKUP(E1512,E$1:E1511,1,FALSE()))),"OLD",IF(AND(E1512&lt;&gt;"",E1512&lt;&gt;"!!!"),"NEW","")))</f>
        <v> </v>
      </c>
      <c r="G1512" s="24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5" t="str">
        <f>IF(J1512&lt;&gt;1,"",IF(I1512="SBJ","CB","?"))</f>
        <v> </v>
      </c>
      <c r="I1512" s="26" t="str">
        <f>IF(OR(E1512="",E1512="!!!",F1512="NEW"),"",INDEX(B1511:B$2,-1+SUMPRODUCT(MAX(ROW(E1511:E$2)*(E1512=E1511:E$2)))))</f>
        <v> </v>
      </c>
      <c r="J1512" s="26" t="str">
        <f>IF(OR(E1512="",E1512="!!!",F1512="NEW"),"",COUNTBLANK(OFFSET(A$1,,,SUMPRODUCT(MAX(ROW(E$2:E1512)*(E1512=E$2:E1512)))))-COUNTBLANK(OFFSET(A$1,,,SUMPRODUCT(MAX(ROW(E$1:E1511)*(E2=E$1:E1511))))))</f>
        <v> </v>
      </c>
      <c r="K1512" s="26" t="str">
        <f>IF(OR(E1512="",E1512="!!!",F1512="NEW"),"",INDEX(J$1:J1511,SUMPRODUCT(MAX(ROW(E$1:E1511)*(E1512=E$1:E1511)))))</f>
        <v> </v>
      </c>
      <c r="L1512" s="27"/>
    </row>
    <row r="1513" spans="1:12">
      <c r="A1513" s="20" t="s">
        <v>1156</v>
      </c>
      <c r="E1513" s="22">
        <f>IF(D1513="?OLD","!!!","")</f>
        <v/>
      </c>
      <c r="F1513" s="23" t="str">
        <f>IF(OR(E1513="",E1513="!!!"),"",IF(NOT(ISNA(VLOOKUP(E1513,E$1:E1512,1,FALSE()))),"OLD",IF(AND(E1513&lt;&gt;"",E1513&lt;&gt;"!!!"),"NEW","")))</f>
        <v> </v>
      </c>
      <c r="G1513" s="24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5" t="str">
        <f>IF(J1513&lt;&gt;1,"",IF(I1513="SBJ","CB","?"))</f>
        <v> </v>
      </c>
      <c r="I1513" s="26" t="str">
        <f>IF(OR(E1513="",E1513="!!!",F1513="NEW"),"",INDEX(B1512:B$2,-1+SUMPRODUCT(MAX(ROW(E1512:E$2)*(E1513=E1512:E$2)))))</f>
        <v> </v>
      </c>
      <c r="J1513" s="26" t="str">
        <f>IF(OR(E1513="",E1513="!!!",F1513="NEW"),"",COUNTBLANK(OFFSET(A$1,,,SUMPRODUCT(MAX(ROW(E$2:E1513)*(E1513=E$2:E1513)))))-COUNTBLANK(OFFSET(A$1,,,SUMPRODUCT(MAX(ROW(E$1:E1512)*(E2=E$1:E1512))))))</f>
        <v> </v>
      </c>
      <c r="K1513" s="26" t="str">
        <f>IF(OR(E1513="",E1513="!!!",F1513="NEW"),"",INDEX(J$1:J1512,SUMPRODUCT(MAX(ROW(E$1:E1512)*(E1513=E$1:E1512)))))</f>
        <v> </v>
      </c>
      <c r="L1513" s="27"/>
    </row>
    <row r="1514" spans="1:12">
      <c r="A1514" s="20" t="s">
        <v>1177</v>
      </c>
      <c r="E1514" s="22">
        <f>IF(D1514="?OLD","!!!","")</f>
        <v/>
      </c>
      <c r="F1514" s="23" t="str">
        <f>IF(OR(E1514="",E1514="!!!"),"",IF(NOT(ISNA(VLOOKUP(E1514,E$1:E1513,1,FALSE()))),"OLD",IF(AND(E1514&lt;&gt;"",E1514&lt;&gt;"!!!"),"NEW","")))</f>
        <v> </v>
      </c>
      <c r="G1514" s="24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5" t="str">
        <f>IF(J1514&lt;&gt;1,"",IF(I1514="SBJ","CB","?"))</f>
        <v> </v>
      </c>
      <c r="I1514" s="26" t="str">
        <f>IF(OR(E1514="",E1514="!!!",F1514="NEW"),"",INDEX(B1513:B$2,-1+SUMPRODUCT(MAX(ROW(E1513:E$2)*(E1514=E1513:E$2)))))</f>
        <v> </v>
      </c>
      <c r="J1514" s="26" t="str">
        <f>IF(OR(E1514="",E1514="!!!",F1514="NEW"),"",COUNTBLANK(OFFSET(A$1,,,SUMPRODUCT(MAX(ROW(E$2:E1514)*(E1514=E$2:E1514)))))-COUNTBLANK(OFFSET(A$1,,,SUMPRODUCT(MAX(ROW(E$1:E1513)*(E2=E$1:E1513))))))</f>
        <v> </v>
      </c>
      <c r="K1514" s="26" t="str">
        <f>IF(OR(E1514="",E1514="!!!",F1514="NEW"),"",INDEX(J$1:J1513,SUMPRODUCT(MAX(ROW(E$1:E1513)*(E1514=E$1:E1513)))))</f>
        <v> </v>
      </c>
      <c r="L1514" s="27"/>
    </row>
    <row r="1515" spans="1:12">
      <c r="A1515" s="20" t="s">
        <v>1178</v>
      </c>
      <c r="E1515" s="22">
        <f>IF(D1515="?OLD","!!!","")</f>
        <v/>
      </c>
      <c r="F1515" s="23" t="str">
        <f>IF(OR(E1515="",E1515="!!!"),"",IF(NOT(ISNA(VLOOKUP(E1515,E$1:E1514,1,FALSE()))),"OLD",IF(AND(E1515&lt;&gt;"",E1515&lt;&gt;"!!!"),"NEW","")))</f>
        <v> </v>
      </c>
      <c r="G1515" s="24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5" t="str">
        <f>IF(J1515&lt;&gt;1,"",IF(I1515="SBJ","CB","?"))</f>
        <v> </v>
      </c>
      <c r="I1515" s="26" t="str">
        <f>IF(OR(E1515="",E1515="!!!",F1515="NEW"),"",INDEX(B1514:B$2,-1+SUMPRODUCT(MAX(ROW(E1514:E$2)*(E1515=E1514:E$2)))))</f>
        <v> </v>
      </c>
      <c r="J1515" s="26" t="str">
        <f>IF(OR(E1515="",E1515="!!!",F1515="NEW"),"",COUNTBLANK(OFFSET(A$1,,,SUMPRODUCT(MAX(ROW(E$2:E1515)*(E1515=E$2:E1515)))))-COUNTBLANK(OFFSET(A$1,,,SUMPRODUCT(MAX(ROW(E$1:E1514)*(E2=E$1:E1514))))))</f>
        <v> </v>
      </c>
      <c r="K1515" s="26" t="str">
        <f>IF(OR(E1515="",E1515="!!!",F1515="NEW"),"",INDEX(J$1:J1514,SUMPRODUCT(MAX(ROW(E$1:E1514)*(E1515=E$1:E1514)))))</f>
        <v> </v>
      </c>
      <c r="L1515" s="27"/>
    </row>
    <row r="1516" spans="1:12">
      <c r="A1516" s="20" t="s">
        <v>453</v>
      </c>
      <c r="E1516" s="22">
        <f>IF(D1516="?OLD","!!!","")</f>
        <v/>
      </c>
      <c r="F1516" s="23" t="str">
        <f>IF(OR(E1516="",E1516="!!!"),"",IF(NOT(ISNA(VLOOKUP(E1516,E$1:E1515,1,FALSE()))),"OLD",IF(AND(E1516&lt;&gt;"",E1516&lt;&gt;"!!!"),"NEW","")))</f>
        <v> </v>
      </c>
      <c r="G1516" s="24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5" t="str">
        <f>IF(J1516&lt;&gt;1,"",IF(I1516="SBJ","CB","?"))</f>
        <v> </v>
      </c>
      <c r="I1516" s="26" t="str">
        <f>IF(OR(E1516="",E1516="!!!",F1516="NEW"),"",INDEX(B1515:B$2,-1+SUMPRODUCT(MAX(ROW(E1515:E$2)*(E1516=E1515:E$2)))))</f>
        <v> </v>
      </c>
      <c r="J1516" s="26" t="str">
        <f>IF(OR(E1516="",E1516="!!!",F1516="NEW"),"",COUNTBLANK(OFFSET(A$1,,,SUMPRODUCT(MAX(ROW(E$2:E1516)*(E1516=E$2:E1516)))))-COUNTBLANK(OFFSET(A$1,,,SUMPRODUCT(MAX(ROW(E$1:E1515)*(E2=E$1:E1515))))))</f>
        <v> </v>
      </c>
      <c r="K1516" s="26" t="str">
        <f>IF(OR(E1516="",E1516="!!!",F1516="NEW"),"",INDEX(J$1:J1515,SUMPRODUCT(MAX(ROW(E$1:E1515)*(E1516=E$1:E1515)))))</f>
        <v> </v>
      </c>
      <c r="L1516" s="27"/>
    </row>
    <row r="1517" spans="1:12">
      <c r="A1517" s="20" t="s">
        <v>1179</v>
      </c>
      <c r="E1517" s="22">
        <f>IF(D1517="?OLD","!!!","")</f>
        <v/>
      </c>
      <c r="F1517" s="23" t="str">
        <f>IF(OR(E1517="",E1517="!!!"),"",IF(NOT(ISNA(VLOOKUP(E1517,E$1:E1516,1,FALSE()))),"OLD",IF(AND(E1517&lt;&gt;"",E1517&lt;&gt;"!!!"),"NEW","")))</f>
        <v> </v>
      </c>
      <c r="G1517" s="24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5" t="str">
        <f>IF(J1517&lt;&gt;1,"",IF(I1517="SBJ","CB","?"))</f>
        <v> </v>
      </c>
      <c r="I1517" s="26" t="str">
        <f>IF(OR(E1517="",E1517="!!!",F1517="NEW"),"",INDEX(B1516:B$2,-1+SUMPRODUCT(MAX(ROW(E1516:E$2)*(E1517=E1516:E$2)))))</f>
        <v> </v>
      </c>
      <c r="J1517" s="26" t="str">
        <f>IF(OR(E1517="",E1517="!!!",F1517="NEW"),"",COUNTBLANK(OFFSET(A$1,,,SUMPRODUCT(MAX(ROW(E$2:E1517)*(E1517=E$2:E1517)))))-COUNTBLANK(OFFSET(A$1,,,SUMPRODUCT(MAX(ROW(E$1:E1516)*(E2=E$1:E1516))))))</f>
        <v> </v>
      </c>
      <c r="K1517" s="26" t="str">
        <f>IF(OR(E1517="",E1517="!!!",F1517="NEW"),"",INDEX(J$1:J1516,SUMPRODUCT(MAX(ROW(E$1:E1516)*(E1517=E$1:E1516)))))</f>
        <v> </v>
      </c>
      <c r="L1517" s="27"/>
    </row>
    <row r="1518" spans="1:12">
      <c r="A1518" s="20" t="s">
        <v>1180</v>
      </c>
      <c r="E1518" s="22">
        <f>IF(D1518="?OLD","!!!","")</f>
        <v/>
      </c>
      <c r="F1518" s="23" t="str">
        <f>IF(OR(E1518="",E1518="!!!"),"",IF(NOT(ISNA(VLOOKUP(E1518,E$1:E1517,1,FALSE()))),"OLD",IF(AND(E1518&lt;&gt;"",E1518&lt;&gt;"!!!"),"NEW","")))</f>
        <v> </v>
      </c>
      <c r="G1518" s="24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5" t="str">
        <f>IF(J1518&lt;&gt;1,"",IF(I1518="SBJ","CB","?"))</f>
        <v> </v>
      </c>
      <c r="I1518" s="26" t="str">
        <f>IF(OR(E1518="",E1518="!!!",F1518="NEW"),"",INDEX(B1517:B$2,-1+SUMPRODUCT(MAX(ROW(E1517:E$2)*(E1518=E1517:E$2)))))</f>
        <v> </v>
      </c>
      <c r="J1518" s="26" t="str">
        <f>IF(OR(E1518="",E1518="!!!",F1518="NEW"),"",COUNTBLANK(OFFSET(A$1,,,SUMPRODUCT(MAX(ROW(E$2:E1518)*(E1518=E$2:E1518)))))-COUNTBLANK(OFFSET(A$1,,,SUMPRODUCT(MAX(ROW(E$1:E1517)*(E2=E$1:E1517))))))</f>
        <v> </v>
      </c>
      <c r="K1518" s="26" t="str">
        <f>IF(OR(E1518="",E1518="!!!",F1518="NEW"),"",INDEX(J$1:J1517,SUMPRODUCT(MAX(ROW(E$1:E1517)*(E1518=E$1:E1517)))))</f>
        <v> </v>
      </c>
      <c r="L1518" s="27"/>
    </row>
    <row r="1519" spans="1:12">
      <c r="A1519" s="20" t="s">
        <v>438</v>
      </c>
      <c r="E1519" s="22">
        <f>IF(D1519="?OLD","!!!","")</f>
        <v/>
      </c>
      <c r="F1519" s="23" t="str">
        <f>IF(OR(E1519="",E1519="!!!"),"",IF(NOT(ISNA(VLOOKUP(E1519,E$1:E1518,1,FALSE()))),"OLD",IF(AND(E1519&lt;&gt;"",E1519&lt;&gt;"!!!"),"NEW","")))</f>
        <v> </v>
      </c>
      <c r="G1519" s="24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5" t="str">
        <f>IF(J1519&lt;&gt;1,"",IF(I1519="SBJ","CB","?"))</f>
        <v> </v>
      </c>
      <c r="I1519" s="26" t="str">
        <f>IF(OR(E1519="",E1519="!!!",F1519="NEW"),"",INDEX(B1518:B$2,-1+SUMPRODUCT(MAX(ROW(E1518:E$2)*(E1519=E1518:E$2)))))</f>
        <v> </v>
      </c>
      <c r="J1519" s="26" t="str">
        <f>IF(OR(E1519="",E1519="!!!",F1519="NEW"),"",COUNTBLANK(OFFSET(A$1,,,SUMPRODUCT(MAX(ROW(E$2:E1519)*(E1519=E$2:E1519)))))-COUNTBLANK(OFFSET(A$1,,,SUMPRODUCT(MAX(ROW(E$1:E1518)*(E2=E$1:E1518))))))</f>
        <v> </v>
      </c>
      <c r="K1519" s="26" t="str">
        <f>IF(OR(E1519="",E1519="!!!",F1519="NEW"),"",INDEX(J$1:J1518,SUMPRODUCT(MAX(ROW(E$1:E1518)*(E1519=E$1:E1518)))))</f>
        <v> </v>
      </c>
      <c r="L1519" s="27"/>
    </row>
    <row r="1520" spans="1:12">
      <c r="A1520" s="20"/>
    </row>
    <row r="1521" spans="1:12">
      <c r="A1521" s="20" t="s">
        <v>1181</v>
      </c>
    </row>
    <row r="1522" spans="1:12">
      <c r="A1522" s="20" t="s">
        <v>783</v>
      </c>
      <c r="E1522" s="22">
        <f>IF(D1522="?OLD","!!!","")</f>
        <v/>
      </c>
      <c r="F1522" s="23" t="str">
        <f>IF(OR(E1522="",E1522="!!!"),"",IF(NOT(ISNA(VLOOKUP(E1522,E$1:E1521,1,FALSE()))),"OLD",IF(AND(E1522&lt;&gt;"",E1522&lt;&gt;"!!!"),"NEW","")))</f>
        <v> </v>
      </c>
      <c r="G1522" s="24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5" t="str">
        <f>IF(J1522&lt;&gt;1,"",IF(I1522="SBJ","CB","?"))</f>
        <v> </v>
      </c>
      <c r="I1522" s="26" t="str">
        <f>IF(OR(E1522="",E1522="!!!",F1522="NEW"),"",INDEX(B1521:B$2,-1+SUMPRODUCT(MAX(ROW(E1521:E$2)*(E1522=E1521:E$2)))))</f>
        <v> </v>
      </c>
      <c r="J1522" s="26" t="str">
        <f>IF(OR(E1522="",E1522="!!!",F1522="NEW"),"",COUNTBLANK(OFFSET(A$1,,,SUMPRODUCT(MAX(ROW(E$2:E1522)*(E1522=E$2:E1522)))))-COUNTBLANK(OFFSET(A$1,,,SUMPRODUCT(MAX(ROW(E$1:E1521)*(E2=E$1:E1521))))))</f>
        <v> </v>
      </c>
      <c r="K1522" s="26" t="str">
        <f>IF(OR(E1522="",E1522="!!!",F1522="NEW"),"",INDEX(J$1:J1521,SUMPRODUCT(MAX(ROW(E$1:E1521)*(E1522=E$1:E1521)))))</f>
        <v> </v>
      </c>
      <c r="L1522" s="27"/>
    </row>
    <row r="1523" spans="1:12">
      <c r="A1523" s="20" t="s">
        <v>855</v>
      </c>
      <c r="E1523" s="22">
        <f>IF(D1523="?OLD","!!!","")</f>
        <v/>
      </c>
      <c r="F1523" s="23" t="str">
        <f>IF(OR(E1523="",E1523="!!!"),"",IF(NOT(ISNA(VLOOKUP(E1523,E$1:E1522,1,FALSE()))),"OLD",IF(AND(E1523&lt;&gt;"",E1523&lt;&gt;"!!!"),"NEW","")))</f>
        <v> </v>
      </c>
      <c r="G1523" s="24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5" t="str">
        <f>IF(J1523&lt;&gt;1,"",IF(I1523="SBJ","CB","?"))</f>
        <v> </v>
      </c>
      <c r="I1523" s="26" t="str">
        <f>IF(OR(E1523="",E1523="!!!",F1523="NEW"),"",INDEX(B1522:B$2,-1+SUMPRODUCT(MAX(ROW(E1522:E$2)*(E1523=E1522:E$2)))))</f>
        <v> </v>
      </c>
      <c r="J1523" s="26" t="str">
        <f>IF(OR(E1523="",E1523="!!!",F1523="NEW"),"",COUNTBLANK(OFFSET(A$1,,,SUMPRODUCT(MAX(ROW(E$2:E1523)*(E1523=E$2:E1523)))))-COUNTBLANK(OFFSET(A$1,,,SUMPRODUCT(MAX(ROW(E$1:E1522)*(E2=E$1:E1522))))))</f>
        <v> </v>
      </c>
      <c r="K1523" s="26" t="str">
        <f>IF(OR(E1523="",E1523="!!!",F1523="NEW"),"",INDEX(J$1:J1522,SUMPRODUCT(MAX(ROW(E$1:E1522)*(E1523=E$1:E1522)))))</f>
        <v> </v>
      </c>
      <c r="L1523" s="27"/>
    </row>
    <row r="1524" spans="1:12">
      <c r="A1524" s="20" t="s">
        <v>453</v>
      </c>
      <c r="E1524" s="22">
        <f>IF(D1524="?OLD","!!!","")</f>
        <v/>
      </c>
      <c r="F1524" s="23" t="str">
        <f>IF(OR(E1524="",E1524="!!!"),"",IF(NOT(ISNA(VLOOKUP(E1524,E$1:E1523,1,FALSE()))),"OLD",IF(AND(E1524&lt;&gt;"",E1524&lt;&gt;"!!!"),"NEW","")))</f>
        <v> </v>
      </c>
      <c r="G1524" s="24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5" t="str">
        <f>IF(J1524&lt;&gt;1,"",IF(I1524="SBJ","CB","?"))</f>
        <v> </v>
      </c>
      <c r="I1524" s="26" t="str">
        <f>IF(OR(E1524="",E1524="!!!",F1524="NEW"),"",INDEX(B1523:B$2,-1+SUMPRODUCT(MAX(ROW(E1523:E$2)*(E1524=E1523:E$2)))))</f>
        <v> </v>
      </c>
      <c r="J1524" s="26" t="str">
        <f>IF(OR(E1524="",E1524="!!!",F1524="NEW"),"",COUNTBLANK(OFFSET(A$1,,,SUMPRODUCT(MAX(ROW(E$2:E1524)*(E1524=E$2:E1524)))))-COUNTBLANK(OFFSET(A$1,,,SUMPRODUCT(MAX(ROW(E$1:E1523)*(E2=E$1:E1523))))))</f>
        <v> </v>
      </c>
      <c r="K1524" s="26" t="str">
        <f>IF(OR(E1524="",E1524="!!!",F1524="NEW"),"",INDEX(J$1:J1523,SUMPRODUCT(MAX(ROW(E$1:E1523)*(E1524=E$1:E1523)))))</f>
        <v> </v>
      </c>
      <c r="L1524" s="27"/>
    </row>
    <row r="1525" spans="1:12">
      <c r="A1525" s="20" t="s">
        <v>776</v>
      </c>
      <c r="E1525" s="22">
        <f>IF(D1525="?OLD","!!!","")</f>
        <v/>
      </c>
      <c r="F1525" s="23" t="str">
        <f>IF(OR(E1525="",E1525="!!!"),"",IF(NOT(ISNA(VLOOKUP(E1525,E$1:E1524,1,FALSE()))),"OLD",IF(AND(E1525&lt;&gt;"",E1525&lt;&gt;"!!!"),"NEW","")))</f>
        <v> </v>
      </c>
      <c r="G1525" s="24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5" t="str">
        <f>IF(J1525&lt;&gt;1,"",IF(I1525="SBJ","CB","?"))</f>
        <v> </v>
      </c>
      <c r="I1525" s="26" t="str">
        <f>IF(OR(E1525="",E1525="!!!",F1525="NEW"),"",INDEX(B1524:B$2,-1+SUMPRODUCT(MAX(ROW(E1524:E$2)*(E1525=E1524:E$2)))))</f>
        <v> </v>
      </c>
      <c r="J1525" s="26" t="str">
        <f>IF(OR(E1525="",E1525="!!!",F1525="NEW"),"",COUNTBLANK(OFFSET(A$1,,,SUMPRODUCT(MAX(ROW(E$2:E1525)*(E1525=E$2:E1525)))))-COUNTBLANK(OFFSET(A$1,,,SUMPRODUCT(MAX(ROW(E$1:E1524)*(E2=E$1:E1524))))))</f>
        <v> </v>
      </c>
      <c r="K1525" s="26" t="str">
        <f>IF(OR(E1525="",E1525="!!!",F1525="NEW"),"",INDEX(J$1:J1524,SUMPRODUCT(MAX(ROW(E$1:E1524)*(E1525=E$1:E1524)))))</f>
        <v> </v>
      </c>
      <c r="L1525" s="27"/>
    </row>
    <row r="1526" spans="1:12">
      <c r="A1526" s="20" t="s">
        <v>1182</v>
      </c>
      <c r="B1526" s="21" t="s">
        <v>462</v>
      </c>
      <c r="E1526" s="22">
        <f>IF(D1526="?OLD","!!!","")</f>
        <v/>
      </c>
      <c r="F1526" s="23" t="str">
        <f>IF(OR(E1526="",E1526="!!!"),"",IF(NOT(ISNA(VLOOKUP(E1526,E$1:E1525,1,FALSE()))),"OLD",IF(AND(E1526&lt;&gt;"",E1526&lt;&gt;"!!!"),"NEW","")))</f>
        <v> </v>
      </c>
      <c r="G1526" s="24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5" t="str">
        <f>IF(J1526&lt;&gt;1,"",IF(I1526="SBJ","CB","?"))</f>
        <v> </v>
      </c>
      <c r="I1526" s="26" t="str">
        <f>IF(OR(E1526="",E1526="!!!",F1526="NEW"),"",INDEX(B1525:B$2,-1+SUMPRODUCT(MAX(ROW(E1525:E$2)*(E1526=E1525:E$2)))))</f>
        <v> </v>
      </c>
      <c r="J1526" s="26" t="str">
        <f>IF(OR(E1526="",E1526="!!!",F1526="NEW"),"",COUNTBLANK(OFFSET(A$1,,,SUMPRODUCT(MAX(ROW(E$2:E1526)*(E1526=E$2:E1526)))))-COUNTBLANK(OFFSET(A$1,,,SUMPRODUCT(MAX(ROW(E$1:E1525)*(E2=E$1:E1525))))))</f>
        <v> </v>
      </c>
      <c r="K1526" s="26" t="str">
        <f>IF(OR(E1526="",E1526="!!!",F1526="NEW"),"",INDEX(J$1:J1525,SUMPRODUCT(MAX(ROW(E$1:E1525)*(E1526=E$1:E1525)))))</f>
        <v> </v>
      </c>
      <c r="L1526" s="27"/>
    </row>
    <row r="1527" spans="1:12">
      <c r="A1527" s="20" t="s">
        <v>1154</v>
      </c>
      <c r="E1527" s="22">
        <f>IF(D1527="?OLD","!!!","")</f>
        <v/>
      </c>
      <c r="F1527" s="23" t="str">
        <f>IF(OR(E1527="",E1527="!!!"),"",IF(NOT(ISNA(VLOOKUP(E1527,E$1:E1526,1,FALSE()))),"OLD",IF(AND(E1527&lt;&gt;"",E1527&lt;&gt;"!!!"),"NEW","")))</f>
        <v> </v>
      </c>
      <c r="G1527" s="24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5" t="str">
        <f>IF(J1527&lt;&gt;1,"",IF(I1527="SBJ","CB","?"))</f>
        <v> </v>
      </c>
      <c r="I1527" s="26" t="str">
        <f>IF(OR(E1527="",E1527="!!!",F1527="NEW"),"",INDEX(B1526:B$2,-1+SUMPRODUCT(MAX(ROW(E1526:E$2)*(E1527=E1526:E$2)))))</f>
        <v> </v>
      </c>
      <c r="J1527" s="26" t="str">
        <f>IF(OR(E1527="",E1527="!!!",F1527="NEW"),"",COUNTBLANK(OFFSET(A$1,,,SUMPRODUCT(MAX(ROW(E$2:E1527)*(E1527=E$2:E1527)))))-COUNTBLANK(OFFSET(A$1,,,SUMPRODUCT(MAX(ROW(E$1:E1526)*(E2=E$1:E1526))))))</f>
        <v> </v>
      </c>
      <c r="K1527" s="26" t="str">
        <f>IF(OR(E1527="",E1527="!!!",F1527="NEW"),"",INDEX(J$1:J1526,SUMPRODUCT(MAX(ROW(E$1:E1526)*(E1527=E$1:E1526)))))</f>
        <v> </v>
      </c>
      <c r="L1527" s="27"/>
    </row>
    <row r="1528" spans="1:12">
      <c r="A1528" s="20" t="s">
        <v>1183</v>
      </c>
      <c r="E1528" s="22">
        <f>IF(D1528="?OLD","!!!","")</f>
        <v/>
      </c>
      <c r="F1528" s="23" t="str">
        <f>IF(OR(E1528="",E1528="!!!"),"",IF(NOT(ISNA(VLOOKUP(E1528,E$1:E1527,1,FALSE()))),"OLD",IF(AND(E1528&lt;&gt;"",E1528&lt;&gt;"!!!"),"NEW","")))</f>
        <v> </v>
      </c>
      <c r="G1528" s="24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5" t="str">
        <f>IF(J1528&lt;&gt;1,"",IF(I1528="SBJ","CB","?"))</f>
        <v> </v>
      </c>
      <c r="I1528" s="26" t="str">
        <f>IF(OR(E1528="",E1528="!!!",F1528="NEW"),"",INDEX(B1527:B$2,-1+SUMPRODUCT(MAX(ROW(E1527:E$2)*(E1528=E1527:E$2)))))</f>
        <v> </v>
      </c>
      <c r="J1528" s="26" t="str">
        <f>IF(OR(E1528="",E1528="!!!",F1528="NEW"),"",COUNTBLANK(OFFSET(A$1,,,SUMPRODUCT(MAX(ROW(E$2:E1528)*(E1528=E$2:E1528)))))-COUNTBLANK(OFFSET(A$1,,,SUMPRODUCT(MAX(ROW(E$1:E1527)*(E2=E$1:E1527))))))</f>
        <v> </v>
      </c>
      <c r="K1528" s="26" t="str">
        <f>IF(OR(E1528="",E1528="!!!",F1528="NEW"),"",INDEX(J$1:J1527,SUMPRODUCT(MAX(ROW(E$1:E1527)*(E1528=E$1:E1527)))))</f>
        <v> </v>
      </c>
      <c r="L1528" s="27"/>
    </row>
    <row r="1529" spans="1:12">
      <c r="A1529" s="20" t="s">
        <v>1184</v>
      </c>
      <c r="E1529" s="22">
        <f>IF(D1529="?OLD","!!!","")</f>
        <v/>
      </c>
      <c r="F1529" s="23" t="str">
        <f>IF(OR(E1529="",E1529="!!!"),"",IF(NOT(ISNA(VLOOKUP(E1529,E$1:E1528,1,FALSE()))),"OLD",IF(AND(E1529&lt;&gt;"",E1529&lt;&gt;"!!!"),"NEW","")))</f>
        <v> </v>
      </c>
      <c r="G1529" s="24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5" t="str">
        <f>IF(J1529&lt;&gt;1,"",IF(I1529="SBJ","CB","?"))</f>
        <v> </v>
      </c>
      <c r="I1529" s="26" t="str">
        <f>IF(OR(E1529="",E1529="!!!",F1529="NEW"),"",INDEX(B1528:B$2,-1+SUMPRODUCT(MAX(ROW(E1528:E$2)*(E1529=E1528:E$2)))))</f>
        <v> </v>
      </c>
      <c r="J1529" s="26" t="str">
        <f>IF(OR(E1529="",E1529="!!!",F1529="NEW"),"",COUNTBLANK(OFFSET(A$1,,,SUMPRODUCT(MAX(ROW(E$2:E1529)*(E1529=E$2:E1529)))))-COUNTBLANK(OFFSET(A$1,,,SUMPRODUCT(MAX(ROW(E$1:E1528)*(E2=E$1:E1528))))))</f>
        <v> </v>
      </c>
      <c r="K1529" s="26" t="str">
        <f>IF(OR(E1529="",E1529="!!!",F1529="NEW"),"",INDEX(J$1:J1528,SUMPRODUCT(MAX(ROW(E$1:E1528)*(E1529=E$1:E1528)))))</f>
        <v> </v>
      </c>
      <c r="L1529" s="27"/>
    </row>
    <row r="1530" spans="1:12">
      <c r="A1530" s="20" t="s">
        <v>453</v>
      </c>
      <c r="E1530" s="22">
        <f>IF(D1530="?OLD","!!!","")</f>
        <v/>
      </c>
      <c r="F1530" s="23" t="str">
        <f>IF(OR(E1530="",E1530="!!!"),"",IF(NOT(ISNA(VLOOKUP(E1530,E$1:E1529,1,FALSE()))),"OLD",IF(AND(E1530&lt;&gt;"",E1530&lt;&gt;"!!!"),"NEW","")))</f>
        <v> </v>
      </c>
      <c r="G1530" s="24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5" t="str">
        <f>IF(J1530&lt;&gt;1,"",IF(I1530="SBJ","CB","?"))</f>
        <v> </v>
      </c>
      <c r="I1530" s="26" t="str">
        <f>IF(OR(E1530="",E1530="!!!",F1530="NEW"),"",INDEX(B1529:B$2,-1+SUMPRODUCT(MAX(ROW(E1529:E$2)*(E1530=E1529:E$2)))))</f>
        <v> </v>
      </c>
      <c r="J1530" s="26" t="str">
        <f>IF(OR(E1530="",E1530="!!!",F1530="NEW"),"",COUNTBLANK(OFFSET(A$1,,,SUMPRODUCT(MAX(ROW(E$2:E1530)*(E1530=E$2:E1530)))))-COUNTBLANK(OFFSET(A$1,,,SUMPRODUCT(MAX(ROW(E$1:E1529)*(E2=E$1:E1529))))))</f>
        <v> </v>
      </c>
      <c r="K1530" s="26" t="str">
        <f>IF(OR(E1530="",E1530="!!!",F1530="NEW"),"",INDEX(J$1:J1529,SUMPRODUCT(MAX(ROW(E$1:E1529)*(E1530=E$1:E1529)))))</f>
        <v> </v>
      </c>
      <c r="L1530" s="27"/>
    </row>
    <row r="1531" spans="1:12">
      <c r="A1531" s="20" t="s">
        <v>632</v>
      </c>
      <c r="E1531" s="22">
        <f>IF(D1531="?OLD","!!!","")</f>
        <v/>
      </c>
      <c r="F1531" s="23" t="str">
        <f>IF(OR(E1531="",E1531="!!!"),"",IF(NOT(ISNA(VLOOKUP(E1531,E$1:E1530,1,FALSE()))),"OLD",IF(AND(E1531&lt;&gt;"",E1531&lt;&gt;"!!!"),"NEW","")))</f>
        <v> </v>
      </c>
      <c r="G1531" s="24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5" t="str">
        <f>IF(J1531&lt;&gt;1,"",IF(I1531="SBJ","CB","?"))</f>
        <v> </v>
      </c>
      <c r="I1531" s="26" t="str">
        <f>IF(OR(E1531="",E1531="!!!",F1531="NEW"),"",INDEX(B1530:B$2,-1+SUMPRODUCT(MAX(ROW(E1530:E$2)*(E1531=E1530:E$2)))))</f>
        <v> </v>
      </c>
      <c r="J1531" s="26" t="str">
        <f>IF(OR(E1531="",E1531="!!!",F1531="NEW"),"",COUNTBLANK(OFFSET(A$1,,,SUMPRODUCT(MAX(ROW(E$2:E1531)*(E1531=E$2:E1531)))))-COUNTBLANK(OFFSET(A$1,,,SUMPRODUCT(MAX(ROW(E$1:E1530)*(E2=E$1:E1530))))))</f>
        <v> </v>
      </c>
      <c r="K1531" s="26" t="str">
        <f>IF(OR(E1531="",E1531="!!!",F1531="NEW"),"",INDEX(J$1:J1530,SUMPRODUCT(MAX(ROW(E$1:E1530)*(E1531=E$1:E1530)))))</f>
        <v> </v>
      </c>
      <c r="L1531" s="27"/>
    </row>
    <row r="1532" spans="1:12">
      <c r="A1532" s="20" t="s">
        <v>790</v>
      </c>
      <c r="E1532" s="22">
        <f>IF(D1532="?OLD","!!!","")</f>
        <v/>
      </c>
      <c r="F1532" s="23" t="str">
        <f>IF(OR(E1532="",E1532="!!!"),"",IF(NOT(ISNA(VLOOKUP(E1532,E$1:E1531,1,FALSE()))),"OLD",IF(AND(E1532&lt;&gt;"",E1532&lt;&gt;"!!!"),"NEW","")))</f>
        <v> </v>
      </c>
      <c r="G1532" s="24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5" t="str">
        <f>IF(J1532&lt;&gt;1,"",IF(I1532="SBJ","CB","?"))</f>
        <v> </v>
      </c>
      <c r="I1532" s="26" t="str">
        <f>IF(OR(E1532="",E1532="!!!",F1532="NEW"),"",INDEX(B1531:B$2,-1+SUMPRODUCT(MAX(ROW(E1531:E$2)*(E1532=E1531:E$2)))))</f>
        <v> </v>
      </c>
      <c r="J1532" s="26" t="str">
        <f>IF(OR(E1532="",E1532="!!!",F1532="NEW"),"",COUNTBLANK(OFFSET(A$1,,,SUMPRODUCT(MAX(ROW(E$2:E1532)*(E1532=E$2:E1532)))))-COUNTBLANK(OFFSET(A$1,,,SUMPRODUCT(MAX(ROW(E$1:E1531)*(E2=E$1:E1531))))))</f>
        <v> </v>
      </c>
      <c r="K1532" s="26" t="str">
        <f>IF(OR(E1532="",E1532="!!!",F1532="NEW"),"",INDEX(J$1:J1531,SUMPRODUCT(MAX(ROW(E$1:E1531)*(E1532=E$1:E1531)))))</f>
        <v> </v>
      </c>
      <c r="L1532" s="27"/>
    </row>
    <row r="1533" spans="1:12">
      <c r="A1533" s="20" t="s">
        <v>968</v>
      </c>
      <c r="E1533" s="22">
        <f>IF(D1533="?OLD","!!!","")</f>
        <v/>
      </c>
      <c r="F1533" s="23" t="str">
        <f>IF(OR(E1533="",E1533="!!!"),"",IF(NOT(ISNA(VLOOKUP(E1533,E$1:E1532,1,FALSE()))),"OLD",IF(AND(E1533&lt;&gt;"",E1533&lt;&gt;"!!!"),"NEW","")))</f>
        <v> </v>
      </c>
      <c r="G1533" s="24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5" t="str">
        <f>IF(J1533&lt;&gt;1,"",IF(I1533="SBJ","CB","?"))</f>
        <v> </v>
      </c>
      <c r="I1533" s="26" t="str">
        <f>IF(OR(E1533="",E1533="!!!",F1533="NEW"),"",INDEX(B1532:B$2,-1+SUMPRODUCT(MAX(ROW(E1532:E$2)*(E1533=E1532:E$2)))))</f>
        <v> </v>
      </c>
      <c r="J1533" s="26" t="str">
        <f>IF(OR(E1533="",E1533="!!!",F1533="NEW"),"",COUNTBLANK(OFFSET(A$1,,,SUMPRODUCT(MAX(ROW(E$2:E1533)*(E1533=E$2:E1533)))))-COUNTBLANK(OFFSET(A$1,,,SUMPRODUCT(MAX(ROW(E$1:E1532)*(E2=E$1:E1532))))))</f>
        <v> </v>
      </c>
      <c r="K1533" s="26" t="str">
        <f>IF(OR(E1533="",E1533="!!!",F1533="NEW"),"",INDEX(J$1:J1532,SUMPRODUCT(MAX(ROW(E$1:E1532)*(E1533=E$1:E1532)))))</f>
        <v> </v>
      </c>
      <c r="L1533" s="27"/>
    </row>
    <row r="1534" spans="1:12">
      <c r="A1534" s="20" t="s">
        <v>969</v>
      </c>
      <c r="E1534" s="22">
        <f>IF(D1534="?OLD","!!!","")</f>
        <v/>
      </c>
      <c r="F1534" s="23" t="str">
        <f>IF(OR(E1534="",E1534="!!!"),"",IF(NOT(ISNA(VLOOKUP(E1534,E$1:E1533,1,FALSE()))),"OLD",IF(AND(E1534&lt;&gt;"",E1534&lt;&gt;"!!!"),"NEW","")))</f>
        <v> </v>
      </c>
      <c r="G1534" s="24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5" t="str">
        <f>IF(J1534&lt;&gt;1,"",IF(I1534="SBJ","CB","?"))</f>
        <v> </v>
      </c>
      <c r="I1534" s="26" t="str">
        <f>IF(OR(E1534="",E1534="!!!",F1534="NEW"),"",INDEX(B1533:B$2,-1+SUMPRODUCT(MAX(ROW(E1533:E$2)*(E1534=E1533:E$2)))))</f>
        <v> </v>
      </c>
      <c r="J1534" s="26" t="str">
        <f>IF(OR(E1534="",E1534="!!!",F1534="NEW"),"",COUNTBLANK(OFFSET(A$1,,,SUMPRODUCT(MAX(ROW(E$2:E1534)*(E1534=E$2:E1534)))))-COUNTBLANK(OFFSET(A$1,,,SUMPRODUCT(MAX(ROW(E$1:E1533)*(E2=E$1:E1533))))))</f>
        <v> </v>
      </c>
      <c r="K1534" s="26" t="str">
        <f>IF(OR(E1534="",E1534="!!!",F1534="NEW"),"",INDEX(J$1:J1533,SUMPRODUCT(MAX(ROW(E$1:E1533)*(E1534=E$1:E1533)))))</f>
        <v> </v>
      </c>
      <c r="L1534" s="27"/>
    </row>
    <row r="1535" spans="1:12">
      <c r="A1535" s="20" t="s">
        <v>453</v>
      </c>
      <c r="E1535" s="22">
        <f>IF(D1535="?OLD","!!!","")</f>
        <v/>
      </c>
      <c r="F1535" s="23" t="str">
        <f>IF(OR(E1535="",E1535="!!!"),"",IF(NOT(ISNA(VLOOKUP(E1535,E$1:E1534,1,FALSE()))),"OLD",IF(AND(E1535&lt;&gt;"",E1535&lt;&gt;"!!!"),"NEW","")))</f>
        <v> </v>
      </c>
      <c r="G1535" s="24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5" t="str">
        <f>IF(J1535&lt;&gt;1,"",IF(I1535="SBJ","CB","?"))</f>
        <v> </v>
      </c>
      <c r="I1535" s="26" t="str">
        <f>IF(OR(E1535="",E1535="!!!",F1535="NEW"),"",INDEX(B1534:B$2,-1+SUMPRODUCT(MAX(ROW(E1534:E$2)*(E1535=E1534:E$2)))))</f>
        <v> </v>
      </c>
      <c r="J1535" s="26" t="str">
        <f>IF(OR(E1535="",E1535="!!!",F1535="NEW"),"",COUNTBLANK(OFFSET(A$1,,,SUMPRODUCT(MAX(ROW(E$2:E1535)*(E1535=E$2:E1535)))))-COUNTBLANK(OFFSET(A$1,,,SUMPRODUCT(MAX(ROW(E$1:E1534)*(E2=E$1:E1534))))))</f>
        <v> </v>
      </c>
      <c r="K1535" s="26" t="str">
        <f>IF(OR(E1535="",E1535="!!!",F1535="NEW"),"",INDEX(J$1:J1534,SUMPRODUCT(MAX(ROW(E$1:E1534)*(E1535=E$1:E1534)))))</f>
        <v> </v>
      </c>
      <c r="L1535" s="27"/>
    </row>
    <row r="1536" spans="1:12">
      <c r="A1536" s="20" t="s">
        <v>482</v>
      </c>
      <c r="B1536" s="21" t="s">
        <v>422</v>
      </c>
      <c r="C1536" s="21" t="s">
        <v>477</v>
      </c>
      <c r="D1536" s="21" t="s">
        <v>424</v>
      </c>
      <c r="E1536" s="22">
        <f>IF(D1536="?OLD","!!!","")</f>
        <v/>
      </c>
      <c r="F1536" s="23" t="str">
        <f>IF(OR(E1536="",E1536="!!!"),"",IF(NOT(ISNA(VLOOKUP(E1536,E$1:E1535,1,FALSE()))),"OLD",IF(AND(E1536&lt;&gt;"",E1536&lt;&gt;"!!!"),"NEW","")))</f>
        <v> </v>
      </c>
      <c r="G1536" s="24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5" t="str">
        <f>IF(J1536&lt;&gt;1,"",IF(I1536="SBJ","CB","?"))</f>
        <v> </v>
      </c>
      <c r="I1536" s="26" t="str">
        <f>IF(OR(E1536="",E1536="!!!",F1536="NEW"),"",INDEX(B1535:B$2,-1+SUMPRODUCT(MAX(ROW(E1535:E$2)*(E1536=E1535:E$2)))))</f>
        <v> </v>
      </c>
      <c r="J1536" s="26" t="str">
        <f>IF(OR(E1536="",E1536="!!!",F1536="NEW"),"",COUNTBLANK(OFFSET(A$1,,,SUMPRODUCT(MAX(ROW(E$2:E1536)*(E1536=E$2:E1536)))))-COUNTBLANK(OFFSET(A$1,,,SUMPRODUCT(MAX(ROW(E$1:E1535)*(E2=E$1:E1535))))))</f>
        <v> </v>
      </c>
      <c r="K1536" s="26" t="str">
        <f>IF(OR(E1536="",E1536="!!!",F1536="NEW"),"",INDEX(J$1:J1535,SUMPRODUCT(MAX(ROW(E$1:E1535)*(E1536=E$1:E1535)))))</f>
        <v> </v>
      </c>
      <c r="L1536" s="27"/>
    </row>
    <row r="1537" spans="1:12">
      <c r="A1537" s="20" t="s">
        <v>859</v>
      </c>
      <c r="E1537" s="22">
        <f>IF(D1537="?OLD","!!!","")</f>
        <v/>
      </c>
      <c r="F1537" s="23" t="str">
        <f>IF(OR(E1537="",E1537="!!!"),"",IF(NOT(ISNA(VLOOKUP(E1537,E$1:E1536,1,FALSE()))),"OLD",IF(AND(E1537&lt;&gt;"",E1537&lt;&gt;"!!!"),"NEW","")))</f>
        <v> </v>
      </c>
      <c r="G1537" s="24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5" t="str">
        <f>IF(J1537&lt;&gt;1,"",IF(I1537="SBJ","CB","?"))</f>
        <v> </v>
      </c>
      <c r="I1537" s="26" t="str">
        <f>IF(OR(E1537="",E1537="!!!",F1537="NEW"),"",INDEX(B1536:B$2,-1+SUMPRODUCT(MAX(ROW(E1536:E$2)*(E1537=E1536:E$2)))))</f>
        <v> </v>
      </c>
      <c r="J1537" s="26" t="str">
        <f>IF(OR(E1537="",E1537="!!!",F1537="NEW"),"",COUNTBLANK(OFFSET(A$1,,,SUMPRODUCT(MAX(ROW(E$2:E1537)*(E1537=E$2:E1537)))))-COUNTBLANK(OFFSET(A$1,,,SUMPRODUCT(MAX(ROW(E$1:E1536)*(E2=E$1:E1536))))))</f>
        <v> </v>
      </c>
      <c r="K1537" s="26" t="str">
        <f>IF(OR(E1537="",E1537="!!!",F1537="NEW"),"",INDEX(J$1:J1536,SUMPRODUCT(MAX(ROW(E$1:E1536)*(E1537=E$1:E1536)))))</f>
        <v> </v>
      </c>
      <c r="L1537" s="27"/>
    </row>
    <row r="1538" spans="1:12">
      <c r="A1538" s="20" t="s">
        <v>1185</v>
      </c>
      <c r="E1538" s="22">
        <f>IF(D1538="?OLD","!!!","")</f>
        <v/>
      </c>
      <c r="F1538" s="23" t="str">
        <f>IF(OR(E1538="",E1538="!!!"),"",IF(NOT(ISNA(VLOOKUP(E1538,E$1:E1537,1,FALSE()))),"OLD",IF(AND(E1538&lt;&gt;"",E1538&lt;&gt;"!!!"),"NEW","")))</f>
        <v> </v>
      </c>
      <c r="G1538" s="24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5" t="str">
        <f>IF(J1538&lt;&gt;1,"",IF(I1538="SBJ","CB","?"))</f>
        <v> </v>
      </c>
      <c r="I1538" s="26" t="str">
        <f>IF(OR(E1538="",E1538="!!!",F1538="NEW"),"",INDEX(B1537:B$2,-1+SUMPRODUCT(MAX(ROW(E1537:E$2)*(E1538=E1537:E$2)))))</f>
        <v> </v>
      </c>
      <c r="J1538" s="26" t="str">
        <f>IF(OR(E1538="",E1538="!!!",F1538="NEW"),"",COUNTBLANK(OFFSET(A$1,,,SUMPRODUCT(MAX(ROW(E$2:E1538)*(E1538=E$2:E1538)))))-COUNTBLANK(OFFSET(A$1,,,SUMPRODUCT(MAX(ROW(E$1:E1537)*(E2=E$1:E1537))))))</f>
        <v> </v>
      </c>
      <c r="K1538" s="26" t="str">
        <f>IF(OR(E1538="",E1538="!!!",F1538="NEW"),"",INDEX(J$1:J1537,SUMPRODUCT(MAX(ROW(E$1:E1537)*(E1538=E$1:E1537)))))</f>
        <v> </v>
      </c>
      <c r="L1538" s="27"/>
    </row>
    <row r="1539" spans="1:12">
      <c r="A1539" s="20" t="s">
        <v>1186</v>
      </c>
      <c r="E1539" s="22">
        <f>IF(D1539="?OLD","!!!","")</f>
        <v/>
      </c>
      <c r="F1539" s="23" t="str">
        <f>IF(OR(E1539="",E1539="!!!"),"",IF(NOT(ISNA(VLOOKUP(E1539,E$1:E1538,1,FALSE()))),"OLD",IF(AND(E1539&lt;&gt;"",E1539&lt;&gt;"!!!"),"NEW","")))</f>
        <v> </v>
      </c>
      <c r="G1539" s="24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5" t="str">
        <f>IF(J1539&lt;&gt;1,"",IF(I1539="SBJ","CB","?"))</f>
        <v> </v>
      </c>
      <c r="I1539" s="26" t="str">
        <f>IF(OR(E1539="",E1539="!!!",F1539="NEW"),"",INDEX(B1538:B$2,-1+SUMPRODUCT(MAX(ROW(E1538:E$2)*(E1539=E1538:E$2)))))</f>
        <v> </v>
      </c>
      <c r="J1539" s="26" t="str">
        <f>IF(OR(E1539="",E1539="!!!",F1539="NEW"),"",COUNTBLANK(OFFSET(A$1,,,SUMPRODUCT(MAX(ROW(E$2:E1539)*(E1539=E$2:E1539)))))-COUNTBLANK(OFFSET(A$1,,,SUMPRODUCT(MAX(ROW(E$1:E1538)*(E2=E$1:E1538))))))</f>
        <v> </v>
      </c>
      <c r="K1539" s="26" t="str">
        <f>IF(OR(E1539="",E1539="!!!",F1539="NEW"),"",INDEX(J$1:J1538,SUMPRODUCT(MAX(ROW(E$1:E1538)*(E1539=E$1:E1538)))))</f>
        <v> </v>
      </c>
      <c r="L1539" s="27"/>
    </row>
    <row r="1540" spans="1:12">
      <c r="A1540" s="20" t="s">
        <v>1187</v>
      </c>
      <c r="E1540" s="22">
        <f>IF(D1540="?OLD","!!!","")</f>
        <v/>
      </c>
      <c r="F1540" s="23" t="str">
        <f>IF(OR(E1540="",E1540="!!!"),"",IF(NOT(ISNA(VLOOKUP(E1540,E$1:E1539,1,FALSE()))),"OLD",IF(AND(E1540&lt;&gt;"",E1540&lt;&gt;"!!!"),"NEW","")))</f>
        <v> </v>
      </c>
      <c r="G1540" s="24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5" t="str">
        <f>IF(J1540&lt;&gt;1,"",IF(I1540="SBJ","CB","?"))</f>
        <v> </v>
      </c>
      <c r="I1540" s="26" t="str">
        <f>IF(OR(E1540="",E1540="!!!",F1540="NEW"),"",INDEX(B1539:B$2,-1+SUMPRODUCT(MAX(ROW(E1539:E$2)*(E1540=E1539:E$2)))))</f>
        <v> </v>
      </c>
      <c r="J1540" s="26" t="str">
        <f>IF(OR(E1540="",E1540="!!!",F1540="NEW"),"",COUNTBLANK(OFFSET(A$1,,,SUMPRODUCT(MAX(ROW(E$2:E1540)*(E1540=E$2:E1540)))))-COUNTBLANK(OFFSET(A$1,,,SUMPRODUCT(MAX(ROW(E$1:E1539)*(E2=E$1:E1539))))))</f>
        <v> </v>
      </c>
      <c r="K1540" s="26" t="str">
        <f>IF(OR(E1540="",E1540="!!!",F1540="NEW"),"",INDEX(J$1:J1539,SUMPRODUCT(MAX(ROW(E$1:E1539)*(E1540=E$1:E1539)))))</f>
        <v> </v>
      </c>
      <c r="L1540" s="27"/>
    </row>
    <row r="1541" spans="1:12">
      <c r="A1541" s="20" t="s">
        <v>438</v>
      </c>
      <c r="E1541" s="22">
        <f>IF(D1541="?OLD","!!!","")</f>
        <v/>
      </c>
      <c r="F1541" s="23" t="str">
        <f>IF(OR(E1541="",E1541="!!!"),"",IF(NOT(ISNA(VLOOKUP(E1541,E$1:E1540,1,FALSE()))),"OLD",IF(AND(E1541&lt;&gt;"",E1541&lt;&gt;"!!!"),"NEW","")))</f>
        <v> </v>
      </c>
      <c r="G1541" s="24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5" t="str">
        <f>IF(J1541&lt;&gt;1,"",IF(I1541="SBJ","CB","?"))</f>
        <v> </v>
      </c>
      <c r="I1541" s="26" t="str">
        <f>IF(OR(E1541="",E1541="!!!",F1541="NEW"),"",INDEX(B1540:B$2,-1+SUMPRODUCT(MAX(ROW(E1540:E$2)*(E1541=E1540:E$2)))))</f>
        <v> </v>
      </c>
      <c r="J1541" s="26" t="str">
        <f>IF(OR(E1541="",E1541="!!!",F1541="NEW"),"",COUNTBLANK(OFFSET(A$1,,,SUMPRODUCT(MAX(ROW(E$2:E1541)*(E1541=E$2:E1541)))))-COUNTBLANK(OFFSET(A$1,,,SUMPRODUCT(MAX(ROW(E$1:E1540)*(E2=E$1:E1540))))))</f>
        <v> </v>
      </c>
      <c r="K1541" s="26" t="str">
        <f>IF(OR(E1541="",E1541="!!!",F1541="NEW"),"",INDEX(J$1:J1540,SUMPRODUCT(MAX(ROW(E$1:E1540)*(E1541=E$1:E1540)))))</f>
        <v> </v>
      </c>
      <c r="L1541" s="27"/>
    </row>
    <row r="1542" spans="1:12">
      <c r="A1542" s="20"/>
    </row>
    <row r="1543" spans="1:12">
      <c r="A1543" s="20" t="s">
        <v>1188</v>
      </c>
    </row>
    <row r="1544" spans="1:12">
      <c r="A1544" s="20" t="s">
        <v>1189</v>
      </c>
      <c r="B1544" s="21" t="s">
        <v>422</v>
      </c>
      <c r="E1544" s="22">
        <f>IF(D1544="?OLD","!!!","")</f>
        <v/>
      </c>
      <c r="F1544" s="23" t="str">
        <f>IF(OR(E1544="",E1544="!!!"),"",IF(NOT(ISNA(VLOOKUP(E1544,E$1:E1543,1,FALSE()))),"OLD",IF(AND(E1544&lt;&gt;"",E1544&lt;&gt;"!!!"),"NEW","")))</f>
        <v> </v>
      </c>
      <c r="G1544" s="24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5" t="str">
        <f>IF(J1544&lt;&gt;1,"",IF(I1544="SBJ","CB","?"))</f>
        <v> </v>
      </c>
      <c r="I1544" s="26" t="str">
        <f>IF(OR(E1544="",E1544="!!!",F1544="NEW"),"",INDEX(B1543:B$2,-1+SUMPRODUCT(MAX(ROW(E1543:E$2)*(E1544=E1543:E$2)))))</f>
        <v> </v>
      </c>
      <c r="J1544" s="26" t="str">
        <f>IF(OR(E1544="",E1544="!!!",F1544="NEW"),"",COUNTBLANK(OFFSET(A$1,,,SUMPRODUCT(MAX(ROW(E$2:E1544)*(E1544=E$2:E1544)))))-COUNTBLANK(OFFSET(A$1,,,SUMPRODUCT(MAX(ROW(E$1:E1543)*(E2=E$1:E1543))))))</f>
        <v> </v>
      </c>
      <c r="K1544" s="26" t="str">
        <f>IF(OR(E1544="",E1544="!!!",F1544="NEW"),"",INDEX(J$1:J1543,SUMPRODUCT(MAX(ROW(E$1:E1543)*(E1544=E$1:E1543)))))</f>
        <v> </v>
      </c>
      <c r="L1544" s="27"/>
    </row>
    <row r="1545" spans="1:12">
      <c r="A1545" s="20" t="s">
        <v>1190</v>
      </c>
      <c r="E1545" s="22">
        <f>IF(D1545="?OLD","!!!","")</f>
        <v/>
      </c>
      <c r="F1545" s="23" t="str">
        <f>IF(OR(E1545="",E1545="!!!"),"",IF(NOT(ISNA(VLOOKUP(E1545,E$1:E1544,1,FALSE()))),"OLD",IF(AND(E1545&lt;&gt;"",E1545&lt;&gt;"!!!"),"NEW","")))</f>
        <v> </v>
      </c>
      <c r="G1545" s="24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5" t="str">
        <f>IF(J1545&lt;&gt;1,"",IF(I1545="SBJ","CB","?"))</f>
        <v> </v>
      </c>
      <c r="I1545" s="26" t="str">
        <f>IF(OR(E1545="",E1545="!!!",F1545="NEW"),"",INDEX(B1544:B$2,-1+SUMPRODUCT(MAX(ROW(E1544:E$2)*(E1545=E1544:E$2)))))</f>
        <v> </v>
      </c>
      <c r="J1545" s="26" t="str">
        <f>IF(OR(E1545="",E1545="!!!",F1545="NEW"),"",COUNTBLANK(OFFSET(A$1,,,SUMPRODUCT(MAX(ROW(E$2:E1545)*(E1545=E$2:E1545)))))-COUNTBLANK(OFFSET(A$1,,,SUMPRODUCT(MAX(ROW(E$1:E1544)*(E2=E$1:E1544))))))</f>
        <v> </v>
      </c>
      <c r="K1545" s="26" t="str">
        <f>IF(OR(E1545="",E1545="!!!",F1545="NEW"),"",INDEX(J$1:J1544,SUMPRODUCT(MAX(ROW(E$1:E1544)*(E1545=E$1:E1544)))))</f>
        <v> </v>
      </c>
      <c r="L1545" s="27"/>
    </row>
    <row r="1546" spans="1:12">
      <c r="A1546" s="20" t="s">
        <v>634</v>
      </c>
      <c r="E1546" s="22">
        <f>IF(D1546="?OLD","!!!","")</f>
        <v/>
      </c>
      <c r="F1546" s="23" t="str">
        <f>IF(OR(E1546="",E1546="!!!"),"",IF(NOT(ISNA(VLOOKUP(E1546,E$1:E1545,1,FALSE()))),"OLD",IF(AND(E1546&lt;&gt;"",E1546&lt;&gt;"!!!"),"NEW","")))</f>
        <v> </v>
      </c>
      <c r="G1546" s="24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5" t="str">
        <f>IF(J1546&lt;&gt;1,"",IF(I1546="SBJ","CB","?"))</f>
        <v> </v>
      </c>
      <c r="I1546" s="26" t="str">
        <f>IF(OR(E1546="",E1546="!!!",F1546="NEW"),"",INDEX(B1545:B$2,-1+SUMPRODUCT(MAX(ROW(E1545:E$2)*(E1546=E1545:E$2)))))</f>
        <v> </v>
      </c>
      <c r="J1546" s="26" t="str">
        <f>IF(OR(E1546="",E1546="!!!",F1546="NEW"),"",COUNTBLANK(OFFSET(A$1,,,SUMPRODUCT(MAX(ROW(E$2:E1546)*(E1546=E$2:E1546)))))-COUNTBLANK(OFFSET(A$1,,,SUMPRODUCT(MAX(ROW(E$1:E1545)*(E2=E$1:E1545))))))</f>
        <v> </v>
      </c>
      <c r="K1546" s="26" t="str">
        <f>IF(OR(E1546="",E1546="!!!",F1546="NEW"),"",INDEX(J$1:J1545,SUMPRODUCT(MAX(ROW(E$1:E1545)*(E1546=E$1:E1545)))))</f>
        <v> </v>
      </c>
      <c r="L1546" s="27"/>
    </row>
    <row r="1547" spans="1:12">
      <c r="A1547" s="20" t="s">
        <v>1191</v>
      </c>
      <c r="E1547" s="22">
        <f>IF(D1547="?OLD","!!!","")</f>
        <v/>
      </c>
      <c r="F1547" s="23" t="str">
        <f>IF(OR(E1547="",E1547="!!!"),"",IF(NOT(ISNA(VLOOKUP(E1547,E$1:E1546,1,FALSE()))),"OLD",IF(AND(E1547&lt;&gt;"",E1547&lt;&gt;"!!!"),"NEW","")))</f>
        <v> </v>
      </c>
      <c r="G1547" s="24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5" t="str">
        <f>IF(J1547&lt;&gt;1,"",IF(I1547="SBJ","CB","?"))</f>
        <v> </v>
      </c>
      <c r="I1547" s="26" t="str">
        <f>IF(OR(E1547="",E1547="!!!",F1547="NEW"),"",INDEX(B1546:B$2,-1+SUMPRODUCT(MAX(ROW(E1546:E$2)*(E1547=E1546:E$2)))))</f>
        <v> </v>
      </c>
      <c r="J1547" s="26" t="str">
        <f>IF(OR(E1547="",E1547="!!!",F1547="NEW"),"",COUNTBLANK(OFFSET(A$1,,,SUMPRODUCT(MAX(ROW(E$2:E1547)*(E1547=E$2:E1547)))))-COUNTBLANK(OFFSET(A$1,,,SUMPRODUCT(MAX(ROW(E$1:E1546)*(E2=E$1:E1546))))))</f>
        <v> </v>
      </c>
      <c r="K1547" s="26" t="str">
        <f>IF(OR(E1547="",E1547="!!!",F1547="NEW"),"",INDEX(J$1:J1546,SUMPRODUCT(MAX(ROW(E$1:E1546)*(E1547=E$1:E1546)))))</f>
        <v> </v>
      </c>
      <c r="L1547" s="27"/>
    </row>
    <row r="1548" spans="1:12">
      <c r="A1548" s="20" t="s">
        <v>1027</v>
      </c>
      <c r="B1548" s="21" t="s">
        <v>500</v>
      </c>
      <c r="C1548" s="21" t="s">
        <v>448</v>
      </c>
      <c r="E1548" s="22">
        <f>IF(D1548="?OLD","!!!","")</f>
        <v/>
      </c>
      <c r="F1548" s="23" t="str">
        <f>IF(OR(E1548="",E1548="!!!"),"",IF(NOT(ISNA(VLOOKUP(E1548,E$1:E1547,1,FALSE()))),"OLD",IF(AND(E1548&lt;&gt;"",E1548&lt;&gt;"!!!"),"NEW","")))</f>
        <v> </v>
      </c>
      <c r="G1548" s="24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5" t="str">
        <f>IF(J1548&lt;&gt;1,"",IF(I1548="SBJ","CB","?"))</f>
        <v> </v>
      </c>
      <c r="I1548" s="26" t="str">
        <f>IF(OR(E1548="",E1548="!!!",F1548="NEW"),"",INDEX(B1547:B$2,-1+SUMPRODUCT(MAX(ROW(E1547:E$2)*(E1548=E1547:E$2)))))</f>
        <v> </v>
      </c>
      <c r="J1548" s="26" t="str">
        <f>IF(OR(E1548="",E1548="!!!",F1548="NEW"),"",COUNTBLANK(OFFSET(A$1,,,SUMPRODUCT(MAX(ROW(E$2:E1548)*(E1548=E$2:E1548)))))-COUNTBLANK(OFFSET(A$1,,,SUMPRODUCT(MAX(ROW(E$1:E1547)*(E2=E$1:E1547))))))</f>
        <v> </v>
      </c>
      <c r="K1548" s="26" t="str">
        <f>IF(OR(E1548="",E1548="!!!",F1548="NEW"),"",INDEX(J$1:J1547,SUMPRODUCT(MAX(ROW(E$1:E1547)*(E1548=E$1:E1547)))))</f>
        <v> </v>
      </c>
      <c r="L1548" s="27"/>
    </row>
    <row r="1549" spans="1:12">
      <c r="A1549" s="20" t="s">
        <v>430</v>
      </c>
      <c r="E1549" s="22">
        <f>IF(D1549="?OLD","!!!","")</f>
        <v/>
      </c>
      <c r="F1549" s="23" t="str">
        <f>IF(OR(E1549="",E1549="!!!"),"",IF(NOT(ISNA(VLOOKUP(E1549,E$1:E1548,1,FALSE()))),"OLD",IF(AND(E1549&lt;&gt;"",E1549&lt;&gt;"!!!"),"NEW","")))</f>
        <v> </v>
      </c>
      <c r="G1549" s="24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5" t="str">
        <f>IF(J1549&lt;&gt;1,"",IF(I1549="SBJ","CB","?"))</f>
        <v> </v>
      </c>
      <c r="I1549" s="26" t="str">
        <f>IF(OR(E1549="",E1549="!!!",F1549="NEW"),"",INDEX(B1548:B$2,-1+SUMPRODUCT(MAX(ROW(E1548:E$2)*(E1549=E1548:E$2)))))</f>
        <v> </v>
      </c>
      <c r="J1549" s="26" t="str">
        <f>IF(OR(E1549="",E1549="!!!",F1549="NEW"),"",COUNTBLANK(OFFSET(A$1,,,SUMPRODUCT(MAX(ROW(E$2:E1549)*(E1549=E$2:E1549)))))-COUNTBLANK(OFFSET(A$1,,,SUMPRODUCT(MAX(ROW(E$1:E1548)*(E2=E$1:E1548))))))</f>
        <v> </v>
      </c>
      <c r="K1549" s="26" t="str">
        <f>IF(OR(E1549="",E1549="!!!",F1549="NEW"),"",INDEX(J$1:J1548,SUMPRODUCT(MAX(ROW(E$1:E1548)*(E1549=E$1:E1548)))))</f>
        <v> </v>
      </c>
      <c r="L1549" s="27"/>
    </row>
    <row r="1550" spans="1:12">
      <c r="A1550" s="20" t="s">
        <v>1192</v>
      </c>
      <c r="E1550" s="22">
        <f>IF(D1550="?OLD","!!!","")</f>
        <v/>
      </c>
      <c r="F1550" s="23" t="str">
        <f>IF(OR(E1550="",E1550="!!!"),"",IF(NOT(ISNA(VLOOKUP(E1550,E$1:E1549,1,FALSE()))),"OLD",IF(AND(E1550&lt;&gt;"",E1550&lt;&gt;"!!!"),"NEW","")))</f>
        <v> </v>
      </c>
      <c r="G1550" s="24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5" t="str">
        <f>IF(J1550&lt;&gt;1,"",IF(I1550="SBJ","CB","?"))</f>
        <v> </v>
      </c>
      <c r="I1550" s="26" t="str">
        <f>IF(OR(E1550="",E1550="!!!",F1550="NEW"),"",INDEX(B1549:B$2,-1+SUMPRODUCT(MAX(ROW(E1549:E$2)*(E1550=E1549:E$2)))))</f>
        <v> </v>
      </c>
      <c r="J1550" s="26" t="str">
        <f>IF(OR(E1550="",E1550="!!!",F1550="NEW"),"",COUNTBLANK(OFFSET(A$1,,,SUMPRODUCT(MAX(ROW(E$2:E1550)*(E1550=E$2:E1550)))))-COUNTBLANK(OFFSET(A$1,,,SUMPRODUCT(MAX(ROW(E$1:E1549)*(E2=E$1:E1549))))))</f>
        <v> </v>
      </c>
      <c r="K1550" s="26" t="str">
        <f>IF(OR(E1550="",E1550="!!!",F1550="NEW"),"",INDEX(J$1:J1549,SUMPRODUCT(MAX(ROW(E$1:E1549)*(E1550=E$1:E1549)))))</f>
        <v> </v>
      </c>
      <c r="L1550" s="27"/>
    </row>
    <row r="1551" spans="1:12">
      <c r="A1551" s="20" t="s">
        <v>215</v>
      </c>
      <c r="E1551" s="22">
        <f>IF(D1551="?OLD","!!!","")</f>
        <v/>
      </c>
      <c r="F1551" s="23" t="str">
        <f>IF(OR(E1551="",E1551="!!!"),"",IF(NOT(ISNA(VLOOKUP(E1551,E$1:E1550,1,FALSE()))),"OLD",IF(AND(E1551&lt;&gt;"",E1551&lt;&gt;"!!!"),"NEW","")))</f>
        <v> </v>
      </c>
      <c r="G1551" s="24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5" t="str">
        <f>IF(J1551&lt;&gt;1,"",IF(I1551="SBJ","CB","?"))</f>
        <v> </v>
      </c>
      <c r="I1551" s="26" t="str">
        <f>IF(OR(E1551="",E1551="!!!",F1551="NEW"),"",INDEX(B1550:B$2,-1+SUMPRODUCT(MAX(ROW(E1550:E$2)*(E1551=E1550:E$2)))))</f>
        <v> </v>
      </c>
      <c r="J1551" s="26" t="str">
        <f>IF(OR(E1551="",E1551="!!!",F1551="NEW"),"",COUNTBLANK(OFFSET(A$1,,,SUMPRODUCT(MAX(ROW(E$2:E1551)*(E1551=E$2:E1551)))))-COUNTBLANK(OFFSET(A$1,,,SUMPRODUCT(MAX(ROW(E$1:E1550)*(E2=E$1:E1550))))))</f>
        <v> </v>
      </c>
      <c r="K1551" s="26" t="str">
        <f>IF(OR(E1551="",E1551="!!!",F1551="NEW"),"",INDEX(J$1:J1550,SUMPRODUCT(MAX(ROW(E$1:E1550)*(E1551=E$1:E1550)))))</f>
        <v> </v>
      </c>
      <c r="L1551" s="27"/>
    </row>
    <row r="1552" spans="1:12">
      <c r="A1552" s="20" t="s">
        <v>1193</v>
      </c>
      <c r="B1552" s="21" t="s">
        <v>781</v>
      </c>
      <c r="E1552" s="22">
        <f>IF(D1552="?OLD","!!!","")</f>
        <v/>
      </c>
      <c r="F1552" s="23" t="str">
        <f>IF(OR(E1552="",E1552="!!!"),"",IF(NOT(ISNA(VLOOKUP(E1552,E$1:E1551,1,FALSE()))),"OLD",IF(AND(E1552&lt;&gt;"",E1552&lt;&gt;"!!!"),"NEW","")))</f>
        <v> </v>
      </c>
      <c r="G1552" s="24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5" t="str">
        <f>IF(J1552&lt;&gt;1,"",IF(I1552="SBJ","CB","?"))</f>
        <v> </v>
      </c>
      <c r="I1552" s="26" t="str">
        <f>IF(OR(E1552="",E1552="!!!",F1552="NEW"),"",INDEX(B1551:B$2,-1+SUMPRODUCT(MAX(ROW(E1551:E$2)*(E1552=E1551:E$2)))))</f>
        <v> </v>
      </c>
      <c r="J1552" s="26" t="str">
        <f>IF(OR(E1552="",E1552="!!!",F1552="NEW"),"",COUNTBLANK(OFFSET(A$1,,,SUMPRODUCT(MAX(ROW(E$2:E1552)*(E1552=E$2:E1552)))))-COUNTBLANK(OFFSET(A$1,,,SUMPRODUCT(MAX(ROW(E$1:E1551)*(E2=E$1:E1551))))))</f>
        <v> </v>
      </c>
      <c r="K1552" s="26" t="str">
        <f>IF(OR(E1552="",E1552="!!!",F1552="NEW"),"",INDEX(J$1:J1551,SUMPRODUCT(MAX(ROW(E$1:E1551)*(E1552=E$1:E1551)))))</f>
        <v> </v>
      </c>
      <c r="L1552" s="27"/>
    </row>
    <row r="1553" spans="1:12">
      <c r="A1553" s="20" t="s">
        <v>430</v>
      </c>
      <c r="E1553" s="22">
        <f>IF(D1553="?OLD","!!!","")</f>
        <v/>
      </c>
      <c r="F1553" s="23" t="str">
        <f>IF(OR(E1553="",E1553="!!!"),"",IF(NOT(ISNA(VLOOKUP(E1553,E$1:E1552,1,FALSE()))),"OLD",IF(AND(E1553&lt;&gt;"",E1553&lt;&gt;"!!!"),"NEW","")))</f>
        <v> </v>
      </c>
      <c r="G1553" s="24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5" t="str">
        <f>IF(J1553&lt;&gt;1,"",IF(I1553="SBJ","CB","?"))</f>
        <v> </v>
      </c>
      <c r="I1553" s="26" t="str">
        <f>IF(OR(E1553="",E1553="!!!",F1553="NEW"),"",INDEX(B1552:B$2,-1+SUMPRODUCT(MAX(ROW(E1552:E$2)*(E1553=E1552:E$2)))))</f>
        <v> </v>
      </c>
      <c r="J1553" s="26" t="str">
        <f>IF(OR(E1553="",E1553="!!!",F1553="NEW"),"",COUNTBLANK(OFFSET(A$1,,,SUMPRODUCT(MAX(ROW(E$2:E1553)*(E1553=E$2:E1553)))))-COUNTBLANK(OFFSET(A$1,,,SUMPRODUCT(MAX(ROW(E$1:E1552)*(E2=E$1:E1552))))))</f>
        <v> </v>
      </c>
      <c r="K1553" s="26" t="str">
        <f>IF(OR(E1553="",E1553="!!!",F1553="NEW"),"",INDEX(J$1:J1552,SUMPRODUCT(MAX(ROW(E$1:E1552)*(E1553=E$1:E1552)))))</f>
        <v> </v>
      </c>
      <c r="L1553" s="27"/>
    </row>
    <row r="1554" spans="1:12">
      <c r="A1554" s="20" t="s">
        <v>1194</v>
      </c>
      <c r="E1554" s="22">
        <f>IF(D1554="?OLD","!!!","")</f>
        <v/>
      </c>
      <c r="F1554" s="23" t="str">
        <f>IF(OR(E1554="",E1554="!!!"),"",IF(NOT(ISNA(VLOOKUP(E1554,E$1:E1553,1,FALSE()))),"OLD",IF(AND(E1554&lt;&gt;"",E1554&lt;&gt;"!!!"),"NEW","")))</f>
        <v> </v>
      </c>
      <c r="G1554" s="24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5" t="str">
        <f>IF(J1554&lt;&gt;1,"",IF(I1554="SBJ","CB","?"))</f>
        <v> </v>
      </c>
      <c r="I1554" s="26" t="str">
        <f>IF(OR(E1554="",E1554="!!!",F1554="NEW"),"",INDEX(B1553:B$2,-1+SUMPRODUCT(MAX(ROW(E1553:E$2)*(E1554=E1553:E$2)))))</f>
        <v> </v>
      </c>
      <c r="J1554" s="26" t="str">
        <f>IF(OR(E1554="",E1554="!!!",F1554="NEW"),"",COUNTBLANK(OFFSET(A$1,,,SUMPRODUCT(MAX(ROW(E$2:E1554)*(E1554=E$2:E1554)))))-COUNTBLANK(OFFSET(A$1,,,SUMPRODUCT(MAX(ROW(E$1:E1553)*(E2=E$1:E1553))))))</f>
        <v> </v>
      </c>
      <c r="K1554" s="26" t="str">
        <f>IF(OR(E1554="",E1554="!!!",F1554="NEW"),"",INDEX(J$1:J1553,SUMPRODUCT(MAX(ROW(E$1:E1553)*(E1554=E$1:E1553)))))</f>
        <v> </v>
      </c>
      <c r="L1554" s="27"/>
    </row>
    <row r="1555" spans="1:12">
      <c r="A1555" s="20" t="s">
        <v>613</v>
      </c>
      <c r="E1555" s="22">
        <f>IF(D1555="?OLD","!!!","")</f>
        <v/>
      </c>
      <c r="F1555" s="23" t="str">
        <f>IF(OR(E1555="",E1555="!!!"),"",IF(NOT(ISNA(VLOOKUP(E1555,E$1:E1554,1,FALSE()))),"OLD",IF(AND(E1555&lt;&gt;"",E1555&lt;&gt;"!!!"),"NEW","")))</f>
        <v> </v>
      </c>
      <c r="G1555" s="24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5" t="str">
        <f>IF(J1555&lt;&gt;1,"",IF(I1555="SBJ","CB","?"))</f>
        <v> </v>
      </c>
      <c r="I1555" s="26" t="str">
        <f>IF(OR(E1555="",E1555="!!!",F1555="NEW"),"",INDEX(B1554:B$2,-1+SUMPRODUCT(MAX(ROW(E1554:E$2)*(E1555=E1554:E$2)))))</f>
        <v> </v>
      </c>
      <c r="J1555" s="26" t="str">
        <f>IF(OR(E1555="",E1555="!!!",F1555="NEW"),"",COUNTBLANK(OFFSET(A$1,,,SUMPRODUCT(MAX(ROW(E$2:E1555)*(E1555=E$2:E1555)))))-COUNTBLANK(OFFSET(A$1,,,SUMPRODUCT(MAX(ROW(E$1:E1554)*(E2=E$1:E1554))))))</f>
        <v> </v>
      </c>
      <c r="K1555" s="26" t="str">
        <f>IF(OR(E1555="",E1555="!!!",F1555="NEW"),"",INDEX(J$1:J1554,SUMPRODUCT(MAX(ROW(E$1:E1554)*(E1555=E$1:E1554)))))</f>
        <v> </v>
      </c>
      <c r="L1555" s="27"/>
    </row>
    <row r="1556" spans="1:12">
      <c r="A1556" s="20" t="s">
        <v>1195</v>
      </c>
      <c r="B1556" s="21" t="s">
        <v>781</v>
      </c>
      <c r="E1556" s="22">
        <f>IF(D1556="?OLD","!!!","")</f>
        <v/>
      </c>
      <c r="F1556" s="23" t="str">
        <f>IF(OR(E1556="",E1556="!!!"),"",IF(NOT(ISNA(VLOOKUP(E1556,E$1:E1555,1,FALSE()))),"OLD",IF(AND(E1556&lt;&gt;"",E1556&lt;&gt;"!!!"),"NEW","")))</f>
        <v> </v>
      </c>
      <c r="G1556" s="24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5" t="str">
        <f>IF(J1556&lt;&gt;1,"",IF(I1556="SBJ","CB","?"))</f>
        <v> </v>
      </c>
      <c r="I1556" s="26" t="str">
        <f>IF(OR(E1556="",E1556="!!!",F1556="NEW"),"",INDEX(B1555:B$2,-1+SUMPRODUCT(MAX(ROW(E1555:E$2)*(E1556=E1555:E$2)))))</f>
        <v> </v>
      </c>
      <c r="J1556" s="26" t="str">
        <f>IF(OR(E1556="",E1556="!!!",F1556="NEW"),"",COUNTBLANK(OFFSET(A$1,,,SUMPRODUCT(MAX(ROW(E$2:E1556)*(E1556=E$2:E1556)))))-COUNTBLANK(OFFSET(A$1,,,SUMPRODUCT(MAX(ROW(E$1:E1555)*(E2=E$1:E1555))))))</f>
        <v> </v>
      </c>
      <c r="K1556" s="26" t="str">
        <f>IF(OR(E1556="",E1556="!!!",F1556="NEW"),"",INDEX(J$1:J1555,SUMPRODUCT(MAX(ROW(E$1:E1555)*(E1556=E$1:E1555)))))</f>
        <v> </v>
      </c>
      <c r="L1556" s="27"/>
    </row>
    <row r="1557" spans="1:12">
      <c r="A1557" s="20" t="s">
        <v>428</v>
      </c>
      <c r="E1557" s="22">
        <f>IF(D1557="?OLD","!!!","")</f>
        <v/>
      </c>
      <c r="F1557" s="23" t="str">
        <f>IF(OR(E1557="",E1557="!!!"),"",IF(NOT(ISNA(VLOOKUP(E1557,E$1:E1556,1,FALSE()))),"OLD",IF(AND(E1557&lt;&gt;"",E1557&lt;&gt;"!!!"),"NEW","")))</f>
        <v> </v>
      </c>
      <c r="G1557" s="24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5" t="str">
        <f>IF(J1557&lt;&gt;1,"",IF(I1557="SBJ","CB","?"))</f>
        <v> </v>
      </c>
      <c r="I1557" s="26" t="str">
        <f>IF(OR(E1557="",E1557="!!!",F1557="NEW"),"",INDEX(B1556:B$2,-1+SUMPRODUCT(MAX(ROW(E1556:E$2)*(E1557=E1556:E$2)))))</f>
        <v> </v>
      </c>
      <c r="J1557" s="26" t="str">
        <f>IF(OR(E1557="",E1557="!!!",F1557="NEW"),"",COUNTBLANK(OFFSET(A$1,,,SUMPRODUCT(MAX(ROW(E$2:E1557)*(E1557=E$2:E1557)))))-COUNTBLANK(OFFSET(A$1,,,SUMPRODUCT(MAX(ROW(E$1:E1556)*(E2=E$1:E1556))))))</f>
        <v> </v>
      </c>
      <c r="K1557" s="26" t="str">
        <f>IF(OR(E1557="",E1557="!!!",F1557="NEW"),"",INDEX(J$1:J1556,SUMPRODUCT(MAX(ROW(E$1:E1556)*(E1557=E$1:E1556)))))</f>
        <v> </v>
      </c>
      <c r="L1557" s="27"/>
    </row>
    <row r="1558" spans="1:12">
      <c r="A1558" s="20" t="s">
        <v>1196</v>
      </c>
      <c r="E1558" s="22">
        <f>IF(D1558="?OLD","!!!","")</f>
        <v/>
      </c>
      <c r="F1558" s="23" t="str">
        <f>IF(OR(E1558="",E1558="!!!"),"",IF(NOT(ISNA(VLOOKUP(E1558,E$1:E1557,1,FALSE()))),"OLD",IF(AND(E1558&lt;&gt;"",E1558&lt;&gt;"!!!"),"NEW","")))</f>
        <v> </v>
      </c>
      <c r="G1558" s="24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5" t="str">
        <f>IF(J1558&lt;&gt;1,"",IF(I1558="SBJ","CB","?"))</f>
        <v> </v>
      </c>
      <c r="I1558" s="26" t="str">
        <f>IF(OR(E1558="",E1558="!!!",F1558="NEW"),"",INDEX(B1557:B$2,-1+SUMPRODUCT(MAX(ROW(E1557:E$2)*(E1558=E1557:E$2)))))</f>
        <v> </v>
      </c>
      <c r="J1558" s="26" t="str">
        <f>IF(OR(E1558="",E1558="!!!",F1558="NEW"),"",COUNTBLANK(OFFSET(A$1,,,SUMPRODUCT(MAX(ROW(E$2:E1558)*(E1558=E$2:E1558)))))-COUNTBLANK(OFFSET(A$1,,,SUMPRODUCT(MAX(ROW(E$1:E1557)*(E2=E$1:E1557))))))</f>
        <v> </v>
      </c>
      <c r="K1558" s="26" t="str">
        <f>IF(OR(E1558="",E1558="!!!",F1558="NEW"),"",INDEX(J$1:J1557,SUMPRODUCT(MAX(ROW(E$1:E1557)*(E1558=E$1:E1557)))))</f>
        <v> </v>
      </c>
      <c r="L1558" s="27"/>
    </row>
    <row r="1559" spans="1:12">
      <c r="A1559" s="20" t="s">
        <v>1197</v>
      </c>
      <c r="E1559" s="22">
        <f>IF(D1559="?OLD","!!!","")</f>
        <v/>
      </c>
      <c r="F1559" s="23" t="str">
        <f>IF(OR(E1559="",E1559="!!!"),"",IF(NOT(ISNA(VLOOKUP(E1559,E$1:E1558,1,FALSE()))),"OLD",IF(AND(E1559&lt;&gt;"",E1559&lt;&gt;"!!!"),"NEW","")))</f>
        <v> </v>
      </c>
      <c r="G1559" s="24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5" t="str">
        <f>IF(J1559&lt;&gt;1,"",IF(I1559="SBJ","CB","?"))</f>
        <v> </v>
      </c>
      <c r="I1559" s="26" t="str">
        <f>IF(OR(E1559="",E1559="!!!",F1559="NEW"),"",INDEX(B1558:B$2,-1+SUMPRODUCT(MAX(ROW(E1558:E$2)*(E1559=E1558:E$2)))))</f>
        <v> </v>
      </c>
      <c r="J1559" s="26" t="str">
        <f>IF(OR(E1559="",E1559="!!!",F1559="NEW"),"",COUNTBLANK(OFFSET(A$1,,,SUMPRODUCT(MAX(ROW(E$2:E1559)*(E1559=E$2:E1559)))))-COUNTBLANK(OFFSET(A$1,,,SUMPRODUCT(MAX(ROW(E$1:E1558)*(E2=E$1:E1558))))))</f>
        <v> </v>
      </c>
      <c r="K1559" s="26" t="str">
        <f>IF(OR(E1559="",E1559="!!!",F1559="NEW"),"",INDEX(J$1:J1558,SUMPRODUCT(MAX(ROW(E$1:E1558)*(E1559=E$1:E1558)))))</f>
        <v> </v>
      </c>
      <c r="L1559" s="27"/>
    </row>
    <row r="1560" spans="1:12">
      <c r="A1560" s="20" t="s">
        <v>430</v>
      </c>
      <c r="E1560" s="22">
        <f>IF(D1560="?OLD","!!!","")</f>
        <v/>
      </c>
      <c r="F1560" s="23" t="str">
        <f>IF(OR(E1560="",E1560="!!!"),"",IF(NOT(ISNA(VLOOKUP(E1560,E$1:E1559,1,FALSE()))),"OLD",IF(AND(E1560&lt;&gt;"",E1560&lt;&gt;"!!!"),"NEW","")))</f>
        <v> </v>
      </c>
      <c r="G1560" s="24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5" t="str">
        <f>IF(J1560&lt;&gt;1,"",IF(I1560="SBJ","CB","?"))</f>
        <v> </v>
      </c>
      <c r="I1560" s="26" t="str">
        <f>IF(OR(E1560="",E1560="!!!",F1560="NEW"),"",INDEX(B1559:B$2,-1+SUMPRODUCT(MAX(ROW(E1559:E$2)*(E1560=E1559:E$2)))))</f>
        <v> </v>
      </c>
      <c r="J1560" s="26" t="str">
        <f>IF(OR(E1560="",E1560="!!!",F1560="NEW"),"",COUNTBLANK(OFFSET(A$1,,,SUMPRODUCT(MAX(ROW(E$2:E1560)*(E1560=E$2:E1560)))))-COUNTBLANK(OFFSET(A$1,,,SUMPRODUCT(MAX(ROW(E$1:E1559)*(E2=E$1:E1559))))))</f>
        <v> </v>
      </c>
      <c r="K1560" s="26" t="str">
        <f>IF(OR(E1560="",E1560="!!!",F1560="NEW"),"",INDEX(J$1:J1559,SUMPRODUCT(MAX(ROW(E$1:E1559)*(E1560=E$1:E1559)))))</f>
        <v> </v>
      </c>
      <c r="L1560" s="27"/>
    </row>
    <row r="1561" spans="1:12">
      <c r="A1561" s="20" t="s">
        <v>1198</v>
      </c>
      <c r="E1561" s="22">
        <f>IF(D1561="?OLD","!!!","")</f>
        <v/>
      </c>
      <c r="F1561" s="23" t="str">
        <f>IF(OR(E1561="",E1561="!!!"),"",IF(NOT(ISNA(VLOOKUP(E1561,E$1:E1560,1,FALSE()))),"OLD",IF(AND(E1561&lt;&gt;"",E1561&lt;&gt;"!!!"),"NEW","")))</f>
        <v> </v>
      </c>
      <c r="G1561" s="24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5" t="str">
        <f>IF(J1561&lt;&gt;1,"",IF(I1561="SBJ","CB","?"))</f>
        <v> </v>
      </c>
      <c r="I1561" s="26" t="str">
        <f>IF(OR(E1561="",E1561="!!!",F1561="NEW"),"",INDEX(B1560:B$2,-1+SUMPRODUCT(MAX(ROW(E1560:E$2)*(E1561=E1560:E$2)))))</f>
        <v> </v>
      </c>
      <c r="J1561" s="26" t="str">
        <f>IF(OR(E1561="",E1561="!!!",F1561="NEW"),"",COUNTBLANK(OFFSET(A$1,,,SUMPRODUCT(MAX(ROW(E$2:E1561)*(E1561=E$2:E1561)))))-COUNTBLANK(OFFSET(A$1,,,SUMPRODUCT(MAX(ROW(E$1:E1560)*(E2=E$1:E1560))))))</f>
        <v> </v>
      </c>
      <c r="K1561" s="26" t="str">
        <f>IF(OR(E1561="",E1561="!!!",F1561="NEW"),"",INDEX(J$1:J1560,SUMPRODUCT(MAX(ROW(E$1:E1560)*(E1561=E$1:E1560)))))</f>
        <v> </v>
      </c>
      <c r="L1561" s="27"/>
    </row>
    <row r="1562" spans="1:12">
      <c r="A1562" s="20" t="s">
        <v>623</v>
      </c>
      <c r="E1562" s="22">
        <f>IF(D1562="?OLD","!!!","")</f>
        <v/>
      </c>
      <c r="F1562" s="23" t="str">
        <f>IF(OR(E1562="",E1562="!!!"),"",IF(NOT(ISNA(VLOOKUP(E1562,E$1:E1561,1,FALSE()))),"OLD",IF(AND(E1562&lt;&gt;"",E1562&lt;&gt;"!!!"),"NEW","")))</f>
        <v> </v>
      </c>
      <c r="G1562" s="24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5" t="str">
        <f>IF(J1562&lt;&gt;1,"",IF(I1562="SBJ","CB","?"))</f>
        <v> </v>
      </c>
      <c r="I1562" s="26" t="str">
        <f>IF(OR(E1562="",E1562="!!!",F1562="NEW"),"",INDEX(B1561:B$2,-1+SUMPRODUCT(MAX(ROW(E1561:E$2)*(E1562=E1561:E$2)))))</f>
        <v> </v>
      </c>
      <c r="J1562" s="26" t="str">
        <f>IF(OR(E1562="",E1562="!!!",F1562="NEW"),"",COUNTBLANK(OFFSET(A$1,,,SUMPRODUCT(MAX(ROW(E$2:E1562)*(E1562=E$2:E1562)))))-COUNTBLANK(OFFSET(A$1,,,SUMPRODUCT(MAX(ROW(E$1:E1561)*(E2=E$1:E1561))))))</f>
        <v> </v>
      </c>
      <c r="K1562" s="26" t="str">
        <f>IF(OR(E1562="",E1562="!!!",F1562="NEW"),"",INDEX(J$1:J1561,SUMPRODUCT(MAX(ROW(E$1:E1561)*(E1562=E$1:E1561)))))</f>
        <v> </v>
      </c>
      <c r="L1562" s="27"/>
    </row>
    <row r="1563" spans="1:12">
      <c r="A1563" s="20" t="s">
        <v>1199</v>
      </c>
      <c r="E1563" s="22">
        <f>IF(D1563="?OLD","!!!","")</f>
        <v/>
      </c>
      <c r="F1563" s="23" t="str">
        <f>IF(OR(E1563="",E1563="!!!"),"",IF(NOT(ISNA(VLOOKUP(E1563,E$1:E1562,1,FALSE()))),"OLD",IF(AND(E1563&lt;&gt;"",E1563&lt;&gt;"!!!"),"NEW","")))</f>
        <v> </v>
      </c>
      <c r="G1563" s="24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5" t="str">
        <f>IF(J1563&lt;&gt;1,"",IF(I1563="SBJ","CB","?"))</f>
        <v> </v>
      </c>
      <c r="I1563" s="26" t="str">
        <f>IF(OR(E1563="",E1563="!!!",F1563="NEW"),"",INDEX(B1562:B$2,-1+SUMPRODUCT(MAX(ROW(E1562:E$2)*(E1563=E1562:E$2)))))</f>
        <v> </v>
      </c>
      <c r="J1563" s="26" t="str">
        <f>IF(OR(E1563="",E1563="!!!",F1563="NEW"),"",COUNTBLANK(OFFSET(A$1,,,SUMPRODUCT(MAX(ROW(E$2:E1563)*(E1563=E$2:E1563)))))-COUNTBLANK(OFFSET(A$1,,,SUMPRODUCT(MAX(ROW(E$1:E1562)*(E2=E$1:E1562))))))</f>
        <v> </v>
      </c>
      <c r="K1563" s="26" t="str">
        <f>IF(OR(E1563="",E1563="!!!",F1563="NEW"),"",INDEX(J$1:J1562,SUMPRODUCT(MAX(ROW(E$1:E1562)*(E1563=E$1:E1562)))))</f>
        <v> </v>
      </c>
      <c r="L1563" s="27"/>
    </row>
    <row r="1564" spans="1:12">
      <c r="A1564" s="20" t="s">
        <v>1087</v>
      </c>
      <c r="E1564" s="22">
        <f>IF(D1564="?OLD","!!!","")</f>
        <v/>
      </c>
      <c r="F1564" s="23" t="str">
        <f>IF(OR(E1564="",E1564="!!!"),"",IF(NOT(ISNA(VLOOKUP(E1564,E$1:E1563,1,FALSE()))),"OLD",IF(AND(E1564&lt;&gt;"",E1564&lt;&gt;"!!!"),"NEW","")))</f>
        <v> </v>
      </c>
      <c r="G1564" s="24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5" t="str">
        <f>IF(J1564&lt;&gt;1,"",IF(I1564="SBJ","CB","?"))</f>
        <v> </v>
      </c>
      <c r="I1564" s="26" t="str">
        <f>IF(OR(E1564="",E1564="!!!",F1564="NEW"),"",INDEX(B1563:B$2,-1+SUMPRODUCT(MAX(ROW(E1563:E$2)*(E1564=E1563:E$2)))))</f>
        <v> </v>
      </c>
      <c r="J1564" s="26" t="str">
        <f>IF(OR(E1564="",E1564="!!!",F1564="NEW"),"",COUNTBLANK(OFFSET(A$1,,,SUMPRODUCT(MAX(ROW(E$2:E1564)*(E1564=E$2:E1564)))))-COUNTBLANK(OFFSET(A$1,,,SUMPRODUCT(MAX(ROW(E$1:E1563)*(E2=E$1:E1563))))))</f>
        <v> </v>
      </c>
      <c r="K1564" s="26" t="str">
        <f>IF(OR(E1564="",E1564="!!!",F1564="NEW"),"",INDEX(J$1:J1563,SUMPRODUCT(MAX(ROW(E$1:E1563)*(E1564=E$1:E1563)))))</f>
        <v> </v>
      </c>
      <c r="L1564" s="27"/>
    </row>
    <row r="1565" spans="1:12">
      <c r="A1565" s="20" t="s">
        <v>453</v>
      </c>
      <c r="E1565" s="22">
        <f>IF(D1565="?OLD","!!!","")</f>
        <v/>
      </c>
      <c r="F1565" s="23" t="str">
        <f>IF(OR(E1565="",E1565="!!!"),"",IF(NOT(ISNA(VLOOKUP(E1565,E$1:E1564,1,FALSE()))),"OLD",IF(AND(E1565&lt;&gt;"",E1565&lt;&gt;"!!!"),"NEW","")))</f>
        <v> </v>
      </c>
      <c r="G1565" s="24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5" t="str">
        <f>IF(J1565&lt;&gt;1,"",IF(I1565="SBJ","CB","?"))</f>
        <v> </v>
      </c>
      <c r="I1565" s="26" t="str">
        <f>IF(OR(E1565="",E1565="!!!",F1565="NEW"),"",INDEX(B1564:B$2,-1+SUMPRODUCT(MAX(ROW(E1564:E$2)*(E1565=E1564:E$2)))))</f>
        <v> </v>
      </c>
      <c r="J1565" s="26" t="str">
        <f>IF(OR(E1565="",E1565="!!!",F1565="NEW"),"",COUNTBLANK(OFFSET(A$1,,,SUMPRODUCT(MAX(ROW(E$2:E1565)*(E1565=E$2:E1565)))))-COUNTBLANK(OFFSET(A$1,,,SUMPRODUCT(MAX(ROW(E$1:E1564)*(E2=E$1:E1564))))))</f>
        <v> </v>
      </c>
      <c r="K1565" s="26" t="str">
        <f>IF(OR(E1565="",E1565="!!!",F1565="NEW"),"",INDEX(J$1:J1564,SUMPRODUCT(MAX(ROW(E$1:E1564)*(E1565=E$1:E1564)))))</f>
        <v> </v>
      </c>
      <c r="L1565" s="27"/>
    </row>
    <row r="1566" spans="1:12">
      <c r="A1566" s="20" t="s">
        <v>558</v>
      </c>
      <c r="B1566" s="21" t="s">
        <v>483</v>
      </c>
      <c r="C1566" s="21" t="s">
        <v>481</v>
      </c>
      <c r="E1566" s="22">
        <f>IF(D1566="?OLD","!!!","")</f>
        <v/>
      </c>
      <c r="F1566" s="23" t="str">
        <f>IF(OR(E1566="",E1566="!!!"),"",IF(NOT(ISNA(VLOOKUP(E1566,E$1:E1565,1,FALSE()))),"OLD",IF(AND(E1566&lt;&gt;"",E1566&lt;&gt;"!!!"),"NEW","")))</f>
        <v> </v>
      </c>
      <c r="G1566" s="24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5" t="str">
        <f>IF(J1566&lt;&gt;1,"",IF(I1566="SBJ","CB","?"))</f>
        <v> </v>
      </c>
      <c r="I1566" s="26" t="str">
        <f>IF(OR(E1566="",E1566="!!!",F1566="NEW"),"",INDEX(B1565:B$2,-1+SUMPRODUCT(MAX(ROW(E1565:E$2)*(E1566=E1565:E$2)))))</f>
        <v> </v>
      </c>
      <c r="J1566" s="26" t="str">
        <f>IF(OR(E1566="",E1566="!!!",F1566="NEW"),"",COUNTBLANK(OFFSET(A$1,,,SUMPRODUCT(MAX(ROW(E$2:E1566)*(E1566=E$2:E1566)))))-COUNTBLANK(OFFSET(A$1,,,SUMPRODUCT(MAX(ROW(E$1:E1565)*(E2=E$1:E1565))))))</f>
        <v> </v>
      </c>
      <c r="K1566" s="26" t="str">
        <f>IF(OR(E1566="",E1566="!!!",F1566="NEW"),"",INDEX(J$1:J1565,SUMPRODUCT(MAX(ROW(E$1:E1565)*(E1566=E$1:E1565)))))</f>
        <v> </v>
      </c>
      <c r="L1566" s="27"/>
    </row>
    <row r="1567" spans="1:12">
      <c r="A1567" s="20" t="s">
        <v>771</v>
      </c>
      <c r="B1567" s="21" t="s">
        <v>562</v>
      </c>
      <c r="C1567" s="21" t="s">
        <v>423</v>
      </c>
      <c r="D1567" s="21" t="s">
        <v>424</v>
      </c>
      <c r="E1567" s="22">
        <f>IF(D1567="?OLD","!!!","")</f>
        <v/>
      </c>
      <c r="F1567" s="23" t="str">
        <f>IF(OR(E1567="",E1567="!!!"),"",IF(NOT(ISNA(VLOOKUP(E1567,E$1:E1566,1,FALSE()))),"OLD",IF(AND(E1567&lt;&gt;"",E1567&lt;&gt;"!!!"),"NEW","")))</f>
        <v> </v>
      </c>
      <c r="G1567" s="24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5" t="str">
        <f>IF(J1567&lt;&gt;1,"",IF(I1567="SBJ","CB","?"))</f>
        <v> </v>
      </c>
      <c r="I1567" s="26" t="str">
        <f>IF(OR(E1567="",E1567="!!!",F1567="NEW"),"",INDEX(B1566:B$2,-1+SUMPRODUCT(MAX(ROW(E1566:E$2)*(E1567=E1566:E$2)))))</f>
        <v> </v>
      </c>
      <c r="J1567" s="26" t="str">
        <f>IF(OR(E1567="",E1567="!!!",F1567="NEW"),"",COUNTBLANK(OFFSET(A$1,,,SUMPRODUCT(MAX(ROW(E$2:E1567)*(E1567=E$2:E1567)))))-COUNTBLANK(OFFSET(A$1,,,SUMPRODUCT(MAX(ROW(E$1:E1566)*(E2=E$1:E1566))))))</f>
        <v> </v>
      </c>
      <c r="K1567" s="26" t="str">
        <f>IF(OR(E1567="",E1567="!!!",F1567="NEW"),"",INDEX(J$1:J1566,SUMPRODUCT(MAX(ROW(E$1:E1566)*(E1567=E$1:E1566)))))</f>
        <v> </v>
      </c>
      <c r="L1567" s="27"/>
    </row>
    <row r="1568" spans="1:12">
      <c r="A1568" s="20" t="s">
        <v>1200</v>
      </c>
      <c r="E1568" s="22">
        <f>IF(D1568="?OLD","!!!","")</f>
        <v/>
      </c>
      <c r="F1568" s="23" t="str">
        <f>IF(OR(E1568="",E1568="!!!"),"",IF(NOT(ISNA(VLOOKUP(E1568,E$1:E1567,1,FALSE()))),"OLD",IF(AND(E1568&lt;&gt;"",E1568&lt;&gt;"!!!"),"NEW","")))</f>
        <v> </v>
      </c>
      <c r="G1568" s="24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5" t="str">
        <f>IF(J1568&lt;&gt;1,"",IF(I1568="SBJ","CB","?"))</f>
        <v> </v>
      </c>
      <c r="I1568" s="26" t="str">
        <f>IF(OR(E1568="",E1568="!!!",F1568="NEW"),"",INDEX(B1567:B$2,-1+SUMPRODUCT(MAX(ROW(E1567:E$2)*(E1568=E1567:E$2)))))</f>
        <v> </v>
      </c>
      <c r="J1568" s="26" t="str">
        <f>IF(OR(E1568="",E1568="!!!",F1568="NEW"),"",COUNTBLANK(OFFSET(A$1,,,SUMPRODUCT(MAX(ROW(E$2:E1568)*(E1568=E$2:E1568)))))-COUNTBLANK(OFFSET(A$1,,,SUMPRODUCT(MAX(ROW(E$1:E1567)*(E2=E$1:E1567))))))</f>
        <v> </v>
      </c>
      <c r="K1568" s="26" t="str">
        <f>IF(OR(E1568="",E1568="!!!",F1568="NEW"),"",INDEX(J$1:J1567,SUMPRODUCT(MAX(ROW(E$1:E1567)*(E1568=E$1:E1567)))))</f>
        <v> </v>
      </c>
      <c r="L1568" s="27"/>
    </row>
    <row r="1569" spans="1:12">
      <c r="A1569" s="20" t="s">
        <v>911</v>
      </c>
      <c r="E1569" s="22">
        <f>IF(D1569="?OLD","!!!","")</f>
        <v/>
      </c>
      <c r="F1569" s="23" t="str">
        <f>IF(OR(E1569="",E1569="!!!"),"",IF(NOT(ISNA(VLOOKUP(E1569,E$1:E1568,1,FALSE()))),"OLD",IF(AND(E1569&lt;&gt;"",E1569&lt;&gt;"!!!"),"NEW","")))</f>
        <v> </v>
      </c>
      <c r="G1569" s="24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5" t="str">
        <f>IF(J1569&lt;&gt;1,"",IF(I1569="SBJ","CB","?"))</f>
        <v> </v>
      </c>
      <c r="I1569" s="26" t="str">
        <f>IF(OR(E1569="",E1569="!!!",F1569="NEW"),"",INDEX(B1568:B$2,-1+SUMPRODUCT(MAX(ROW(E1568:E$2)*(E1569=E1568:E$2)))))</f>
        <v> </v>
      </c>
      <c r="J1569" s="26" t="str">
        <f>IF(OR(E1569="",E1569="!!!",F1569="NEW"),"",COUNTBLANK(OFFSET(A$1,,,SUMPRODUCT(MAX(ROW(E$2:E1569)*(E1569=E$2:E1569)))))-COUNTBLANK(OFFSET(A$1,,,SUMPRODUCT(MAX(ROW(E$1:E1568)*(E2=E$1:E1568))))))</f>
        <v> </v>
      </c>
      <c r="K1569" s="26" t="str">
        <f>IF(OR(E1569="",E1569="!!!",F1569="NEW"),"",INDEX(J$1:J1568,SUMPRODUCT(MAX(ROW(E$1:E1568)*(E1569=E$1:E1568)))))</f>
        <v> </v>
      </c>
      <c r="L1569" s="27"/>
    </row>
    <row r="1570" spans="1:12">
      <c r="A1570" s="20" t="s">
        <v>624</v>
      </c>
      <c r="E1570" s="22">
        <f>IF(D1570="?OLD","!!!","")</f>
        <v/>
      </c>
      <c r="F1570" s="23" t="str">
        <f>IF(OR(E1570="",E1570="!!!"),"",IF(NOT(ISNA(VLOOKUP(E1570,E$1:E1569,1,FALSE()))),"OLD",IF(AND(E1570&lt;&gt;"",E1570&lt;&gt;"!!!"),"NEW","")))</f>
        <v> </v>
      </c>
      <c r="G1570" s="24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5" t="str">
        <f>IF(J1570&lt;&gt;1,"",IF(I1570="SBJ","CB","?"))</f>
        <v> </v>
      </c>
      <c r="I1570" s="26" t="str">
        <f>IF(OR(E1570="",E1570="!!!",F1570="NEW"),"",INDEX(B1569:B$2,-1+SUMPRODUCT(MAX(ROW(E1569:E$2)*(E1570=E1569:E$2)))))</f>
        <v> </v>
      </c>
      <c r="J1570" s="26" t="str">
        <f>IF(OR(E1570="",E1570="!!!",F1570="NEW"),"",COUNTBLANK(OFFSET(A$1,,,SUMPRODUCT(MAX(ROW(E$2:E1570)*(E1570=E$2:E1570)))))-COUNTBLANK(OFFSET(A$1,,,SUMPRODUCT(MAX(ROW(E$1:E1569)*(E2=E$1:E1569))))))</f>
        <v> </v>
      </c>
      <c r="K1570" s="26" t="str">
        <f>IF(OR(E1570="",E1570="!!!",F1570="NEW"),"",INDEX(J$1:J1569,SUMPRODUCT(MAX(ROW(E$1:E1569)*(E1570=E$1:E1569)))))</f>
        <v> </v>
      </c>
      <c r="L1570" s="27"/>
    </row>
    <row r="1571" spans="1:12">
      <c r="A1571" s="20" t="s">
        <v>1201</v>
      </c>
      <c r="E1571" s="22">
        <f>IF(D1571="?OLD","!!!","")</f>
        <v/>
      </c>
      <c r="F1571" s="23" t="str">
        <f>IF(OR(E1571="",E1571="!!!"),"",IF(NOT(ISNA(VLOOKUP(E1571,E$1:E1570,1,FALSE()))),"OLD",IF(AND(E1571&lt;&gt;"",E1571&lt;&gt;"!!!"),"NEW","")))</f>
        <v> </v>
      </c>
      <c r="G1571" s="24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5" t="str">
        <f>IF(J1571&lt;&gt;1,"",IF(I1571="SBJ","CB","?"))</f>
        <v> </v>
      </c>
      <c r="I1571" s="26" t="str">
        <f>IF(OR(E1571="",E1571="!!!",F1571="NEW"),"",INDEX(B1570:B$2,-1+SUMPRODUCT(MAX(ROW(E1570:E$2)*(E1571=E1570:E$2)))))</f>
        <v> </v>
      </c>
      <c r="J1571" s="26" t="str">
        <f>IF(OR(E1571="",E1571="!!!",F1571="NEW"),"",COUNTBLANK(OFFSET(A$1,,,SUMPRODUCT(MAX(ROW(E$2:E1571)*(E1571=E$2:E1571)))))-COUNTBLANK(OFFSET(A$1,,,SUMPRODUCT(MAX(ROW(E$1:E1570)*(E2=E$1:E1570))))))</f>
        <v> </v>
      </c>
      <c r="K1571" s="26" t="str">
        <f>IF(OR(E1571="",E1571="!!!",F1571="NEW"),"",INDEX(J$1:J1570,SUMPRODUCT(MAX(ROW(E$1:E1570)*(E1571=E$1:E1570)))))</f>
        <v> </v>
      </c>
      <c r="L1571" s="27"/>
    </row>
    <row r="1572" spans="1:12">
      <c r="A1572" s="20" t="s">
        <v>1202</v>
      </c>
      <c r="B1572" s="21" t="s">
        <v>480</v>
      </c>
      <c r="C1572" s="21" t="s">
        <v>471</v>
      </c>
      <c r="D1572" s="21" t="s">
        <v>424</v>
      </c>
      <c r="E1572" s="22">
        <f>IF(D1572="?OLD","!!!","")</f>
        <v/>
      </c>
      <c r="F1572" s="23" t="str">
        <f>IF(OR(E1572="",E1572="!!!"),"",IF(NOT(ISNA(VLOOKUP(E1572,E$1:E1571,1,FALSE()))),"OLD",IF(AND(E1572&lt;&gt;"",E1572&lt;&gt;"!!!"),"NEW","")))</f>
        <v> </v>
      </c>
      <c r="G1572" s="24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5" t="str">
        <f>IF(J1572&lt;&gt;1,"",IF(I1572="SBJ","CB","?"))</f>
        <v> </v>
      </c>
      <c r="I1572" s="26" t="str">
        <f>IF(OR(E1572="",E1572="!!!",F1572="NEW"),"",INDEX(B1571:B$2,-1+SUMPRODUCT(MAX(ROW(E1571:E$2)*(E1572=E1571:E$2)))))</f>
        <v> </v>
      </c>
      <c r="J1572" s="26" t="str">
        <f>IF(OR(E1572="",E1572="!!!",F1572="NEW"),"",COUNTBLANK(OFFSET(A$1,,,SUMPRODUCT(MAX(ROW(E$2:E1572)*(E1572=E$2:E1572)))))-COUNTBLANK(OFFSET(A$1,,,SUMPRODUCT(MAX(ROW(E$1:E1571)*(E2=E$1:E1571))))))</f>
        <v> </v>
      </c>
      <c r="K1572" s="26" t="str">
        <f>IF(OR(E1572="",E1572="!!!",F1572="NEW"),"",INDEX(J$1:J1571,SUMPRODUCT(MAX(ROW(E$1:E1571)*(E1572=E$1:E1571)))))</f>
        <v> </v>
      </c>
      <c r="L1572" s="27"/>
    </row>
    <row r="1573" spans="1:12">
      <c r="A1573" s="20" t="s">
        <v>438</v>
      </c>
      <c r="E1573" s="22">
        <f>IF(D1573="?OLD","!!!","")</f>
        <v/>
      </c>
      <c r="F1573" s="23" t="str">
        <f>IF(OR(E1573="",E1573="!!!"),"",IF(NOT(ISNA(VLOOKUP(E1573,E$1:E1572,1,FALSE()))),"OLD",IF(AND(E1573&lt;&gt;"",E1573&lt;&gt;"!!!"),"NEW","")))</f>
        <v> </v>
      </c>
      <c r="G1573" s="24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5" t="str">
        <f>IF(J1573&lt;&gt;1,"",IF(I1573="SBJ","CB","?"))</f>
        <v> </v>
      </c>
      <c r="I1573" s="26" t="str">
        <f>IF(OR(E1573="",E1573="!!!",F1573="NEW"),"",INDEX(B1572:B$2,-1+SUMPRODUCT(MAX(ROW(E1572:E$2)*(E1573=E1572:E$2)))))</f>
        <v> </v>
      </c>
      <c r="J1573" s="26" t="str">
        <f>IF(OR(E1573="",E1573="!!!",F1573="NEW"),"",COUNTBLANK(OFFSET(A$1,,,SUMPRODUCT(MAX(ROW(E$2:E1573)*(E1573=E$2:E1573)))))-COUNTBLANK(OFFSET(A$1,,,SUMPRODUCT(MAX(ROW(E$1:E1572)*(E2=E$1:E1572))))))</f>
        <v> </v>
      </c>
      <c r="K1573" s="26" t="str">
        <f>IF(OR(E1573="",E1573="!!!",F1573="NEW"),"",INDEX(J$1:J1572,SUMPRODUCT(MAX(ROW(E$1:E1572)*(E1573=E$1:E1572)))))</f>
        <v> </v>
      </c>
      <c r="L1573" s="27"/>
    </row>
    <row r="1574" spans="1:12">
      <c r="A1574" s="20"/>
    </row>
    <row r="1575" spans="1:12">
      <c r="A1575" s="20" t="s">
        <v>1203</v>
      </c>
    </row>
    <row r="1576" spans="1:12">
      <c r="A1576" s="20" t="s">
        <v>1072</v>
      </c>
      <c r="E1576" s="22">
        <f>IF(D1576="?OLD","!!!","")</f>
        <v/>
      </c>
      <c r="F1576" s="23" t="str">
        <f>IF(OR(E1576="",E1576="!!!"),"",IF(NOT(ISNA(VLOOKUP(E1576,E$1:E1575,1,FALSE()))),"OLD",IF(AND(E1576&lt;&gt;"",E1576&lt;&gt;"!!!"),"NEW","")))</f>
        <v> </v>
      </c>
      <c r="G1576" s="24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5" t="str">
        <f>IF(J1576&lt;&gt;1,"",IF(I1576="SBJ","CB","?"))</f>
        <v> </v>
      </c>
      <c r="I1576" s="26" t="str">
        <f>IF(OR(E1576="",E1576="!!!",F1576="NEW"),"",INDEX(B1575:B$2,-1+SUMPRODUCT(MAX(ROW(E1575:E$2)*(E1576=E1575:E$2)))))</f>
        <v> </v>
      </c>
      <c r="J1576" s="26" t="str">
        <f>IF(OR(E1576="",E1576="!!!",F1576="NEW"),"",COUNTBLANK(OFFSET(A$1,,,SUMPRODUCT(MAX(ROW(E$2:E1576)*(E1576=E$2:E1576)))))-COUNTBLANK(OFFSET(A$1,,,SUMPRODUCT(MAX(ROW(E$1:E1575)*(E2=E$1:E1575))))))</f>
        <v> </v>
      </c>
      <c r="K1576" s="26" t="str">
        <f>IF(OR(E1576="",E1576="!!!",F1576="NEW"),"",INDEX(J$1:J1575,SUMPRODUCT(MAX(ROW(E$1:E1575)*(E1576=E$1:E1575)))))</f>
        <v> </v>
      </c>
      <c r="L1576" s="27"/>
    </row>
    <row r="1577" spans="1:12">
      <c r="A1577" s="20" t="s">
        <v>776</v>
      </c>
      <c r="E1577" s="22">
        <f>IF(D1577="?OLD","!!!","")</f>
        <v/>
      </c>
      <c r="F1577" s="23" t="str">
        <f>IF(OR(E1577="",E1577="!!!"),"",IF(NOT(ISNA(VLOOKUP(E1577,E$1:E1576,1,FALSE()))),"OLD",IF(AND(E1577&lt;&gt;"",E1577&lt;&gt;"!!!"),"NEW","")))</f>
        <v> </v>
      </c>
      <c r="G1577" s="24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5" t="str">
        <f>IF(J1577&lt;&gt;1,"",IF(I1577="SBJ","CB","?"))</f>
        <v> </v>
      </c>
      <c r="I1577" s="26" t="str">
        <f>IF(OR(E1577="",E1577="!!!",F1577="NEW"),"",INDEX(B1576:B$2,-1+SUMPRODUCT(MAX(ROW(E1576:E$2)*(E1577=E1576:E$2)))))</f>
        <v> </v>
      </c>
      <c r="J1577" s="26" t="str">
        <f>IF(OR(E1577="",E1577="!!!",F1577="NEW"),"",COUNTBLANK(OFFSET(A$1,,,SUMPRODUCT(MAX(ROW(E$2:E1577)*(E1577=E$2:E1577)))))-COUNTBLANK(OFFSET(A$1,,,SUMPRODUCT(MAX(ROW(E$1:E1576)*(E2=E$1:E1576))))))</f>
        <v> </v>
      </c>
      <c r="K1577" s="26" t="str">
        <f>IF(OR(E1577="",E1577="!!!",F1577="NEW"),"",INDEX(J$1:J1576,SUMPRODUCT(MAX(ROW(E$1:E1576)*(E1577=E$1:E1576)))))</f>
        <v> </v>
      </c>
      <c r="L1577" s="27"/>
    </row>
    <row r="1578" spans="1:12">
      <c r="A1578" s="20" t="s">
        <v>1137</v>
      </c>
      <c r="B1578" s="21" t="s">
        <v>422</v>
      </c>
      <c r="E1578" s="22">
        <f>IF(D1578="?OLD","!!!","")</f>
        <v/>
      </c>
      <c r="F1578" s="23" t="str">
        <f>IF(OR(E1578="",E1578="!!!"),"",IF(NOT(ISNA(VLOOKUP(E1578,E$1:E1577,1,FALSE()))),"OLD",IF(AND(E1578&lt;&gt;"",E1578&lt;&gt;"!!!"),"NEW","")))</f>
        <v> </v>
      </c>
      <c r="G1578" s="24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5" t="str">
        <f>IF(J1578&lt;&gt;1,"",IF(I1578="SBJ","CB","?"))</f>
        <v> </v>
      </c>
      <c r="I1578" s="26" t="str">
        <f>IF(OR(E1578="",E1578="!!!",F1578="NEW"),"",INDEX(B1577:B$2,-1+SUMPRODUCT(MAX(ROW(E1577:E$2)*(E1578=E1577:E$2)))))</f>
        <v> </v>
      </c>
      <c r="J1578" s="26" t="str">
        <f>IF(OR(E1578="",E1578="!!!",F1578="NEW"),"",COUNTBLANK(OFFSET(A$1,,,SUMPRODUCT(MAX(ROW(E$2:E1578)*(E1578=E$2:E1578)))))-COUNTBLANK(OFFSET(A$1,,,SUMPRODUCT(MAX(ROW(E$1:E1577)*(E2=E$1:E1577))))))</f>
        <v> </v>
      </c>
      <c r="K1578" s="26" t="str">
        <f>IF(OR(E1578="",E1578="!!!",F1578="NEW"),"",INDEX(J$1:J1577,SUMPRODUCT(MAX(ROW(E$1:E1577)*(E1578=E$1:E1577)))))</f>
        <v> </v>
      </c>
      <c r="L1578" s="27"/>
    </row>
    <row r="1579" spans="1:12">
      <c r="A1579" s="20" t="s">
        <v>626</v>
      </c>
      <c r="E1579" s="22">
        <f>IF(D1579="?OLD","!!!","")</f>
        <v/>
      </c>
      <c r="F1579" s="23" t="str">
        <f>IF(OR(E1579="",E1579="!!!"),"",IF(NOT(ISNA(VLOOKUP(E1579,E$1:E1578,1,FALSE()))),"OLD",IF(AND(E1579&lt;&gt;"",E1579&lt;&gt;"!!!"),"NEW","")))</f>
        <v> </v>
      </c>
      <c r="G1579" s="24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5" t="str">
        <f>IF(J1579&lt;&gt;1,"",IF(I1579="SBJ","CB","?"))</f>
        <v> </v>
      </c>
      <c r="I1579" s="26" t="str">
        <f>IF(OR(E1579="",E1579="!!!",F1579="NEW"),"",INDEX(B1578:B$2,-1+SUMPRODUCT(MAX(ROW(E1578:E$2)*(E1579=E1578:E$2)))))</f>
        <v> </v>
      </c>
      <c r="J1579" s="26" t="str">
        <f>IF(OR(E1579="",E1579="!!!",F1579="NEW"),"",COUNTBLANK(OFFSET(A$1,,,SUMPRODUCT(MAX(ROW(E$2:E1579)*(E1579=E$2:E1579)))))-COUNTBLANK(OFFSET(A$1,,,SUMPRODUCT(MAX(ROW(E$1:E1578)*(E2=E$1:E1578))))))</f>
        <v> </v>
      </c>
      <c r="K1579" s="26" t="str">
        <f>IF(OR(E1579="",E1579="!!!",F1579="NEW"),"",INDEX(J$1:J1578,SUMPRODUCT(MAX(ROW(E$1:E1578)*(E1579=E$1:E1578)))))</f>
        <v> </v>
      </c>
      <c r="L1579" s="27"/>
    </row>
    <row r="1580" spans="1:12">
      <c r="A1580" s="20" t="s">
        <v>199</v>
      </c>
      <c r="E1580" s="22">
        <f>IF(D1580="?OLD","!!!","")</f>
        <v/>
      </c>
      <c r="F1580" s="23" t="str">
        <f>IF(OR(E1580="",E1580="!!!"),"",IF(NOT(ISNA(VLOOKUP(E1580,E$1:E1579,1,FALSE()))),"OLD",IF(AND(E1580&lt;&gt;"",E1580&lt;&gt;"!!!"),"NEW","")))</f>
        <v> </v>
      </c>
      <c r="G1580" s="24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5" t="str">
        <f>IF(J1580&lt;&gt;1,"",IF(I1580="SBJ","CB","?"))</f>
        <v> </v>
      </c>
      <c r="I1580" s="26" t="str">
        <f>IF(OR(E1580="",E1580="!!!",F1580="NEW"),"",INDEX(B1579:B$2,-1+SUMPRODUCT(MAX(ROW(E1579:E$2)*(E1580=E1579:E$2)))))</f>
        <v> </v>
      </c>
      <c r="J1580" s="26" t="str">
        <f>IF(OR(E1580="",E1580="!!!",F1580="NEW"),"",COUNTBLANK(OFFSET(A$1,,,SUMPRODUCT(MAX(ROW(E$2:E1580)*(E1580=E$2:E1580)))))-COUNTBLANK(OFFSET(A$1,,,SUMPRODUCT(MAX(ROW(E$1:E1579)*(E2=E$1:E1579))))))</f>
        <v> </v>
      </c>
      <c r="K1580" s="26" t="str">
        <f>IF(OR(E1580="",E1580="!!!",F1580="NEW"),"",INDEX(J$1:J1579,SUMPRODUCT(MAX(ROW(E$1:E1579)*(E1580=E$1:E1579)))))</f>
        <v> </v>
      </c>
      <c r="L1580" s="27"/>
    </row>
    <row r="1581" spans="1:12">
      <c r="A1581" s="20" t="s">
        <v>1140</v>
      </c>
      <c r="E1581" s="22">
        <f>IF(D1581="?OLD","!!!","")</f>
        <v/>
      </c>
      <c r="F1581" s="23" t="str">
        <f>IF(OR(E1581="",E1581="!!!"),"",IF(NOT(ISNA(VLOOKUP(E1581,E$1:E1580,1,FALSE()))),"OLD",IF(AND(E1581&lt;&gt;"",E1581&lt;&gt;"!!!"),"NEW","")))</f>
        <v> </v>
      </c>
      <c r="G1581" s="24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5" t="str">
        <f>IF(J1581&lt;&gt;1,"",IF(I1581="SBJ","CB","?"))</f>
        <v> </v>
      </c>
      <c r="I1581" s="26" t="str">
        <f>IF(OR(E1581="",E1581="!!!",F1581="NEW"),"",INDEX(B1580:B$2,-1+SUMPRODUCT(MAX(ROW(E1580:E$2)*(E1581=E1580:E$2)))))</f>
        <v> </v>
      </c>
      <c r="J1581" s="26" t="str">
        <f>IF(OR(E1581="",E1581="!!!",F1581="NEW"),"",COUNTBLANK(OFFSET(A$1,,,SUMPRODUCT(MAX(ROW(E$2:E1581)*(E1581=E$2:E1581)))))-COUNTBLANK(OFFSET(A$1,,,SUMPRODUCT(MAX(ROW(E$1:E1580)*(E2=E$1:E1580))))))</f>
        <v> </v>
      </c>
      <c r="K1581" s="26" t="str">
        <f>IF(OR(E1581="",E1581="!!!",F1581="NEW"),"",INDEX(J$1:J1580,SUMPRODUCT(MAX(ROW(E$1:E1580)*(E1581=E$1:E1580)))))</f>
        <v> </v>
      </c>
      <c r="L1581" s="27"/>
    </row>
    <row r="1582" spans="1:12">
      <c r="A1582" s="20" t="s">
        <v>1204</v>
      </c>
      <c r="E1582" s="22">
        <f>IF(D1582="?OLD","!!!","")</f>
        <v/>
      </c>
      <c r="F1582" s="23" t="str">
        <f>IF(OR(E1582="",E1582="!!!"),"",IF(NOT(ISNA(VLOOKUP(E1582,E$1:E1581,1,FALSE()))),"OLD",IF(AND(E1582&lt;&gt;"",E1582&lt;&gt;"!!!"),"NEW","")))</f>
        <v> </v>
      </c>
      <c r="G1582" s="24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5" t="str">
        <f>IF(J1582&lt;&gt;1,"",IF(I1582="SBJ","CB","?"))</f>
        <v> </v>
      </c>
      <c r="I1582" s="26" t="str">
        <f>IF(OR(E1582="",E1582="!!!",F1582="NEW"),"",INDEX(B1581:B$2,-1+SUMPRODUCT(MAX(ROW(E1581:E$2)*(E1582=E1581:E$2)))))</f>
        <v> </v>
      </c>
      <c r="J1582" s="26" t="str">
        <f>IF(OR(E1582="",E1582="!!!",F1582="NEW"),"",COUNTBLANK(OFFSET(A$1,,,SUMPRODUCT(MAX(ROW(E$2:E1582)*(E1582=E$2:E1582)))))-COUNTBLANK(OFFSET(A$1,,,SUMPRODUCT(MAX(ROW(E$1:E1581)*(E2=E$1:E1581))))))</f>
        <v> </v>
      </c>
      <c r="K1582" s="26" t="str">
        <f>IF(OR(E1582="",E1582="!!!",F1582="NEW"),"",INDEX(J$1:J1581,SUMPRODUCT(MAX(ROW(E$1:E1581)*(E1582=E$1:E1581)))))</f>
        <v> </v>
      </c>
      <c r="L1582" s="27"/>
    </row>
    <row r="1583" spans="1:12">
      <c r="A1583" s="20" t="s">
        <v>385</v>
      </c>
      <c r="E1583" s="22">
        <f>IF(D1583="?OLD","!!!","")</f>
        <v/>
      </c>
      <c r="F1583" s="23" t="str">
        <f>IF(OR(E1583="",E1583="!!!"),"",IF(NOT(ISNA(VLOOKUP(E1583,E$1:E1582,1,FALSE()))),"OLD",IF(AND(E1583&lt;&gt;"",E1583&lt;&gt;"!!!"),"NEW","")))</f>
        <v> </v>
      </c>
      <c r="G1583" s="24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5" t="str">
        <f>IF(J1583&lt;&gt;1,"",IF(I1583="SBJ","CB","?"))</f>
        <v> </v>
      </c>
      <c r="I1583" s="26" t="str">
        <f>IF(OR(E1583="",E1583="!!!",F1583="NEW"),"",INDEX(B1582:B$2,-1+SUMPRODUCT(MAX(ROW(E1582:E$2)*(E1583=E1582:E$2)))))</f>
        <v> </v>
      </c>
      <c r="J1583" s="26" t="str">
        <f>IF(OR(E1583="",E1583="!!!",F1583="NEW"),"",COUNTBLANK(OFFSET(A$1,,,SUMPRODUCT(MAX(ROW(E$2:E1583)*(E1583=E$2:E1583)))))-COUNTBLANK(OFFSET(A$1,,,SUMPRODUCT(MAX(ROW(E$1:E1582)*(E2=E$1:E1582))))))</f>
        <v> </v>
      </c>
      <c r="K1583" s="26" t="str">
        <f>IF(OR(E1583="",E1583="!!!",F1583="NEW"),"",INDEX(J$1:J1582,SUMPRODUCT(MAX(ROW(E$1:E1582)*(E1583=E$1:E1582)))))</f>
        <v> </v>
      </c>
      <c r="L1583" s="27"/>
    </row>
    <row r="1584" spans="1:12">
      <c r="A1584" s="20" t="s">
        <v>1205</v>
      </c>
      <c r="B1584" s="21" t="s">
        <v>533</v>
      </c>
      <c r="C1584" s="21" t="s">
        <v>516</v>
      </c>
      <c r="E1584" s="22">
        <f>IF(D1584="?OLD","!!!","")</f>
        <v/>
      </c>
      <c r="F1584" s="23" t="str">
        <f>IF(OR(E1584="",E1584="!!!"),"",IF(NOT(ISNA(VLOOKUP(E1584,E$1:E1583,1,FALSE()))),"OLD",IF(AND(E1584&lt;&gt;"",E1584&lt;&gt;"!!!"),"NEW","")))</f>
        <v> </v>
      </c>
      <c r="G1584" s="24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5" t="str">
        <f>IF(J1584&lt;&gt;1,"",IF(I1584="SBJ","CB","?"))</f>
        <v> </v>
      </c>
      <c r="I1584" s="26" t="str">
        <f>IF(OR(E1584="",E1584="!!!",F1584="NEW"),"",INDEX(B1583:B$2,-1+SUMPRODUCT(MAX(ROW(E1583:E$2)*(E1584=E1583:E$2)))))</f>
        <v> </v>
      </c>
      <c r="J1584" s="26" t="str">
        <f>IF(OR(E1584="",E1584="!!!",F1584="NEW"),"",COUNTBLANK(OFFSET(A$1,,,SUMPRODUCT(MAX(ROW(E$2:E1584)*(E1584=E$2:E1584)))))-COUNTBLANK(OFFSET(A$1,,,SUMPRODUCT(MAX(ROW(E$1:E1583)*(E2=E$1:E1583))))))</f>
        <v> </v>
      </c>
      <c r="K1584" s="26" t="str">
        <f>IF(OR(E1584="",E1584="!!!",F1584="NEW"),"",INDEX(J$1:J1583,SUMPRODUCT(MAX(ROW(E$1:E1583)*(E1584=E$1:E1583)))))</f>
        <v> </v>
      </c>
      <c r="L1584" s="27"/>
    </row>
    <row r="1585" spans="1:12">
      <c r="A1585" s="20" t="s">
        <v>453</v>
      </c>
      <c r="E1585" s="22">
        <f>IF(D1585="?OLD","!!!","")</f>
        <v/>
      </c>
      <c r="F1585" s="23" t="str">
        <f>IF(OR(E1585="",E1585="!!!"),"",IF(NOT(ISNA(VLOOKUP(E1585,E$1:E1584,1,FALSE()))),"OLD",IF(AND(E1585&lt;&gt;"",E1585&lt;&gt;"!!!"),"NEW","")))</f>
        <v> </v>
      </c>
      <c r="G1585" s="24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5" t="str">
        <f>IF(J1585&lt;&gt;1,"",IF(I1585="SBJ","CB","?"))</f>
        <v> </v>
      </c>
      <c r="I1585" s="26" t="str">
        <f>IF(OR(E1585="",E1585="!!!",F1585="NEW"),"",INDEX(B1584:B$2,-1+SUMPRODUCT(MAX(ROW(E1584:E$2)*(E1585=E1584:E$2)))))</f>
        <v> </v>
      </c>
      <c r="J1585" s="26" t="str">
        <f>IF(OR(E1585="",E1585="!!!",F1585="NEW"),"",COUNTBLANK(OFFSET(A$1,,,SUMPRODUCT(MAX(ROW(E$2:E1585)*(E1585=E$2:E1585)))))-COUNTBLANK(OFFSET(A$1,,,SUMPRODUCT(MAX(ROW(E$1:E1584)*(E2=E$1:E1584))))))</f>
        <v> </v>
      </c>
      <c r="K1585" s="26" t="str">
        <f>IF(OR(E1585="",E1585="!!!",F1585="NEW"),"",INDEX(J$1:J1584,SUMPRODUCT(MAX(ROW(E$1:E1584)*(E1585=E$1:E1584)))))</f>
        <v> </v>
      </c>
      <c r="L1585" s="27"/>
    </row>
    <row r="1586" spans="1:12">
      <c r="A1586" s="20" t="s">
        <v>382</v>
      </c>
      <c r="E1586" s="22">
        <f>IF(D1586="?OLD","!!!","")</f>
        <v/>
      </c>
      <c r="F1586" s="23" t="str">
        <f>IF(OR(E1586="",E1586="!!!"),"",IF(NOT(ISNA(VLOOKUP(E1586,E$1:E1585,1,FALSE()))),"OLD",IF(AND(E1586&lt;&gt;"",E1586&lt;&gt;"!!!"),"NEW","")))</f>
        <v> </v>
      </c>
      <c r="G1586" s="24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5" t="str">
        <f>IF(J1586&lt;&gt;1,"",IF(I1586="SBJ","CB","?"))</f>
        <v> </v>
      </c>
      <c r="I1586" s="26" t="str">
        <f>IF(OR(E1586="",E1586="!!!",F1586="NEW"),"",INDEX(B1585:B$2,-1+SUMPRODUCT(MAX(ROW(E1585:E$2)*(E1586=E1585:E$2)))))</f>
        <v> </v>
      </c>
      <c r="J1586" s="26" t="str">
        <f>IF(OR(E1586="",E1586="!!!",F1586="NEW"),"",COUNTBLANK(OFFSET(A$1,,,SUMPRODUCT(MAX(ROW(E$2:E1586)*(E1586=E$2:E1586)))))-COUNTBLANK(OFFSET(A$1,,,SUMPRODUCT(MAX(ROW(E$1:E1585)*(E2=E$1:E1585))))))</f>
        <v> </v>
      </c>
      <c r="K1586" s="26" t="str">
        <f>IF(OR(E1586="",E1586="!!!",F1586="NEW"),"",INDEX(J$1:J1585,SUMPRODUCT(MAX(ROW(E$1:E1585)*(E1586=E$1:E1585)))))</f>
        <v> </v>
      </c>
      <c r="L1586" s="27"/>
    </row>
    <row r="1587" spans="1:12">
      <c r="A1587" s="20" t="s">
        <v>1151</v>
      </c>
      <c r="B1587" s="21" t="s">
        <v>659</v>
      </c>
      <c r="C1587" s="21" t="s">
        <v>516</v>
      </c>
      <c r="E1587" s="22">
        <f>IF(D1587="?OLD","!!!","")</f>
        <v/>
      </c>
      <c r="F1587" s="23" t="str">
        <f>IF(OR(E1587="",E1587="!!!"),"",IF(NOT(ISNA(VLOOKUP(E1587,E$1:E1586,1,FALSE()))),"OLD",IF(AND(E1587&lt;&gt;"",E1587&lt;&gt;"!!!"),"NEW","")))</f>
        <v> </v>
      </c>
      <c r="G1587" s="24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5" t="str">
        <f>IF(J1587&lt;&gt;1,"",IF(I1587="SBJ","CB","?"))</f>
        <v> </v>
      </c>
      <c r="I1587" s="26" t="str">
        <f>IF(OR(E1587="",E1587="!!!",F1587="NEW"),"",INDEX(B1586:B$2,-1+SUMPRODUCT(MAX(ROW(E1586:E$2)*(E1587=E1586:E$2)))))</f>
        <v> </v>
      </c>
      <c r="J1587" s="26" t="str">
        <f>IF(OR(E1587="",E1587="!!!",F1587="NEW"),"",COUNTBLANK(OFFSET(A$1,,,SUMPRODUCT(MAX(ROW(E$2:E1587)*(E1587=E$2:E1587)))))-COUNTBLANK(OFFSET(A$1,,,SUMPRODUCT(MAX(ROW(E$1:E1586)*(E2=E$1:E1586))))))</f>
        <v> </v>
      </c>
      <c r="K1587" s="26" t="str">
        <f>IF(OR(E1587="",E1587="!!!",F1587="NEW"),"",INDEX(J$1:J1586,SUMPRODUCT(MAX(ROW(E$1:E1586)*(E1587=E$1:E1586)))))</f>
        <v> </v>
      </c>
      <c r="L1587" s="27"/>
    </row>
    <row r="1588" spans="1:12">
      <c r="A1588" s="20" t="s">
        <v>453</v>
      </c>
      <c r="E1588" s="22">
        <f>IF(D1588="?OLD","!!!","")</f>
        <v/>
      </c>
      <c r="F1588" s="23" t="str">
        <f>IF(OR(E1588="",E1588="!!!"),"",IF(NOT(ISNA(VLOOKUP(E1588,E$1:E1587,1,FALSE()))),"OLD",IF(AND(E1588&lt;&gt;"",E1588&lt;&gt;"!!!"),"NEW","")))</f>
        <v> </v>
      </c>
      <c r="G1588" s="24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5" t="str">
        <f>IF(J1588&lt;&gt;1,"",IF(I1588="SBJ","CB","?"))</f>
        <v> </v>
      </c>
      <c r="I1588" s="26" t="str">
        <f>IF(OR(E1588="",E1588="!!!",F1588="NEW"),"",INDEX(B1587:B$2,-1+SUMPRODUCT(MAX(ROW(E1587:E$2)*(E1588=E1587:E$2)))))</f>
        <v> </v>
      </c>
      <c r="J1588" s="26" t="str">
        <f>IF(OR(E1588="",E1588="!!!",F1588="NEW"),"",COUNTBLANK(OFFSET(A$1,,,SUMPRODUCT(MAX(ROW(E$2:E1588)*(E1588=E$2:E1588)))))-COUNTBLANK(OFFSET(A$1,,,SUMPRODUCT(MAX(ROW(E$1:E1587)*(E2=E$1:E1587))))))</f>
        <v> </v>
      </c>
      <c r="K1588" s="26" t="str">
        <f>IF(OR(E1588="",E1588="!!!",F1588="NEW"),"",INDEX(J$1:J1587,SUMPRODUCT(MAX(ROW(E$1:E1587)*(E1588=E$1:E1587)))))</f>
        <v> </v>
      </c>
      <c r="L1588" s="27"/>
    </row>
    <row r="1589" spans="1:12">
      <c r="A1589" s="20" t="s">
        <v>1206</v>
      </c>
      <c r="E1589" s="22">
        <f>IF(D1589="?OLD","!!!","")</f>
        <v/>
      </c>
      <c r="F1589" s="23" t="str">
        <f>IF(OR(E1589="",E1589="!!!"),"",IF(NOT(ISNA(VLOOKUP(E1589,E$1:E1588,1,FALSE()))),"OLD",IF(AND(E1589&lt;&gt;"",E1589&lt;&gt;"!!!"),"NEW","")))</f>
        <v> </v>
      </c>
      <c r="G1589" s="24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5" t="str">
        <f>IF(J1589&lt;&gt;1,"",IF(I1589="SBJ","CB","?"))</f>
        <v> </v>
      </c>
      <c r="I1589" s="26" t="str">
        <f>IF(OR(E1589="",E1589="!!!",F1589="NEW"),"",INDEX(B1588:B$2,-1+SUMPRODUCT(MAX(ROW(E1588:E$2)*(E1589=E1588:E$2)))))</f>
        <v> </v>
      </c>
      <c r="J1589" s="26" t="str">
        <f>IF(OR(E1589="",E1589="!!!",F1589="NEW"),"",COUNTBLANK(OFFSET(A$1,,,SUMPRODUCT(MAX(ROW(E$2:E1589)*(E1589=E$2:E1589)))))-COUNTBLANK(OFFSET(A$1,,,SUMPRODUCT(MAX(ROW(E$1:E1588)*(E2=E$1:E1588))))))</f>
        <v> </v>
      </c>
      <c r="K1589" s="26" t="str">
        <f>IF(OR(E1589="",E1589="!!!",F1589="NEW"),"",INDEX(J$1:J1588,SUMPRODUCT(MAX(ROW(E$1:E1588)*(E1589=E$1:E1588)))))</f>
        <v> </v>
      </c>
      <c r="L1589" s="27"/>
    </row>
    <row r="1590" spans="1:12">
      <c r="A1590" s="20" t="s">
        <v>572</v>
      </c>
      <c r="B1590" s="21" t="s">
        <v>462</v>
      </c>
      <c r="C1590" s="21" t="s">
        <v>423</v>
      </c>
      <c r="D1590" s="21" t="s">
        <v>424</v>
      </c>
      <c r="E1590" s="22">
        <f>IF(D1590="?OLD","!!!","")</f>
        <v/>
      </c>
      <c r="F1590" s="23" t="str">
        <f>IF(OR(E1590="",E1590="!!!"),"",IF(NOT(ISNA(VLOOKUP(E1590,E$1:E1589,1,FALSE()))),"OLD",IF(AND(E1590&lt;&gt;"",E1590&lt;&gt;"!!!"),"NEW","")))</f>
        <v> </v>
      </c>
      <c r="G1590" s="24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5" t="str">
        <f>IF(J1590&lt;&gt;1,"",IF(I1590="SBJ","CB","?"))</f>
        <v> </v>
      </c>
      <c r="I1590" s="26" t="str">
        <f>IF(OR(E1590="",E1590="!!!",F1590="NEW"),"",INDEX(B1589:B$2,-1+SUMPRODUCT(MAX(ROW(E1589:E$2)*(E1590=E1589:E$2)))))</f>
        <v> </v>
      </c>
      <c r="J1590" s="26" t="str">
        <f>IF(OR(E1590="",E1590="!!!",F1590="NEW"),"",COUNTBLANK(OFFSET(A$1,,,SUMPRODUCT(MAX(ROW(E$2:E1590)*(E1590=E$2:E1590)))))-COUNTBLANK(OFFSET(A$1,,,SUMPRODUCT(MAX(ROW(E$1:E1589)*(E2=E$1:E1589))))))</f>
        <v> </v>
      </c>
      <c r="K1590" s="26" t="str">
        <f>IF(OR(E1590="",E1590="!!!",F1590="NEW"),"",INDEX(J$1:J1589,SUMPRODUCT(MAX(ROW(E$1:E1589)*(E1590=E$1:E1589)))))</f>
        <v> </v>
      </c>
      <c r="L1590" s="27"/>
    </row>
    <row r="1591" spans="1:12">
      <c r="A1591" s="20" t="s">
        <v>1207</v>
      </c>
      <c r="E1591" s="22">
        <f>IF(D1591="?OLD","!!!","")</f>
        <v/>
      </c>
      <c r="F1591" s="23" t="str">
        <f>IF(OR(E1591="",E1591="!!!"),"",IF(NOT(ISNA(VLOOKUP(E1591,E$1:E1590,1,FALSE()))),"OLD",IF(AND(E1591&lt;&gt;"",E1591&lt;&gt;"!!!"),"NEW","")))</f>
        <v> </v>
      </c>
      <c r="G1591" s="24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5" t="str">
        <f>IF(J1591&lt;&gt;1,"",IF(I1591="SBJ","CB","?"))</f>
        <v> </v>
      </c>
      <c r="I1591" s="26" t="str">
        <f>IF(OR(E1591="",E1591="!!!",F1591="NEW"),"",INDEX(B1590:B$2,-1+SUMPRODUCT(MAX(ROW(E1590:E$2)*(E1591=E1590:E$2)))))</f>
        <v> </v>
      </c>
      <c r="J1591" s="26" t="str">
        <f>IF(OR(E1591="",E1591="!!!",F1591="NEW"),"",COUNTBLANK(OFFSET(A$1,,,SUMPRODUCT(MAX(ROW(E$2:E1591)*(E1591=E$2:E1591)))))-COUNTBLANK(OFFSET(A$1,,,SUMPRODUCT(MAX(ROW(E$1:E1590)*(E2=E$1:E1590))))))</f>
        <v> </v>
      </c>
      <c r="K1591" s="26" t="str">
        <f>IF(OR(E1591="",E1591="!!!",F1591="NEW"),"",INDEX(J$1:J1590,SUMPRODUCT(MAX(ROW(E$1:E1590)*(E1591=E$1:E1590)))))</f>
        <v> </v>
      </c>
      <c r="L1591" s="27"/>
    </row>
    <row r="1592" spans="1:12">
      <c r="A1592" s="20" t="s">
        <v>453</v>
      </c>
      <c r="E1592" s="22">
        <f>IF(D1592="?OLD","!!!","")</f>
        <v/>
      </c>
      <c r="F1592" s="23" t="str">
        <f>IF(OR(E1592="",E1592="!!!"),"",IF(NOT(ISNA(VLOOKUP(E1592,E$1:E1591,1,FALSE()))),"OLD",IF(AND(E1592&lt;&gt;"",E1592&lt;&gt;"!!!"),"NEW","")))</f>
        <v> </v>
      </c>
      <c r="G1592" s="24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5" t="str">
        <f>IF(J1592&lt;&gt;1,"",IF(I1592="SBJ","CB","?"))</f>
        <v> </v>
      </c>
      <c r="I1592" s="26" t="str">
        <f>IF(OR(E1592="",E1592="!!!",F1592="NEW"),"",INDEX(B1591:B$2,-1+SUMPRODUCT(MAX(ROW(E1591:E$2)*(E1592=E1591:E$2)))))</f>
        <v> </v>
      </c>
      <c r="J1592" s="26" t="str">
        <f>IF(OR(E1592="",E1592="!!!",F1592="NEW"),"",COUNTBLANK(OFFSET(A$1,,,SUMPRODUCT(MAX(ROW(E$2:E1592)*(E1592=E$2:E1592)))))-COUNTBLANK(OFFSET(A$1,,,SUMPRODUCT(MAX(ROW(E$1:E1591)*(E2=E$1:E1591))))))</f>
        <v> </v>
      </c>
      <c r="K1592" s="26" t="str">
        <f>IF(OR(E1592="",E1592="!!!",F1592="NEW"),"",INDEX(J$1:J1591,SUMPRODUCT(MAX(ROW(E$1:E1591)*(E1592=E$1:E1591)))))</f>
        <v> </v>
      </c>
      <c r="L1592" s="27"/>
    </row>
    <row r="1593" spans="1:12">
      <c r="A1593" s="20" t="s">
        <v>459</v>
      </c>
      <c r="B1593" s="21" t="s">
        <v>470</v>
      </c>
      <c r="C1593" s="21" t="s">
        <v>481</v>
      </c>
      <c r="E1593" s="22">
        <f>IF(D1593="?OLD","!!!","")</f>
        <v/>
      </c>
      <c r="F1593" s="23" t="str">
        <f>IF(OR(E1593="",E1593="!!!"),"",IF(NOT(ISNA(VLOOKUP(E1593,E$1:E1592,1,FALSE()))),"OLD",IF(AND(E1593&lt;&gt;"",E1593&lt;&gt;"!!!"),"NEW","")))</f>
        <v> </v>
      </c>
      <c r="G1593" s="24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5" t="str">
        <f>IF(J1593&lt;&gt;1,"",IF(I1593="SBJ","CB","?"))</f>
        <v> </v>
      </c>
      <c r="I1593" s="26" t="str">
        <f>IF(OR(E1593="",E1593="!!!",F1593="NEW"),"",INDEX(B1592:B$2,-1+SUMPRODUCT(MAX(ROW(E1592:E$2)*(E1593=E1592:E$2)))))</f>
        <v> </v>
      </c>
      <c r="J1593" s="26" t="str">
        <f>IF(OR(E1593="",E1593="!!!",F1593="NEW"),"",COUNTBLANK(OFFSET(A$1,,,SUMPRODUCT(MAX(ROW(E$2:E1593)*(E1593=E$2:E1593)))))-COUNTBLANK(OFFSET(A$1,,,SUMPRODUCT(MAX(ROW(E$1:E1592)*(E2=E$1:E1592))))))</f>
        <v> </v>
      </c>
      <c r="K1593" s="26" t="str">
        <f>IF(OR(E1593="",E1593="!!!",F1593="NEW"),"",INDEX(J$1:J1592,SUMPRODUCT(MAX(ROW(E$1:E1592)*(E1593=E$1:E1592)))))</f>
        <v> </v>
      </c>
      <c r="L1593" s="27"/>
    </row>
    <row r="1594" spans="1:12">
      <c r="A1594" s="20" t="s">
        <v>661</v>
      </c>
      <c r="E1594" s="22">
        <f>IF(D1594="?OLD","!!!","")</f>
        <v/>
      </c>
      <c r="F1594" s="23" t="str">
        <f>IF(OR(E1594="",E1594="!!!"),"",IF(NOT(ISNA(VLOOKUP(E1594,E$1:E1593,1,FALSE()))),"OLD",IF(AND(E1594&lt;&gt;"",E1594&lt;&gt;"!!!"),"NEW","")))</f>
        <v> </v>
      </c>
      <c r="G1594" s="24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5" t="str">
        <f>IF(J1594&lt;&gt;1,"",IF(I1594="SBJ","CB","?"))</f>
        <v> </v>
      </c>
      <c r="I1594" s="26" t="str">
        <f>IF(OR(E1594="",E1594="!!!",F1594="NEW"),"",INDEX(B1593:B$2,-1+SUMPRODUCT(MAX(ROW(E1593:E$2)*(E1594=E1593:E$2)))))</f>
        <v> </v>
      </c>
      <c r="J1594" s="26" t="str">
        <f>IF(OR(E1594="",E1594="!!!",F1594="NEW"),"",COUNTBLANK(OFFSET(A$1,,,SUMPRODUCT(MAX(ROW(E$2:E1594)*(E1594=E$2:E1594)))))-COUNTBLANK(OFFSET(A$1,,,SUMPRODUCT(MAX(ROW(E$1:E1593)*(E2=E$1:E1593))))))</f>
        <v> </v>
      </c>
      <c r="K1594" s="26" t="str">
        <f>IF(OR(E1594="",E1594="!!!",F1594="NEW"),"",INDEX(J$1:J1593,SUMPRODUCT(MAX(ROW(E$1:E1593)*(E1594=E$1:E1593)))))</f>
        <v> </v>
      </c>
      <c r="L1594" s="27"/>
    </row>
    <row r="1595" spans="1:12">
      <c r="A1595" s="20" t="s">
        <v>915</v>
      </c>
      <c r="E1595" s="22">
        <f>IF(D1595="?OLD","!!!","")</f>
        <v/>
      </c>
      <c r="F1595" s="23" t="str">
        <f>IF(OR(E1595="",E1595="!!!"),"",IF(NOT(ISNA(VLOOKUP(E1595,E$1:E1594,1,FALSE()))),"OLD",IF(AND(E1595&lt;&gt;"",E1595&lt;&gt;"!!!"),"NEW","")))</f>
        <v> </v>
      </c>
      <c r="G1595" s="24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5" t="str">
        <f>IF(J1595&lt;&gt;1,"",IF(I1595="SBJ","CB","?"))</f>
        <v> </v>
      </c>
      <c r="I1595" s="26" t="str">
        <f>IF(OR(E1595="",E1595="!!!",F1595="NEW"),"",INDEX(B1594:B$2,-1+SUMPRODUCT(MAX(ROW(E1594:E$2)*(E1595=E1594:E$2)))))</f>
        <v> </v>
      </c>
      <c r="J1595" s="26" t="str">
        <f>IF(OR(E1595="",E1595="!!!",F1595="NEW"),"",COUNTBLANK(OFFSET(A$1,,,SUMPRODUCT(MAX(ROW(E$2:E1595)*(E1595=E$2:E1595)))))-COUNTBLANK(OFFSET(A$1,,,SUMPRODUCT(MAX(ROW(E$1:E1594)*(E2=E$1:E1594))))))</f>
        <v> </v>
      </c>
      <c r="K1595" s="26" t="str">
        <f>IF(OR(E1595="",E1595="!!!",F1595="NEW"),"",INDEX(J$1:J1594,SUMPRODUCT(MAX(ROW(E$1:E1594)*(E1595=E$1:E1594)))))</f>
        <v> </v>
      </c>
      <c r="L1595" s="27"/>
    </row>
    <row r="1596" spans="1:12">
      <c r="A1596" s="20"/>
    </row>
    <row r="1597" spans="1:12">
      <c r="A1597" s="20" t="s">
        <v>1208</v>
      </c>
    </row>
    <row r="1598" spans="1:12">
      <c r="A1598" s="20" t="s">
        <v>755</v>
      </c>
      <c r="B1598" s="21" t="s">
        <v>422</v>
      </c>
      <c r="C1598" s="21" t="s">
        <v>477</v>
      </c>
      <c r="D1598" s="21" t="s">
        <v>424</v>
      </c>
      <c r="E1598" s="22">
        <f>IF(D1598="?OLD","!!!","")</f>
        <v/>
      </c>
      <c r="F1598" s="23" t="str">
        <f>IF(OR(E1598="",E1598="!!!"),"",IF(NOT(ISNA(VLOOKUP(E1598,E$1:E1597,1,FALSE()))),"OLD",IF(AND(E1598&lt;&gt;"",E1598&lt;&gt;"!!!"),"NEW","")))</f>
        <v> </v>
      </c>
      <c r="G1598" s="24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5" t="str">
        <f>IF(J1598&lt;&gt;1,"",IF(I1598="SBJ","CB","?"))</f>
        <v> </v>
      </c>
      <c r="I1598" s="26" t="str">
        <f>IF(OR(E1598="",E1598="!!!",F1598="NEW"),"",INDEX(B1597:B$2,-1+SUMPRODUCT(MAX(ROW(E1597:E$2)*(E1598=E1597:E$2)))))</f>
        <v> </v>
      </c>
      <c r="J1598" s="26" t="str">
        <f>IF(OR(E1598="",E1598="!!!",F1598="NEW"),"",COUNTBLANK(OFFSET(A$1,,,SUMPRODUCT(MAX(ROW(E$2:E1598)*(E1598=E$2:E1598)))))-COUNTBLANK(OFFSET(A$1,,,SUMPRODUCT(MAX(ROW(E$1:E1597)*(E2=E$1:E1597))))))</f>
        <v> </v>
      </c>
      <c r="K1598" s="26" t="str">
        <f>IF(OR(E1598="",E1598="!!!",F1598="NEW"),"",INDEX(J$1:J1597,SUMPRODUCT(MAX(ROW(E$1:E1597)*(E1598=E$1:E1597)))))</f>
        <v> </v>
      </c>
      <c r="L1598" s="27"/>
    </row>
    <row r="1599" spans="1:12">
      <c r="A1599" s="20" t="s">
        <v>651</v>
      </c>
      <c r="E1599" s="22">
        <f>IF(D1599="?OLD","!!!","")</f>
        <v/>
      </c>
      <c r="F1599" s="23" t="str">
        <f>IF(OR(E1599="",E1599="!!!"),"",IF(NOT(ISNA(VLOOKUP(E1599,E$1:E1598,1,FALSE()))),"OLD",IF(AND(E1599&lt;&gt;"",E1599&lt;&gt;"!!!"),"NEW","")))</f>
        <v> </v>
      </c>
      <c r="G1599" s="24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5" t="str">
        <f>IF(J1599&lt;&gt;1,"",IF(I1599="SBJ","CB","?"))</f>
        <v> </v>
      </c>
      <c r="I1599" s="26" t="str">
        <f>IF(OR(E1599="",E1599="!!!",F1599="NEW"),"",INDEX(B1598:B$2,-1+SUMPRODUCT(MAX(ROW(E1598:E$2)*(E1599=E1598:E$2)))))</f>
        <v> </v>
      </c>
      <c r="J1599" s="26" t="str">
        <f>IF(OR(E1599="",E1599="!!!",F1599="NEW"),"",COUNTBLANK(OFFSET(A$1,,,SUMPRODUCT(MAX(ROW(E$2:E1599)*(E1599=E$2:E1599)))))-COUNTBLANK(OFFSET(A$1,,,SUMPRODUCT(MAX(ROW(E$1:E1598)*(E2=E$1:E1598))))))</f>
        <v> </v>
      </c>
      <c r="K1599" s="26" t="str">
        <f>IF(OR(E1599="",E1599="!!!",F1599="NEW"),"",INDEX(J$1:J1598,SUMPRODUCT(MAX(ROW(E$1:E1598)*(E1599=E$1:E1598)))))</f>
        <v> </v>
      </c>
      <c r="L1599" s="27"/>
    </row>
    <row r="1600" spans="1:12">
      <c r="A1600" s="20" t="s">
        <v>1209</v>
      </c>
      <c r="E1600" s="22">
        <f>IF(D1600="?OLD","!!!","")</f>
        <v/>
      </c>
      <c r="F1600" s="23" t="str">
        <f>IF(OR(E1600="",E1600="!!!"),"",IF(NOT(ISNA(VLOOKUP(E1600,E$1:E1599,1,FALSE()))),"OLD",IF(AND(E1600&lt;&gt;"",E1600&lt;&gt;"!!!"),"NEW","")))</f>
        <v> </v>
      </c>
      <c r="G1600" s="24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5" t="str">
        <f>IF(J1600&lt;&gt;1,"",IF(I1600="SBJ","CB","?"))</f>
        <v> </v>
      </c>
      <c r="I1600" s="26" t="str">
        <f>IF(OR(E1600="",E1600="!!!",F1600="NEW"),"",INDEX(B1599:B$2,-1+SUMPRODUCT(MAX(ROW(E1599:E$2)*(E1600=E1599:E$2)))))</f>
        <v> </v>
      </c>
      <c r="J1600" s="26" t="str">
        <f>IF(OR(E1600="",E1600="!!!",F1600="NEW"),"",COUNTBLANK(OFFSET(A$1,,,SUMPRODUCT(MAX(ROW(E$2:E1600)*(E1600=E$2:E1600)))))-COUNTBLANK(OFFSET(A$1,,,SUMPRODUCT(MAX(ROW(E$1:E1599)*(E2=E$1:E1599))))))</f>
        <v> </v>
      </c>
      <c r="K1600" s="26" t="str">
        <f>IF(OR(E1600="",E1600="!!!",F1600="NEW"),"",INDEX(J$1:J1599,SUMPRODUCT(MAX(ROW(E$1:E1599)*(E1600=E$1:E1599)))))</f>
        <v> </v>
      </c>
      <c r="L1600" s="27"/>
    </row>
    <row r="1601" spans="1:12">
      <c r="A1601" s="20" t="s">
        <v>1210</v>
      </c>
      <c r="E1601" s="22">
        <f>IF(D1601="?OLD","!!!","")</f>
        <v/>
      </c>
      <c r="F1601" s="23" t="str">
        <f>IF(OR(E1601="",E1601="!!!"),"",IF(NOT(ISNA(VLOOKUP(E1601,E$1:E1600,1,FALSE()))),"OLD",IF(AND(E1601&lt;&gt;"",E1601&lt;&gt;"!!!"),"NEW","")))</f>
        <v> </v>
      </c>
      <c r="G1601" s="24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5" t="str">
        <f>IF(J1601&lt;&gt;1,"",IF(I1601="SBJ","CB","?"))</f>
        <v> </v>
      </c>
      <c r="I1601" s="26" t="str">
        <f>IF(OR(E1601="",E1601="!!!",F1601="NEW"),"",INDEX(B1600:B$2,-1+SUMPRODUCT(MAX(ROW(E1600:E$2)*(E1601=E1600:E$2)))))</f>
        <v> </v>
      </c>
      <c r="J1601" s="26" t="str">
        <f>IF(OR(E1601="",E1601="!!!",F1601="NEW"),"",COUNTBLANK(OFFSET(A$1,,,SUMPRODUCT(MAX(ROW(E$2:E1601)*(E1601=E$2:E1601)))))-COUNTBLANK(OFFSET(A$1,,,SUMPRODUCT(MAX(ROW(E$1:E1600)*(E2=E$1:E1600))))))</f>
        <v> </v>
      </c>
      <c r="K1601" s="26" t="str">
        <f>IF(OR(E1601="",E1601="!!!",F1601="NEW"),"",INDEX(J$1:J1600,SUMPRODUCT(MAX(ROW(E$1:E1600)*(E1601=E$1:E1600)))))</f>
        <v> </v>
      </c>
      <c r="L1601" s="27"/>
    </row>
    <row r="1602" spans="1:12">
      <c r="A1602" s="20" t="s">
        <v>438</v>
      </c>
      <c r="E1602" s="22">
        <f>IF(D1602="?OLD","!!!","")</f>
        <v/>
      </c>
      <c r="F1602" s="23" t="str">
        <f>IF(OR(E1602="",E1602="!!!"),"",IF(NOT(ISNA(VLOOKUP(E1602,E$1:E1601,1,FALSE()))),"OLD",IF(AND(E1602&lt;&gt;"",E1602&lt;&gt;"!!!"),"NEW","")))</f>
        <v> </v>
      </c>
      <c r="G1602" s="24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5" t="str">
        <f>IF(J1602&lt;&gt;1,"",IF(I1602="SBJ","CB","?"))</f>
        <v> </v>
      </c>
      <c r="I1602" s="26" t="str">
        <f>IF(OR(E1602="",E1602="!!!",F1602="NEW"),"",INDEX(B1601:B$2,-1+SUMPRODUCT(MAX(ROW(E1601:E$2)*(E1602=E1601:E$2)))))</f>
        <v> </v>
      </c>
      <c r="J1602" s="26" t="str">
        <f>IF(OR(E1602="",E1602="!!!",F1602="NEW"),"",COUNTBLANK(OFFSET(A$1,,,SUMPRODUCT(MAX(ROW(E$2:E1602)*(E1602=E$2:E1602)))))-COUNTBLANK(OFFSET(A$1,,,SUMPRODUCT(MAX(ROW(E$1:E1601)*(E2=E$1:E1601))))))</f>
        <v> </v>
      </c>
      <c r="K1602" s="26" t="str">
        <f>IF(OR(E1602="",E1602="!!!",F1602="NEW"),"",INDEX(J$1:J1601,SUMPRODUCT(MAX(ROW(E$1:E1601)*(E1602=E$1:E1601)))))</f>
        <v> </v>
      </c>
      <c r="L1602" s="27"/>
    </row>
    <row r="1603" spans="1:12">
      <c r="A1603" s="20"/>
    </row>
    <row r="1604" spans="1:12">
      <c r="A1604" s="20" t="s">
        <v>1211</v>
      </c>
    </row>
    <row r="1605" spans="1:12">
      <c r="A1605" s="20" t="s">
        <v>755</v>
      </c>
      <c r="B1605" s="21" t="s">
        <v>422</v>
      </c>
      <c r="C1605" s="21" t="s">
        <v>477</v>
      </c>
      <c r="D1605" s="21" t="s">
        <v>424</v>
      </c>
      <c r="E1605" s="22">
        <f>IF(D1605="?OLD","!!!","")</f>
        <v/>
      </c>
      <c r="F1605" s="23" t="str">
        <f>IF(OR(E1605="",E1605="!!!"),"",IF(NOT(ISNA(VLOOKUP(E1605,E$1:E1604,1,FALSE()))),"OLD",IF(AND(E1605&lt;&gt;"",E1605&lt;&gt;"!!!"),"NEW","")))</f>
        <v> </v>
      </c>
      <c r="G1605" s="24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5" t="str">
        <f>IF(J1605&lt;&gt;1,"",IF(I1605="SBJ","CB","?"))</f>
        <v> </v>
      </c>
      <c r="I1605" s="26" t="str">
        <f>IF(OR(E1605="",E1605="!!!",F1605="NEW"),"",INDEX(B1604:B$2,-1+SUMPRODUCT(MAX(ROW(E1604:E$2)*(E1605=E1604:E$2)))))</f>
        <v> </v>
      </c>
      <c r="J1605" s="26" t="str">
        <f>IF(OR(E1605="",E1605="!!!",F1605="NEW"),"",COUNTBLANK(OFFSET(A$1,,,SUMPRODUCT(MAX(ROW(E$2:E1605)*(E1605=E$2:E1605)))))-COUNTBLANK(OFFSET(A$1,,,SUMPRODUCT(MAX(ROW(E$1:E1604)*(E2=E$1:E1604))))))</f>
        <v> </v>
      </c>
      <c r="K1605" s="26" t="str">
        <f>IF(OR(E1605="",E1605="!!!",F1605="NEW"),"",INDEX(J$1:J1604,SUMPRODUCT(MAX(ROW(E$1:E1604)*(E1605=E$1:E1604)))))</f>
        <v> </v>
      </c>
      <c r="L1605" s="27"/>
    </row>
    <row r="1606" spans="1:12">
      <c r="A1606" s="20" t="s">
        <v>651</v>
      </c>
      <c r="E1606" s="22">
        <f>IF(D1606="?OLD","!!!","")</f>
        <v/>
      </c>
      <c r="F1606" s="23" t="str">
        <f>IF(OR(E1606="",E1606="!!!"),"",IF(NOT(ISNA(VLOOKUP(E1606,E$1:E1605,1,FALSE()))),"OLD",IF(AND(E1606&lt;&gt;"",E1606&lt;&gt;"!!!"),"NEW","")))</f>
        <v> </v>
      </c>
      <c r="G1606" s="24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5" t="str">
        <f>IF(J1606&lt;&gt;1,"",IF(I1606="SBJ","CB","?"))</f>
        <v> </v>
      </c>
      <c r="I1606" s="26" t="str">
        <f>IF(OR(E1606="",E1606="!!!",F1606="NEW"),"",INDEX(B1605:B$2,-1+SUMPRODUCT(MAX(ROW(E1605:E$2)*(E1606=E1605:E$2)))))</f>
        <v> </v>
      </c>
      <c r="J1606" s="26" t="str">
        <f>IF(OR(E1606="",E1606="!!!",F1606="NEW"),"",COUNTBLANK(OFFSET(A$1,,,SUMPRODUCT(MAX(ROW(E$2:E1606)*(E1606=E$2:E1606)))))-COUNTBLANK(OFFSET(A$1,,,SUMPRODUCT(MAX(ROW(E$1:E1605)*(E2=E$1:E1605))))))</f>
        <v> </v>
      </c>
      <c r="K1606" s="26" t="str">
        <f>IF(OR(E1606="",E1606="!!!",F1606="NEW"),"",INDEX(J$1:J1605,SUMPRODUCT(MAX(ROW(E$1:E1605)*(E1606=E$1:E1605)))))</f>
        <v> </v>
      </c>
      <c r="L1606" s="27"/>
    </row>
    <row r="1607" spans="1:12">
      <c r="A1607" s="20" t="s">
        <v>1212</v>
      </c>
      <c r="E1607" s="22">
        <f>IF(D1607="?OLD","!!!","")</f>
        <v/>
      </c>
      <c r="F1607" s="23" t="str">
        <f>IF(OR(E1607="",E1607="!!!"),"",IF(NOT(ISNA(VLOOKUP(E1607,E$1:E1606,1,FALSE()))),"OLD",IF(AND(E1607&lt;&gt;"",E1607&lt;&gt;"!!!"),"NEW","")))</f>
        <v> </v>
      </c>
      <c r="G1607" s="24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5" t="str">
        <f>IF(J1607&lt;&gt;1,"",IF(I1607="SBJ","CB","?"))</f>
        <v> </v>
      </c>
      <c r="I1607" s="26" t="str">
        <f>IF(OR(E1607="",E1607="!!!",F1607="NEW"),"",INDEX(B1606:B$2,-1+SUMPRODUCT(MAX(ROW(E1606:E$2)*(E1607=E1606:E$2)))))</f>
        <v> </v>
      </c>
      <c r="J1607" s="26" t="str">
        <f>IF(OR(E1607="",E1607="!!!",F1607="NEW"),"",COUNTBLANK(OFFSET(A$1,,,SUMPRODUCT(MAX(ROW(E$2:E1607)*(E1607=E$2:E1607)))))-COUNTBLANK(OFFSET(A$1,,,SUMPRODUCT(MAX(ROW(E$1:E1606)*(E2=E$1:E1606))))))</f>
        <v> </v>
      </c>
      <c r="K1607" s="26" t="str">
        <f>IF(OR(E1607="",E1607="!!!",F1607="NEW"),"",INDEX(J$1:J1606,SUMPRODUCT(MAX(ROW(E$1:E1606)*(E1607=E$1:E1606)))))</f>
        <v> </v>
      </c>
      <c r="L1607" s="27"/>
    </row>
    <row r="1608" spans="1:12">
      <c r="A1608" s="20" t="s">
        <v>1155</v>
      </c>
      <c r="B1608" s="21" t="s">
        <v>659</v>
      </c>
      <c r="C1608" s="21" t="s">
        <v>423</v>
      </c>
      <c r="D1608" s="21" t="s">
        <v>424</v>
      </c>
      <c r="E1608" s="22">
        <f>IF(D1608="?OLD","!!!","")</f>
        <v/>
      </c>
      <c r="F1608" s="23" t="str">
        <f>IF(OR(E1608="",E1608="!!!"),"",IF(NOT(ISNA(VLOOKUP(E1608,E$1:E1607,1,FALSE()))),"OLD",IF(AND(E1608&lt;&gt;"",E1608&lt;&gt;"!!!"),"NEW","")))</f>
        <v> </v>
      </c>
      <c r="G1608" s="24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5" t="str">
        <f>IF(J1608&lt;&gt;1,"",IF(I1608="SBJ","CB","?"))</f>
        <v> </v>
      </c>
      <c r="I1608" s="26" t="str">
        <f>IF(OR(E1608="",E1608="!!!",F1608="NEW"),"",INDEX(B1607:B$2,-1+SUMPRODUCT(MAX(ROW(E1607:E$2)*(E1608=E1607:E$2)))))</f>
        <v> </v>
      </c>
      <c r="J1608" s="26" t="str">
        <f>IF(OR(E1608="",E1608="!!!",F1608="NEW"),"",COUNTBLANK(OFFSET(A$1,,,SUMPRODUCT(MAX(ROW(E$2:E1608)*(E1608=E$2:E1608)))))-COUNTBLANK(OFFSET(A$1,,,SUMPRODUCT(MAX(ROW(E$1:E1607)*(E2=E$1:E1607))))))</f>
        <v> </v>
      </c>
      <c r="K1608" s="26" t="str">
        <f>IF(OR(E1608="",E1608="!!!",F1608="NEW"),"",INDEX(J$1:J1607,SUMPRODUCT(MAX(ROW(E$1:E1607)*(E1608=E$1:E1607)))))</f>
        <v> </v>
      </c>
      <c r="L1608" s="27"/>
    </row>
    <row r="1609" spans="1:12">
      <c r="A1609" s="20" t="s">
        <v>1213</v>
      </c>
      <c r="E1609" s="22">
        <f>IF(D1609="?OLD","!!!","")</f>
        <v/>
      </c>
      <c r="F1609" s="23" t="str">
        <f>IF(OR(E1609="",E1609="!!!"),"",IF(NOT(ISNA(VLOOKUP(E1609,E$1:E1608,1,FALSE()))),"OLD",IF(AND(E1609&lt;&gt;"",E1609&lt;&gt;"!!!"),"NEW","")))</f>
        <v> </v>
      </c>
      <c r="G1609" s="24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5" t="str">
        <f>IF(J1609&lt;&gt;1,"",IF(I1609="SBJ","CB","?"))</f>
        <v> </v>
      </c>
      <c r="I1609" s="26" t="str">
        <f>IF(OR(E1609="",E1609="!!!",F1609="NEW"),"",INDEX(B1608:B$2,-1+SUMPRODUCT(MAX(ROW(E1608:E$2)*(E1609=E1608:E$2)))))</f>
        <v> </v>
      </c>
      <c r="J1609" s="26" t="str">
        <f>IF(OR(E1609="",E1609="!!!",F1609="NEW"),"",COUNTBLANK(OFFSET(A$1,,,SUMPRODUCT(MAX(ROW(E$2:E1609)*(E1609=E$2:E1609)))))-COUNTBLANK(OFFSET(A$1,,,SUMPRODUCT(MAX(ROW(E$1:E1608)*(E2=E$1:E1608))))))</f>
        <v> </v>
      </c>
      <c r="K1609" s="26" t="str">
        <f>IF(OR(E1609="",E1609="!!!",F1609="NEW"),"",INDEX(J$1:J1608,SUMPRODUCT(MAX(ROW(E$1:E1608)*(E1609=E$1:E1608)))))</f>
        <v> </v>
      </c>
      <c r="L1609" s="27"/>
    </row>
    <row r="1610" spans="1:12">
      <c r="A1610" s="20" t="s">
        <v>438</v>
      </c>
      <c r="E1610" s="22">
        <f>IF(D1610="?OLD","!!!","")</f>
        <v/>
      </c>
      <c r="F1610" s="23" t="str">
        <f>IF(OR(E1610="",E1610="!!!"),"",IF(NOT(ISNA(VLOOKUP(E1610,E$1:E1609,1,FALSE()))),"OLD",IF(AND(E1610&lt;&gt;"",E1610&lt;&gt;"!!!"),"NEW","")))</f>
        <v> </v>
      </c>
      <c r="G1610" s="24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5" t="str">
        <f>IF(J1610&lt;&gt;1,"",IF(I1610="SBJ","CB","?"))</f>
        <v> </v>
      </c>
      <c r="I1610" s="26" t="str">
        <f>IF(OR(E1610="",E1610="!!!",F1610="NEW"),"",INDEX(B1609:B$2,-1+SUMPRODUCT(MAX(ROW(E1609:E$2)*(E1610=E1609:E$2)))))</f>
        <v> </v>
      </c>
      <c r="J1610" s="26" t="str">
        <f>IF(OR(E1610="",E1610="!!!",F1610="NEW"),"",COUNTBLANK(OFFSET(A$1,,,SUMPRODUCT(MAX(ROW(E$2:E1610)*(E1610=E$2:E1610)))))-COUNTBLANK(OFFSET(A$1,,,SUMPRODUCT(MAX(ROW(E$1:E1609)*(E2=E$1:E1609))))))</f>
        <v> </v>
      </c>
      <c r="K1610" s="26" t="str">
        <f>IF(OR(E1610="",E1610="!!!",F1610="NEW"),"",INDEX(J$1:J1609,SUMPRODUCT(MAX(ROW(E$1:E1609)*(E1610=E$1:E1609)))))</f>
        <v> </v>
      </c>
      <c r="L1610" s="27"/>
    </row>
    <row r="1611" spans="1:12">
      <c r="A1611" s="20"/>
    </row>
    <row r="1612" spans="1:12">
      <c r="A1612" s="20" t="s">
        <v>1214</v>
      </c>
    </row>
    <row r="1613" spans="1:12">
      <c r="A1613" s="20" t="s">
        <v>1215</v>
      </c>
      <c r="B1613" s="21" t="s">
        <v>422</v>
      </c>
      <c r="C1613" s="21" t="s">
        <v>423</v>
      </c>
      <c r="D1613" s="21" t="s">
        <v>424</v>
      </c>
      <c r="E1613" s="22">
        <f>IF(D1613="?OLD","!!!","")</f>
        <v/>
      </c>
      <c r="F1613" s="23" t="str">
        <f>IF(OR(E1613="",E1613="!!!"),"",IF(NOT(ISNA(VLOOKUP(E1613,E$1:E1612,1,FALSE()))),"OLD",IF(AND(E1613&lt;&gt;"",E1613&lt;&gt;"!!!"),"NEW","")))</f>
        <v> </v>
      </c>
      <c r="G1613" s="24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5" t="str">
        <f>IF(J1613&lt;&gt;1,"",IF(I1613="SBJ","CB","?"))</f>
        <v> </v>
      </c>
      <c r="I1613" s="26" t="str">
        <f>IF(OR(E1613="",E1613="!!!",F1613="NEW"),"",INDEX(B1612:B$2,-1+SUMPRODUCT(MAX(ROW(E1612:E$2)*(E1613=E1612:E$2)))))</f>
        <v> </v>
      </c>
      <c r="J1613" s="26" t="str">
        <f>IF(OR(E1613="",E1613="!!!",F1613="NEW"),"",COUNTBLANK(OFFSET(A$1,,,SUMPRODUCT(MAX(ROW(E$2:E1613)*(E1613=E$2:E1613)))))-COUNTBLANK(OFFSET(A$1,,,SUMPRODUCT(MAX(ROW(E$1:E1612)*(E2=E$1:E1612))))))</f>
        <v> </v>
      </c>
      <c r="K1613" s="26" t="str">
        <f>IF(OR(E1613="",E1613="!!!",F1613="NEW"),"",INDEX(J$1:J1612,SUMPRODUCT(MAX(ROW(E$1:E1612)*(E1613=E$1:E1612)))))</f>
        <v> </v>
      </c>
      <c r="L1613" s="27"/>
    </row>
    <row r="1614" spans="1:12">
      <c r="A1614" s="20" t="s">
        <v>1216</v>
      </c>
      <c r="E1614" s="22">
        <f>IF(D1614="?OLD","!!!","")</f>
        <v/>
      </c>
      <c r="F1614" s="23" t="str">
        <f>IF(OR(E1614="",E1614="!!!"),"",IF(NOT(ISNA(VLOOKUP(E1614,E$1:E1613,1,FALSE()))),"OLD",IF(AND(E1614&lt;&gt;"",E1614&lt;&gt;"!!!"),"NEW","")))</f>
        <v> </v>
      </c>
      <c r="G1614" s="24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5" t="str">
        <f>IF(J1614&lt;&gt;1,"",IF(I1614="SBJ","CB","?"))</f>
        <v> </v>
      </c>
      <c r="I1614" s="26" t="str">
        <f>IF(OR(E1614="",E1614="!!!",F1614="NEW"),"",INDEX(B1613:B$2,-1+SUMPRODUCT(MAX(ROW(E1613:E$2)*(E1614=E1613:E$2)))))</f>
        <v> </v>
      </c>
      <c r="J1614" s="26" t="str">
        <f>IF(OR(E1614="",E1614="!!!",F1614="NEW"),"",COUNTBLANK(OFFSET(A$1,,,SUMPRODUCT(MAX(ROW(E$2:E1614)*(E1614=E$2:E1614)))))-COUNTBLANK(OFFSET(A$1,,,SUMPRODUCT(MAX(ROW(E$1:E1613)*(E2=E$1:E1613))))))</f>
        <v> </v>
      </c>
      <c r="K1614" s="26" t="str">
        <f>IF(OR(E1614="",E1614="!!!",F1614="NEW"),"",INDEX(J$1:J1613,SUMPRODUCT(MAX(ROW(E$1:E1613)*(E1614=E$1:E1613)))))</f>
        <v> </v>
      </c>
      <c r="L1614" s="27"/>
    </row>
    <row r="1615" spans="1:12">
      <c r="A1615" s="20" t="s">
        <v>478</v>
      </c>
      <c r="E1615" s="22">
        <f>IF(D1615="?OLD","!!!","")</f>
        <v/>
      </c>
      <c r="F1615" s="23" t="str">
        <f>IF(OR(E1615="",E1615="!!!"),"",IF(NOT(ISNA(VLOOKUP(E1615,E$1:E1614,1,FALSE()))),"OLD",IF(AND(E1615&lt;&gt;"",E1615&lt;&gt;"!!!"),"NEW","")))</f>
        <v> </v>
      </c>
      <c r="G1615" s="24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5" t="str">
        <f>IF(J1615&lt;&gt;1,"",IF(I1615="SBJ","CB","?"))</f>
        <v> </v>
      </c>
      <c r="I1615" s="26" t="str">
        <f>IF(OR(E1615="",E1615="!!!",F1615="NEW"),"",INDEX(B1614:B$2,-1+SUMPRODUCT(MAX(ROW(E1614:E$2)*(E1615=E1614:E$2)))))</f>
        <v> </v>
      </c>
      <c r="J1615" s="26" t="str">
        <f>IF(OR(E1615="",E1615="!!!",F1615="NEW"),"",COUNTBLANK(OFFSET(A$1,,,SUMPRODUCT(MAX(ROW(E$2:E1615)*(E1615=E$2:E1615)))))-COUNTBLANK(OFFSET(A$1,,,SUMPRODUCT(MAX(ROW(E$1:E1614)*(E2=E$1:E1614))))))</f>
        <v> </v>
      </c>
      <c r="K1615" s="26" t="str">
        <f>IF(OR(E1615="",E1615="!!!",F1615="NEW"),"",INDEX(J$1:J1614,SUMPRODUCT(MAX(ROW(E$1:E1614)*(E1615=E$1:E1614)))))</f>
        <v> </v>
      </c>
      <c r="L1615" s="27"/>
    </row>
    <row r="1616" spans="1:12">
      <c r="A1616" s="20" t="s">
        <v>1217</v>
      </c>
      <c r="E1616" s="22">
        <f>IF(D1616="?OLD","!!!","")</f>
        <v/>
      </c>
      <c r="F1616" s="23" t="str">
        <f>IF(OR(E1616="",E1616="!!!"),"",IF(NOT(ISNA(VLOOKUP(E1616,E$1:E1615,1,FALSE()))),"OLD",IF(AND(E1616&lt;&gt;"",E1616&lt;&gt;"!!!"),"NEW","")))</f>
        <v> </v>
      </c>
      <c r="G1616" s="24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5" t="str">
        <f>IF(J1616&lt;&gt;1,"",IF(I1616="SBJ","CB","?"))</f>
        <v> </v>
      </c>
      <c r="I1616" s="26" t="str">
        <f>IF(OR(E1616="",E1616="!!!",F1616="NEW"),"",INDEX(B1615:B$2,-1+SUMPRODUCT(MAX(ROW(E1615:E$2)*(E1616=E1615:E$2)))))</f>
        <v> </v>
      </c>
      <c r="J1616" s="26" t="str">
        <f>IF(OR(E1616="",E1616="!!!",F1616="NEW"),"",COUNTBLANK(OFFSET(A$1,,,SUMPRODUCT(MAX(ROW(E$2:E1616)*(E1616=E$2:E1616)))))-COUNTBLANK(OFFSET(A$1,,,SUMPRODUCT(MAX(ROW(E$1:E1615)*(E2=E$1:E1615))))))</f>
        <v> </v>
      </c>
      <c r="K1616" s="26" t="str">
        <f>IF(OR(E1616="",E1616="!!!",F1616="NEW"),"",INDEX(J$1:J1615,SUMPRODUCT(MAX(ROW(E$1:E1615)*(E1616=E$1:E1615)))))</f>
        <v> </v>
      </c>
      <c r="L1616" s="27"/>
    </row>
    <row r="1617" spans="1:12">
      <c r="A1617" s="20" t="s">
        <v>436</v>
      </c>
      <c r="E1617" s="22">
        <f>IF(D1617="?OLD","!!!","")</f>
        <v/>
      </c>
      <c r="F1617" s="23" t="str">
        <f>IF(OR(E1617="",E1617="!!!"),"",IF(NOT(ISNA(VLOOKUP(E1617,E$1:E1616,1,FALSE()))),"OLD",IF(AND(E1617&lt;&gt;"",E1617&lt;&gt;"!!!"),"NEW","")))</f>
        <v> </v>
      </c>
      <c r="G1617" s="24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5" t="str">
        <f>IF(J1617&lt;&gt;1,"",IF(I1617="SBJ","CB","?"))</f>
        <v> </v>
      </c>
      <c r="I1617" s="26" t="str">
        <f>IF(OR(E1617="",E1617="!!!",F1617="NEW"),"",INDEX(B1616:B$2,-1+SUMPRODUCT(MAX(ROW(E1616:E$2)*(E1617=E1616:E$2)))))</f>
        <v> </v>
      </c>
      <c r="J1617" s="26" t="str">
        <f>IF(OR(E1617="",E1617="!!!",F1617="NEW"),"",COUNTBLANK(OFFSET(A$1,,,SUMPRODUCT(MAX(ROW(E$2:E1617)*(E1617=E$2:E1617)))))-COUNTBLANK(OFFSET(A$1,,,SUMPRODUCT(MAX(ROW(E$1:E1616)*(E2=E$1:E1616))))))</f>
        <v> </v>
      </c>
      <c r="K1617" s="26" t="str">
        <f>IF(OR(E1617="",E1617="!!!",F1617="NEW"),"",INDEX(J$1:J1616,SUMPRODUCT(MAX(ROW(E$1:E1616)*(E1617=E$1:E1616)))))</f>
        <v> </v>
      </c>
      <c r="L1617" s="27"/>
    </row>
    <row r="1618" spans="1:12">
      <c r="A1618" s="20" t="s">
        <v>1218</v>
      </c>
      <c r="E1618" s="22">
        <f>IF(D1618="?OLD","!!!","")</f>
        <v/>
      </c>
      <c r="F1618" s="23" t="str">
        <f>IF(OR(E1618="",E1618="!!!"),"",IF(NOT(ISNA(VLOOKUP(E1618,E$1:E1617,1,FALSE()))),"OLD",IF(AND(E1618&lt;&gt;"",E1618&lt;&gt;"!!!"),"NEW","")))</f>
        <v> </v>
      </c>
      <c r="G1618" s="24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5" t="str">
        <f>IF(J1618&lt;&gt;1,"",IF(I1618="SBJ","CB","?"))</f>
        <v> </v>
      </c>
      <c r="I1618" s="26" t="str">
        <f>IF(OR(E1618="",E1618="!!!",F1618="NEW"),"",INDEX(B1617:B$2,-1+SUMPRODUCT(MAX(ROW(E1617:E$2)*(E1618=E1617:E$2)))))</f>
        <v> </v>
      </c>
      <c r="J1618" s="26" t="str">
        <f>IF(OR(E1618="",E1618="!!!",F1618="NEW"),"",COUNTBLANK(OFFSET(A$1,,,SUMPRODUCT(MAX(ROW(E$2:E1618)*(E1618=E$2:E1618)))))-COUNTBLANK(OFFSET(A$1,,,SUMPRODUCT(MAX(ROW(E$1:E1617)*(E2=E$1:E1617))))))</f>
        <v> </v>
      </c>
      <c r="K1618" s="26" t="str">
        <f>IF(OR(E1618="",E1618="!!!",F1618="NEW"),"",INDEX(J$1:J1617,SUMPRODUCT(MAX(ROW(E$1:E1617)*(E1618=E$1:E1617)))))</f>
        <v> </v>
      </c>
      <c r="L1618" s="27"/>
    </row>
    <row r="1619" spans="1:12">
      <c r="A1619" s="20" t="s">
        <v>430</v>
      </c>
      <c r="E1619" s="22">
        <f>IF(D1619="?OLD","!!!","")</f>
        <v/>
      </c>
      <c r="F1619" s="23" t="str">
        <f>IF(OR(E1619="",E1619="!!!"),"",IF(NOT(ISNA(VLOOKUP(E1619,E$1:E1618,1,FALSE()))),"OLD",IF(AND(E1619&lt;&gt;"",E1619&lt;&gt;"!!!"),"NEW","")))</f>
        <v> </v>
      </c>
      <c r="G1619" s="24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5" t="str">
        <f>IF(J1619&lt;&gt;1,"",IF(I1619="SBJ","CB","?"))</f>
        <v> </v>
      </c>
      <c r="I1619" s="26" t="str">
        <f>IF(OR(E1619="",E1619="!!!",F1619="NEW"),"",INDEX(B1618:B$2,-1+SUMPRODUCT(MAX(ROW(E1618:E$2)*(E1619=E1618:E$2)))))</f>
        <v> </v>
      </c>
      <c r="J1619" s="26" t="str">
        <f>IF(OR(E1619="",E1619="!!!",F1619="NEW"),"",COUNTBLANK(OFFSET(A$1,,,SUMPRODUCT(MAX(ROW(E$2:E1619)*(E1619=E$2:E1619)))))-COUNTBLANK(OFFSET(A$1,,,SUMPRODUCT(MAX(ROW(E$1:E1618)*(E2=E$1:E1618))))))</f>
        <v> </v>
      </c>
      <c r="K1619" s="26" t="str">
        <f>IF(OR(E1619="",E1619="!!!",F1619="NEW"),"",INDEX(J$1:J1618,SUMPRODUCT(MAX(ROW(E$1:E1618)*(E1619=E$1:E1618)))))</f>
        <v> </v>
      </c>
      <c r="L1619" s="27"/>
    </row>
    <row r="1620" spans="1:12">
      <c r="A1620" s="20" t="s">
        <v>502</v>
      </c>
      <c r="E1620" s="22">
        <f>IF(D1620="?OLD","!!!","")</f>
        <v/>
      </c>
      <c r="F1620" s="23" t="str">
        <f>IF(OR(E1620="",E1620="!!!"),"",IF(NOT(ISNA(VLOOKUP(E1620,E$1:E1619,1,FALSE()))),"OLD",IF(AND(E1620&lt;&gt;"",E1620&lt;&gt;"!!!"),"NEW","")))</f>
        <v> </v>
      </c>
      <c r="G1620" s="24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5" t="str">
        <f>IF(J1620&lt;&gt;1,"",IF(I1620="SBJ","CB","?"))</f>
        <v> </v>
      </c>
      <c r="I1620" s="26" t="str">
        <f>IF(OR(E1620="",E1620="!!!",F1620="NEW"),"",INDEX(B1619:B$2,-1+SUMPRODUCT(MAX(ROW(E1619:E$2)*(E1620=E1619:E$2)))))</f>
        <v> </v>
      </c>
      <c r="J1620" s="26" t="str">
        <f>IF(OR(E1620="",E1620="!!!",F1620="NEW"),"",COUNTBLANK(OFFSET(A$1,,,SUMPRODUCT(MAX(ROW(E$2:E1620)*(E1620=E$2:E1620)))))-COUNTBLANK(OFFSET(A$1,,,SUMPRODUCT(MAX(ROW(E$1:E1619)*(E2=E$1:E1619))))))</f>
        <v> </v>
      </c>
      <c r="K1620" s="26" t="str">
        <f>IF(OR(E1620="",E1620="!!!",F1620="NEW"),"",INDEX(J$1:J1619,SUMPRODUCT(MAX(ROW(E$1:E1619)*(E1620=E$1:E1619)))))</f>
        <v> </v>
      </c>
      <c r="L1620" s="27"/>
    </row>
    <row r="1621" spans="1:12">
      <c r="A1621" s="20" t="s">
        <v>581</v>
      </c>
      <c r="B1621" s="21" t="s">
        <v>462</v>
      </c>
      <c r="C1621" s="21" t="s">
        <v>423</v>
      </c>
      <c r="D1621" s="21" t="s">
        <v>424</v>
      </c>
      <c r="E1621" s="22">
        <f>IF(D1621="?OLD","!!!","")</f>
        <v/>
      </c>
      <c r="F1621" s="23" t="str">
        <f>IF(OR(E1621="",E1621="!!!"),"",IF(NOT(ISNA(VLOOKUP(E1621,E$1:E1620,1,FALSE()))),"OLD",IF(AND(E1621&lt;&gt;"",E1621&lt;&gt;"!!!"),"NEW","")))</f>
        <v> </v>
      </c>
      <c r="G1621" s="24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5" t="str">
        <f>IF(J1621&lt;&gt;1,"",IF(I1621="SBJ","CB","?"))</f>
        <v> </v>
      </c>
      <c r="I1621" s="26" t="str">
        <f>IF(OR(E1621="",E1621="!!!",F1621="NEW"),"",INDEX(B1620:B$2,-1+SUMPRODUCT(MAX(ROW(E1620:E$2)*(E1621=E1620:E$2)))))</f>
        <v> </v>
      </c>
      <c r="J1621" s="26" t="str">
        <f>IF(OR(E1621="",E1621="!!!",F1621="NEW"),"",COUNTBLANK(OFFSET(A$1,,,SUMPRODUCT(MAX(ROW(E$2:E1621)*(E1621=E$2:E1621)))))-COUNTBLANK(OFFSET(A$1,,,SUMPRODUCT(MAX(ROW(E$1:E1620)*(E2=E$1:E1620))))))</f>
        <v> </v>
      </c>
      <c r="K1621" s="26" t="str">
        <f>IF(OR(E1621="",E1621="!!!",F1621="NEW"),"",INDEX(J$1:J1620,SUMPRODUCT(MAX(ROW(E$1:E1620)*(E1621=E$1:E1620)))))</f>
        <v> </v>
      </c>
      <c r="L1621" s="27"/>
    </row>
    <row r="1622" spans="1:12">
      <c r="A1622" s="20" t="s">
        <v>632</v>
      </c>
      <c r="E1622" s="22">
        <f>IF(D1622="?OLD","!!!","")</f>
        <v/>
      </c>
      <c r="F1622" s="23" t="str">
        <f>IF(OR(E1622="",E1622="!!!"),"",IF(NOT(ISNA(VLOOKUP(E1622,E$1:E1621,1,FALSE()))),"OLD",IF(AND(E1622&lt;&gt;"",E1622&lt;&gt;"!!!"),"NEW","")))</f>
        <v> </v>
      </c>
      <c r="G1622" s="24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5" t="str">
        <f>IF(J1622&lt;&gt;1,"",IF(I1622="SBJ","CB","?"))</f>
        <v> </v>
      </c>
      <c r="I1622" s="26" t="str">
        <f>IF(OR(E1622="",E1622="!!!",F1622="NEW"),"",INDEX(B1621:B$2,-1+SUMPRODUCT(MAX(ROW(E1621:E$2)*(E1622=E1621:E$2)))))</f>
        <v> </v>
      </c>
      <c r="J1622" s="26" t="str">
        <f>IF(OR(E1622="",E1622="!!!",F1622="NEW"),"",COUNTBLANK(OFFSET(A$1,,,SUMPRODUCT(MAX(ROW(E$2:E1622)*(E1622=E$2:E1622)))))-COUNTBLANK(OFFSET(A$1,,,SUMPRODUCT(MAX(ROW(E$1:E1621)*(E2=E$1:E1621))))))</f>
        <v> </v>
      </c>
      <c r="K1622" s="26" t="str">
        <f>IF(OR(E1622="",E1622="!!!",F1622="NEW"),"",INDEX(J$1:J1621,SUMPRODUCT(MAX(ROW(E$1:E1621)*(E1622=E$1:E1621)))))</f>
        <v> </v>
      </c>
      <c r="L1622" s="27"/>
    </row>
    <row r="1623" spans="1:12">
      <c r="A1623" s="20" t="s">
        <v>928</v>
      </c>
      <c r="B1623" s="21" t="s">
        <v>432</v>
      </c>
      <c r="C1623" s="21" t="s">
        <v>423</v>
      </c>
      <c r="D1623" s="21" t="s">
        <v>424</v>
      </c>
      <c r="E1623" s="22">
        <f>IF(D1623="?OLD","!!!","")</f>
        <v/>
      </c>
      <c r="F1623" s="23" t="str">
        <f>IF(OR(E1623="",E1623="!!!"),"",IF(NOT(ISNA(VLOOKUP(E1623,E$1:E1622,1,FALSE()))),"OLD",IF(AND(E1623&lt;&gt;"",E1623&lt;&gt;"!!!"),"NEW","")))</f>
        <v> </v>
      </c>
      <c r="G1623" s="24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5" t="str">
        <f>IF(J1623&lt;&gt;1,"",IF(I1623="SBJ","CB","?"))</f>
        <v> </v>
      </c>
      <c r="I1623" s="26" t="str">
        <f>IF(OR(E1623="",E1623="!!!",F1623="NEW"),"",INDEX(B1622:B$2,-1+SUMPRODUCT(MAX(ROW(E1622:E$2)*(E1623=E1622:E$2)))))</f>
        <v> </v>
      </c>
      <c r="J1623" s="26" t="str">
        <f>IF(OR(E1623="",E1623="!!!",F1623="NEW"),"",COUNTBLANK(OFFSET(A$1,,,SUMPRODUCT(MAX(ROW(E$2:E1623)*(E1623=E$2:E1623)))))-COUNTBLANK(OFFSET(A$1,,,SUMPRODUCT(MAX(ROW(E$1:E1622)*(E2=E$1:E1622))))))</f>
        <v> </v>
      </c>
      <c r="K1623" s="26" t="str">
        <f>IF(OR(E1623="",E1623="!!!",F1623="NEW"),"",INDEX(J$1:J1622,SUMPRODUCT(MAX(ROW(E$1:E1622)*(E1623=E$1:E1622)))))</f>
        <v> </v>
      </c>
      <c r="L1623" s="27"/>
    </row>
    <row r="1624" spans="1:12">
      <c r="A1624" s="20" t="s">
        <v>636</v>
      </c>
      <c r="E1624" s="22">
        <f>IF(D1624="?OLD","!!!","")</f>
        <v/>
      </c>
      <c r="F1624" s="23" t="str">
        <f>IF(OR(E1624="",E1624="!!!"),"",IF(NOT(ISNA(VLOOKUP(E1624,E$1:E1623,1,FALSE()))),"OLD",IF(AND(E1624&lt;&gt;"",E1624&lt;&gt;"!!!"),"NEW","")))</f>
        <v> </v>
      </c>
      <c r="G1624" s="24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5" t="str">
        <f>IF(J1624&lt;&gt;1,"",IF(I1624="SBJ","CB","?"))</f>
        <v> </v>
      </c>
      <c r="I1624" s="26" t="str">
        <f>IF(OR(E1624="",E1624="!!!",F1624="NEW"),"",INDEX(B1623:B$2,-1+SUMPRODUCT(MAX(ROW(E1623:E$2)*(E1624=E1623:E$2)))))</f>
        <v> </v>
      </c>
      <c r="J1624" s="26" t="str">
        <f>IF(OR(E1624="",E1624="!!!",F1624="NEW"),"",COUNTBLANK(OFFSET(A$1,,,SUMPRODUCT(MAX(ROW(E$2:E1624)*(E1624=E$2:E1624)))))-COUNTBLANK(OFFSET(A$1,,,SUMPRODUCT(MAX(ROW(E$1:E1623)*(E2=E$1:E1623))))))</f>
        <v> </v>
      </c>
      <c r="K1624" s="26" t="str">
        <f>IF(OR(E1624="",E1624="!!!",F1624="NEW"),"",INDEX(J$1:J1623,SUMPRODUCT(MAX(ROW(E$1:E1623)*(E1624=E$1:E1623)))))</f>
        <v> </v>
      </c>
      <c r="L1624" s="27"/>
    </row>
    <row r="1625" spans="1:12">
      <c r="A1625" s="20" t="s">
        <v>875</v>
      </c>
      <c r="E1625" s="22">
        <f>IF(D1625="?OLD","!!!","")</f>
        <v/>
      </c>
      <c r="F1625" s="23" t="str">
        <f>IF(OR(E1625="",E1625="!!!"),"",IF(NOT(ISNA(VLOOKUP(E1625,E$1:E1624,1,FALSE()))),"OLD",IF(AND(E1625&lt;&gt;"",E1625&lt;&gt;"!!!"),"NEW","")))</f>
        <v> </v>
      </c>
      <c r="G1625" s="24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5" t="str">
        <f>IF(J1625&lt;&gt;1,"",IF(I1625="SBJ","CB","?"))</f>
        <v> </v>
      </c>
      <c r="I1625" s="26" t="str">
        <f>IF(OR(E1625="",E1625="!!!",F1625="NEW"),"",INDEX(B1624:B$2,-1+SUMPRODUCT(MAX(ROW(E1624:E$2)*(E1625=E1624:E$2)))))</f>
        <v> </v>
      </c>
      <c r="J1625" s="26" t="str">
        <f>IF(OR(E1625="",E1625="!!!",F1625="NEW"),"",COUNTBLANK(OFFSET(A$1,,,SUMPRODUCT(MAX(ROW(E$2:E1625)*(E1625=E$2:E1625)))))-COUNTBLANK(OFFSET(A$1,,,SUMPRODUCT(MAX(ROW(E$1:E1624)*(E2=E$1:E1624))))))</f>
        <v> </v>
      </c>
      <c r="K1625" s="26" t="str">
        <f>IF(OR(E1625="",E1625="!!!",F1625="NEW"),"",INDEX(J$1:J1624,SUMPRODUCT(MAX(ROW(E$1:E1624)*(E1625=E$1:E1624)))))</f>
        <v> </v>
      </c>
      <c r="L1625" s="27"/>
    </row>
    <row r="1626" spans="1:12">
      <c r="A1626" s="20" t="s">
        <v>998</v>
      </c>
      <c r="B1626" s="21" t="s">
        <v>434</v>
      </c>
      <c r="C1626" s="21" t="s">
        <v>477</v>
      </c>
      <c r="D1626" s="21" t="s">
        <v>424</v>
      </c>
      <c r="E1626" s="22">
        <f>IF(D1626="?OLD","!!!","")</f>
        <v/>
      </c>
      <c r="F1626" s="23" t="str">
        <f>IF(OR(E1626="",E1626="!!!"),"",IF(NOT(ISNA(VLOOKUP(E1626,E$1:E1625,1,FALSE()))),"OLD",IF(AND(E1626&lt;&gt;"",E1626&lt;&gt;"!!!"),"NEW","")))</f>
        <v> </v>
      </c>
      <c r="G1626" s="24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5" t="str">
        <f>IF(J1626&lt;&gt;1,"",IF(I1626="SBJ","CB","?"))</f>
        <v> </v>
      </c>
      <c r="I1626" s="26" t="str">
        <f>IF(OR(E1626="",E1626="!!!",F1626="NEW"),"",INDEX(B1625:B$2,-1+SUMPRODUCT(MAX(ROW(E1625:E$2)*(E1626=E1625:E$2)))))</f>
        <v> </v>
      </c>
      <c r="J1626" s="26" t="str">
        <f>IF(OR(E1626="",E1626="!!!",F1626="NEW"),"",COUNTBLANK(OFFSET(A$1,,,SUMPRODUCT(MAX(ROW(E$2:E1626)*(E1626=E$2:E1626)))))-COUNTBLANK(OFFSET(A$1,,,SUMPRODUCT(MAX(ROW(E$1:E1625)*(E2=E$1:E1625))))))</f>
        <v> </v>
      </c>
      <c r="K1626" s="26" t="str">
        <f>IF(OR(E1626="",E1626="!!!",F1626="NEW"),"",INDEX(J$1:J1625,SUMPRODUCT(MAX(ROW(E$1:E1625)*(E1626=E$1:E1625)))))</f>
        <v> </v>
      </c>
      <c r="L1626" s="27"/>
    </row>
    <row r="1627" spans="1:12">
      <c r="A1627" s="20" t="s">
        <v>1219</v>
      </c>
      <c r="E1627" s="22">
        <f>IF(D1627="?OLD","!!!","")</f>
        <v/>
      </c>
      <c r="F1627" s="23" t="str">
        <f>IF(OR(E1627="",E1627="!!!"),"",IF(NOT(ISNA(VLOOKUP(E1627,E$1:E1626,1,FALSE()))),"OLD",IF(AND(E1627&lt;&gt;"",E1627&lt;&gt;"!!!"),"NEW","")))</f>
        <v> </v>
      </c>
      <c r="G1627" s="24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5" t="str">
        <f>IF(J1627&lt;&gt;1,"",IF(I1627="SBJ","CB","?"))</f>
        <v> </v>
      </c>
      <c r="I1627" s="26" t="str">
        <f>IF(OR(E1627="",E1627="!!!",F1627="NEW"),"",INDEX(B1626:B$2,-1+SUMPRODUCT(MAX(ROW(E1626:E$2)*(E1627=E1626:E$2)))))</f>
        <v> </v>
      </c>
      <c r="J1627" s="26" t="str">
        <f>IF(OR(E1627="",E1627="!!!",F1627="NEW"),"",COUNTBLANK(OFFSET(A$1,,,SUMPRODUCT(MAX(ROW(E$2:E1627)*(E1627=E$2:E1627)))))-COUNTBLANK(OFFSET(A$1,,,SUMPRODUCT(MAX(ROW(E$1:E1626)*(E2=E$1:E1626))))))</f>
        <v> </v>
      </c>
      <c r="K1627" s="26" t="str">
        <f>IF(OR(E1627="",E1627="!!!",F1627="NEW"),"",INDEX(J$1:J1626,SUMPRODUCT(MAX(ROW(E$1:E1626)*(E1627=E$1:E1626)))))</f>
        <v> </v>
      </c>
      <c r="L1627" s="27"/>
    </row>
    <row r="1628" spans="1:12">
      <c r="A1628" s="20" t="s">
        <v>453</v>
      </c>
      <c r="E1628" s="22">
        <f>IF(D1628="?OLD","!!!","")</f>
        <v/>
      </c>
      <c r="F1628" s="23" t="str">
        <f>IF(OR(E1628="",E1628="!!!"),"",IF(NOT(ISNA(VLOOKUP(E1628,E$1:E1627,1,FALSE()))),"OLD",IF(AND(E1628&lt;&gt;"",E1628&lt;&gt;"!!!"),"NEW","")))</f>
        <v> </v>
      </c>
      <c r="G1628" s="24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5" t="str">
        <f>IF(J1628&lt;&gt;1,"",IF(I1628="SBJ","CB","?"))</f>
        <v> </v>
      </c>
      <c r="I1628" s="26" t="str">
        <f>IF(OR(E1628="",E1628="!!!",F1628="NEW"),"",INDEX(B1627:B$2,-1+SUMPRODUCT(MAX(ROW(E1627:E$2)*(E1628=E1627:E$2)))))</f>
        <v> </v>
      </c>
      <c r="J1628" s="26" t="str">
        <f>IF(OR(E1628="",E1628="!!!",F1628="NEW"),"",COUNTBLANK(OFFSET(A$1,,,SUMPRODUCT(MAX(ROW(E$2:E1628)*(E1628=E$2:E1628)))))-COUNTBLANK(OFFSET(A$1,,,SUMPRODUCT(MAX(ROW(E$1:E1627)*(E2=E$1:E1627))))))</f>
        <v> </v>
      </c>
      <c r="K1628" s="26" t="str">
        <f>IF(OR(E1628="",E1628="!!!",F1628="NEW"),"",INDEX(J$1:J1627,SUMPRODUCT(MAX(ROW(E$1:E1627)*(E1628=E$1:E1627)))))</f>
        <v> </v>
      </c>
      <c r="L1628" s="27"/>
    </row>
    <row r="1629" spans="1:12">
      <c r="A1629" s="20" t="s">
        <v>329</v>
      </c>
      <c r="E1629" s="22">
        <f>IF(D1629="?OLD","!!!","")</f>
        <v/>
      </c>
      <c r="F1629" s="23" t="str">
        <f>IF(OR(E1629="",E1629="!!!"),"",IF(NOT(ISNA(VLOOKUP(E1629,E$1:E1628,1,FALSE()))),"OLD",IF(AND(E1629&lt;&gt;"",E1629&lt;&gt;"!!!"),"NEW","")))</f>
        <v> </v>
      </c>
      <c r="G1629" s="24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5" t="str">
        <f>IF(J1629&lt;&gt;1,"",IF(I1629="SBJ","CB","?"))</f>
        <v> </v>
      </c>
      <c r="I1629" s="26" t="str">
        <f>IF(OR(E1629="",E1629="!!!",F1629="NEW"),"",INDEX(B1628:B$2,-1+SUMPRODUCT(MAX(ROW(E1628:E$2)*(E1629=E1628:E$2)))))</f>
        <v> </v>
      </c>
      <c r="J1629" s="26" t="str">
        <f>IF(OR(E1629="",E1629="!!!",F1629="NEW"),"",COUNTBLANK(OFFSET(A$1,,,SUMPRODUCT(MAX(ROW(E$2:E1629)*(E1629=E$2:E1629)))))-COUNTBLANK(OFFSET(A$1,,,SUMPRODUCT(MAX(ROW(E$1:E1628)*(E2=E$1:E1628))))))</f>
        <v> </v>
      </c>
      <c r="K1629" s="26" t="str">
        <f>IF(OR(E1629="",E1629="!!!",F1629="NEW"),"",INDEX(J$1:J1628,SUMPRODUCT(MAX(ROW(E$1:E1628)*(E1629=E$1:E1628)))))</f>
        <v> </v>
      </c>
      <c r="L1629" s="27"/>
    </row>
    <row r="1630" spans="1:12">
      <c r="A1630" s="20" t="s">
        <v>592</v>
      </c>
      <c r="E1630" s="22">
        <f>IF(D1630="?OLD","!!!","")</f>
        <v/>
      </c>
      <c r="F1630" s="23" t="str">
        <f>IF(OR(E1630="",E1630="!!!"),"",IF(NOT(ISNA(VLOOKUP(E1630,E$1:E1629,1,FALSE()))),"OLD",IF(AND(E1630&lt;&gt;"",E1630&lt;&gt;"!!!"),"NEW","")))</f>
        <v> </v>
      </c>
      <c r="G1630" s="24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5" t="str">
        <f>IF(J1630&lt;&gt;1,"",IF(I1630="SBJ","CB","?"))</f>
        <v> </v>
      </c>
      <c r="I1630" s="26" t="str">
        <f>IF(OR(E1630="",E1630="!!!",F1630="NEW"),"",INDEX(B1629:B$2,-1+SUMPRODUCT(MAX(ROW(E1629:E$2)*(E1630=E1629:E$2)))))</f>
        <v> </v>
      </c>
      <c r="J1630" s="26" t="str">
        <f>IF(OR(E1630="",E1630="!!!",F1630="NEW"),"",COUNTBLANK(OFFSET(A$1,,,SUMPRODUCT(MAX(ROW(E$2:E1630)*(E1630=E$2:E1630)))))-COUNTBLANK(OFFSET(A$1,,,SUMPRODUCT(MAX(ROW(E$1:E1629)*(E2=E$1:E1629))))))</f>
        <v> </v>
      </c>
      <c r="K1630" s="26" t="str">
        <f>IF(OR(E1630="",E1630="!!!",F1630="NEW"),"",INDEX(J$1:J1629,SUMPRODUCT(MAX(ROW(E$1:E1629)*(E1630=E$1:E1629)))))</f>
        <v> </v>
      </c>
      <c r="L1630" s="27"/>
    </row>
    <row r="1631" spans="1:12">
      <c r="A1631" s="20" t="s">
        <v>453</v>
      </c>
      <c r="E1631" s="22">
        <f>IF(D1631="?OLD","!!!","")</f>
        <v/>
      </c>
      <c r="F1631" s="23" t="str">
        <f>IF(OR(E1631="",E1631="!!!"),"",IF(NOT(ISNA(VLOOKUP(E1631,E$1:E1630,1,FALSE()))),"OLD",IF(AND(E1631&lt;&gt;"",E1631&lt;&gt;"!!!"),"NEW","")))</f>
        <v> </v>
      </c>
      <c r="G1631" s="24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5" t="str">
        <f>IF(J1631&lt;&gt;1,"",IF(I1631="SBJ","CB","?"))</f>
        <v> </v>
      </c>
      <c r="I1631" s="26" t="str">
        <f>IF(OR(E1631="",E1631="!!!",F1631="NEW"),"",INDEX(B1630:B$2,-1+SUMPRODUCT(MAX(ROW(E1630:E$2)*(E1631=E1630:E$2)))))</f>
        <v> </v>
      </c>
      <c r="J1631" s="26" t="str">
        <f>IF(OR(E1631="",E1631="!!!",F1631="NEW"),"",COUNTBLANK(OFFSET(A$1,,,SUMPRODUCT(MAX(ROW(E$2:E1631)*(E1631=E$2:E1631)))))-COUNTBLANK(OFFSET(A$1,,,SUMPRODUCT(MAX(ROW(E$1:E1630)*(E2=E$1:E1630))))))</f>
        <v> </v>
      </c>
      <c r="K1631" s="26" t="str">
        <f>IF(OR(E1631="",E1631="!!!",F1631="NEW"),"",INDEX(J$1:J1630,SUMPRODUCT(MAX(ROW(E$1:E1630)*(E1631=E$1:E1630)))))</f>
        <v> </v>
      </c>
      <c r="L1631" s="27"/>
    </row>
    <row r="1632" spans="1:12">
      <c r="A1632" s="20" t="s">
        <v>459</v>
      </c>
      <c r="B1632" s="21" t="s">
        <v>781</v>
      </c>
      <c r="C1632" s="21" t="s">
        <v>481</v>
      </c>
      <c r="E1632" s="22">
        <f>IF(D1632="?OLD","!!!","")</f>
        <v/>
      </c>
      <c r="F1632" s="23" t="str">
        <f>IF(OR(E1632="",E1632="!!!"),"",IF(NOT(ISNA(VLOOKUP(E1632,E$1:E1631,1,FALSE()))),"OLD",IF(AND(E1632&lt;&gt;"",E1632&lt;&gt;"!!!"),"NEW","")))</f>
        <v> </v>
      </c>
      <c r="G1632" s="24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5" t="str">
        <f>IF(J1632&lt;&gt;1,"",IF(I1632="SBJ","CB","?"))</f>
        <v> </v>
      </c>
      <c r="I1632" s="26" t="str">
        <f>IF(OR(E1632="",E1632="!!!",F1632="NEW"),"",INDEX(B1631:B$2,-1+SUMPRODUCT(MAX(ROW(E1631:E$2)*(E1632=E1631:E$2)))))</f>
        <v> </v>
      </c>
      <c r="J1632" s="26" t="str">
        <f>IF(OR(E1632="",E1632="!!!",F1632="NEW"),"",COUNTBLANK(OFFSET(A$1,,,SUMPRODUCT(MAX(ROW(E$2:E1632)*(E1632=E$2:E1632)))))-COUNTBLANK(OFFSET(A$1,,,SUMPRODUCT(MAX(ROW(E$1:E1631)*(E2=E$1:E1631))))))</f>
        <v> </v>
      </c>
      <c r="K1632" s="26" t="str">
        <f>IF(OR(E1632="",E1632="!!!",F1632="NEW"),"",INDEX(J$1:J1631,SUMPRODUCT(MAX(ROW(E$1:E1631)*(E1632=E$1:E1631)))))</f>
        <v> </v>
      </c>
      <c r="L1632" s="27"/>
    </row>
    <row r="1633" spans="1:12">
      <c r="A1633" s="20" t="s">
        <v>771</v>
      </c>
      <c r="B1633" s="21" t="s">
        <v>462</v>
      </c>
      <c r="C1633" s="21" t="s">
        <v>423</v>
      </c>
      <c r="D1633" s="21" t="s">
        <v>424</v>
      </c>
      <c r="E1633" s="22">
        <f>IF(D1633="?OLD","!!!","")</f>
        <v/>
      </c>
      <c r="F1633" s="23" t="str">
        <f>IF(OR(E1633="",E1633="!!!"),"",IF(NOT(ISNA(VLOOKUP(E1633,E$1:E1632,1,FALSE()))),"OLD",IF(AND(E1633&lt;&gt;"",E1633&lt;&gt;"!!!"),"NEW","")))</f>
        <v> </v>
      </c>
      <c r="G1633" s="24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5" t="str">
        <f>IF(J1633&lt;&gt;1,"",IF(I1633="SBJ","CB","?"))</f>
        <v> </v>
      </c>
      <c r="I1633" s="26" t="str">
        <f>IF(OR(E1633="",E1633="!!!",F1633="NEW"),"",INDEX(B1632:B$2,-1+SUMPRODUCT(MAX(ROW(E1632:E$2)*(E1633=E1632:E$2)))))</f>
        <v> </v>
      </c>
      <c r="J1633" s="26" t="str">
        <f>IF(OR(E1633="",E1633="!!!",F1633="NEW"),"",COUNTBLANK(OFFSET(A$1,,,SUMPRODUCT(MAX(ROW(E$2:E1633)*(E1633=E$2:E1633)))))-COUNTBLANK(OFFSET(A$1,,,SUMPRODUCT(MAX(ROW(E$1:E1632)*(E2=E$1:E1632))))))</f>
        <v> </v>
      </c>
      <c r="K1633" s="26" t="str">
        <f>IF(OR(E1633="",E1633="!!!",F1633="NEW"),"",INDEX(J$1:J1632,SUMPRODUCT(MAX(ROW(E$1:E1632)*(E1633=E$1:E1632)))))</f>
        <v> </v>
      </c>
      <c r="L1633" s="27"/>
    </row>
    <row r="1634" spans="1:12">
      <c r="A1634" s="20" t="s">
        <v>1220</v>
      </c>
      <c r="E1634" s="22">
        <f>IF(D1634="?OLD","!!!","")</f>
        <v/>
      </c>
      <c r="F1634" s="23" t="str">
        <f>IF(OR(E1634="",E1634="!!!"),"",IF(NOT(ISNA(VLOOKUP(E1634,E$1:E1633,1,FALSE()))),"OLD",IF(AND(E1634&lt;&gt;"",E1634&lt;&gt;"!!!"),"NEW","")))</f>
        <v> </v>
      </c>
      <c r="G1634" s="24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5" t="str">
        <f>IF(J1634&lt;&gt;1,"",IF(I1634="SBJ","CB","?"))</f>
        <v> </v>
      </c>
      <c r="I1634" s="26" t="str">
        <f>IF(OR(E1634="",E1634="!!!",F1634="NEW"),"",INDEX(B1633:B$2,-1+SUMPRODUCT(MAX(ROW(E1633:E$2)*(E1634=E1633:E$2)))))</f>
        <v> </v>
      </c>
      <c r="J1634" s="26" t="str">
        <f>IF(OR(E1634="",E1634="!!!",F1634="NEW"),"",COUNTBLANK(OFFSET(A$1,,,SUMPRODUCT(MAX(ROW(E$2:E1634)*(E1634=E$2:E1634)))))-COUNTBLANK(OFFSET(A$1,,,SUMPRODUCT(MAX(ROW(E$1:E1633)*(E2=E$1:E1633))))))</f>
        <v> </v>
      </c>
      <c r="K1634" s="26" t="str">
        <f>IF(OR(E1634="",E1634="!!!",F1634="NEW"),"",INDEX(J$1:J1633,SUMPRODUCT(MAX(ROW(E$1:E1633)*(E1634=E$1:E1633)))))</f>
        <v> </v>
      </c>
      <c r="L1634" s="27"/>
    </row>
    <row r="1635" spans="1:12">
      <c r="A1635" s="20" t="s">
        <v>453</v>
      </c>
      <c r="E1635" s="22">
        <f>IF(D1635="?OLD","!!!","")</f>
        <v/>
      </c>
      <c r="F1635" s="23" t="str">
        <f>IF(OR(E1635="",E1635="!!!"),"",IF(NOT(ISNA(VLOOKUP(E1635,E$1:E1634,1,FALSE()))),"OLD",IF(AND(E1635&lt;&gt;"",E1635&lt;&gt;"!!!"),"NEW","")))</f>
        <v> </v>
      </c>
      <c r="G1635" s="24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5" t="str">
        <f>IF(J1635&lt;&gt;1,"",IF(I1635="SBJ","CB","?"))</f>
        <v> </v>
      </c>
      <c r="I1635" s="26" t="str">
        <f>IF(OR(E1635="",E1635="!!!",F1635="NEW"),"",INDEX(B1634:B$2,-1+SUMPRODUCT(MAX(ROW(E1634:E$2)*(E1635=E1634:E$2)))))</f>
        <v> </v>
      </c>
      <c r="J1635" s="26" t="str">
        <f>IF(OR(E1635="",E1635="!!!",F1635="NEW"),"",COUNTBLANK(OFFSET(A$1,,,SUMPRODUCT(MAX(ROW(E$2:E1635)*(E1635=E$2:E1635)))))-COUNTBLANK(OFFSET(A$1,,,SUMPRODUCT(MAX(ROW(E$1:E1634)*(E2=E$1:E1634))))))</f>
        <v> </v>
      </c>
      <c r="K1635" s="26" t="str">
        <f>IF(OR(E1635="",E1635="!!!",F1635="NEW"),"",INDEX(J$1:J1634,SUMPRODUCT(MAX(ROW(E$1:E1634)*(E1635=E$1:E1634)))))</f>
        <v> </v>
      </c>
      <c r="L1635" s="27"/>
    </row>
    <row r="1636" spans="1:12">
      <c r="A1636" s="20" t="s">
        <v>771</v>
      </c>
      <c r="B1636" s="21" t="s">
        <v>556</v>
      </c>
      <c r="C1636" s="21" t="s">
        <v>423</v>
      </c>
      <c r="D1636" s="21" t="s">
        <v>424</v>
      </c>
      <c r="E1636" s="22">
        <f>IF(D1636="?OLD","!!!","")</f>
        <v/>
      </c>
      <c r="F1636" s="23" t="str">
        <f>IF(OR(E1636="",E1636="!!!"),"",IF(NOT(ISNA(VLOOKUP(E1636,E$1:E1635,1,FALSE()))),"OLD",IF(AND(E1636&lt;&gt;"",E1636&lt;&gt;"!!!"),"NEW","")))</f>
        <v> </v>
      </c>
      <c r="G1636" s="24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5" t="str">
        <f>IF(J1636&lt;&gt;1,"",IF(I1636="SBJ","CB","?"))</f>
        <v> </v>
      </c>
      <c r="I1636" s="26" t="str">
        <f>IF(OR(E1636="",E1636="!!!",F1636="NEW"),"",INDEX(B1635:B$2,-1+SUMPRODUCT(MAX(ROW(E1635:E$2)*(E1636=E1635:E$2)))))</f>
        <v> </v>
      </c>
      <c r="J1636" s="26" t="str">
        <f>IF(OR(E1636="",E1636="!!!",F1636="NEW"),"",COUNTBLANK(OFFSET(A$1,,,SUMPRODUCT(MAX(ROW(E$2:E1636)*(E1636=E$2:E1636)))))-COUNTBLANK(OFFSET(A$1,,,SUMPRODUCT(MAX(ROW(E$1:E1635)*(E2=E$1:E1635))))))</f>
        <v> </v>
      </c>
      <c r="K1636" s="26" t="str">
        <f>IF(OR(E1636="",E1636="!!!",F1636="NEW"),"",INDEX(J$1:J1635,SUMPRODUCT(MAX(ROW(E$1:E1635)*(E1636=E$1:E1635)))))</f>
        <v> </v>
      </c>
      <c r="L1636" s="27"/>
    </row>
    <row r="1637" spans="1:12">
      <c r="A1637" s="20" t="s">
        <v>1221</v>
      </c>
      <c r="E1637" s="22">
        <f>IF(D1637="?OLD","!!!","")</f>
        <v/>
      </c>
      <c r="F1637" s="23" t="str">
        <f>IF(OR(E1637="",E1637="!!!"),"",IF(NOT(ISNA(VLOOKUP(E1637,E$1:E1636,1,FALSE()))),"OLD",IF(AND(E1637&lt;&gt;"",E1637&lt;&gt;"!!!"),"NEW","")))</f>
        <v> </v>
      </c>
      <c r="G1637" s="24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5" t="str">
        <f>IF(J1637&lt;&gt;1,"",IF(I1637="SBJ","CB","?"))</f>
        <v> </v>
      </c>
      <c r="I1637" s="26" t="str">
        <f>IF(OR(E1637="",E1637="!!!",F1637="NEW"),"",INDEX(B1636:B$2,-1+SUMPRODUCT(MAX(ROW(E1636:E$2)*(E1637=E1636:E$2)))))</f>
        <v> </v>
      </c>
      <c r="J1637" s="26" t="str">
        <f>IF(OR(E1637="",E1637="!!!",F1637="NEW"),"",COUNTBLANK(OFFSET(A$1,,,SUMPRODUCT(MAX(ROW(E$2:E1637)*(E1637=E$2:E1637)))))-COUNTBLANK(OFFSET(A$1,,,SUMPRODUCT(MAX(ROW(E$1:E1636)*(E2=E$1:E1636))))))</f>
        <v> </v>
      </c>
      <c r="K1637" s="26" t="str">
        <f>IF(OR(E1637="",E1637="!!!",F1637="NEW"),"",INDEX(J$1:J1636,SUMPRODUCT(MAX(ROW(E$1:E1636)*(E1637=E$1:E1636)))))</f>
        <v> </v>
      </c>
      <c r="L1637" s="27"/>
    </row>
    <row r="1638" spans="1:12">
      <c r="A1638" s="20" t="s">
        <v>1222</v>
      </c>
      <c r="B1638" s="21" t="s">
        <v>434</v>
      </c>
      <c r="C1638" s="21" t="s">
        <v>680</v>
      </c>
      <c r="D1638" s="21" t="s">
        <v>424</v>
      </c>
      <c r="E1638" s="22">
        <f>IF(D1638="?OLD","!!!","")</f>
        <v/>
      </c>
      <c r="F1638" s="23" t="str">
        <f>IF(OR(E1638="",E1638="!!!"),"",IF(NOT(ISNA(VLOOKUP(E1638,E$1:E1637,1,FALSE()))),"OLD",IF(AND(E1638&lt;&gt;"",E1638&lt;&gt;"!!!"),"NEW","")))</f>
        <v> </v>
      </c>
      <c r="G1638" s="24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5" t="str">
        <f>IF(J1638&lt;&gt;1,"",IF(I1638="SBJ","CB","?"))</f>
        <v> </v>
      </c>
      <c r="I1638" s="26" t="str">
        <f>IF(OR(E1638="",E1638="!!!",F1638="NEW"),"",INDEX(B1637:B$2,-1+SUMPRODUCT(MAX(ROW(E1637:E$2)*(E1638=E1637:E$2)))))</f>
        <v> </v>
      </c>
      <c r="J1638" s="26" t="str">
        <f>IF(OR(E1638="",E1638="!!!",F1638="NEW"),"",COUNTBLANK(OFFSET(A$1,,,SUMPRODUCT(MAX(ROW(E$2:E1638)*(E1638=E$2:E1638)))))-COUNTBLANK(OFFSET(A$1,,,SUMPRODUCT(MAX(ROW(E$1:E1637)*(E2=E$1:E1637))))))</f>
        <v> </v>
      </c>
      <c r="K1638" s="26" t="str">
        <f>IF(OR(E1638="",E1638="!!!",F1638="NEW"),"",INDEX(J$1:J1637,SUMPRODUCT(MAX(ROW(E$1:E1637)*(E1638=E$1:E1637)))))</f>
        <v> </v>
      </c>
      <c r="L1638" s="27"/>
    </row>
    <row r="1639" spans="1:12">
      <c r="A1639" s="20" t="s">
        <v>1137</v>
      </c>
      <c r="B1639" s="21" t="s">
        <v>444</v>
      </c>
      <c r="E1639" s="22">
        <f>IF(D1639="?OLD","!!!","")</f>
        <v/>
      </c>
      <c r="F1639" s="23" t="str">
        <f>IF(OR(E1639="",E1639="!!!"),"",IF(NOT(ISNA(VLOOKUP(E1639,E$1:E1638,1,FALSE()))),"OLD",IF(AND(E1639&lt;&gt;"",E1639&lt;&gt;"!!!"),"NEW","")))</f>
        <v> </v>
      </c>
      <c r="G1639" s="24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5" t="str">
        <f>IF(J1639&lt;&gt;1,"",IF(I1639="SBJ","CB","?"))</f>
        <v> </v>
      </c>
      <c r="I1639" s="26" t="str">
        <f>IF(OR(E1639="",E1639="!!!",F1639="NEW"),"",INDEX(B1638:B$2,-1+SUMPRODUCT(MAX(ROW(E1638:E$2)*(E1639=E1638:E$2)))))</f>
        <v> </v>
      </c>
      <c r="J1639" s="26" t="str">
        <f>IF(OR(E1639="",E1639="!!!",F1639="NEW"),"",COUNTBLANK(OFFSET(A$1,,,SUMPRODUCT(MAX(ROW(E$2:E1639)*(E1639=E$2:E1639)))))-COUNTBLANK(OFFSET(A$1,,,SUMPRODUCT(MAX(ROW(E$1:E1638)*(E2=E$1:E1638))))))</f>
        <v> </v>
      </c>
      <c r="K1639" s="26" t="str">
        <f>IF(OR(E1639="",E1639="!!!",F1639="NEW"),"",INDEX(J$1:J1638,SUMPRODUCT(MAX(ROW(E$1:E1638)*(E1639=E$1:E1638)))))</f>
        <v> </v>
      </c>
      <c r="L1639" s="27"/>
    </row>
    <row r="1640" spans="1:12">
      <c r="A1640" s="20" t="s">
        <v>453</v>
      </c>
      <c r="E1640" s="22">
        <f>IF(D1640="?OLD","!!!","")</f>
        <v/>
      </c>
      <c r="F1640" s="23" t="str">
        <f>IF(OR(E1640="",E1640="!!!"),"",IF(NOT(ISNA(VLOOKUP(E1640,E$1:E1639,1,FALSE()))),"OLD",IF(AND(E1640&lt;&gt;"",E1640&lt;&gt;"!!!"),"NEW","")))</f>
        <v> </v>
      </c>
      <c r="G1640" s="24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5" t="str">
        <f>IF(J1640&lt;&gt;1,"",IF(I1640="SBJ","CB","?"))</f>
        <v> </v>
      </c>
      <c r="I1640" s="26" t="str">
        <f>IF(OR(E1640="",E1640="!!!",F1640="NEW"),"",INDEX(B1639:B$2,-1+SUMPRODUCT(MAX(ROW(E1639:E$2)*(E1640=E1639:E$2)))))</f>
        <v> </v>
      </c>
      <c r="J1640" s="26" t="str">
        <f>IF(OR(E1640="",E1640="!!!",F1640="NEW"),"",COUNTBLANK(OFFSET(A$1,,,SUMPRODUCT(MAX(ROW(E$2:E1640)*(E1640=E$2:E1640)))))-COUNTBLANK(OFFSET(A$1,,,SUMPRODUCT(MAX(ROW(E$1:E1639)*(E2=E$1:E1639))))))</f>
        <v> </v>
      </c>
      <c r="K1640" s="26" t="str">
        <f>IF(OR(E1640="",E1640="!!!",F1640="NEW"),"",INDEX(J$1:J1639,SUMPRODUCT(MAX(ROW(E$1:E1639)*(E1640=E$1:E1639)))))</f>
        <v> </v>
      </c>
      <c r="L1640" s="27"/>
    </row>
    <row r="1641" spans="1:12">
      <c r="A1641" s="20" t="s">
        <v>430</v>
      </c>
      <c r="E1641" s="22">
        <f>IF(D1641="?OLD","!!!","")</f>
        <v/>
      </c>
      <c r="F1641" s="23" t="str">
        <f>IF(OR(E1641="",E1641="!!!"),"",IF(NOT(ISNA(VLOOKUP(E1641,E$1:E1640,1,FALSE()))),"OLD",IF(AND(E1641&lt;&gt;"",E1641&lt;&gt;"!!!"),"NEW","")))</f>
        <v> </v>
      </c>
      <c r="G1641" s="24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5" t="str">
        <f>IF(J1641&lt;&gt;1,"",IF(I1641="SBJ","CB","?"))</f>
        <v> </v>
      </c>
      <c r="I1641" s="26" t="str">
        <f>IF(OR(E1641="",E1641="!!!",F1641="NEW"),"",INDEX(B1640:B$2,-1+SUMPRODUCT(MAX(ROW(E1640:E$2)*(E1641=E1640:E$2)))))</f>
        <v> </v>
      </c>
      <c r="J1641" s="26" t="str">
        <f>IF(OR(E1641="",E1641="!!!",F1641="NEW"),"",COUNTBLANK(OFFSET(A$1,,,SUMPRODUCT(MAX(ROW(E$2:E1641)*(E1641=E$2:E1641)))))-COUNTBLANK(OFFSET(A$1,,,SUMPRODUCT(MAX(ROW(E$1:E1640)*(E2=E$1:E1640))))))</f>
        <v> </v>
      </c>
      <c r="K1641" s="26" t="str">
        <f>IF(OR(E1641="",E1641="!!!",F1641="NEW"),"",INDEX(J$1:J1640,SUMPRODUCT(MAX(ROW(E$1:E1640)*(E1641=E$1:E1640)))))</f>
        <v> </v>
      </c>
      <c r="L1641" s="27"/>
    </row>
    <row r="1642" spans="1:12">
      <c r="A1642" s="20" t="s">
        <v>436</v>
      </c>
      <c r="E1642" s="22">
        <f>IF(D1642="?OLD","!!!","")</f>
        <v/>
      </c>
      <c r="F1642" s="23" t="str">
        <f>IF(OR(E1642="",E1642="!!!"),"",IF(NOT(ISNA(VLOOKUP(E1642,E$1:E1641,1,FALSE()))),"OLD",IF(AND(E1642&lt;&gt;"",E1642&lt;&gt;"!!!"),"NEW","")))</f>
        <v> </v>
      </c>
      <c r="G1642" s="24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5" t="str">
        <f>IF(J1642&lt;&gt;1,"",IF(I1642="SBJ","CB","?"))</f>
        <v> </v>
      </c>
      <c r="I1642" s="26" t="str">
        <f>IF(OR(E1642="",E1642="!!!",F1642="NEW"),"",INDEX(B1641:B$2,-1+SUMPRODUCT(MAX(ROW(E1641:E$2)*(E1642=E1641:E$2)))))</f>
        <v> </v>
      </c>
      <c r="J1642" s="26" t="str">
        <f>IF(OR(E1642="",E1642="!!!",F1642="NEW"),"",COUNTBLANK(OFFSET(A$1,,,SUMPRODUCT(MAX(ROW(E$2:E1642)*(E1642=E$2:E1642)))))-COUNTBLANK(OFFSET(A$1,,,SUMPRODUCT(MAX(ROW(E$1:E1641)*(E2=E$1:E1641))))))</f>
        <v> </v>
      </c>
      <c r="K1642" s="26" t="str">
        <f>IF(OR(E1642="",E1642="!!!",F1642="NEW"),"",INDEX(J$1:J1641,SUMPRODUCT(MAX(ROW(E$1:E1641)*(E1642=E$1:E1641)))))</f>
        <v> </v>
      </c>
      <c r="L1642" s="27"/>
    </row>
    <row r="1643" spans="1:12">
      <c r="A1643" s="20" t="s">
        <v>998</v>
      </c>
      <c r="E1643" s="22">
        <f>IF(D1643="?OLD","!!!","")</f>
        <v/>
      </c>
      <c r="F1643" s="23" t="str">
        <f>IF(OR(E1643="",E1643="!!!"),"",IF(NOT(ISNA(VLOOKUP(E1643,E$1:E1642,1,FALSE()))),"OLD",IF(AND(E1643&lt;&gt;"",E1643&lt;&gt;"!!!"),"NEW","")))</f>
        <v> </v>
      </c>
      <c r="G1643" s="24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5" t="str">
        <f>IF(J1643&lt;&gt;1,"",IF(I1643="SBJ","CB","?"))</f>
        <v> </v>
      </c>
      <c r="I1643" s="26" t="str">
        <f>IF(OR(E1643="",E1643="!!!",F1643="NEW"),"",INDEX(B1642:B$2,-1+SUMPRODUCT(MAX(ROW(E1642:E$2)*(E1643=E1642:E$2)))))</f>
        <v> </v>
      </c>
      <c r="J1643" s="26" t="str">
        <f>IF(OR(E1643="",E1643="!!!",F1643="NEW"),"",COUNTBLANK(OFFSET(A$1,,,SUMPRODUCT(MAX(ROW(E$2:E1643)*(E1643=E$2:E1643)))))-COUNTBLANK(OFFSET(A$1,,,SUMPRODUCT(MAX(ROW(E$1:E1642)*(E2=E$1:E1642))))))</f>
        <v> </v>
      </c>
      <c r="K1643" s="26" t="str">
        <f>IF(OR(E1643="",E1643="!!!",F1643="NEW"),"",INDEX(J$1:J1642,SUMPRODUCT(MAX(ROW(E$1:E1642)*(E1643=E$1:E1642)))))</f>
        <v> </v>
      </c>
      <c r="L1643" s="27"/>
    </row>
    <row r="1644" spans="1:12">
      <c r="A1644" s="20" t="s">
        <v>1095</v>
      </c>
      <c r="B1644" s="21" t="s">
        <v>659</v>
      </c>
      <c r="C1644" s="21" t="s">
        <v>471</v>
      </c>
      <c r="D1644" s="21" t="s">
        <v>424</v>
      </c>
      <c r="E1644" s="22">
        <f>IF(D1644="?OLD","!!!","")</f>
        <v/>
      </c>
      <c r="F1644" s="23" t="str">
        <f>IF(OR(E1644="",E1644="!!!"),"",IF(NOT(ISNA(VLOOKUP(E1644,E$1:E1643,1,FALSE()))),"OLD",IF(AND(E1644&lt;&gt;"",E1644&lt;&gt;"!!!"),"NEW","")))</f>
        <v> </v>
      </c>
      <c r="G1644" s="24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5" t="str">
        <f>IF(J1644&lt;&gt;1,"",IF(I1644="SBJ","CB","?"))</f>
        <v> </v>
      </c>
      <c r="I1644" s="26" t="str">
        <f>IF(OR(E1644="",E1644="!!!",F1644="NEW"),"",INDEX(B1643:B$2,-1+SUMPRODUCT(MAX(ROW(E1643:E$2)*(E1644=E1643:E$2)))))</f>
        <v> </v>
      </c>
      <c r="J1644" s="26" t="str">
        <f>IF(OR(E1644="",E1644="!!!",F1644="NEW"),"",COUNTBLANK(OFFSET(A$1,,,SUMPRODUCT(MAX(ROW(E$2:E1644)*(E1644=E$2:E1644)))))-COUNTBLANK(OFFSET(A$1,,,SUMPRODUCT(MAX(ROW(E$1:E1643)*(E2=E$1:E1643))))))</f>
        <v> </v>
      </c>
      <c r="K1644" s="26" t="str">
        <f>IF(OR(E1644="",E1644="!!!",F1644="NEW"),"",INDEX(J$1:J1643,SUMPRODUCT(MAX(ROW(E$1:E1643)*(E1644=E$1:E1643)))))</f>
        <v> </v>
      </c>
      <c r="L1644" s="27"/>
    </row>
    <row r="1645" spans="1:12">
      <c r="A1645" s="20" t="s">
        <v>771</v>
      </c>
      <c r="B1645" s="21" t="s">
        <v>556</v>
      </c>
      <c r="C1645" s="21" t="s">
        <v>423</v>
      </c>
      <c r="D1645" s="21" t="s">
        <v>424</v>
      </c>
      <c r="E1645" s="22">
        <f>IF(D1645="?OLD","!!!","")</f>
        <v/>
      </c>
      <c r="F1645" s="23" t="str">
        <f>IF(OR(E1645="",E1645="!!!"),"",IF(NOT(ISNA(VLOOKUP(E1645,E$1:E1644,1,FALSE()))),"OLD",IF(AND(E1645&lt;&gt;"",E1645&lt;&gt;"!!!"),"NEW","")))</f>
        <v> </v>
      </c>
      <c r="G1645" s="24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5" t="str">
        <f>IF(J1645&lt;&gt;1,"",IF(I1645="SBJ","CB","?"))</f>
        <v> </v>
      </c>
      <c r="I1645" s="26" t="str">
        <f>IF(OR(E1645="",E1645="!!!",F1645="NEW"),"",INDEX(B1644:B$2,-1+SUMPRODUCT(MAX(ROW(E1644:E$2)*(E1645=E1644:E$2)))))</f>
        <v> </v>
      </c>
      <c r="J1645" s="26" t="str">
        <f>IF(OR(E1645="",E1645="!!!",F1645="NEW"),"",COUNTBLANK(OFFSET(A$1,,,SUMPRODUCT(MAX(ROW(E$2:E1645)*(E1645=E$2:E1645)))))-COUNTBLANK(OFFSET(A$1,,,SUMPRODUCT(MAX(ROW(E$1:E1644)*(E2=E$1:E1644))))))</f>
        <v> </v>
      </c>
      <c r="K1645" s="26" t="str">
        <f>IF(OR(E1645="",E1645="!!!",F1645="NEW"),"",INDEX(J$1:J1644,SUMPRODUCT(MAX(ROW(E$1:E1644)*(E1645=E$1:E1644)))))</f>
        <v> </v>
      </c>
      <c r="L1645" s="27"/>
    </row>
    <row r="1646" spans="1:12">
      <c r="A1646" s="20" t="s">
        <v>1223</v>
      </c>
      <c r="E1646" s="22">
        <f>IF(D1646="?OLD","!!!","")</f>
        <v/>
      </c>
      <c r="F1646" s="23" t="str">
        <f>IF(OR(E1646="",E1646="!!!"),"",IF(NOT(ISNA(VLOOKUP(E1646,E$1:E1645,1,FALSE()))),"OLD",IF(AND(E1646&lt;&gt;"",E1646&lt;&gt;"!!!"),"NEW","")))</f>
        <v> </v>
      </c>
      <c r="G1646" s="24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5" t="str">
        <f>IF(J1646&lt;&gt;1,"",IF(I1646="SBJ","CB","?"))</f>
        <v> </v>
      </c>
      <c r="I1646" s="26" t="str">
        <f>IF(OR(E1646="",E1646="!!!",F1646="NEW"),"",INDEX(B1645:B$2,-1+SUMPRODUCT(MAX(ROW(E1645:E$2)*(E1646=E1645:E$2)))))</f>
        <v> </v>
      </c>
      <c r="J1646" s="26" t="str">
        <f>IF(OR(E1646="",E1646="!!!",F1646="NEW"),"",COUNTBLANK(OFFSET(A$1,,,SUMPRODUCT(MAX(ROW(E$2:E1646)*(E1646=E$2:E1646)))))-COUNTBLANK(OFFSET(A$1,,,SUMPRODUCT(MAX(ROW(E$1:E1645)*(E2=E$1:E1645))))))</f>
        <v> </v>
      </c>
      <c r="K1646" s="26" t="str">
        <f>IF(OR(E1646="",E1646="!!!",F1646="NEW"),"",INDEX(J$1:J1645,SUMPRODUCT(MAX(ROW(E$1:E1645)*(E1646=E$1:E1645)))))</f>
        <v> </v>
      </c>
      <c r="L1646" s="27"/>
    </row>
    <row r="1647" spans="1:12">
      <c r="A1647" s="20" t="s">
        <v>1224</v>
      </c>
      <c r="E1647" s="22">
        <f>IF(D1647="?OLD","!!!","")</f>
        <v/>
      </c>
      <c r="F1647" s="23" t="str">
        <f>IF(OR(E1647="",E1647="!!!"),"",IF(NOT(ISNA(VLOOKUP(E1647,E$1:E1646,1,FALSE()))),"OLD",IF(AND(E1647&lt;&gt;"",E1647&lt;&gt;"!!!"),"NEW","")))</f>
        <v> </v>
      </c>
      <c r="G1647" s="24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5" t="str">
        <f>IF(J1647&lt;&gt;1,"",IF(I1647="SBJ","CB","?"))</f>
        <v> </v>
      </c>
      <c r="I1647" s="26" t="str">
        <f>IF(OR(E1647="",E1647="!!!",F1647="NEW"),"",INDEX(B1646:B$2,-1+SUMPRODUCT(MAX(ROW(E1646:E$2)*(E1647=E1646:E$2)))))</f>
        <v> </v>
      </c>
      <c r="J1647" s="26" t="str">
        <f>IF(OR(E1647="",E1647="!!!",F1647="NEW"),"",COUNTBLANK(OFFSET(A$1,,,SUMPRODUCT(MAX(ROW(E$2:E1647)*(E1647=E$2:E1647)))))-COUNTBLANK(OFFSET(A$1,,,SUMPRODUCT(MAX(ROW(E$1:E1646)*(E2=E$1:E1646))))))</f>
        <v> </v>
      </c>
      <c r="K1647" s="26" t="str">
        <f>IF(OR(E1647="",E1647="!!!",F1647="NEW"),"",INDEX(J$1:J1646,SUMPRODUCT(MAX(ROW(E$1:E1646)*(E1647=E$1:E1646)))))</f>
        <v> </v>
      </c>
      <c r="L1647" s="27"/>
    </row>
    <row r="1648" spans="1:12">
      <c r="A1648" s="20" t="s">
        <v>636</v>
      </c>
      <c r="E1648" s="22">
        <f>IF(D1648="?OLD","!!!","")</f>
        <v/>
      </c>
      <c r="F1648" s="23" t="str">
        <f>IF(OR(E1648="",E1648="!!!"),"",IF(NOT(ISNA(VLOOKUP(E1648,E$1:E1647,1,FALSE()))),"OLD",IF(AND(E1648&lt;&gt;"",E1648&lt;&gt;"!!!"),"NEW","")))</f>
        <v> </v>
      </c>
      <c r="G1648" s="24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5" t="str">
        <f>IF(J1648&lt;&gt;1,"",IF(I1648="SBJ","CB","?"))</f>
        <v> </v>
      </c>
      <c r="I1648" s="26" t="str">
        <f>IF(OR(E1648="",E1648="!!!",F1648="NEW"),"",INDEX(B1647:B$2,-1+SUMPRODUCT(MAX(ROW(E1647:E$2)*(E1648=E1647:E$2)))))</f>
        <v> </v>
      </c>
      <c r="J1648" s="26" t="str">
        <f>IF(OR(E1648="",E1648="!!!",F1648="NEW"),"",COUNTBLANK(OFFSET(A$1,,,SUMPRODUCT(MAX(ROW(E$2:E1648)*(E1648=E$2:E1648)))))-COUNTBLANK(OFFSET(A$1,,,SUMPRODUCT(MAX(ROW(E$1:E1647)*(E2=E$1:E1647))))))</f>
        <v> </v>
      </c>
      <c r="K1648" s="26" t="str">
        <f>IF(OR(E1648="",E1648="!!!",F1648="NEW"),"",INDEX(J$1:J1647,SUMPRODUCT(MAX(ROW(E$1:E1647)*(E1648=E$1:E1647)))))</f>
        <v> </v>
      </c>
      <c r="L1648" s="27"/>
    </row>
    <row r="1649" spans="1:12">
      <c r="A1649" s="20" t="s">
        <v>436</v>
      </c>
      <c r="E1649" s="22">
        <f>IF(D1649="?OLD","!!!","")</f>
        <v/>
      </c>
      <c r="F1649" s="23" t="str">
        <f>IF(OR(E1649="",E1649="!!!"),"",IF(NOT(ISNA(VLOOKUP(E1649,E$1:E1648,1,FALSE()))),"OLD",IF(AND(E1649&lt;&gt;"",E1649&lt;&gt;"!!!"),"NEW","")))</f>
        <v> </v>
      </c>
      <c r="G1649" s="24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5" t="str">
        <f>IF(J1649&lt;&gt;1,"",IF(I1649="SBJ","CB","?"))</f>
        <v> </v>
      </c>
      <c r="I1649" s="26" t="str">
        <f>IF(OR(E1649="",E1649="!!!",F1649="NEW"),"",INDEX(B1648:B$2,-1+SUMPRODUCT(MAX(ROW(E1648:E$2)*(E1649=E1648:E$2)))))</f>
        <v> </v>
      </c>
      <c r="J1649" s="26" t="str">
        <f>IF(OR(E1649="",E1649="!!!",F1649="NEW"),"",COUNTBLANK(OFFSET(A$1,,,SUMPRODUCT(MAX(ROW(E$2:E1649)*(E1649=E$2:E1649)))))-COUNTBLANK(OFFSET(A$1,,,SUMPRODUCT(MAX(ROW(E$1:E1648)*(E2=E$1:E1648))))))</f>
        <v> </v>
      </c>
      <c r="K1649" s="26" t="str">
        <f>IF(OR(E1649="",E1649="!!!",F1649="NEW"),"",INDEX(J$1:J1648,SUMPRODUCT(MAX(ROW(E$1:E1648)*(E1649=E$1:E1648)))))</f>
        <v> </v>
      </c>
      <c r="L1649" s="27"/>
    </row>
    <row r="1650" spans="1:12">
      <c r="A1650" s="20" t="s">
        <v>1225</v>
      </c>
      <c r="E1650" s="22">
        <f>IF(D1650="?OLD","!!!","")</f>
        <v/>
      </c>
      <c r="F1650" s="23" t="str">
        <f>IF(OR(E1650="",E1650="!!!"),"",IF(NOT(ISNA(VLOOKUP(E1650,E$1:E1649,1,FALSE()))),"OLD",IF(AND(E1650&lt;&gt;"",E1650&lt;&gt;"!!!"),"NEW","")))</f>
        <v> </v>
      </c>
      <c r="G1650" s="24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5" t="str">
        <f>IF(J1650&lt;&gt;1,"",IF(I1650="SBJ","CB","?"))</f>
        <v> </v>
      </c>
      <c r="I1650" s="26" t="str">
        <f>IF(OR(E1650="",E1650="!!!",F1650="NEW"),"",INDEX(B1649:B$2,-1+SUMPRODUCT(MAX(ROW(E1649:E$2)*(E1650=E1649:E$2)))))</f>
        <v> </v>
      </c>
      <c r="J1650" s="26" t="str">
        <f>IF(OR(E1650="",E1650="!!!",F1650="NEW"),"",COUNTBLANK(OFFSET(A$1,,,SUMPRODUCT(MAX(ROW(E$2:E1650)*(E1650=E$2:E1650)))))-COUNTBLANK(OFFSET(A$1,,,SUMPRODUCT(MAX(ROW(E$1:E1649)*(E2=E$1:E1649))))))</f>
        <v> </v>
      </c>
      <c r="K1650" s="26" t="str">
        <f>IF(OR(E1650="",E1650="!!!",F1650="NEW"),"",INDEX(J$1:J1649,SUMPRODUCT(MAX(ROW(E$1:E1649)*(E1650=E$1:E1649)))))</f>
        <v> </v>
      </c>
      <c r="L1650" s="27"/>
    </row>
    <row r="1651" spans="1:12">
      <c r="A1651" s="20" t="s">
        <v>1226</v>
      </c>
      <c r="E1651" s="22">
        <f>IF(D1651="?OLD","!!!","")</f>
        <v/>
      </c>
      <c r="F1651" s="23" t="str">
        <f>IF(OR(E1651="",E1651="!!!"),"",IF(NOT(ISNA(VLOOKUP(E1651,E$1:E1650,1,FALSE()))),"OLD",IF(AND(E1651&lt;&gt;"",E1651&lt;&gt;"!!!"),"NEW","")))</f>
        <v> </v>
      </c>
      <c r="G1651" s="24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5" t="str">
        <f>IF(J1651&lt;&gt;1,"",IF(I1651="SBJ","CB","?"))</f>
        <v> </v>
      </c>
      <c r="I1651" s="26" t="str">
        <f>IF(OR(E1651="",E1651="!!!",F1651="NEW"),"",INDEX(B1650:B$2,-1+SUMPRODUCT(MAX(ROW(E1650:E$2)*(E1651=E1650:E$2)))))</f>
        <v> </v>
      </c>
      <c r="J1651" s="26" t="str">
        <f>IF(OR(E1651="",E1651="!!!",F1651="NEW"),"",COUNTBLANK(OFFSET(A$1,,,SUMPRODUCT(MAX(ROW(E$2:E1651)*(E1651=E$2:E1651)))))-COUNTBLANK(OFFSET(A$1,,,SUMPRODUCT(MAX(ROW(E$1:E1650)*(E2=E$1:E1650))))))</f>
        <v> </v>
      </c>
      <c r="K1651" s="26" t="str">
        <f>IF(OR(E1651="",E1651="!!!",F1651="NEW"),"",INDEX(J$1:J1650,SUMPRODUCT(MAX(ROW(E$1:E1650)*(E1651=E$1:E1650)))))</f>
        <v> </v>
      </c>
      <c r="L1651" s="27"/>
    </row>
    <row r="1652" spans="1:12">
      <c r="A1652" s="20" t="s">
        <v>1227</v>
      </c>
      <c r="B1652" s="21" t="s">
        <v>659</v>
      </c>
      <c r="C1652" s="21" t="s">
        <v>448</v>
      </c>
      <c r="E1652" s="22">
        <f>IF(D1652="?OLD","!!!","")</f>
        <v/>
      </c>
      <c r="F1652" s="23" t="str">
        <f>IF(OR(E1652="",E1652="!!!"),"",IF(NOT(ISNA(VLOOKUP(E1652,E$1:E1651,1,FALSE()))),"OLD",IF(AND(E1652&lt;&gt;"",E1652&lt;&gt;"!!!"),"NEW","")))</f>
        <v> </v>
      </c>
      <c r="G1652" s="24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5" t="str">
        <f>IF(J1652&lt;&gt;1,"",IF(I1652="SBJ","CB","?"))</f>
        <v> </v>
      </c>
      <c r="I1652" s="26" t="str">
        <f>IF(OR(E1652="",E1652="!!!",F1652="NEW"),"",INDEX(B1651:B$2,-1+SUMPRODUCT(MAX(ROW(E1651:E$2)*(E1652=E1651:E$2)))))</f>
        <v> </v>
      </c>
      <c r="J1652" s="26" t="str">
        <f>IF(OR(E1652="",E1652="!!!",F1652="NEW"),"",COUNTBLANK(OFFSET(A$1,,,SUMPRODUCT(MAX(ROW(E$2:E1652)*(E1652=E$2:E1652)))))-COUNTBLANK(OFFSET(A$1,,,SUMPRODUCT(MAX(ROW(E$1:E1651)*(E2=E$1:E1651))))))</f>
        <v> </v>
      </c>
      <c r="K1652" s="26" t="str">
        <f>IF(OR(E1652="",E1652="!!!",F1652="NEW"),"",INDEX(J$1:J1651,SUMPRODUCT(MAX(ROW(E$1:E1651)*(E1652=E$1:E1651)))))</f>
        <v> </v>
      </c>
      <c r="L1652" s="27"/>
    </row>
    <row r="1653" spans="1:12">
      <c r="A1653" s="20" t="s">
        <v>1228</v>
      </c>
      <c r="E1653" s="22">
        <f>IF(D1653="?OLD","!!!","")</f>
        <v/>
      </c>
      <c r="F1653" s="23" t="str">
        <f>IF(OR(E1653="",E1653="!!!"),"",IF(NOT(ISNA(VLOOKUP(E1653,E$1:E1652,1,FALSE()))),"OLD",IF(AND(E1653&lt;&gt;"",E1653&lt;&gt;"!!!"),"NEW","")))</f>
        <v> </v>
      </c>
      <c r="G1653" s="24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5" t="str">
        <f>IF(J1653&lt;&gt;1,"",IF(I1653="SBJ","CB","?"))</f>
        <v> </v>
      </c>
      <c r="I1653" s="26" t="str">
        <f>IF(OR(E1653="",E1653="!!!",F1653="NEW"),"",INDEX(B1652:B$2,-1+SUMPRODUCT(MAX(ROW(E1652:E$2)*(E1653=E1652:E$2)))))</f>
        <v> </v>
      </c>
      <c r="J1653" s="26" t="str">
        <f>IF(OR(E1653="",E1653="!!!",F1653="NEW"),"",COUNTBLANK(OFFSET(A$1,,,SUMPRODUCT(MAX(ROW(E$2:E1653)*(E1653=E$2:E1653)))))-COUNTBLANK(OFFSET(A$1,,,SUMPRODUCT(MAX(ROW(E$1:E1652)*(E2=E$1:E1652))))))</f>
        <v> </v>
      </c>
      <c r="K1653" s="26" t="str">
        <f>IF(OR(E1653="",E1653="!!!",F1653="NEW"),"",INDEX(J$1:J1652,SUMPRODUCT(MAX(ROW(E$1:E1652)*(E1653=E$1:E1652)))))</f>
        <v> </v>
      </c>
      <c r="L1653" s="27"/>
    </row>
    <row r="1654" spans="1:12">
      <c r="A1654" s="20" t="s">
        <v>1229</v>
      </c>
      <c r="E1654" s="22">
        <f>IF(D1654="?OLD","!!!","")</f>
        <v/>
      </c>
      <c r="F1654" s="23" t="str">
        <f>IF(OR(E1654="",E1654="!!!"),"",IF(NOT(ISNA(VLOOKUP(E1654,E$1:E1653,1,FALSE()))),"OLD",IF(AND(E1654&lt;&gt;"",E1654&lt;&gt;"!!!"),"NEW","")))</f>
        <v> </v>
      </c>
      <c r="G1654" s="24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5" t="str">
        <f>IF(J1654&lt;&gt;1,"",IF(I1654="SBJ","CB","?"))</f>
        <v> </v>
      </c>
      <c r="I1654" s="26" t="str">
        <f>IF(OR(E1654="",E1654="!!!",F1654="NEW"),"",INDEX(B1653:B$2,-1+SUMPRODUCT(MAX(ROW(E1653:E$2)*(E1654=E1653:E$2)))))</f>
        <v> </v>
      </c>
      <c r="J1654" s="26" t="str">
        <f>IF(OR(E1654="",E1654="!!!",F1654="NEW"),"",COUNTBLANK(OFFSET(A$1,,,SUMPRODUCT(MAX(ROW(E$2:E1654)*(E1654=E$2:E1654)))))-COUNTBLANK(OFFSET(A$1,,,SUMPRODUCT(MAX(ROW(E$1:E1653)*(E2=E$1:E1653))))))</f>
        <v> </v>
      </c>
      <c r="K1654" s="26" t="str">
        <f>IF(OR(E1654="",E1654="!!!",F1654="NEW"),"",INDEX(J$1:J1653,SUMPRODUCT(MAX(ROW(E$1:E1653)*(E1654=E$1:E1653)))))</f>
        <v> </v>
      </c>
      <c r="L1654" s="27"/>
    </row>
    <row r="1655" spans="1:12">
      <c r="A1655" s="20" t="s">
        <v>430</v>
      </c>
      <c r="E1655" s="22">
        <f>IF(D1655="?OLD","!!!","")</f>
        <v/>
      </c>
      <c r="F1655" s="23" t="str">
        <f>IF(OR(E1655="",E1655="!!!"),"",IF(NOT(ISNA(VLOOKUP(E1655,E$1:E1654,1,FALSE()))),"OLD",IF(AND(E1655&lt;&gt;"",E1655&lt;&gt;"!!!"),"NEW","")))</f>
        <v> </v>
      </c>
      <c r="G1655" s="24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5" t="str">
        <f>IF(J1655&lt;&gt;1,"",IF(I1655="SBJ","CB","?"))</f>
        <v> </v>
      </c>
      <c r="I1655" s="26" t="str">
        <f>IF(OR(E1655="",E1655="!!!",F1655="NEW"),"",INDEX(B1654:B$2,-1+SUMPRODUCT(MAX(ROW(E1654:E$2)*(E1655=E1654:E$2)))))</f>
        <v> </v>
      </c>
      <c r="J1655" s="26" t="str">
        <f>IF(OR(E1655="",E1655="!!!",F1655="NEW"),"",COUNTBLANK(OFFSET(A$1,,,SUMPRODUCT(MAX(ROW(E$2:E1655)*(E1655=E$2:E1655)))))-COUNTBLANK(OFFSET(A$1,,,SUMPRODUCT(MAX(ROW(E$1:E1654)*(E2=E$1:E1654))))))</f>
        <v> </v>
      </c>
      <c r="K1655" s="26" t="str">
        <f>IF(OR(E1655="",E1655="!!!",F1655="NEW"),"",INDEX(J$1:J1654,SUMPRODUCT(MAX(ROW(E$1:E1654)*(E1655=E$1:E1654)))))</f>
        <v> </v>
      </c>
      <c r="L1655" s="27"/>
    </row>
    <row r="1656" spans="1:12">
      <c r="A1656" s="20" t="s">
        <v>1230</v>
      </c>
      <c r="E1656" s="22">
        <f>IF(D1656="?OLD","!!!","")</f>
        <v/>
      </c>
      <c r="F1656" s="23" t="str">
        <f>IF(OR(E1656="",E1656="!!!"),"",IF(NOT(ISNA(VLOOKUP(E1656,E$1:E1655,1,FALSE()))),"OLD",IF(AND(E1656&lt;&gt;"",E1656&lt;&gt;"!!!"),"NEW","")))</f>
        <v> </v>
      </c>
      <c r="G1656" s="24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5" t="str">
        <f>IF(J1656&lt;&gt;1,"",IF(I1656="SBJ","CB","?"))</f>
        <v> </v>
      </c>
      <c r="I1656" s="26" t="str">
        <f>IF(OR(E1656="",E1656="!!!",F1656="NEW"),"",INDEX(B1655:B$2,-1+SUMPRODUCT(MAX(ROW(E1655:E$2)*(E1656=E1655:E$2)))))</f>
        <v> </v>
      </c>
      <c r="J1656" s="26" t="str">
        <f>IF(OR(E1656="",E1656="!!!",F1656="NEW"),"",COUNTBLANK(OFFSET(A$1,,,SUMPRODUCT(MAX(ROW(E$2:E1656)*(E1656=E$2:E1656)))))-COUNTBLANK(OFFSET(A$1,,,SUMPRODUCT(MAX(ROW(E$1:E1655)*(E2=E$1:E1655))))))</f>
        <v> </v>
      </c>
      <c r="K1656" s="26" t="str">
        <f>IF(OR(E1656="",E1656="!!!",F1656="NEW"),"",INDEX(J$1:J1655,SUMPRODUCT(MAX(ROW(E$1:E1655)*(E1656=E$1:E1655)))))</f>
        <v> </v>
      </c>
      <c r="L1656" s="27"/>
    </row>
    <row r="1657" spans="1:12">
      <c r="A1657" s="20" t="s">
        <v>1231</v>
      </c>
      <c r="E1657" s="22">
        <f>IF(D1657="?OLD","!!!","")</f>
        <v/>
      </c>
      <c r="F1657" s="23" t="str">
        <f>IF(OR(E1657="",E1657="!!!"),"",IF(NOT(ISNA(VLOOKUP(E1657,E$1:E1656,1,FALSE()))),"OLD",IF(AND(E1657&lt;&gt;"",E1657&lt;&gt;"!!!"),"NEW","")))</f>
        <v> </v>
      </c>
      <c r="G1657" s="24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5" t="str">
        <f>IF(J1657&lt;&gt;1,"",IF(I1657="SBJ","CB","?"))</f>
        <v> </v>
      </c>
      <c r="I1657" s="26" t="str">
        <f>IF(OR(E1657="",E1657="!!!",F1657="NEW"),"",INDEX(B1656:B$2,-1+SUMPRODUCT(MAX(ROW(E1656:E$2)*(E1657=E1656:E$2)))))</f>
        <v> </v>
      </c>
      <c r="J1657" s="26" t="str">
        <f>IF(OR(E1657="",E1657="!!!",F1657="NEW"),"",COUNTBLANK(OFFSET(A$1,,,SUMPRODUCT(MAX(ROW(E$2:E1657)*(E1657=E$2:E1657)))))-COUNTBLANK(OFFSET(A$1,,,SUMPRODUCT(MAX(ROW(E$1:E1656)*(E2=E$1:E1656))))))</f>
        <v> </v>
      </c>
      <c r="K1657" s="26" t="str">
        <f>IF(OR(E1657="",E1657="!!!",F1657="NEW"),"",INDEX(J$1:J1656,SUMPRODUCT(MAX(ROW(E$1:E1656)*(E1657=E$1:E1656)))))</f>
        <v> </v>
      </c>
      <c r="L1657" s="27"/>
    </row>
    <row r="1658" spans="1:12">
      <c r="A1658" s="20" t="s">
        <v>453</v>
      </c>
      <c r="E1658" s="22">
        <f>IF(D1658="?OLD","!!!","")</f>
        <v/>
      </c>
      <c r="F1658" s="23" t="str">
        <f>IF(OR(E1658="",E1658="!!!"),"",IF(NOT(ISNA(VLOOKUP(E1658,E$1:E1657,1,FALSE()))),"OLD",IF(AND(E1658&lt;&gt;"",E1658&lt;&gt;"!!!"),"NEW","")))</f>
        <v> </v>
      </c>
      <c r="G1658" s="24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5" t="str">
        <f>IF(J1658&lt;&gt;1,"",IF(I1658="SBJ","CB","?"))</f>
        <v> </v>
      </c>
      <c r="I1658" s="26" t="str">
        <f>IF(OR(E1658="",E1658="!!!",F1658="NEW"),"",INDEX(B1657:B$2,-1+SUMPRODUCT(MAX(ROW(E1657:E$2)*(E1658=E1657:E$2)))))</f>
        <v> </v>
      </c>
      <c r="J1658" s="26" t="str">
        <f>IF(OR(E1658="",E1658="!!!",F1658="NEW"),"",COUNTBLANK(OFFSET(A$1,,,SUMPRODUCT(MAX(ROW(E$2:E1658)*(E1658=E$2:E1658)))))-COUNTBLANK(OFFSET(A$1,,,SUMPRODUCT(MAX(ROW(E$1:E1657)*(E2=E$1:E1657))))))</f>
        <v> </v>
      </c>
      <c r="K1658" s="26" t="str">
        <f>IF(OR(E1658="",E1658="!!!",F1658="NEW"),"",INDEX(J$1:J1657,SUMPRODUCT(MAX(ROW(E$1:E1657)*(E1658=E$1:E1657)))))</f>
        <v> </v>
      </c>
      <c r="L1658" s="27"/>
    </row>
    <row r="1659" spans="1:12">
      <c r="A1659" s="20" t="s">
        <v>1232</v>
      </c>
      <c r="E1659" s="22">
        <f>IF(D1659="?OLD","!!!","")</f>
        <v/>
      </c>
      <c r="F1659" s="23" t="str">
        <f>IF(OR(E1659="",E1659="!!!"),"",IF(NOT(ISNA(VLOOKUP(E1659,E$1:E1658,1,FALSE()))),"OLD",IF(AND(E1659&lt;&gt;"",E1659&lt;&gt;"!!!"),"NEW","")))</f>
        <v> </v>
      </c>
      <c r="G1659" s="24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5" t="str">
        <f>IF(J1659&lt;&gt;1,"",IF(I1659="SBJ","CB","?"))</f>
        <v> </v>
      </c>
      <c r="I1659" s="26" t="str">
        <f>IF(OR(E1659="",E1659="!!!",F1659="NEW"),"",INDEX(B1658:B$2,-1+SUMPRODUCT(MAX(ROW(E1658:E$2)*(E1659=E1658:E$2)))))</f>
        <v> </v>
      </c>
      <c r="J1659" s="26" t="str">
        <f>IF(OR(E1659="",E1659="!!!",F1659="NEW"),"",COUNTBLANK(OFFSET(A$1,,,SUMPRODUCT(MAX(ROW(E$2:E1659)*(E1659=E$2:E1659)))))-COUNTBLANK(OFFSET(A$1,,,SUMPRODUCT(MAX(ROW(E$1:E1658)*(E2=E$1:E1658))))))</f>
        <v> </v>
      </c>
      <c r="K1659" s="26" t="str">
        <f>IF(OR(E1659="",E1659="!!!",F1659="NEW"),"",INDEX(J$1:J1658,SUMPRODUCT(MAX(ROW(E$1:E1658)*(E1659=E$1:E1658)))))</f>
        <v> </v>
      </c>
      <c r="L1659" s="27"/>
    </row>
    <row r="1660" spans="1:12">
      <c r="A1660" s="20" t="s">
        <v>1233</v>
      </c>
      <c r="B1660" s="21" t="s">
        <v>940</v>
      </c>
      <c r="C1660" s="21" t="s">
        <v>423</v>
      </c>
      <c r="D1660" s="21" t="s">
        <v>424</v>
      </c>
      <c r="E1660" s="22">
        <f>IF(D1660="?OLD","!!!","")</f>
        <v/>
      </c>
      <c r="F1660" s="23" t="str">
        <f>IF(OR(E1660="",E1660="!!!"),"",IF(NOT(ISNA(VLOOKUP(E1660,E$1:E1659,1,FALSE()))),"OLD",IF(AND(E1660&lt;&gt;"",E1660&lt;&gt;"!!!"),"NEW","")))</f>
        <v> </v>
      </c>
      <c r="G1660" s="24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5" t="str">
        <f>IF(J1660&lt;&gt;1,"",IF(I1660="SBJ","CB","?"))</f>
        <v> </v>
      </c>
      <c r="I1660" s="26" t="str">
        <f>IF(OR(E1660="",E1660="!!!",F1660="NEW"),"",INDEX(B1659:B$2,-1+SUMPRODUCT(MAX(ROW(E1659:E$2)*(E1660=E1659:E$2)))))</f>
        <v> </v>
      </c>
      <c r="J1660" s="26" t="str">
        <f>IF(OR(E1660="",E1660="!!!",F1660="NEW"),"",COUNTBLANK(OFFSET(A$1,,,SUMPRODUCT(MAX(ROW(E$2:E1660)*(E1660=E$2:E1660)))))-COUNTBLANK(OFFSET(A$1,,,SUMPRODUCT(MAX(ROW(E$1:E1659)*(E2=E$1:E1659))))))</f>
        <v> </v>
      </c>
      <c r="K1660" s="26" t="str">
        <f>IF(OR(E1660="",E1660="!!!",F1660="NEW"),"",INDEX(J$1:J1659,SUMPRODUCT(MAX(ROW(E$1:E1659)*(E1660=E$1:E1659)))))</f>
        <v> </v>
      </c>
      <c r="L1660" s="27"/>
    </row>
    <row r="1661" spans="1:12">
      <c r="A1661" s="20" t="s">
        <v>1234</v>
      </c>
      <c r="E1661" s="22">
        <f>IF(D1661="?OLD","!!!","")</f>
        <v/>
      </c>
      <c r="F1661" s="23" t="str">
        <f>IF(OR(E1661="",E1661="!!!"),"",IF(NOT(ISNA(VLOOKUP(E1661,E$1:E1660,1,FALSE()))),"OLD",IF(AND(E1661&lt;&gt;"",E1661&lt;&gt;"!!!"),"NEW","")))</f>
        <v> </v>
      </c>
      <c r="G1661" s="24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5" t="str">
        <f>IF(J1661&lt;&gt;1,"",IF(I1661="SBJ","CB","?"))</f>
        <v> </v>
      </c>
      <c r="I1661" s="26" t="str">
        <f>IF(OR(E1661="",E1661="!!!",F1661="NEW"),"",INDEX(B1660:B$2,-1+SUMPRODUCT(MAX(ROW(E1660:E$2)*(E1661=E1660:E$2)))))</f>
        <v> </v>
      </c>
      <c r="J1661" s="26" t="str">
        <f>IF(OR(E1661="",E1661="!!!",F1661="NEW"),"",COUNTBLANK(OFFSET(A$1,,,SUMPRODUCT(MAX(ROW(E$2:E1661)*(E1661=E$2:E1661)))))-COUNTBLANK(OFFSET(A$1,,,SUMPRODUCT(MAX(ROW(E$1:E1660)*(E2=E$1:E1660))))))</f>
        <v> </v>
      </c>
      <c r="K1661" s="26" t="str">
        <f>IF(OR(E1661="",E1661="!!!",F1661="NEW"),"",INDEX(J$1:J1660,SUMPRODUCT(MAX(ROW(E$1:E1660)*(E1661=E$1:E1660)))))</f>
        <v> </v>
      </c>
      <c r="L1661" s="27"/>
    </row>
    <row r="1662" spans="1:12">
      <c r="A1662" s="20" t="s">
        <v>478</v>
      </c>
      <c r="E1662" s="22">
        <f>IF(D1662="?OLD","!!!","")</f>
        <v/>
      </c>
      <c r="F1662" s="23" t="str">
        <f>IF(OR(E1662="",E1662="!!!"),"",IF(NOT(ISNA(VLOOKUP(E1662,E$1:E1661,1,FALSE()))),"OLD",IF(AND(E1662&lt;&gt;"",E1662&lt;&gt;"!!!"),"NEW","")))</f>
        <v> </v>
      </c>
      <c r="G1662" s="24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5" t="str">
        <f>IF(J1662&lt;&gt;1,"",IF(I1662="SBJ","CB","?"))</f>
        <v> </v>
      </c>
      <c r="I1662" s="26" t="str">
        <f>IF(OR(E1662="",E1662="!!!",F1662="NEW"),"",INDEX(B1661:B$2,-1+SUMPRODUCT(MAX(ROW(E1661:E$2)*(E1662=E1661:E$2)))))</f>
        <v> </v>
      </c>
      <c r="J1662" s="26" t="str">
        <f>IF(OR(E1662="",E1662="!!!",F1662="NEW"),"",COUNTBLANK(OFFSET(A$1,,,SUMPRODUCT(MAX(ROW(E$2:E1662)*(E1662=E$2:E1662)))))-COUNTBLANK(OFFSET(A$1,,,SUMPRODUCT(MAX(ROW(E$1:E1661)*(E2=E$1:E1661))))))</f>
        <v> </v>
      </c>
      <c r="K1662" s="26" t="str">
        <f>IF(OR(E1662="",E1662="!!!",F1662="NEW"),"",INDEX(J$1:J1661,SUMPRODUCT(MAX(ROW(E$1:E1661)*(E1662=E$1:E1661)))))</f>
        <v> </v>
      </c>
      <c r="L1662" s="27"/>
    </row>
    <row r="1663" spans="1:12">
      <c r="A1663" s="20" t="s">
        <v>690</v>
      </c>
      <c r="B1663" s="21" t="s">
        <v>491</v>
      </c>
      <c r="C1663" s="21" t="s">
        <v>423</v>
      </c>
      <c r="D1663" s="21" t="s">
        <v>424</v>
      </c>
      <c r="E1663" s="22">
        <f>IF(D1663="?OLD","!!!","")</f>
        <v/>
      </c>
      <c r="F1663" s="23" t="str">
        <f>IF(OR(E1663="",E1663="!!!"),"",IF(NOT(ISNA(VLOOKUP(E1663,E$1:E1662,1,FALSE()))),"OLD",IF(AND(E1663&lt;&gt;"",E1663&lt;&gt;"!!!"),"NEW","")))</f>
        <v> </v>
      </c>
      <c r="G1663" s="24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5" t="str">
        <f>IF(J1663&lt;&gt;1,"",IF(I1663="SBJ","CB","?"))</f>
        <v> </v>
      </c>
      <c r="I1663" s="26" t="str">
        <f>IF(OR(E1663="",E1663="!!!",F1663="NEW"),"",INDEX(B1662:B$2,-1+SUMPRODUCT(MAX(ROW(E1662:E$2)*(E1663=E1662:E$2)))))</f>
        <v> </v>
      </c>
      <c r="J1663" s="26" t="str">
        <f>IF(OR(E1663="",E1663="!!!",F1663="NEW"),"",COUNTBLANK(OFFSET(A$1,,,SUMPRODUCT(MAX(ROW(E$2:E1663)*(E1663=E$2:E1663)))))-COUNTBLANK(OFFSET(A$1,,,SUMPRODUCT(MAX(ROW(E$1:E1662)*(E2=E$1:E1662))))))</f>
        <v> </v>
      </c>
      <c r="K1663" s="26" t="str">
        <f>IF(OR(E1663="",E1663="!!!",F1663="NEW"),"",INDEX(J$1:J1662,SUMPRODUCT(MAX(ROW(E$1:E1662)*(E1663=E$1:E1662)))))</f>
        <v> </v>
      </c>
      <c r="L1663" s="27"/>
    </row>
    <row r="1664" spans="1:12">
      <c r="A1664" s="20" t="s">
        <v>453</v>
      </c>
      <c r="E1664" s="22">
        <f>IF(D1664="?OLD","!!!","")</f>
        <v/>
      </c>
      <c r="F1664" s="23" t="str">
        <f>IF(OR(E1664="",E1664="!!!"),"",IF(NOT(ISNA(VLOOKUP(E1664,E$1:E1663,1,FALSE()))),"OLD",IF(AND(E1664&lt;&gt;"",E1664&lt;&gt;"!!!"),"NEW","")))</f>
        <v> </v>
      </c>
      <c r="G1664" s="24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5" t="str">
        <f>IF(J1664&lt;&gt;1,"",IF(I1664="SBJ","CB","?"))</f>
        <v> </v>
      </c>
      <c r="I1664" s="26" t="str">
        <f>IF(OR(E1664="",E1664="!!!",F1664="NEW"),"",INDEX(B1663:B$2,-1+SUMPRODUCT(MAX(ROW(E1663:E$2)*(E1664=E1663:E$2)))))</f>
        <v> </v>
      </c>
      <c r="J1664" s="26" t="str">
        <f>IF(OR(E1664="",E1664="!!!",F1664="NEW"),"",COUNTBLANK(OFFSET(A$1,,,SUMPRODUCT(MAX(ROW(E$2:E1664)*(E1664=E$2:E1664)))))-COUNTBLANK(OFFSET(A$1,,,SUMPRODUCT(MAX(ROW(E$1:E1663)*(E2=E$1:E1663))))))</f>
        <v> </v>
      </c>
      <c r="K1664" s="26" t="str">
        <f>IF(OR(E1664="",E1664="!!!",F1664="NEW"),"",INDEX(J$1:J1663,SUMPRODUCT(MAX(ROW(E$1:E1663)*(E1664=E$1:E1663)))))</f>
        <v> </v>
      </c>
      <c r="L1664" s="27"/>
    </row>
    <row r="1665" spans="1:12">
      <c r="A1665" s="20" t="s">
        <v>751</v>
      </c>
      <c r="E1665" s="22">
        <f>IF(D1665="?OLD","!!!","")</f>
        <v/>
      </c>
      <c r="F1665" s="23" t="str">
        <f>IF(OR(E1665="",E1665="!!!"),"",IF(NOT(ISNA(VLOOKUP(E1665,E$1:E1664,1,FALSE()))),"OLD",IF(AND(E1665&lt;&gt;"",E1665&lt;&gt;"!!!"),"NEW","")))</f>
        <v> </v>
      </c>
      <c r="G1665" s="24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5" t="str">
        <f>IF(J1665&lt;&gt;1,"",IF(I1665="SBJ","CB","?"))</f>
        <v> </v>
      </c>
      <c r="I1665" s="26" t="str">
        <f>IF(OR(E1665="",E1665="!!!",F1665="NEW"),"",INDEX(B1664:B$2,-1+SUMPRODUCT(MAX(ROW(E1664:E$2)*(E1665=E1664:E$2)))))</f>
        <v> </v>
      </c>
      <c r="J1665" s="26" t="str">
        <f>IF(OR(E1665="",E1665="!!!",F1665="NEW"),"",COUNTBLANK(OFFSET(A$1,,,SUMPRODUCT(MAX(ROW(E$2:E1665)*(E1665=E$2:E1665)))))-COUNTBLANK(OFFSET(A$1,,,SUMPRODUCT(MAX(ROW(E$1:E1664)*(E2=E$1:E1664))))))</f>
        <v> </v>
      </c>
      <c r="K1665" s="26" t="str">
        <f>IF(OR(E1665="",E1665="!!!",F1665="NEW"),"",INDEX(J$1:J1664,SUMPRODUCT(MAX(ROW(E$1:E1664)*(E1665=E$1:E1664)))))</f>
        <v> </v>
      </c>
      <c r="L1665" s="27"/>
    </row>
    <row r="1666" spans="1:12">
      <c r="A1666" s="20" t="s">
        <v>436</v>
      </c>
      <c r="E1666" s="22">
        <f>IF(D1666="?OLD","!!!","")</f>
        <v/>
      </c>
      <c r="F1666" s="23" t="str">
        <f>IF(OR(E1666="",E1666="!!!"),"",IF(NOT(ISNA(VLOOKUP(E1666,E$1:E1665,1,FALSE()))),"OLD",IF(AND(E1666&lt;&gt;"",E1666&lt;&gt;"!!!"),"NEW","")))</f>
        <v> </v>
      </c>
      <c r="G1666" s="24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5" t="str">
        <f>IF(J1666&lt;&gt;1,"",IF(I1666="SBJ","CB","?"))</f>
        <v> </v>
      </c>
      <c r="I1666" s="26" t="str">
        <f>IF(OR(E1666="",E1666="!!!",F1666="NEW"),"",INDEX(B1665:B$2,-1+SUMPRODUCT(MAX(ROW(E1665:E$2)*(E1666=E1665:E$2)))))</f>
        <v> </v>
      </c>
      <c r="J1666" s="26" t="str">
        <f>IF(OR(E1666="",E1666="!!!",F1666="NEW"),"",COUNTBLANK(OFFSET(A$1,,,SUMPRODUCT(MAX(ROW(E$2:E1666)*(E1666=E$2:E1666)))))-COUNTBLANK(OFFSET(A$1,,,SUMPRODUCT(MAX(ROW(E$1:E1665)*(E2=E$1:E1665))))))</f>
        <v> </v>
      </c>
      <c r="K1666" s="26" t="str">
        <f>IF(OR(E1666="",E1666="!!!",F1666="NEW"),"",INDEX(J$1:J1665,SUMPRODUCT(MAX(ROW(E$1:E1665)*(E1666=E$1:E1665)))))</f>
        <v> </v>
      </c>
      <c r="L1666" s="27"/>
    </row>
    <row r="1667" spans="1:12">
      <c r="A1667" s="20" t="s">
        <v>1235</v>
      </c>
      <c r="B1667" s="21" t="s">
        <v>480</v>
      </c>
      <c r="C1667" s="21" t="s">
        <v>680</v>
      </c>
      <c r="D1667" s="21" t="s">
        <v>424</v>
      </c>
      <c r="E1667" s="22">
        <f>IF(D1667="?OLD","!!!","")</f>
        <v/>
      </c>
      <c r="F1667" s="23" t="str">
        <f>IF(OR(E1667="",E1667="!!!"),"",IF(NOT(ISNA(VLOOKUP(E1667,E$1:E1666,1,FALSE()))),"OLD",IF(AND(E1667&lt;&gt;"",E1667&lt;&gt;"!!!"),"NEW","")))</f>
        <v> </v>
      </c>
      <c r="G1667" s="24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5" t="str">
        <f>IF(J1667&lt;&gt;1,"",IF(I1667="SBJ","CB","?"))</f>
        <v> </v>
      </c>
      <c r="I1667" s="26" t="str">
        <f>IF(OR(E1667="",E1667="!!!",F1667="NEW"),"",INDEX(B1666:B$2,-1+SUMPRODUCT(MAX(ROW(E1666:E$2)*(E1667=E1666:E$2)))))</f>
        <v> </v>
      </c>
      <c r="J1667" s="26" t="str">
        <f>IF(OR(E1667="",E1667="!!!",F1667="NEW"),"",COUNTBLANK(OFFSET(A$1,,,SUMPRODUCT(MAX(ROW(E$2:E1667)*(E1667=E$2:E1667)))))-COUNTBLANK(OFFSET(A$1,,,SUMPRODUCT(MAX(ROW(E$1:E1666)*(E2=E$1:E1666))))))</f>
        <v> </v>
      </c>
      <c r="K1667" s="26" t="str">
        <f>IF(OR(E1667="",E1667="!!!",F1667="NEW"),"",INDEX(J$1:J1666,SUMPRODUCT(MAX(ROW(E$1:E1666)*(E1667=E$1:E1666)))))</f>
        <v> </v>
      </c>
      <c r="L1667" s="27"/>
    </row>
    <row r="1668" spans="1:12">
      <c r="A1668" s="20" t="s">
        <v>1236</v>
      </c>
      <c r="E1668" s="22">
        <f>IF(D1668="?OLD","!!!","")</f>
        <v/>
      </c>
      <c r="F1668" s="23" t="str">
        <f>IF(OR(E1668="",E1668="!!!"),"",IF(NOT(ISNA(VLOOKUP(E1668,E$1:E1667,1,FALSE()))),"OLD",IF(AND(E1668&lt;&gt;"",E1668&lt;&gt;"!!!"),"NEW","")))</f>
        <v> </v>
      </c>
      <c r="G1668" s="24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5" t="str">
        <f>IF(J1668&lt;&gt;1,"",IF(I1668="SBJ","CB","?"))</f>
        <v> </v>
      </c>
      <c r="I1668" s="26" t="str">
        <f>IF(OR(E1668="",E1668="!!!",F1668="NEW"),"",INDEX(B1667:B$2,-1+SUMPRODUCT(MAX(ROW(E1667:E$2)*(E1668=E1667:E$2)))))</f>
        <v> </v>
      </c>
      <c r="J1668" s="26" t="str">
        <f>IF(OR(E1668="",E1668="!!!",F1668="NEW"),"",COUNTBLANK(OFFSET(A$1,,,SUMPRODUCT(MAX(ROW(E$2:E1668)*(E1668=E$2:E1668)))))-COUNTBLANK(OFFSET(A$1,,,SUMPRODUCT(MAX(ROW(E$1:E1667)*(E2=E$1:E1667))))))</f>
        <v> </v>
      </c>
      <c r="K1668" s="26" t="str">
        <f>IF(OR(E1668="",E1668="!!!",F1668="NEW"),"",INDEX(J$1:J1667,SUMPRODUCT(MAX(ROW(E$1:E1667)*(E1668=E$1:E1667)))))</f>
        <v> </v>
      </c>
      <c r="L1668" s="27"/>
    </row>
    <row r="1669" spans="1:12">
      <c r="A1669" s="20" t="s">
        <v>1154</v>
      </c>
      <c r="E1669" s="22">
        <f>IF(D1669="?OLD","!!!","")</f>
        <v/>
      </c>
      <c r="F1669" s="23" t="str">
        <f>IF(OR(E1669="",E1669="!!!"),"",IF(NOT(ISNA(VLOOKUP(E1669,E$1:E1668,1,FALSE()))),"OLD",IF(AND(E1669&lt;&gt;"",E1669&lt;&gt;"!!!"),"NEW","")))</f>
        <v> </v>
      </c>
      <c r="G1669" s="24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5" t="str">
        <f>IF(J1669&lt;&gt;1,"",IF(I1669="SBJ","CB","?"))</f>
        <v> </v>
      </c>
      <c r="I1669" s="26" t="str">
        <f>IF(OR(E1669="",E1669="!!!",F1669="NEW"),"",INDEX(B1668:B$2,-1+SUMPRODUCT(MAX(ROW(E1668:E$2)*(E1669=E1668:E$2)))))</f>
        <v> </v>
      </c>
      <c r="J1669" s="26" t="str">
        <f>IF(OR(E1669="",E1669="!!!",F1669="NEW"),"",COUNTBLANK(OFFSET(A$1,,,SUMPRODUCT(MAX(ROW(E$2:E1669)*(E1669=E$2:E1669)))))-COUNTBLANK(OFFSET(A$1,,,SUMPRODUCT(MAX(ROW(E$1:E1668)*(E2=E$1:E1668))))))</f>
        <v> </v>
      </c>
      <c r="K1669" s="26" t="str">
        <f>IF(OR(E1669="",E1669="!!!",F1669="NEW"),"",INDEX(J$1:J1668,SUMPRODUCT(MAX(ROW(E$1:E1668)*(E1669=E$1:E1668)))))</f>
        <v> </v>
      </c>
      <c r="L1669" s="27"/>
    </row>
    <row r="1670" spans="1:12">
      <c r="A1670" s="20" t="s">
        <v>438</v>
      </c>
      <c r="E1670" s="22">
        <f>IF(D1670="?OLD","!!!","")</f>
        <v/>
      </c>
      <c r="F1670" s="23" t="str">
        <f>IF(OR(E1670="",E1670="!!!"),"",IF(NOT(ISNA(VLOOKUP(E1670,E$1:E1669,1,FALSE()))),"OLD",IF(AND(E1670&lt;&gt;"",E1670&lt;&gt;"!!!"),"NEW","")))</f>
        <v> </v>
      </c>
      <c r="G1670" s="24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5" t="str">
        <f>IF(J1670&lt;&gt;1,"",IF(I1670="SBJ","CB","?"))</f>
        <v> </v>
      </c>
      <c r="I1670" s="26" t="str">
        <f>IF(OR(E1670="",E1670="!!!",F1670="NEW"),"",INDEX(B1669:B$2,-1+SUMPRODUCT(MAX(ROW(E1669:E$2)*(E1670=E1669:E$2)))))</f>
        <v> </v>
      </c>
      <c r="J1670" s="26" t="str">
        <f>IF(OR(E1670="",E1670="!!!",F1670="NEW"),"",COUNTBLANK(OFFSET(A$1,,,SUMPRODUCT(MAX(ROW(E$2:E1670)*(E1670=E$2:E1670)))))-COUNTBLANK(OFFSET(A$1,,,SUMPRODUCT(MAX(ROW(E$1:E1669)*(E2=E$1:E1669))))))</f>
        <v> </v>
      </c>
      <c r="K1670" s="26" t="str">
        <f>IF(OR(E1670="",E1670="!!!",F1670="NEW"),"",INDEX(J$1:J1669,SUMPRODUCT(MAX(ROW(E$1:E1669)*(E1670=E$1:E1669)))))</f>
        <v> </v>
      </c>
      <c r="L1670" s="27"/>
    </row>
    <row r="1671" spans="1:12">
      <c r="A1671" s="20"/>
    </row>
    <row r="1672" spans="1:12">
      <c r="A1672" s="20" t="s">
        <v>1237</v>
      </c>
    </row>
    <row r="1673" spans="1:12">
      <c r="A1673" s="20" t="s">
        <v>1238</v>
      </c>
      <c r="E1673" s="22">
        <f>IF(D1673="?OLD","!!!","")</f>
        <v/>
      </c>
      <c r="F1673" s="23" t="str">
        <f>IF(OR(E1673="",E1673="!!!"),"",IF(NOT(ISNA(VLOOKUP(E1673,E$1:E1672,1,FALSE()))),"OLD",IF(AND(E1673&lt;&gt;"",E1673&lt;&gt;"!!!"),"NEW","")))</f>
        <v> </v>
      </c>
      <c r="G1673" s="24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5" t="str">
        <f>IF(J1673&lt;&gt;1,"",IF(I1673="SBJ","CB","?"))</f>
        <v> </v>
      </c>
      <c r="I1673" s="26" t="str">
        <f>IF(OR(E1673="",E1673="!!!",F1673="NEW"),"",INDEX(B1672:B$2,-1+SUMPRODUCT(MAX(ROW(E1672:E$2)*(E1673=E1672:E$2)))))</f>
        <v> </v>
      </c>
      <c r="J1673" s="26" t="str">
        <f>IF(OR(E1673="",E1673="!!!",F1673="NEW"),"",COUNTBLANK(OFFSET(A$1,,,SUMPRODUCT(MAX(ROW(E$2:E1673)*(E1673=E$2:E1673)))))-COUNTBLANK(OFFSET(A$1,,,SUMPRODUCT(MAX(ROW(E$1:E1672)*(E2=E$1:E1672))))))</f>
        <v> </v>
      </c>
      <c r="K1673" s="26" t="str">
        <f>IF(OR(E1673="",E1673="!!!",F1673="NEW"),"",INDEX(J$1:J1672,SUMPRODUCT(MAX(ROW(E$1:E1672)*(E1673=E$1:E1672)))))</f>
        <v> </v>
      </c>
      <c r="L1673" s="27"/>
    </row>
    <row r="1674" spans="1:12">
      <c r="A1674" s="20" t="s">
        <v>428</v>
      </c>
      <c r="E1674" s="22">
        <f>IF(D1674="?OLD","!!!","")</f>
        <v/>
      </c>
      <c r="F1674" s="23" t="str">
        <f>IF(OR(E1674="",E1674="!!!"),"",IF(NOT(ISNA(VLOOKUP(E1674,E$1:E1673,1,FALSE()))),"OLD",IF(AND(E1674&lt;&gt;"",E1674&lt;&gt;"!!!"),"NEW","")))</f>
        <v> </v>
      </c>
      <c r="G1674" s="24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5" t="str">
        <f>IF(J1674&lt;&gt;1,"",IF(I1674="SBJ","CB","?"))</f>
        <v> </v>
      </c>
      <c r="I1674" s="26" t="str">
        <f>IF(OR(E1674="",E1674="!!!",F1674="NEW"),"",INDEX(B1673:B$2,-1+SUMPRODUCT(MAX(ROW(E1673:E$2)*(E1674=E1673:E$2)))))</f>
        <v> </v>
      </c>
      <c r="J1674" s="26" t="str">
        <f>IF(OR(E1674="",E1674="!!!",F1674="NEW"),"",COUNTBLANK(OFFSET(A$1,,,SUMPRODUCT(MAX(ROW(E$2:E1674)*(E1674=E$2:E1674)))))-COUNTBLANK(OFFSET(A$1,,,SUMPRODUCT(MAX(ROW(E$1:E1673)*(E2=E$1:E1673))))))</f>
        <v> </v>
      </c>
      <c r="K1674" s="26" t="str">
        <f>IF(OR(E1674="",E1674="!!!",F1674="NEW"),"",INDEX(J$1:J1673,SUMPRODUCT(MAX(ROW(E$1:E1673)*(E1674=E$1:E1673)))))</f>
        <v> </v>
      </c>
      <c r="L1674" s="27"/>
    </row>
    <row r="1675" spans="1:12">
      <c r="A1675" s="20" t="s">
        <v>1239</v>
      </c>
      <c r="B1675" s="21" t="s">
        <v>533</v>
      </c>
      <c r="C1675" s="21" t="s">
        <v>435</v>
      </c>
      <c r="D1675" s="21" t="s">
        <v>424</v>
      </c>
      <c r="E1675" s="22">
        <f>IF(D1675="?OLD","!!!","")</f>
        <v/>
      </c>
      <c r="F1675" s="23" t="str">
        <f>IF(OR(E1675="",E1675="!!!"),"",IF(NOT(ISNA(VLOOKUP(E1675,E$1:E1674,1,FALSE()))),"OLD",IF(AND(E1675&lt;&gt;"",E1675&lt;&gt;"!!!"),"NEW","")))</f>
        <v> </v>
      </c>
      <c r="G1675" s="24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5" t="str">
        <f>IF(J1675&lt;&gt;1,"",IF(I1675="SBJ","CB","?"))</f>
        <v> </v>
      </c>
      <c r="I1675" s="26" t="str">
        <f>IF(OR(E1675="",E1675="!!!",F1675="NEW"),"",INDEX(B1674:B$2,-1+SUMPRODUCT(MAX(ROW(E1674:E$2)*(E1675=E1674:E$2)))))</f>
        <v> </v>
      </c>
      <c r="J1675" s="26" t="str">
        <f>IF(OR(E1675="",E1675="!!!",F1675="NEW"),"",COUNTBLANK(OFFSET(A$1,,,SUMPRODUCT(MAX(ROW(E$2:E1675)*(E1675=E$2:E1675)))))-COUNTBLANK(OFFSET(A$1,,,SUMPRODUCT(MAX(ROW(E$1:E1674)*(E2=E$1:E1674))))))</f>
        <v> </v>
      </c>
      <c r="K1675" s="26" t="str">
        <f>IF(OR(E1675="",E1675="!!!",F1675="NEW"),"",INDEX(J$1:J1674,SUMPRODUCT(MAX(ROW(E$1:E1674)*(E1675=E$1:E1674)))))</f>
        <v> </v>
      </c>
      <c r="L1675" s="27"/>
    </row>
    <row r="1676" spans="1:12">
      <c r="A1676" s="20" t="s">
        <v>998</v>
      </c>
      <c r="B1676" s="21" t="s">
        <v>659</v>
      </c>
      <c r="C1676" s="21" t="s">
        <v>477</v>
      </c>
      <c r="D1676" s="21" t="s">
        <v>424</v>
      </c>
      <c r="E1676" s="22">
        <f>IF(D1676="?OLD","!!!","")</f>
        <v/>
      </c>
      <c r="F1676" s="23" t="str">
        <f>IF(OR(E1676="",E1676="!!!"),"",IF(NOT(ISNA(VLOOKUP(E1676,E$1:E1675,1,FALSE()))),"OLD",IF(AND(E1676&lt;&gt;"",E1676&lt;&gt;"!!!"),"NEW","")))</f>
        <v> </v>
      </c>
      <c r="G1676" s="24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5" t="str">
        <f>IF(J1676&lt;&gt;1,"",IF(I1676="SBJ","CB","?"))</f>
        <v> </v>
      </c>
      <c r="I1676" s="26" t="str">
        <f>IF(OR(E1676="",E1676="!!!",F1676="NEW"),"",INDEX(B1675:B$2,-1+SUMPRODUCT(MAX(ROW(E1675:E$2)*(E1676=E1675:E$2)))))</f>
        <v> </v>
      </c>
      <c r="J1676" s="26" t="str">
        <f>IF(OR(E1676="",E1676="!!!",F1676="NEW"),"",COUNTBLANK(OFFSET(A$1,,,SUMPRODUCT(MAX(ROW(E$2:E1676)*(E1676=E$2:E1676)))))-COUNTBLANK(OFFSET(A$1,,,SUMPRODUCT(MAX(ROW(E$1:E1675)*(E2=E$1:E1675))))))</f>
        <v> </v>
      </c>
      <c r="K1676" s="26" t="str">
        <f>IF(OR(E1676="",E1676="!!!",F1676="NEW"),"",INDEX(J$1:J1675,SUMPRODUCT(MAX(ROW(E$1:E1675)*(E1676=E$1:E1675)))))</f>
        <v> </v>
      </c>
      <c r="L1676" s="27"/>
    </row>
    <row r="1677" spans="1:12">
      <c r="A1677" s="20" t="s">
        <v>438</v>
      </c>
      <c r="E1677" s="22">
        <f>IF(D1677="?OLD","!!!","")</f>
        <v/>
      </c>
      <c r="F1677" s="23" t="str">
        <f>IF(OR(E1677="",E1677="!!!"),"",IF(NOT(ISNA(VLOOKUP(E1677,E$1:E1676,1,FALSE()))),"OLD",IF(AND(E1677&lt;&gt;"",E1677&lt;&gt;"!!!"),"NEW","")))</f>
        <v> </v>
      </c>
      <c r="G1677" s="24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5" t="str">
        <f>IF(J1677&lt;&gt;1,"",IF(I1677="SBJ","CB","?"))</f>
        <v> </v>
      </c>
      <c r="I1677" s="26" t="str">
        <f>IF(OR(E1677="",E1677="!!!",F1677="NEW"),"",INDEX(B1676:B$2,-1+SUMPRODUCT(MAX(ROW(E1676:E$2)*(E1677=E1676:E$2)))))</f>
        <v> </v>
      </c>
      <c r="J1677" s="26" t="str">
        <f>IF(OR(E1677="",E1677="!!!",F1677="NEW"),"",COUNTBLANK(OFFSET(A$1,,,SUMPRODUCT(MAX(ROW(E$2:E1677)*(E1677=E$2:E1677)))))-COUNTBLANK(OFFSET(A$1,,,SUMPRODUCT(MAX(ROW(E$1:E1676)*(E2=E$1:E1676))))))</f>
        <v> </v>
      </c>
      <c r="K1677" s="26" t="str">
        <f>IF(OR(E1677="",E1677="!!!",F1677="NEW"),"",INDEX(J$1:J1676,SUMPRODUCT(MAX(ROW(E$1:E1676)*(E1677=E$1:E1676)))))</f>
        <v> </v>
      </c>
      <c r="L1677" s="27"/>
    </row>
    <row r="1678" spans="1:12">
      <c r="A1678" s="20"/>
    </row>
    <row r="1679" spans="1:12">
      <c r="A1679" s="20" t="s">
        <v>1240</v>
      </c>
    </row>
    <row r="1680" spans="1:12">
      <c r="A1680" s="20" t="s">
        <v>1238</v>
      </c>
      <c r="E1680" s="22">
        <f>IF(D1680="?OLD","!!!","")</f>
        <v/>
      </c>
      <c r="F1680" s="23" t="str">
        <f>IF(OR(E1680="",E1680="!!!"),"",IF(NOT(ISNA(VLOOKUP(E1680,E$1:E1679,1,FALSE()))),"OLD",IF(AND(E1680&lt;&gt;"",E1680&lt;&gt;"!!!"),"NEW","")))</f>
        <v> </v>
      </c>
      <c r="G1680" s="24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5" t="str">
        <f>IF(J1680&lt;&gt;1,"",IF(I1680="SBJ","CB","?"))</f>
        <v> </v>
      </c>
      <c r="I1680" s="26" t="str">
        <f>IF(OR(E1680="",E1680="!!!",F1680="NEW"),"",INDEX(B1679:B$2,-1+SUMPRODUCT(MAX(ROW(E1679:E$2)*(E1680=E1679:E$2)))))</f>
        <v> </v>
      </c>
      <c r="J1680" s="26" t="str">
        <f>IF(OR(E1680="",E1680="!!!",F1680="NEW"),"",COUNTBLANK(OFFSET(A$1,,,SUMPRODUCT(MAX(ROW(E$2:E1680)*(E1680=E$2:E1680)))))-COUNTBLANK(OFFSET(A$1,,,SUMPRODUCT(MAX(ROW(E$1:E1679)*(E2=E$1:E1679))))))</f>
        <v> </v>
      </c>
      <c r="K1680" s="26" t="str">
        <f>IF(OR(E1680="",E1680="!!!",F1680="NEW"),"",INDEX(J$1:J1679,SUMPRODUCT(MAX(ROW(E$1:E1679)*(E1680=E$1:E1679)))))</f>
        <v> </v>
      </c>
      <c r="L1680" s="27"/>
    </row>
    <row r="1681" spans="1:12">
      <c r="A1681" s="20" t="s">
        <v>453</v>
      </c>
      <c r="E1681" s="22">
        <f>IF(D1681="?OLD","!!!","")</f>
        <v/>
      </c>
      <c r="F1681" s="23" t="str">
        <f>IF(OR(E1681="",E1681="!!!"),"",IF(NOT(ISNA(VLOOKUP(E1681,E$1:E1680,1,FALSE()))),"OLD",IF(AND(E1681&lt;&gt;"",E1681&lt;&gt;"!!!"),"NEW","")))</f>
        <v> </v>
      </c>
      <c r="G1681" s="24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5" t="str">
        <f>IF(J1681&lt;&gt;1,"",IF(I1681="SBJ","CB","?"))</f>
        <v> </v>
      </c>
      <c r="I1681" s="26" t="str">
        <f>IF(OR(E1681="",E1681="!!!",F1681="NEW"),"",INDEX(B1680:B$2,-1+SUMPRODUCT(MAX(ROW(E1680:E$2)*(E1681=E1680:E$2)))))</f>
        <v> </v>
      </c>
      <c r="J1681" s="26" t="str">
        <f>IF(OR(E1681="",E1681="!!!",F1681="NEW"),"",COUNTBLANK(OFFSET(A$1,,,SUMPRODUCT(MAX(ROW(E$2:E1681)*(E1681=E$2:E1681)))))-COUNTBLANK(OFFSET(A$1,,,SUMPRODUCT(MAX(ROW(E$1:E1680)*(E2=E$1:E1680))))))</f>
        <v> </v>
      </c>
      <c r="K1681" s="26" t="str">
        <f>IF(OR(E1681="",E1681="!!!",F1681="NEW"),"",INDEX(J$1:J1680,SUMPRODUCT(MAX(ROW(E$1:E1680)*(E1681=E$1:E1680)))))</f>
        <v> </v>
      </c>
      <c r="L1681" s="27"/>
    </row>
    <row r="1682" spans="1:12">
      <c r="A1682" s="20" t="s">
        <v>478</v>
      </c>
      <c r="E1682" s="22">
        <f>IF(D1682="?OLD","!!!","")</f>
        <v/>
      </c>
      <c r="F1682" s="23" t="str">
        <f>IF(OR(E1682="",E1682="!!!"),"",IF(NOT(ISNA(VLOOKUP(E1682,E$1:E1681,1,FALSE()))),"OLD",IF(AND(E1682&lt;&gt;"",E1682&lt;&gt;"!!!"),"NEW","")))</f>
        <v> </v>
      </c>
      <c r="G1682" s="24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5" t="str">
        <f>IF(J1682&lt;&gt;1,"",IF(I1682="SBJ","CB","?"))</f>
        <v> </v>
      </c>
      <c r="I1682" s="26" t="str">
        <f>IF(OR(E1682="",E1682="!!!",F1682="NEW"),"",INDEX(B1681:B$2,-1+SUMPRODUCT(MAX(ROW(E1681:E$2)*(E1682=E1681:E$2)))))</f>
        <v> </v>
      </c>
      <c r="J1682" s="26" t="str">
        <f>IF(OR(E1682="",E1682="!!!",F1682="NEW"),"",COUNTBLANK(OFFSET(A$1,,,SUMPRODUCT(MAX(ROW(E$2:E1682)*(E1682=E$2:E1682)))))-COUNTBLANK(OFFSET(A$1,,,SUMPRODUCT(MAX(ROW(E$1:E1681)*(E2=E$1:E1681))))))</f>
        <v> </v>
      </c>
      <c r="K1682" s="26" t="str">
        <f>IF(OR(E1682="",E1682="!!!",F1682="NEW"),"",INDEX(J$1:J1681,SUMPRODUCT(MAX(ROW(E$1:E1681)*(E1682=E$1:E1681)))))</f>
        <v> </v>
      </c>
      <c r="L1682" s="27"/>
    </row>
    <row r="1683" spans="1:12">
      <c r="A1683" s="20" t="s">
        <v>479</v>
      </c>
      <c r="B1683" s="21" t="s">
        <v>434</v>
      </c>
      <c r="C1683" s="21" t="s">
        <v>481</v>
      </c>
      <c r="E1683" s="22">
        <f>IF(D1683="?OLD","!!!","")</f>
        <v/>
      </c>
      <c r="F1683" s="23" t="str">
        <f>IF(OR(E1683="",E1683="!!!"),"",IF(NOT(ISNA(VLOOKUP(E1683,E$1:E1682,1,FALSE()))),"OLD",IF(AND(E1683&lt;&gt;"",E1683&lt;&gt;"!!!"),"NEW","")))</f>
        <v> </v>
      </c>
      <c r="G1683" s="24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5" t="str">
        <f>IF(J1683&lt;&gt;1,"",IF(I1683="SBJ","CB","?"))</f>
        <v> </v>
      </c>
      <c r="I1683" s="26" t="str">
        <f>IF(OR(E1683="",E1683="!!!",F1683="NEW"),"",INDEX(B1682:B$2,-1+SUMPRODUCT(MAX(ROW(E1682:E$2)*(E1683=E1682:E$2)))))</f>
        <v> </v>
      </c>
      <c r="J1683" s="26" t="str">
        <f>IF(OR(E1683="",E1683="!!!",F1683="NEW"),"",COUNTBLANK(OFFSET(A$1,,,SUMPRODUCT(MAX(ROW(E$2:E1683)*(E1683=E$2:E1683)))))-COUNTBLANK(OFFSET(A$1,,,SUMPRODUCT(MAX(ROW(E$1:E1682)*(E2=E$1:E1682))))))</f>
        <v> </v>
      </c>
      <c r="K1683" s="26" t="str">
        <f>IF(OR(E1683="",E1683="!!!",F1683="NEW"),"",INDEX(J$1:J1682,SUMPRODUCT(MAX(ROW(E$1:E1682)*(E1683=E$1:E1682)))))</f>
        <v> </v>
      </c>
      <c r="L1683" s="27"/>
    </row>
    <row r="1684" spans="1:12">
      <c r="A1684" s="20" t="s">
        <v>626</v>
      </c>
      <c r="E1684" s="22">
        <f>IF(D1684="?OLD","!!!","")</f>
        <v/>
      </c>
      <c r="F1684" s="23" t="str">
        <f>IF(OR(E1684="",E1684="!!!"),"",IF(NOT(ISNA(VLOOKUP(E1684,E$1:E1683,1,FALSE()))),"OLD",IF(AND(E1684&lt;&gt;"",E1684&lt;&gt;"!!!"),"NEW","")))</f>
        <v> </v>
      </c>
      <c r="G1684" s="24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5" t="str">
        <f>IF(J1684&lt;&gt;1,"",IF(I1684="SBJ","CB","?"))</f>
        <v> </v>
      </c>
      <c r="I1684" s="26" t="str">
        <f>IF(OR(E1684="",E1684="!!!",F1684="NEW"),"",INDEX(B1683:B$2,-1+SUMPRODUCT(MAX(ROW(E1683:E$2)*(E1684=E1683:E$2)))))</f>
        <v> </v>
      </c>
      <c r="J1684" s="26" t="str">
        <f>IF(OR(E1684="",E1684="!!!",F1684="NEW"),"",COUNTBLANK(OFFSET(A$1,,,SUMPRODUCT(MAX(ROW(E$2:E1684)*(E1684=E$2:E1684)))))-COUNTBLANK(OFFSET(A$1,,,SUMPRODUCT(MAX(ROW(E$1:E1683)*(E2=E$1:E1683))))))</f>
        <v> </v>
      </c>
      <c r="K1684" s="26" t="str">
        <f>IF(OR(E1684="",E1684="!!!",F1684="NEW"),"",INDEX(J$1:J1683,SUMPRODUCT(MAX(ROW(E$1:E1683)*(E1684=E$1:E1683)))))</f>
        <v> </v>
      </c>
      <c r="L1684" s="27"/>
    </row>
    <row r="1685" spans="1:12">
      <c r="A1685" s="20" t="s">
        <v>253</v>
      </c>
      <c r="E1685" s="22">
        <f>IF(D1685="?OLD","!!!","")</f>
        <v/>
      </c>
      <c r="F1685" s="23" t="str">
        <f>IF(OR(E1685="",E1685="!!!"),"",IF(NOT(ISNA(VLOOKUP(E1685,E$1:E1684,1,FALSE()))),"OLD",IF(AND(E1685&lt;&gt;"",E1685&lt;&gt;"!!!"),"NEW","")))</f>
        <v> </v>
      </c>
      <c r="G1685" s="24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5" t="str">
        <f>IF(J1685&lt;&gt;1,"",IF(I1685="SBJ","CB","?"))</f>
        <v> </v>
      </c>
      <c r="I1685" s="26" t="str">
        <f>IF(OR(E1685="",E1685="!!!",F1685="NEW"),"",INDEX(B1684:B$2,-1+SUMPRODUCT(MAX(ROW(E1684:E$2)*(E1685=E1684:E$2)))))</f>
        <v> </v>
      </c>
      <c r="J1685" s="26" t="str">
        <f>IF(OR(E1685="",E1685="!!!",F1685="NEW"),"",COUNTBLANK(OFFSET(A$1,,,SUMPRODUCT(MAX(ROW(E$2:E1685)*(E1685=E$2:E1685)))))-COUNTBLANK(OFFSET(A$1,,,SUMPRODUCT(MAX(ROW(E$1:E1684)*(E2=E$1:E1684))))))</f>
        <v> </v>
      </c>
      <c r="K1685" s="26" t="str">
        <f>IF(OR(E1685="",E1685="!!!",F1685="NEW"),"",INDEX(J$1:J1684,SUMPRODUCT(MAX(ROW(E$1:E1684)*(E1685=E$1:E1684)))))</f>
        <v> </v>
      </c>
      <c r="L1685" s="27"/>
    </row>
    <row r="1686" spans="1:12">
      <c r="A1686" s="20" t="s">
        <v>1241</v>
      </c>
      <c r="B1686" s="21" t="s">
        <v>781</v>
      </c>
      <c r="E1686" s="22">
        <f>IF(D1686="?OLD","!!!","")</f>
        <v/>
      </c>
      <c r="F1686" s="23" t="str">
        <f>IF(OR(E1686="",E1686="!!!"),"",IF(NOT(ISNA(VLOOKUP(E1686,E$1:E1685,1,FALSE()))),"OLD",IF(AND(E1686&lt;&gt;"",E1686&lt;&gt;"!!!"),"NEW","")))</f>
        <v> </v>
      </c>
      <c r="G1686" s="24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5" t="str">
        <f>IF(J1686&lt;&gt;1,"",IF(I1686="SBJ","CB","?"))</f>
        <v> </v>
      </c>
      <c r="I1686" s="26" t="str">
        <f>IF(OR(E1686="",E1686="!!!",F1686="NEW"),"",INDEX(B1685:B$2,-1+SUMPRODUCT(MAX(ROW(E1685:E$2)*(E1686=E1685:E$2)))))</f>
        <v> </v>
      </c>
      <c r="J1686" s="26" t="str">
        <f>IF(OR(E1686="",E1686="!!!",F1686="NEW"),"",COUNTBLANK(OFFSET(A$1,,,SUMPRODUCT(MAX(ROW(E$2:E1686)*(E1686=E$2:E1686)))))-COUNTBLANK(OFFSET(A$1,,,SUMPRODUCT(MAX(ROW(E$1:E1685)*(E2=E$1:E1685))))))</f>
        <v> </v>
      </c>
      <c r="K1686" s="26" t="str">
        <f>IF(OR(E1686="",E1686="!!!",F1686="NEW"),"",INDEX(J$1:J1685,SUMPRODUCT(MAX(ROW(E$1:E1685)*(E1686=E$1:E1685)))))</f>
        <v> </v>
      </c>
      <c r="L1686" s="27"/>
    </row>
    <row r="1687" spans="1:12">
      <c r="A1687" s="20" t="s">
        <v>1019</v>
      </c>
      <c r="E1687" s="22">
        <f>IF(D1687="?OLD","!!!","")</f>
        <v/>
      </c>
      <c r="F1687" s="23" t="str">
        <f>IF(OR(E1687="",E1687="!!!"),"",IF(NOT(ISNA(VLOOKUP(E1687,E$1:E1686,1,FALSE()))),"OLD",IF(AND(E1687&lt;&gt;"",E1687&lt;&gt;"!!!"),"NEW","")))</f>
        <v> </v>
      </c>
      <c r="G1687" s="24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5" t="str">
        <f>IF(J1687&lt;&gt;1,"",IF(I1687="SBJ","CB","?"))</f>
        <v> </v>
      </c>
      <c r="I1687" s="26" t="str">
        <f>IF(OR(E1687="",E1687="!!!",F1687="NEW"),"",INDEX(B1686:B$2,-1+SUMPRODUCT(MAX(ROW(E1686:E$2)*(E1687=E1686:E$2)))))</f>
        <v> </v>
      </c>
      <c r="J1687" s="26" t="str">
        <f>IF(OR(E1687="",E1687="!!!",F1687="NEW"),"",COUNTBLANK(OFFSET(A$1,,,SUMPRODUCT(MAX(ROW(E$2:E1687)*(E1687=E$2:E1687)))))-COUNTBLANK(OFFSET(A$1,,,SUMPRODUCT(MAX(ROW(E$1:E1686)*(E2=E$1:E1686))))))</f>
        <v> </v>
      </c>
      <c r="K1687" s="26" t="str">
        <f>IF(OR(E1687="",E1687="!!!",F1687="NEW"),"",INDEX(J$1:J1686,SUMPRODUCT(MAX(ROW(E$1:E1686)*(E1687=E$1:E1686)))))</f>
        <v> </v>
      </c>
      <c r="L1687" s="27"/>
    </row>
    <row r="1688" spans="1:12">
      <c r="A1688" s="20" t="s">
        <v>1154</v>
      </c>
      <c r="E1688" s="22">
        <f>IF(D1688="?OLD","!!!","")</f>
        <v/>
      </c>
      <c r="F1688" s="23" t="str">
        <f>IF(OR(E1688="",E1688="!!!"),"",IF(NOT(ISNA(VLOOKUP(E1688,E$1:E1687,1,FALSE()))),"OLD",IF(AND(E1688&lt;&gt;"",E1688&lt;&gt;"!!!"),"NEW","")))</f>
        <v> </v>
      </c>
      <c r="G1688" s="24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5" t="str">
        <f>IF(J1688&lt;&gt;1,"",IF(I1688="SBJ","CB","?"))</f>
        <v> </v>
      </c>
      <c r="I1688" s="26" t="str">
        <f>IF(OR(E1688="",E1688="!!!",F1688="NEW"),"",INDEX(B1687:B$2,-1+SUMPRODUCT(MAX(ROW(E1687:E$2)*(E1688=E1687:E$2)))))</f>
        <v> </v>
      </c>
      <c r="J1688" s="26" t="str">
        <f>IF(OR(E1688="",E1688="!!!",F1688="NEW"),"",COUNTBLANK(OFFSET(A$1,,,SUMPRODUCT(MAX(ROW(E$2:E1688)*(E1688=E$2:E1688)))))-COUNTBLANK(OFFSET(A$1,,,SUMPRODUCT(MAX(ROW(E$1:E1687)*(E2=E$1:E1687))))))</f>
        <v> </v>
      </c>
      <c r="K1688" s="26" t="str">
        <f>IF(OR(E1688="",E1688="!!!",F1688="NEW"),"",INDEX(J$1:J1687,SUMPRODUCT(MAX(ROW(E$1:E1687)*(E1688=E$1:E1687)))))</f>
        <v> </v>
      </c>
      <c r="L1688" s="27"/>
    </row>
    <row r="1689" spans="1:12">
      <c r="A1689" s="20" t="s">
        <v>436</v>
      </c>
      <c r="E1689" s="22">
        <f>IF(D1689="?OLD","!!!","")</f>
        <v/>
      </c>
      <c r="F1689" s="23" t="str">
        <f>IF(OR(E1689="",E1689="!!!"),"",IF(NOT(ISNA(VLOOKUP(E1689,E$1:E1688,1,FALSE()))),"OLD",IF(AND(E1689&lt;&gt;"",E1689&lt;&gt;"!!!"),"NEW","")))</f>
        <v> </v>
      </c>
      <c r="G1689" s="24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5" t="str">
        <f>IF(J1689&lt;&gt;1,"",IF(I1689="SBJ","CB","?"))</f>
        <v> </v>
      </c>
      <c r="I1689" s="26" t="str">
        <f>IF(OR(E1689="",E1689="!!!",F1689="NEW"),"",INDEX(B1688:B$2,-1+SUMPRODUCT(MAX(ROW(E1688:E$2)*(E1689=E1688:E$2)))))</f>
        <v> </v>
      </c>
      <c r="J1689" s="26" t="str">
        <f>IF(OR(E1689="",E1689="!!!",F1689="NEW"),"",COUNTBLANK(OFFSET(A$1,,,SUMPRODUCT(MAX(ROW(E$2:E1689)*(E1689=E$2:E1689)))))-COUNTBLANK(OFFSET(A$1,,,SUMPRODUCT(MAX(ROW(E$1:E1688)*(E2=E$1:E1688))))))</f>
        <v> </v>
      </c>
      <c r="K1689" s="26" t="str">
        <f>IF(OR(E1689="",E1689="!!!",F1689="NEW"),"",INDEX(J$1:J1688,SUMPRODUCT(MAX(ROW(E$1:E1688)*(E1689=E$1:E1688)))))</f>
        <v> </v>
      </c>
      <c r="L1689" s="27"/>
    </row>
    <row r="1690" spans="1:12">
      <c r="A1690" s="20" t="s">
        <v>1242</v>
      </c>
      <c r="E1690" s="22">
        <f>IF(D1690="?OLD","!!!","")</f>
        <v/>
      </c>
      <c r="F1690" s="23" t="str">
        <f>IF(OR(E1690="",E1690="!!!"),"",IF(NOT(ISNA(VLOOKUP(E1690,E$1:E1689,1,FALSE()))),"OLD",IF(AND(E1690&lt;&gt;"",E1690&lt;&gt;"!!!"),"NEW","")))</f>
        <v> </v>
      </c>
      <c r="G1690" s="24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5" t="str">
        <f>IF(J1690&lt;&gt;1,"",IF(I1690="SBJ","CB","?"))</f>
        <v> </v>
      </c>
      <c r="I1690" s="26" t="str">
        <f>IF(OR(E1690="",E1690="!!!",F1690="NEW"),"",INDEX(B1689:B$2,-1+SUMPRODUCT(MAX(ROW(E1689:E$2)*(E1690=E1689:E$2)))))</f>
        <v> </v>
      </c>
      <c r="J1690" s="26" t="str">
        <f>IF(OR(E1690="",E1690="!!!",F1690="NEW"),"",COUNTBLANK(OFFSET(A$1,,,SUMPRODUCT(MAX(ROW(E$2:E1690)*(E1690=E$2:E1690)))))-COUNTBLANK(OFFSET(A$1,,,SUMPRODUCT(MAX(ROW(E$1:E1689)*(E2=E$1:E1689))))))</f>
        <v> </v>
      </c>
      <c r="K1690" s="26" t="str">
        <f>IF(OR(E1690="",E1690="!!!",F1690="NEW"),"",INDEX(J$1:J1689,SUMPRODUCT(MAX(ROW(E$1:E1689)*(E1690=E$1:E1689)))))</f>
        <v> </v>
      </c>
      <c r="L1690" s="27"/>
    </row>
    <row r="1691" spans="1:12">
      <c r="A1691" s="20" t="s">
        <v>1079</v>
      </c>
      <c r="E1691" s="22">
        <f>IF(D1691="?OLD","!!!","")</f>
        <v/>
      </c>
      <c r="F1691" s="23" t="str">
        <f>IF(OR(E1691="",E1691="!!!"),"",IF(NOT(ISNA(VLOOKUP(E1691,E$1:E1690,1,FALSE()))),"OLD",IF(AND(E1691&lt;&gt;"",E1691&lt;&gt;"!!!"),"NEW","")))</f>
        <v> </v>
      </c>
      <c r="G1691" s="24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5" t="str">
        <f>IF(J1691&lt;&gt;1,"",IF(I1691="SBJ","CB","?"))</f>
        <v> </v>
      </c>
      <c r="I1691" s="26" t="str">
        <f>IF(OR(E1691="",E1691="!!!",F1691="NEW"),"",INDEX(B1690:B$2,-1+SUMPRODUCT(MAX(ROW(E1690:E$2)*(E1691=E1690:E$2)))))</f>
        <v> </v>
      </c>
      <c r="J1691" s="26" t="str">
        <f>IF(OR(E1691="",E1691="!!!",F1691="NEW"),"",COUNTBLANK(OFFSET(A$1,,,SUMPRODUCT(MAX(ROW(E$2:E1691)*(E1691=E$2:E1691)))))-COUNTBLANK(OFFSET(A$1,,,SUMPRODUCT(MAX(ROW(E$1:E1690)*(E2=E$1:E1690))))))</f>
        <v> </v>
      </c>
      <c r="K1691" s="26" t="str">
        <f>IF(OR(E1691="",E1691="!!!",F1691="NEW"),"",INDEX(J$1:J1690,SUMPRODUCT(MAX(ROW(E$1:E1690)*(E1691=E$1:E1690)))))</f>
        <v> </v>
      </c>
      <c r="L1691" s="27"/>
    </row>
    <row r="1692" spans="1:12">
      <c r="A1692" s="20" t="s">
        <v>453</v>
      </c>
      <c r="E1692" s="22">
        <f>IF(D1692="?OLD","!!!","")</f>
        <v/>
      </c>
      <c r="F1692" s="23" t="str">
        <f>IF(OR(E1692="",E1692="!!!"),"",IF(NOT(ISNA(VLOOKUP(E1692,E$1:E1691,1,FALSE()))),"OLD",IF(AND(E1692&lt;&gt;"",E1692&lt;&gt;"!!!"),"NEW","")))</f>
        <v> </v>
      </c>
      <c r="G1692" s="24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5" t="str">
        <f>IF(J1692&lt;&gt;1,"",IF(I1692="SBJ","CB","?"))</f>
        <v> </v>
      </c>
      <c r="I1692" s="26" t="str">
        <f>IF(OR(E1692="",E1692="!!!",F1692="NEW"),"",INDEX(B1691:B$2,-1+SUMPRODUCT(MAX(ROW(E1691:E$2)*(E1692=E1691:E$2)))))</f>
        <v> </v>
      </c>
      <c r="J1692" s="26" t="str">
        <f>IF(OR(E1692="",E1692="!!!",F1692="NEW"),"",COUNTBLANK(OFFSET(A$1,,,SUMPRODUCT(MAX(ROW(E$2:E1692)*(E1692=E$2:E1692)))))-COUNTBLANK(OFFSET(A$1,,,SUMPRODUCT(MAX(ROW(E$1:E1691)*(E2=E$1:E1691))))))</f>
        <v> </v>
      </c>
      <c r="K1692" s="26" t="str">
        <f>IF(OR(E1692="",E1692="!!!",F1692="NEW"),"",INDEX(J$1:J1691,SUMPRODUCT(MAX(ROW(E$1:E1691)*(E1692=E$1:E1691)))))</f>
        <v> </v>
      </c>
      <c r="L1692" s="27"/>
    </row>
    <row r="1693" spans="1:12">
      <c r="A1693" s="20" t="s">
        <v>436</v>
      </c>
      <c r="E1693" s="22">
        <f>IF(D1693="?OLD","!!!","")</f>
        <v/>
      </c>
      <c r="F1693" s="23" t="str">
        <f>IF(OR(E1693="",E1693="!!!"),"",IF(NOT(ISNA(VLOOKUP(E1693,E$1:E1692,1,FALSE()))),"OLD",IF(AND(E1693&lt;&gt;"",E1693&lt;&gt;"!!!"),"NEW","")))</f>
        <v> </v>
      </c>
      <c r="G1693" s="24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5" t="str">
        <f>IF(J1693&lt;&gt;1,"",IF(I1693="SBJ","CB","?"))</f>
        <v> </v>
      </c>
      <c r="I1693" s="26" t="str">
        <f>IF(OR(E1693="",E1693="!!!",F1693="NEW"),"",INDEX(B1692:B$2,-1+SUMPRODUCT(MAX(ROW(E1692:E$2)*(E1693=E1692:E$2)))))</f>
        <v> </v>
      </c>
      <c r="J1693" s="26" t="str">
        <f>IF(OR(E1693="",E1693="!!!",F1693="NEW"),"",COUNTBLANK(OFFSET(A$1,,,SUMPRODUCT(MAX(ROW(E$2:E1693)*(E1693=E$2:E1693)))))-COUNTBLANK(OFFSET(A$1,,,SUMPRODUCT(MAX(ROW(E$1:E1692)*(E2=E$1:E1692))))))</f>
        <v> </v>
      </c>
      <c r="K1693" s="26" t="str">
        <f>IF(OR(E1693="",E1693="!!!",F1693="NEW"),"",INDEX(J$1:J1692,SUMPRODUCT(MAX(ROW(E$1:E1692)*(E1693=E$1:E1692)))))</f>
        <v> </v>
      </c>
      <c r="L1693" s="27"/>
    </row>
    <row r="1694" spans="1:12">
      <c r="A1694" s="20" t="s">
        <v>1079</v>
      </c>
      <c r="E1694" s="22">
        <f>IF(D1694="?OLD","!!!","")</f>
        <v/>
      </c>
      <c r="F1694" s="23" t="str">
        <f>IF(OR(E1694="",E1694="!!!"),"",IF(NOT(ISNA(VLOOKUP(E1694,E$1:E1693,1,FALSE()))),"OLD",IF(AND(E1694&lt;&gt;"",E1694&lt;&gt;"!!!"),"NEW","")))</f>
        <v> </v>
      </c>
      <c r="G1694" s="24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5" t="str">
        <f>IF(J1694&lt;&gt;1,"",IF(I1694="SBJ","CB","?"))</f>
        <v> </v>
      </c>
      <c r="I1694" s="26" t="str">
        <f>IF(OR(E1694="",E1694="!!!",F1694="NEW"),"",INDEX(B1693:B$2,-1+SUMPRODUCT(MAX(ROW(E1693:E$2)*(E1694=E1693:E$2)))))</f>
        <v> </v>
      </c>
      <c r="J1694" s="26" t="str">
        <f>IF(OR(E1694="",E1694="!!!",F1694="NEW"),"",COUNTBLANK(OFFSET(A$1,,,SUMPRODUCT(MAX(ROW(E$2:E1694)*(E1694=E$2:E1694)))))-COUNTBLANK(OFFSET(A$1,,,SUMPRODUCT(MAX(ROW(E$1:E1693)*(E2=E$1:E1693))))))</f>
        <v> </v>
      </c>
      <c r="K1694" s="26" t="str">
        <f>IF(OR(E1694="",E1694="!!!",F1694="NEW"),"",INDEX(J$1:J1693,SUMPRODUCT(MAX(ROW(E$1:E1693)*(E1694=E$1:E1693)))))</f>
        <v> </v>
      </c>
      <c r="L1694" s="27"/>
    </row>
    <row r="1695" spans="1:12">
      <c r="A1695" s="20" t="s">
        <v>428</v>
      </c>
      <c r="E1695" s="22">
        <f>IF(D1695="?OLD","!!!","")</f>
        <v/>
      </c>
      <c r="F1695" s="23" t="str">
        <f>IF(OR(E1695="",E1695="!!!"),"",IF(NOT(ISNA(VLOOKUP(E1695,E$1:E1694,1,FALSE()))),"OLD",IF(AND(E1695&lt;&gt;"",E1695&lt;&gt;"!!!"),"NEW","")))</f>
        <v> </v>
      </c>
      <c r="G1695" s="24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5" t="str">
        <f>IF(J1695&lt;&gt;1,"",IF(I1695="SBJ","CB","?"))</f>
        <v> </v>
      </c>
      <c r="I1695" s="26" t="str">
        <f>IF(OR(E1695="",E1695="!!!",F1695="NEW"),"",INDEX(B1694:B$2,-1+SUMPRODUCT(MAX(ROW(E1694:E$2)*(E1695=E1694:E$2)))))</f>
        <v> </v>
      </c>
      <c r="J1695" s="26" t="str">
        <f>IF(OR(E1695="",E1695="!!!",F1695="NEW"),"",COUNTBLANK(OFFSET(A$1,,,SUMPRODUCT(MAX(ROW(E$2:E1695)*(E1695=E$2:E1695)))))-COUNTBLANK(OFFSET(A$1,,,SUMPRODUCT(MAX(ROW(E$1:E1694)*(E2=E$1:E1694))))))</f>
        <v> </v>
      </c>
      <c r="K1695" s="26" t="str">
        <f>IF(OR(E1695="",E1695="!!!",F1695="NEW"),"",INDEX(J$1:J1694,SUMPRODUCT(MAX(ROW(E$1:E1694)*(E1695=E$1:E1694)))))</f>
        <v> </v>
      </c>
      <c r="L1695" s="27"/>
    </row>
    <row r="1696" spans="1:12">
      <c r="A1696" s="20" t="s">
        <v>1243</v>
      </c>
      <c r="E1696" s="22">
        <f>IF(D1696="?OLD","!!!","")</f>
        <v/>
      </c>
      <c r="F1696" s="23" t="str">
        <f>IF(OR(E1696="",E1696="!!!"),"",IF(NOT(ISNA(VLOOKUP(E1696,E$1:E1695,1,FALSE()))),"OLD",IF(AND(E1696&lt;&gt;"",E1696&lt;&gt;"!!!"),"NEW","")))</f>
        <v> </v>
      </c>
      <c r="G1696" s="24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5" t="str">
        <f>IF(J1696&lt;&gt;1,"",IF(I1696="SBJ","CB","?"))</f>
        <v> </v>
      </c>
      <c r="I1696" s="26" t="str">
        <f>IF(OR(E1696="",E1696="!!!",F1696="NEW"),"",INDEX(B1695:B$2,-1+SUMPRODUCT(MAX(ROW(E1695:E$2)*(E1696=E1695:E$2)))))</f>
        <v> </v>
      </c>
      <c r="J1696" s="26" t="str">
        <f>IF(OR(E1696="",E1696="!!!",F1696="NEW"),"",COUNTBLANK(OFFSET(A$1,,,SUMPRODUCT(MAX(ROW(E$2:E1696)*(E1696=E$2:E1696)))))-COUNTBLANK(OFFSET(A$1,,,SUMPRODUCT(MAX(ROW(E$1:E1695)*(E2=E$1:E1695))))))</f>
        <v> </v>
      </c>
      <c r="K1696" s="26" t="str">
        <f>IF(OR(E1696="",E1696="!!!",F1696="NEW"),"",INDEX(J$1:J1695,SUMPRODUCT(MAX(ROW(E$1:E1695)*(E1696=E$1:E1695)))))</f>
        <v> </v>
      </c>
      <c r="L1696" s="27"/>
    </row>
    <row r="1697" spans="1:12">
      <c r="A1697" s="20" t="s">
        <v>1244</v>
      </c>
      <c r="E1697" s="22">
        <f>IF(D1697="?OLD","!!!","")</f>
        <v/>
      </c>
      <c r="F1697" s="23" t="str">
        <f>IF(OR(E1697="",E1697="!!!"),"",IF(NOT(ISNA(VLOOKUP(E1697,E$1:E1696,1,FALSE()))),"OLD",IF(AND(E1697&lt;&gt;"",E1697&lt;&gt;"!!!"),"NEW","")))</f>
        <v> </v>
      </c>
      <c r="G1697" s="24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5" t="str">
        <f>IF(J1697&lt;&gt;1,"",IF(I1697="SBJ","CB","?"))</f>
        <v> </v>
      </c>
      <c r="I1697" s="26" t="str">
        <f>IF(OR(E1697="",E1697="!!!",F1697="NEW"),"",INDEX(B1696:B$2,-1+SUMPRODUCT(MAX(ROW(E1696:E$2)*(E1697=E1696:E$2)))))</f>
        <v> </v>
      </c>
      <c r="J1697" s="26" t="str">
        <f>IF(OR(E1697="",E1697="!!!",F1697="NEW"),"",COUNTBLANK(OFFSET(A$1,,,SUMPRODUCT(MAX(ROW(E$2:E1697)*(E1697=E$2:E1697)))))-COUNTBLANK(OFFSET(A$1,,,SUMPRODUCT(MAX(ROW(E$1:E1696)*(E2=E$1:E1696))))))</f>
        <v> </v>
      </c>
      <c r="K1697" s="26" t="str">
        <f>IF(OR(E1697="",E1697="!!!",F1697="NEW"),"",INDEX(J$1:J1696,SUMPRODUCT(MAX(ROW(E$1:E1696)*(E1697=E$1:E1696)))))</f>
        <v> </v>
      </c>
      <c r="L1697" s="27"/>
    </row>
    <row r="1698" spans="1:12">
      <c r="A1698" s="20" t="s">
        <v>453</v>
      </c>
      <c r="E1698" s="22">
        <f>IF(D1698="?OLD","!!!","")</f>
        <v/>
      </c>
      <c r="F1698" s="23" t="str">
        <f>IF(OR(E1698="",E1698="!!!"),"",IF(NOT(ISNA(VLOOKUP(E1698,E$1:E1697,1,FALSE()))),"OLD",IF(AND(E1698&lt;&gt;"",E1698&lt;&gt;"!!!"),"NEW","")))</f>
        <v> </v>
      </c>
      <c r="G1698" s="24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5" t="str">
        <f>IF(J1698&lt;&gt;1,"",IF(I1698="SBJ","CB","?"))</f>
        <v> </v>
      </c>
      <c r="I1698" s="26" t="str">
        <f>IF(OR(E1698="",E1698="!!!",F1698="NEW"),"",INDEX(B1697:B$2,-1+SUMPRODUCT(MAX(ROW(E1697:E$2)*(E1698=E1697:E$2)))))</f>
        <v> </v>
      </c>
      <c r="J1698" s="26" t="str">
        <f>IF(OR(E1698="",E1698="!!!",F1698="NEW"),"",COUNTBLANK(OFFSET(A$1,,,SUMPRODUCT(MAX(ROW(E$2:E1698)*(E1698=E$2:E1698)))))-COUNTBLANK(OFFSET(A$1,,,SUMPRODUCT(MAX(ROW(E$1:E1697)*(E2=E$1:E1697))))))</f>
        <v> </v>
      </c>
      <c r="K1698" s="26" t="str">
        <f>IF(OR(E1698="",E1698="!!!",F1698="NEW"),"",INDEX(J$1:J1697,SUMPRODUCT(MAX(ROW(E$1:E1697)*(E1698=E$1:E1697)))))</f>
        <v> </v>
      </c>
      <c r="L1698" s="27"/>
    </row>
    <row r="1699" spans="1:12">
      <c r="A1699" s="20" t="s">
        <v>436</v>
      </c>
      <c r="E1699" s="22">
        <f>IF(D1699="?OLD","!!!","")</f>
        <v/>
      </c>
      <c r="F1699" s="23" t="str">
        <f>IF(OR(E1699="",E1699="!!!"),"",IF(NOT(ISNA(VLOOKUP(E1699,E$1:E1698,1,FALSE()))),"OLD",IF(AND(E1699&lt;&gt;"",E1699&lt;&gt;"!!!"),"NEW","")))</f>
        <v> </v>
      </c>
      <c r="G1699" s="24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5" t="str">
        <f>IF(J1699&lt;&gt;1,"",IF(I1699="SBJ","CB","?"))</f>
        <v> </v>
      </c>
      <c r="I1699" s="26" t="str">
        <f>IF(OR(E1699="",E1699="!!!",F1699="NEW"),"",INDEX(B1698:B$2,-1+SUMPRODUCT(MAX(ROW(E1698:E$2)*(E1699=E1698:E$2)))))</f>
        <v> </v>
      </c>
      <c r="J1699" s="26" t="str">
        <f>IF(OR(E1699="",E1699="!!!",F1699="NEW"),"",COUNTBLANK(OFFSET(A$1,,,SUMPRODUCT(MAX(ROW(E$2:E1699)*(E1699=E$2:E1699)))))-COUNTBLANK(OFFSET(A$1,,,SUMPRODUCT(MAX(ROW(E$1:E1698)*(E2=E$1:E1698))))))</f>
        <v> </v>
      </c>
      <c r="K1699" s="26" t="str">
        <f>IF(OR(E1699="",E1699="!!!",F1699="NEW"),"",INDEX(J$1:J1698,SUMPRODUCT(MAX(ROW(E$1:E1698)*(E1699=E$1:E1698)))))</f>
        <v> </v>
      </c>
      <c r="L1699" s="27"/>
    </row>
    <row r="1700" spans="1:12">
      <c r="A1700" s="20" t="s">
        <v>1245</v>
      </c>
      <c r="E1700" s="22">
        <f>IF(D1700="?OLD","!!!","")</f>
        <v/>
      </c>
      <c r="F1700" s="23" t="str">
        <f>IF(OR(E1700="",E1700="!!!"),"",IF(NOT(ISNA(VLOOKUP(E1700,E$1:E1699,1,FALSE()))),"OLD",IF(AND(E1700&lt;&gt;"",E1700&lt;&gt;"!!!"),"NEW","")))</f>
        <v> </v>
      </c>
      <c r="G1700" s="24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5" t="str">
        <f>IF(J1700&lt;&gt;1,"",IF(I1700="SBJ","CB","?"))</f>
        <v> </v>
      </c>
      <c r="I1700" s="26" t="str">
        <f>IF(OR(E1700="",E1700="!!!",F1700="NEW"),"",INDEX(B1699:B$2,-1+SUMPRODUCT(MAX(ROW(E1699:E$2)*(E1700=E1699:E$2)))))</f>
        <v> </v>
      </c>
      <c r="J1700" s="26" t="str">
        <f>IF(OR(E1700="",E1700="!!!",F1700="NEW"),"",COUNTBLANK(OFFSET(A$1,,,SUMPRODUCT(MAX(ROW(E$2:E1700)*(E1700=E$2:E1700)))))-COUNTBLANK(OFFSET(A$1,,,SUMPRODUCT(MAX(ROW(E$1:E1699)*(E2=E$1:E1699))))))</f>
        <v> </v>
      </c>
      <c r="K1700" s="26" t="str">
        <f>IF(OR(E1700="",E1700="!!!",F1700="NEW"),"",INDEX(J$1:J1699,SUMPRODUCT(MAX(ROW(E$1:E1699)*(E1700=E$1:E1699)))))</f>
        <v> </v>
      </c>
      <c r="L1700" s="27"/>
    </row>
    <row r="1701" spans="1:12">
      <c r="A1701" s="20" t="s">
        <v>1079</v>
      </c>
      <c r="E1701" s="22">
        <f>IF(D1701="?OLD","!!!","")</f>
        <v/>
      </c>
      <c r="F1701" s="23" t="str">
        <f>IF(OR(E1701="",E1701="!!!"),"",IF(NOT(ISNA(VLOOKUP(E1701,E$1:E1700,1,FALSE()))),"OLD",IF(AND(E1701&lt;&gt;"",E1701&lt;&gt;"!!!"),"NEW","")))</f>
        <v> </v>
      </c>
      <c r="G1701" s="24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5" t="str">
        <f>IF(J1701&lt;&gt;1,"",IF(I1701="SBJ","CB","?"))</f>
        <v> </v>
      </c>
      <c r="I1701" s="26" t="str">
        <f>IF(OR(E1701="",E1701="!!!",F1701="NEW"),"",INDEX(B1700:B$2,-1+SUMPRODUCT(MAX(ROW(E1700:E$2)*(E1701=E1700:E$2)))))</f>
        <v> </v>
      </c>
      <c r="J1701" s="26" t="str">
        <f>IF(OR(E1701="",E1701="!!!",F1701="NEW"),"",COUNTBLANK(OFFSET(A$1,,,SUMPRODUCT(MAX(ROW(E$2:E1701)*(E1701=E$2:E1701)))))-COUNTBLANK(OFFSET(A$1,,,SUMPRODUCT(MAX(ROW(E$1:E1700)*(E2=E$1:E1700))))))</f>
        <v> </v>
      </c>
      <c r="K1701" s="26" t="str">
        <f>IF(OR(E1701="",E1701="!!!",F1701="NEW"),"",INDEX(J$1:J1700,SUMPRODUCT(MAX(ROW(E$1:E1700)*(E1701=E$1:E1700)))))</f>
        <v> </v>
      </c>
      <c r="L1701" s="27"/>
    </row>
    <row r="1702" spans="1:12">
      <c r="A1702" s="20" t="s">
        <v>453</v>
      </c>
      <c r="E1702" s="22">
        <f>IF(D1702="?OLD","!!!","")</f>
        <v/>
      </c>
      <c r="F1702" s="23" t="str">
        <f>IF(OR(E1702="",E1702="!!!"),"",IF(NOT(ISNA(VLOOKUP(E1702,E$1:E1701,1,FALSE()))),"OLD",IF(AND(E1702&lt;&gt;"",E1702&lt;&gt;"!!!"),"NEW","")))</f>
        <v> </v>
      </c>
      <c r="G1702" s="24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5" t="str">
        <f>IF(J1702&lt;&gt;1,"",IF(I1702="SBJ","CB","?"))</f>
        <v> </v>
      </c>
      <c r="I1702" s="26" t="str">
        <f>IF(OR(E1702="",E1702="!!!",F1702="NEW"),"",INDEX(B1701:B$2,-1+SUMPRODUCT(MAX(ROW(E1701:E$2)*(E1702=E1701:E$2)))))</f>
        <v> </v>
      </c>
      <c r="J1702" s="26" t="str">
        <f>IF(OR(E1702="",E1702="!!!",F1702="NEW"),"",COUNTBLANK(OFFSET(A$1,,,SUMPRODUCT(MAX(ROW(E$2:E1702)*(E1702=E$2:E1702)))))-COUNTBLANK(OFFSET(A$1,,,SUMPRODUCT(MAX(ROW(E$1:E1701)*(E2=E$1:E1701))))))</f>
        <v> </v>
      </c>
      <c r="K1702" s="26" t="str">
        <f>IF(OR(E1702="",E1702="!!!",F1702="NEW"),"",INDEX(J$1:J1701,SUMPRODUCT(MAX(ROW(E$1:E1701)*(E1702=E$1:E1701)))))</f>
        <v> </v>
      </c>
      <c r="L1702" s="27"/>
    </row>
    <row r="1703" spans="1:12">
      <c r="A1703" s="20" t="s">
        <v>558</v>
      </c>
      <c r="B1703" s="21" t="s">
        <v>691</v>
      </c>
      <c r="C1703" s="21" t="s">
        <v>481</v>
      </c>
      <c r="E1703" s="22">
        <f>IF(D1703="?OLD","!!!","")</f>
        <v/>
      </c>
      <c r="F1703" s="23" t="str">
        <f>IF(OR(E1703="",E1703="!!!"),"",IF(NOT(ISNA(VLOOKUP(E1703,E$1:E1702,1,FALSE()))),"OLD",IF(AND(E1703&lt;&gt;"",E1703&lt;&gt;"!!!"),"NEW","")))</f>
        <v> </v>
      </c>
      <c r="G1703" s="24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5" t="str">
        <f>IF(J1703&lt;&gt;1,"",IF(I1703="SBJ","CB","?"))</f>
        <v> </v>
      </c>
      <c r="I1703" s="26" t="str">
        <f>IF(OR(E1703="",E1703="!!!",F1703="NEW"),"",INDEX(B1702:B$2,-1+SUMPRODUCT(MAX(ROW(E1702:E$2)*(E1703=E1702:E$2)))))</f>
        <v> </v>
      </c>
      <c r="J1703" s="26" t="str">
        <f>IF(OR(E1703="",E1703="!!!",F1703="NEW"),"",COUNTBLANK(OFFSET(A$1,,,SUMPRODUCT(MAX(ROW(E$2:E1703)*(E1703=E$2:E1703)))))-COUNTBLANK(OFFSET(A$1,,,SUMPRODUCT(MAX(ROW(E$1:E1702)*(E2=E$1:E1702))))))</f>
        <v> </v>
      </c>
      <c r="K1703" s="26" t="str">
        <f>IF(OR(E1703="",E1703="!!!",F1703="NEW"),"",INDEX(J$1:J1702,SUMPRODUCT(MAX(ROW(E$1:E1702)*(E1703=E$1:E1702)))))</f>
        <v> </v>
      </c>
      <c r="L1703" s="27"/>
    </row>
    <row r="1704" spans="1:12">
      <c r="A1704" s="20" t="s">
        <v>1246</v>
      </c>
      <c r="B1704" s="21" t="s">
        <v>940</v>
      </c>
      <c r="E1704" s="22">
        <f>IF(D1704="?OLD","!!!","")</f>
        <v/>
      </c>
      <c r="F1704" s="23" t="str">
        <f>IF(OR(E1704="",E1704="!!!"),"",IF(NOT(ISNA(VLOOKUP(E1704,E$1:E1703,1,FALSE()))),"OLD",IF(AND(E1704&lt;&gt;"",E1704&lt;&gt;"!!!"),"NEW","")))</f>
        <v> </v>
      </c>
      <c r="G1704" s="24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5" t="str">
        <f>IF(J1704&lt;&gt;1,"",IF(I1704="SBJ","CB","?"))</f>
        <v> </v>
      </c>
      <c r="I1704" s="26" t="str">
        <f>IF(OR(E1704="",E1704="!!!",F1704="NEW"),"",INDEX(B1703:B$2,-1+SUMPRODUCT(MAX(ROW(E1703:E$2)*(E1704=E1703:E$2)))))</f>
        <v> </v>
      </c>
      <c r="J1704" s="26" t="str">
        <f>IF(OR(E1704="",E1704="!!!",F1704="NEW"),"",COUNTBLANK(OFFSET(A$1,,,SUMPRODUCT(MAX(ROW(E$2:E1704)*(E1704=E$2:E1704)))))-COUNTBLANK(OFFSET(A$1,,,SUMPRODUCT(MAX(ROW(E$1:E1703)*(E2=E$1:E1703))))))</f>
        <v> </v>
      </c>
      <c r="K1704" s="26" t="str">
        <f>IF(OR(E1704="",E1704="!!!",F1704="NEW"),"",INDEX(J$1:J1703,SUMPRODUCT(MAX(ROW(E$1:E1703)*(E1704=E$1:E1703)))))</f>
        <v> </v>
      </c>
      <c r="L1704" s="27"/>
    </row>
    <row r="1705" spans="1:12">
      <c r="A1705" s="20" t="s">
        <v>1247</v>
      </c>
      <c r="E1705" s="22">
        <f>IF(D1705="?OLD","!!!","")</f>
        <v/>
      </c>
      <c r="F1705" s="23" t="str">
        <f>IF(OR(E1705="",E1705="!!!"),"",IF(NOT(ISNA(VLOOKUP(E1705,E$1:E1704,1,FALSE()))),"OLD",IF(AND(E1705&lt;&gt;"",E1705&lt;&gt;"!!!"),"NEW","")))</f>
        <v> </v>
      </c>
      <c r="G1705" s="24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5" t="str">
        <f>IF(J1705&lt;&gt;1,"",IF(I1705="SBJ","CB","?"))</f>
        <v> </v>
      </c>
      <c r="I1705" s="26" t="str">
        <f>IF(OR(E1705="",E1705="!!!",F1705="NEW"),"",INDEX(B1704:B$2,-1+SUMPRODUCT(MAX(ROW(E1704:E$2)*(E1705=E1704:E$2)))))</f>
        <v> </v>
      </c>
      <c r="J1705" s="26" t="str">
        <f>IF(OR(E1705="",E1705="!!!",F1705="NEW"),"",COUNTBLANK(OFFSET(A$1,,,SUMPRODUCT(MAX(ROW(E$2:E1705)*(E1705=E$2:E1705)))))-COUNTBLANK(OFFSET(A$1,,,SUMPRODUCT(MAX(ROW(E$1:E1704)*(E2=E$1:E1704))))))</f>
        <v> </v>
      </c>
      <c r="K1705" s="26" t="str">
        <f>IF(OR(E1705="",E1705="!!!",F1705="NEW"),"",INDEX(J$1:J1704,SUMPRODUCT(MAX(ROW(E$1:E1704)*(E1705=E$1:E1704)))))</f>
        <v> </v>
      </c>
      <c r="L1705" s="27"/>
    </row>
    <row r="1706" spans="1:12">
      <c r="A1706" s="20" t="s">
        <v>1248</v>
      </c>
      <c r="B1706" s="21" t="s">
        <v>1249</v>
      </c>
      <c r="C1706" s="21" t="s">
        <v>680</v>
      </c>
      <c r="D1706" s="21" t="s">
        <v>424</v>
      </c>
      <c r="E1706" s="22">
        <f>IF(D1706="?OLD","!!!","")</f>
        <v/>
      </c>
      <c r="F1706" s="23" t="str">
        <f>IF(OR(E1706="",E1706="!!!"),"",IF(NOT(ISNA(VLOOKUP(E1706,E$1:E1705,1,FALSE()))),"OLD",IF(AND(E1706&lt;&gt;"",E1706&lt;&gt;"!!!"),"NEW","")))</f>
        <v> </v>
      </c>
      <c r="G1706" s="24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5" t="str">
        <f>IF(J1706&lt;&gt;1,"",IF(I1706="SBJ","CB","?"))</f>
        <v> </v>
      </c>
      <c r="I1706" s="26" t="str">
        <f>IF(OR(E1706="",E1706="!!!",F1706="NEW"),"",INDEX(B1705:B$2,-1+SUMPRODUCT(MAX(ROW(E1705:E$2)*(E1706=E1705:E$2)))))</f>
        <v> </v>
      </c>
      <c r="J1706" s="26" t="str">
        <f>IF(OR(E1706="",E1706="!!!",F1706="NEW"),"",COUNTBLANK(OFFSET(A$1,,,SUMPRODUCT(MAX(ROW(E$2:E1706)*(E1706=E$2:E1706)))))-COUNTBLANK(OFFSET(A$1,,,SUMPRODUCT(MAX(ROW(E$1:E1705)*(E2=E$1:E1705))))))</f>
        <v> </v>
      </c>
      <c r="K1706" s="26" t="str">
        <f>IF(OR(E1706="",E1706="!!!",F1706="NEW"),"",INDEX(J$1:J1705,SUMPRODUCT(MAX(ROW(E$1:E1705)*(E1706=E$1:E1705)))))</f>
        <v> </v>
      </c>
      <c r="L1706" s="27"/>
    </row>
    <row r="1707" spans="1:12">
      <c r="A1707" s="20" t="s">
        <v>1250</v>
      </c>
      <c r="E1707" s="22">
        <f>IF(D1707="?OLD","!!!","")</f>
        <v/>
      </c>
      <c r="F1707" s="23" t="str">
        <f>IF(OR(E1707="",E1707="!!!"),"",IF(NOT(ISNA(VLOOKUP(E1707,E$1:E1706,1,FALSE()))),"OLD",IF(AND(E1707&lt;&gt;"",E1707&lt;&gt;"!!!"),"NEW","")))</f>
        <v> </v>
      </c>
      <c r="G1707" s="24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5" t="str">
        <f>IF(J1707&lt;&gt;1,"",IF(I1707="SBJ","CB","?"))</f>
        <v> </v>
      </c>
      <c r="I1707" s="26" t="str">
        <f>IF(OR(E1707="",E1707="!!!",F1707="NEW"),"",INDEX(B1706:B$2,-1+SUMPRODUCT(MAX(ROW(E1706:E$2)*(E1707=E1706:E$2)))))</f>
        <v> </v>
      </c>
      <c r="J1707" s="26" t="str">
        <f>IF(OR(E1707="",E1707="!!!",F1707="NEW"),"",COUNTBLANK(OFFSET(A$1,,,SUMPRODUCT(MAX(ROW(E$2:E1707)*(E1707=E$2:E1707)))))-COUNTBLANK(OFFSET(A$1,,,SUMPRODUCT(MAX(ROW(E$1:E1706)*(E2=E$1:E1706))))))</f>
        <v> </v>
      </c>
      <c r="K1707" s="26" t="str">
        <f>IF(OR(E1707="",E1707="!!!",F1707="NEW"),"",INDEX(J$1:J1706,SUMPRODUCT(MAX(ROW(E$1:E1706)*(E1707=E$1:E1706)))))</f>
        <v> </v>
      </c>
      <c r="L1707" s="27"/>
    </row>
    <row r="1708" spans="1:12">
      <c r="A1708" s="20" t="s">
        <v>430</v>
      </c>
      <c r="E1708" s="22">
        <f>IF(D1708="?OLD","!!!","")</f>
        <v/>
      </c>
      <c r="F1708" s="23" t="str">
        <f>IF(OR(E1708="",E1708="!!!"),"",IF(NOT(ISNA(VLOOKUP(E1708,E$1:E1707,1,FALSE()))),"OLD",IF(AND(E1708&lt;&gt;"",E1708&lt;&gt;"!!!"),"NEW","")))</f>
        <v> </v>
      </c>
      <c r="G1708" s="24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5" t="str">
        <f>IF(J1708&lt;&gt;1,"",IF(I1708="SBJ","CB","?"))</f>
        <v> </v>
      </c>
      <c r="I1708" s="26" t="str">
        <f>IF(OR(E1708="",E1708="!!!",F1708="NEW"),"",INDEX(B1707:B$2,-1+SUMPRODUCT(MAX(ROW(E1707:E$2)*(E1708=E1707:E$2)))))</f>
        <v> </v>
      </c>
      <c r="J1708" s="26" t="str">
        <f>IF(OR(E1708="",E1708="!!!",F1708="NEW"),"",COUNTBLANK(OFFSET(A$1,,,SUMPRODUCT(MAX(ROW(E$2:E1708)*(E1708=E$2:E1708)))))-COUNTBLANK(OFFSET(A$1,,,SUMPRODUCT(MAX(ROW(E$1:E1707)*(E2=E$1:E1707))))))</f>
        <v> </v>
      </c>
      <c r="K1708" s="26" t="str">
        <f>IF(OR(E1708="",E1708="!!!",F1708="NEW"),"",INDEX(J$1:J1707,SUMPRODUCT(MAX(ROW(E$1:E1707)*(E1708=E$1:E1707)))))</f>
        <v> </v>
      </c>
      <c r="L1708" s="27"/>
    </row>
    <row r="1709" spans="1:12">
      <c r="A1709" s="20" t="s">
        <v>1251</v>
      </c>
      <c r="E1709" s="22">
        <f>IF(D1709="?OLD","!!!","")</f>
        <v/>
      </c>
      <c r="F1709" s="23" t="str">
        <f>IF(OR(E1709="",E1709="!!!"),"",IF(NOT(ISNA(VLOOKUP(E1709,E$1:E1708,1,FALSE()))),"OLD",IF(AND(E1709&lt;&gt;"",E1709&lt;&gt;"!!!"),"NEW","")))</f>
        <v> </v>
      </c>
      <c r="G1709" s="24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5" t="str">
        <f>IF(J1709&lt;&gt;1,"",IF(I1709="SBJ","CB","?"))</f>
        <v> </v>
      </c>
      <c r="I1709" s="26" t="str">
        <f>IF(OR(E1709="",E1709="!!!",F1709="NEW"),"",INDEX(B1708:B$2,-1+SUMPRODUCT(MAX(ROW(E1708:E$2)*(E1709=E1708:E$2)))))</f>
        <v> </v>
      </c>
      <c r="J1709" s="26" t="str">
        <f>IF(OR(E1709="",E1709="!!!",F1709="NEW"),"",COUNTBLANK(OFFSET(A$1,,,SUMPRODUCT(MAX(ROW(E$2:E1709)*(E1709=E$2:E1709)))))-COUNTBLANK(OFFSET(A$1,,,SUMPRODUCT(MAX(ROW(E$1:E1708)*(E2=E$1:E1708))))))</f>
        <v> </v>
      </c>
      <c r="K1709" s="26" t="str">
        <f>IF(OR(E1709="",E1709="!!!",F1709="NEW"),"",INDEX(J$1:J1708,SUMPRODUCT(MAX(ROW(E$1:E1708)*(E1709=E$1:E1708)))))</f>
        <v> </v>
      </c>
      <c r="L1709" s="27"/>
    </row>
    <row r="1710" spans="1:12">
      <c r="A1710" s="20" t="s">
        <v>1252</v>
      </c>
      <c r="E1710" s="22">
        <f>IF(D1710="?OLD","!!!","")</f>
        <v/>
      </c>
      <c r="F1710" s="23" t="str">
        <f>IF(OR(E1710="",E1710="!!!"),"",IF(NOT(ISNA(VLOOKUP(E1710,E$1:E1709,1,FALSE()))),"OLD",IF(AND(E1710&lt;&gt;"",E1710&lt;&gt;"!!!"),"NEW","")))</f>
        <v> </v>
      </c>
      <c r="G1710" s="24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5" t="str">
        <f>IF(J1710&lt;&gt;1,"",IF(I1710="SBJ","CB","?"))</f>
        <v> </v>
      </c>
      <c r="I1710" s="26" t="str">
        <f>IF(OR(E1710="",E1710="!!!",F1710="NEW"),"",INDEX(B1709:B$2,-1+SUMPRODUCT(MAX(ROW(E1709:E$2)*(E1710=E1709:E$2)))))</f>
        <v> </v>
      </c>
      <c r="J1710" s="26" t="str">
        <f>IF(OR(E1710="",E1710="!!!",F1710="NEW"),"",COUNTBLANK(OFFSET(A$1,,,SUMPRODUCT(MAX(ROW(E$2:E1710)*(E1710=E$2:E1710)))))-COUNTBLANK(OFFSET(A$1,,,SUMPRODUCT(MAX(ROW(E$1:E1709)*(E2=E$1:E1709))))))</f>
        <v> </v>
      </c>
      <c r="K1710" s="26" t="str">
        <f>IF(OR(E1710="",E1710="!!!",F1710="NEW"),"",INDEX(J$1:J1709,SUMPRODUCT(MAX(ROW(E$1:E1709)*(E1710=E$1:E1709)))))</f>
        <v> </v>
      </c>
      <c r="L1710" s="27"/>
    </row>
    <row r="1711" spans="1:12">
      <c r="A1711" s="20" t="s">
        <v>1253</v>
      </c>
      <c r="E1711" s="22">
        <f>IF(D1711="?OLD","!!!","")</f>
        <v/>
      </c>
      <c r="F1711" s="23" t="str">
        <f>IF(OR(E1711="",E1711="!!!"),"",IF(NOT(ISNA(VLOOKUP(E1711,E$1:E1710,1,FALSE()))),"OLD",IF(AND(E1711&lt;&gt;"",E1711&lt;&gt;"!!!"),"NEW","")))</f>
        <v> </v>
      </c>
      <c r="G1711" s="24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5" t="str">
        <f>IF(J1711&lt;&gt;1,"",IF(I1711="SBJ","CB","?"))</f>
        <v> </v>
      </c>
      <c r="I1711" s="26" t="str">
        <f>IF(OR(E1711="",E1711="!!!",F1711="NEW"),"",INDEX(B1710:B$2,-1+SUMPRODUCT(MAX(ROW(E1710:E$2)*(E1711=E1710:E$2)))))</f>
        <v> </v>
      </c>
      <c r="J1711" s="26" t="str">
        <f>IF(OR(E1711="",E1711="!!!",F1711="NEW"),"",COUNTBLANK(OFFSET(A$1,,,SUMPRODUCT(MAX(ROW(E$2:E1711)*(E1711=E$2:E1711)))))-COUNTBLANK(OFFSET(A$1,,,SUMPRODUCT(MAX(ROW(E$1:E1710)*(E2=E$1:E1710))))))</f>
        <v> </v>
      </c>
      <c r="K1711" s="26" t="str">
        <f>IF(OR(E1711="",E1711="!!!",F1711="NEW"),"",INDEX(J$1:J1710,SUMPRODUCT(MAX(ROW(E$1:E1710)*(E1711=E$1:E1710)))))</f>
        <v> </v>
      </c>
      <c r="L1711" s="27"/>
    </row>
    <row r="1712" spans="1:12">
      <c r="A1712" s="20" t="s">
        <v>1254</v>
      </c>
      <c r="E1712" s="22">
        <f>IF(D1712="?OLD","!!!","")</f>
        <v/>
      </c>
      <c r="F1712" s="23" t="str">
        <f>IF(OR(E1712="",E1712="!!!"),"",IF(NOT(ISNA(VLOOKUP(E1712,E$1:E1711,1,FALSE()))),"OLD",IF(AND(E1712&lt;&gt;"",E1712&lt;&gt;"!!!"),"NEW","")))</f>
        <v> </v>
      </c>
      <c r="G1712" s="24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5" t="str">
        <f>IF(J1712&lt;&gt;1,"",IF(I1712="SBJ","CB","?"))</f>
        <v> </v>
      </c>
      <c r="I1712" s="26" t="str">
        <f>IF(OR(E1712="",E1712="!!!",F1712="NEW"),"",INDEX(B1711:B$2,-1+SUMPRODUCT(MAX(ROW(E1711:E$2)*(E1712=E1711:E$2)))))</f>
        <v> </v>
      </c>
      <c r="J1712" s="26" t="str">
        <f>IF(OR(E1712="",E1712="!!!",F1712="NEW"),"",COUNTBLANK(OFFSET(A$1,,,SUMPRODUCT(MAX(ROW(E$2:E1712)*(E1712=E$2:E1712)))))-COUNTBLANK(OFFSET(A$1,,,SUMPRODUCT(MAX(ROW(E$1:E1711)*(E2=E$1:E1711))))))</f>
        <v> </v>
      </c>
      <c r="K1712" s="26" t="str">
        <f>IF(OR(E1712="",E1712="!!!",F1712="NEW"),"",INDEX(J$1:J1711,SUMPRODUCT(MAX(ROW(E$1:E1711)*(E1712=E$1:E1711)))))</f>
        <v> </v>
      </c>
      <c r="L1712" s="27"/>
    </row>
    <row r="1713" spans="1:12">
      <c r="A1713" s="20" t="s">
        <v>1255</v>
      </c>
      <c r="E1713" s="22">
        <f>IF(D1713="?OLD","!!!","")</f>
        <v/>
      </c>
      <c r="F1713" s="23" t="str">
        <f>IF(OR(E1713="",E1713="!!!"),"",IF(NOT(ISNA(VLOOKUP(E1713,E$1:E1712,1,FALSE()))),"OLD",IF(AND(E1713&lt;&gt;"",E1713&lt;&gt;"!!!"),"NEW","")))</f>
        <v> </v>
      </c>
      <c r="G1713" s="24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5" t="str">
        <f>IF(J1713&lt;&gt;1,"",IF(I1713="SBJ","CB","?"))</f>
        <v> </v>
      </c>
      <c r="I1713" s="26" t="str">
        <f>IF(OR(E1713="",E1713="!!!",F1713="NEW"),"",INDEX(B1712:B$2,-1+SUMPRODUCT(MAX(ROW(E1712:E$2)*(E1713=E1712:E$2)))))</f>
        <v> </v>
      </c>
      <c r="J1713" s="26" t="str">
        <f>IF(OR(E1713="",E1713="!!!",F1713="NEW"),"",COUNTBLANK(OFFSET(A$1,,,SUMPRODUCT(MAX(ROW(E$2:E1713)*(E1713=E$2:E1713)))))-COUNTBLANK(OFFSET(A$1,,,SUMPRODUCT(MAX(ROW(E$1:E1712)*(E2=E$1:E1712))))))</f>
        <v> </v>
      </c>
      <c r="K1713" s="26" t="str">
        <f>IF(OR(E1713="",E1713="!!!",F1713="NEW"),"",INDEX(J$1:J1712,SUMPRODUCT(MAX(ROW(E$1:E1712)*(E1713=E$1:E1712)))))</f>
        <v> </v>
      </c>
      <c r="L1713" s="27"/>
    </row>
    <row r="1714" spans="1:12">
      <c r="A1714" s="20" t="s">
        <v>608</v>
      </c>
      <c r="E1714" s="22">
        <f>IF(D1714="?OLD","!!!","")</f>
        <v/>
      </c>
      <c r="F1714" s="23" t="str">
        <f>IF(OR(E1714="",E1714="!!!"),"",IF(NOT(ISNA(VLOOKUP(E1714,E$1:E1713,1,FALSE()))),"OLD",IF(AND(E1714&lt;&gt;"",E1714&lt;&gt;"!!!"),"NEW","")))</f>
        <v> </v>
      </c>
      <c r="G1714" s="24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5" t="str">
        <f>IF(J1714&lt;&gt;1,"",IF(I1714="SBJ","CB","?"))</f>
        <v> </v>
      </c>
      <c r="I1714" s="26" t="str">
        <f>IF(OR(E1714="",E1714="!!!",F1714="NEW"),"",INDEX(B1713:B$2,-1+SUMPRODUCT(MAX(ROW(E1713:E$2)*(E1714=E1713:E$2)))))</f>
        <v> </v>
      </c>
      <c r="J1714" s="26" t="str">
        <f>IF(OR(E1714="",E1714="!!!",F1714="NEW"),"",COUNTBLANK(OFFSET(A$1,,,SUMPRODUCT(MAX(ROW(E$2:E1714)*(E1714=E$2:E1714)))))-COUNTBLANK(OFFSET(A$1,,,SUMPRODUCT(MAX(ROW(E$1:E1713)*(E2=E$1:E1713))))))</f>
        <v> </v>
      </c>
      <c r="K1714" s="26" t="str">
        <f>IF(OR(E1714="",E1714="!!!",F1714="NEW"),"",INDEX(J$1:J1713,SUMPRODUCT(MAX(ROW(E$1:E1713)*(E1714=E$1:E1713)))))</f>
        <v> </v>
      </c>
      <c r="L1714" s="27"/>
    </row>
    <row r="1715" spans="1:12">
      <c r="A1715" s="20" t="s">
        <v>1256</v>
      </c>
      <c r="E1715" s="22">
        <f>IF(D1715="?OLD","!!!","")</f>
        <v/>
      </c>
      <c r="F1715" s="23" t="str">
        <f>IF(OR(E1715="",E1715="!!!"),"",IF(NOT(ISNA(VLOOKUP(E1715,E$1:E1714,1,FALSE()))),"OLD",IF(AND(E1715&lt;&gt;"",E1715&lt;&gt;"!!!"),"NEW","")))</f>
        <v> </v>
      </c>
      <c r="G1715" s="24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5" t="str">
        <f>IF(J1715&lt;&gt;1,"",IF(I1715="SBJ","CB","?"))</f>
        <v> </v>
      </c>
      <c r="I1715" s="26" t="str">
        <f>IF(OR(E1715="",E1715="!!!",F1715="NEW"),"",INDEX(B1714:B$2,-1+SUMPRODUCT(MAX(ROW(E1714:E$2)*(E1715=E1714:E$2)))))</f>
        <v> </v>
      </c>
      <c r="J1715" s="26" t="str">
        <f>IF(OR(E1715="",E1715="!!!",F1715="NEW"),"",COUNTBLANK(OFFSET(A$1,,,SUMPRODUCT(MAX(ROW(E$2:E1715)*(E1715=E$2:E1715)))))-COUNTBLANK(OFFSET(A$1,,,SUMPRODUCT(MAX(ROW(E$1:E1714)*(E2=E$1:E1714))))))</f>
        <v> </v>
      </c>
      <c r="K1715" s="26" t="str">
        <f>IF(OR(E1715="",E1715="!!!",F1715="NEW"),"",INDEX(J$1:J1714,SUMPRODUCT(MAX(ROW(E$1:E1714)*(E1715=E$1:E1714)))))</f>
        <v> </v>
      </c>
      <c r="L1715" s="27"/>
    </row>
    <row r="1716" spans="1:12">
      <c r="A1716" s="20" t="s">
        <v>1257</v>
      </c>
      <c r="B1716" s="21" t="s">
        <v>491</v>
      </c>
      <c r="C1716" s="21" t="s">
        <v>516</v>
      </c>
      <c r="E1716" s="22">
        <f>IF(D1716="?OLD","!!!","")</f>
        <v/>
      </c>
      <c r="F1716" s="23" t="str">
        <f>IF(OR(E1716="",E1716="!!!"),"",IF(NOT(ISNA(VLOOKUP(E1716,E$1:E1715,1,FALSE()))),"OLD",IF(AND(E1716&lt;&gt;"",E1716&lt;&gt;"!!!"),"NEW","")))</f>
        <v> </v>
      </c>
      <c r="G1716" s="24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5" t="str">
        <f>IF(J1716&lt;&gt;1,"",IF(I1716="SBJ","CB","?"))</f>
        <v> </v>
      </c>
      <c r="I1716" s="26" t="str">
        <f>IF(OR(E1716="",E1716="!!!",F1716="NEW"),"",INDEX(B1715:B$2,-1+SUMPRODUCT(MAX(ROW(E1715:E$2)*(E1716=E1715:E$2)))))</f>
        <v> </v>
      </c>
      <c r="J1716" s="26" t="str">
        <f>IF(OR(E1716="",E1716="!!!",F1716="NEW"),"",COUNTBLANK(OFFSET(A$1,,,SUMPRODUCT(MAX(ROW(E$2:E1716)*(E1716=E$2:E1716)))))-COUNTBLANK(OFFSET(A$1,,,SUMPRODUCT(MAX(ROW(E$1:E1715)*(E2=E$1:E1715))))))</f>
        <v> </v>
      </c>
      <c r="K1716" s="26" t="str">
        <f>IF(OR(E1716="",E1716="!!!",F1716="NEW"),"",INDEX(J$1:J1715,SUMPRODUCT(MAX(ROW(E$1:E1715)*(E1716=E$1:E1715)))))</f>
        <v> </v>
      </c>
      <c r="L1716" s="27"/>
    </row>
    <row r="1717" spans="1:12">
      <c r="A1717" s="20" t="s">
        <v>438</v>
      </c>
      <c r="E1717" s="22">
        <f>IF(D1717="?OLD","!!!","")</f>
        <v/>
      </c>
      <c r="F1717" s="23" t="str">
        <f>IF(OR(E1717="",E1717="!!!"),"",IF(NOT(ISNA(VLOOKUP(E1717,E$1:E1716,1,FALSE()))),"OLD",IF(AND(E1717&lt;&gt;"",E1717&lt;&gt;"!!!"),"NEW","")))</f>
        <v> </v>
      </c>
      <c r="G1717" s="24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5" t="str">
        <f>IF(J1717&lt;&gt;1,"",IF(I1717="SBJ","CB","?"))</f>
        <v> </v>
      </c>
      <c r="I1717" s="26" t="str">
        <f>IF(OR(E1717="",E1717="!!!",F1717="NEW"),"",INDEX(B1716:B$2,-1+SUMPRODUCT(MAX(ROW(E1716:E$2)*(E1717=E1716:E$2)))))</f>
        <v> </v>
      </c>
      <c r="J1717" s="26" t="str">
        <f>IF(OR(E1717="",E1717="!!!",F1717="NEW"),"",COUNTBLANK(OFFSET(A$1,,,SUMPRODUCT(MAX(ROW(E$2:E1717)*(E1717=E$2:E1717)))))-COUNTBLANK(OFFSET(A$1,,,SUMPRODUCT(MAX(ROW(E$1:E1716)*(E2=E$1:E1716))))))</f>
        <v> </v>
      </c>
      <c r="K1717" s="26" t="str">
        <f>IF(OR(E1717="",E1717="!!!",F1717="NEW"),"",INDEX(J$1:J1716,SUMPRODUCT(MAX(ROW(E$1:E1716)*(E1717=E$1:E1716)))))</f>
        <v> </v>
      </c>
      <c r="L1717" s="27"/>
    </row>
    <row r="1718" spans="1:12">
      <c r="A1718" s="20"/>
    </row>
    <row r="1719" spans="1:12">
      <c r="A1719" s="20" t="s">
        <v>1258</v>
      </c>
    </row>
    <row r="1720" spans="1:12">
      <c r="A1720" s="20" t="s">
        <v>1238</v>
      </c>
      <c r="E1720" s="22">
        <f>IF(D1720="?OLD","!!!","")</f>
        <v/>
      </c>
      <c r="F1720" s="23" t="str">
        <f>IF(OR(E1720="",E1720="!!!"),"",IF(NOT(ISNA(VLOOKUP(E1720,E$1:E1719,1,FALSE()))),"OLD",IF(AND(E1720&lt;&gt;"",E1720&lt;&gt;"!!!"),"NEW","")))</f>
        <v> </v>
      </c>
      <c r="G1720" s="24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5" t="str">
        <f>IF(J1720&lt;&gt;1,"",IF(I1720="SBJ","CB","?"))</f>
        <v> </v>
      </c>
      <c r="I1720" s="26" t="str">
        <f>IF(OR(E1720="",E1720="!!!",F1720="NEW"),"",INDEX(B1719:B$2,-1+SUMPRODUCT(MAX(ROW(E1719:E$2)*(E1720=E1719:E$2)))))</f>
        <v> </v>
      </c>
      <c r="J1720" s="26" t="str">
        <f>IF(OR(E1720="",E1720="!!!",F1720="NEW"),"",COUNTBLANK(OFFSET(A$1,,,SUMPRODUCT(MAX(ROW(E$2:E1720)*(E1720=E$2:E1720)))))-COUNTBLANK(OFFSET(A$1,,,SUMPRODUCT(MAX(ROW(E$1:E1719)*(E2=E$1:E1719))))))</f>
        <v> </v>
      </c>
      <c r="K1720" s="26" t="str">
        <f>IF(OR(E1720="",E1720="!!!",F1720="NEW"),"",INDEX(J$1:J1719,SUMPRODUCT(MAX(ROW(E$1:E1719)*(E1720=E$1:E1719)))))</f>
        <v> </v>
      </c>
      <c r="L1720" s="27"/>
    </row>
    <row r="1721" spans="1:12">
      <c r="A1721" s="20" t="s">
        <v>453</v>
      </c>
      <c r="E1721" s="22">
        <f>IF(D1721="?OLD","!!!","")</f>
        <v/>
      </c>
      <c r="F1721" s="23" t="str">
        <f>IF(OR(E1721="",E1721="!!!"),"",IF(NOT(ISNA(VLOOKUP(E1721,E$1:E1720,1,FALSE()))),"OLD",IF(AND(E1721&lt;&gt;"",E1721&lt;&gt;"!!!"),"NEW","")))</f>
        <v> </v>
      </c>
      <c r="G1721" s="24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5" t="str">
        <f>IF(J1721&lt;&gt;1,"",IF(I1721="SBJ","CB","?"))</f>
        <v> </v>
      </c>
      <c r="I1721" s="26" t="str">
        <f>IF(OR(E1721="",E1721="!!!",F1721="NEW"),"",INDEX(B1720:B$2,-1+SUMPRODUCT(MAX(ROW(E1720:E$2)*(E1721=E1720:E$2)))))</f>
        <v> </v>
      </c>
      <c r="J1721" s="26" t="str">
        <f>IF(OR(E1721="",E1721="!!!",F1721="NEW"),"",COUNTBLANK(OFFSET(A$1,,,SUMPRODUCT(MAX(ROW(E$2:E1721)*(E1721=E$2:E1721)))))-COUNTBLANK(OFFSET(A$1,,,SUMPRODUCT(MAX(ROW(E$1:E1720)*(E2=E$1:E1720))))))</f>
        <v> </v>
      </c>
      <c r="K1721" s="26" t="str">
        <f>IF(OR(E1721="",E1721="!!!",F1721="NEW"),"",INDEX(J$1:J1720,SUMPRODUCT(MAX(ROW(E$1:E1720)*(E1721=E$1:E1720)))))</f>
        <v> </v>
      </c>
      <c r="L1721" s="27"/>
    </row>
    <row r="1722" spans="1:12">
      <c r="A1722" s="20" t="s">
        <v>459</v>
      </c>
      <c r="E1722" s="22">
        <f>IF(D1722="?OLD","!!!","")</f>
        <v/>
      </c>
      <c r="F1722" s="23" t="str">
        <f>IF(OR(E1722="",E1722="!!!"),"",IF(NOT(ISNA(VLOOKUP(E1722,E$1:E1721,1,FALSE()))),"OLD",IF(AND(E1722&lt;&gt;"",E1722&lt;&gt;"!!!"),"NEW","")))</f>
        <v> </v>
      </c>
      <c r="G1722" s="24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5" t="str">
        <f>IF(J1722&lt;&gt;1,"",IF(I1722="SBJ","CB","?"))</f>
        <v> </v>
      </c>
      <c r="I1722" s="26" t="str">
        <f>IF(OR(E1722="",E1722="!!!",F1722="NEW"),"",INDEX(B1721:B$2,-1+SUMPRODUCT(MAX(ROW(E1721:E$2)*(E1722=E1721:E$2)))))</f>
        <v> </v>
      </c>
      <c r="J1722" s="26" t="str">
        <f>IF(OR(E1722="",E1722="!!!",F1722="NEW"),"",COUNTBLANK(OFFSET(A$1,,,SUMPRODUCT(MAX(ROW(E$2:E1722)*(E1722=E$2:E1722)))))-COUNTBLANK(OFFSET(A$1,,,SUMPRODUCT(MAX(ROW(E$1:E1721)*(E2=E$1:E1721))))))</f>
        <v> </v>
      </c>
      <c r="K1722" s="26" t="str">
        <f>IF(OR(E1722="",E1722="!!!",F1722="NEW"),"",INDEX(J$1:J1721,SUMPRODUCT(MAX(ROW(E$1:E1721)*(E1722=E$1:E1721)))))</f>
        <v> </v>
      </c>
      <c r="L1722" s="27"/>
    </row>
    <row r="1723" spans="1:12">
      <c r="A1723" s="20" t="s">
        <v>1259</v>
      </c>
      <c r="E1723" s="22">
        <f>IF(D1723="?OLD","!!!","")</f>
        <v/>
      </c>
      <c r="F1723" s="23" t="str">
        <f>IF(OR(E1723="",E1723="!!!"),"",IF(NOT(ISNA(VLOOKUP(E1723,E$1:E1722,1,FALSE()))),"OLD",IF(AND(E1723&lt;&gt;"",E1723&lt;&gt;"!!!"),"NEW","")))</f>
        <v> </v>
      </c>
      <c r="G1723" s="24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5" t="str">
        <f>IF(J1723&lt;&gt;1,"",IF(I1723="SBJ","CB","?"))</f>
        <v> </v>
      </c>
      <c r="I1723" s="26" t="str">
        <f>IF(OR(E1723="",E1723="!!!",F1723="NEW"),"",INDEX(B1722:B$2,-1+SUMPRODUCT(MAX(ROW(E1722:E$2)*(E1723=E1722:E$2)))))</f>
        <v> </v>
      </c>
      <c r="J1723" s="26" t="str">
        <f>IF(OR(E1723="",E1723="!!!",F1723="NEW"),"",COUNTBLANK(OFFSET(A$1,,,SUMPRODUCT(MAX(ROW(E$2:E1723)*(E1723=E$2:E1723)))))-COUNTBLANK(OFFSET(A$1,,,SUMPRODUCT(MAX(ROW(E$1:E1722)*(E2=E$1:E1722))))))</f>
        <v> </v>
      </c>
      <c r="K1723" s="26" t="str">
        <f>IF(OR(E1723="",E1723="!!!",F1723="NEW"),"",INDEX(J$1:J1722,SUMPRODUCT(MAX(ROW(E$1:E1722)*(E1723=E$1:E1722)))))</f>
        <v> </v>
      </c>
      <c r="L1723" s="27"/>
    </row>
    <row r="1724" spans="1:12">
      <c r="A1724" s="20" t="s">
        <v>453</v>
      </c>
      <c r="E1724" s="22">
        <f>IF(D1724="?OLD","!!!","")</f>
        <v/>
      </c>
      <c r="F1724" s="23" t="str">
        <f>IF(OR(E1724="",E1724="!!!"),"",IF(NOT(ISNA(VLOOKUP(E1724,E$1:E1723,1,FALSE()))),"OLD",IF(AND(E1724&lt;&gt;"",E1724&lt;&gt;"!!!"),"NEW","")))</f>
        <v> </v>
      </c>
      <c r="G1724" s="24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5" t="str">
        <f>IF(J1724&lt;&gt;1,"",IF(I1724="SBJ","CB","?"))</f>
        <v> </v>
      </c>
      <c r="I1724" s="26" t="str">
        <f>IF(OR(E1724="",E1724="!!!",F1724="NEW"),"",INDEX(B1723:B$2,-1+SUMPRODUCT(MAX(ROW(E1723:E$2)*(E1724=E1723:E$2)))))</f>
        <v> </v>
      </c>
      <c r="J1724" s="26" t="str">
        <f>IF(OR(E1724="",E1724="!!!",F1724="NEW"),"",COUNTBLANK(OFFSET(A$1,,,SUMPRODUCT(MAX(ROW(E$2:E1724)*(E1724=E$2:E1724)))))-COUNTBLANK(OFFSET(A$1,,,SUMPRODUCT(MAX(ROW(E$1:E1723)*(E2=E$1:E1723))))))</f>
        <v> </v>
      </c>
      <c r="K1724" s="26" t="str">
        <f>IF(OR(E1724="",E1724="!!!",F1724="NEW"),"",INDEX(J$1:J1723,SUMPRODUCT(MAX(ROW(E$1:E1723)*(E1724=E$1:E1723)))))</f>
        <v> </v>
      </c>
      <c r="L1724" s="27"/>
    </row>
    <row r="1725" spans="1:12">
      <c r="A1725" s="20" t="s">
        <v>776</v>
      </c>
      <c r="E1725" s="22">
        <f>IF(D1725="?OLD","!!!","")</f>
        <v/>
      </c>
      <c r="F1725" s="23" t="str">
        <f>IF(OR(E1725="",E1725="!!!"),"",IF(NOT(ISNA(VLOOKUP(E1725,E$1:E1724,1,FALSE()))),"OLD",IF(AND(E1725&lt;&gt;"",E1725&lt;&gt;"!!!"),"NEW","")))</f>
        <v> </v>
      </c>
      <c r="G1725" s="24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5" t="str">
        <f>IF(J1725&lt;&gt;1,"",IF(I1725="SBJ","CB","?"))</f>
        <v> </v>
      </c>
      <c r="I1725" s="26" t="str">
        <f>IF(OR(E1725="",E1725="!!!",F1725="NEW"),"",INDEX(B1724:B$2,-1+SUMPRODUCT(MAX(ROW(E1724:E$2)*(E1725=E1724:E$2)))))</f>
        <v> </v>
      </c>
      <c r="J1725" s="26" t="str">
        <f>IF(OR(E1725="",E1725="!!!",F1725="NEW"),"",COUNTBLANK(OFFSET(A$1,,,SUMPRODUCT(MAX(ROW(E$2:E1725)*(E1725=E$2:E1725)))))-COUNTBLANK(OFFSET(A$1,,,SUMPRODUCT(MAX(ROW(E$1:E1724)*(E2=E$1:E1724))))))</f>
        <v> </v>
      </c>
      <c r="K1725" s="26" t="str">
        <f>IF(OR(E1725="",E1725="!!!",F1725="NEW"),"",INDEX(J$1:J1724,SUMPRODUCT(MAX(ROW(E$1:E1724)*(E1725=E$1:E1724)))))</f>
        <v> </v>
      </c>
      <c r="L1725" s="27"/>
    </row>
    <row r="1726" spans="1:12">
      <c r="A1726" s="20" t="s">
        <v>492</v>
      </c>
      <c r="B1726" s="21" t="s">
        <v>462</v>
      </c>
      <c r="C1726" s="21" t="s">
        <v>423</v>
      </c>
      <c r="D1726" s="21" t="s">
        <v>424</v>
      </c>
      <c r="E1726" s="22">
        <f>IF(D1726="?OLD","!!!","")</f>
        <v/>
      </c>
      <c r="F1726" s="23" t="str">
        <f>IF(OR(E1726="",E1726="!!!"),"",IF(NOT(ISNA(VLOOKUP(E1726,E$1:E1725,1,FALSE()))),"OLD",IF(AND(E1726&lt;&gt;"",E1726&lt;&gt;"!!!"),"NEW","")))</f>
        <v> </v>
      </c>
      <c r="G1726" s="24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5" t="str">
        <f>IF(J1726&lt;&gt;1,"",IF(I1726="SBJ","CB","?"))</f>
        <v> </v>
      </c>
      <c r="I1726" s="26" t="str">
        <f>IF(OR(E1726="",E1726="!!!",F1726="NEW"),"",INDEX(B1725:B$2,-1+SUMPRODUCT(MAX(ROW(E1725:E$2)*(E1726=E1725:E$2)))))</f>
        <v> </v>
      </c>
      <c r="J1726" s="26" t="str">
        <f>IF(OR(E1726="",E1726="!!!",F1726="NEW"),"",COUNTBLANK(OFFSET(A$1,,,SUMPRODUCT(MAX(ROW(E$2:E1726)*(E1726=E$2:E1726)))))-COUNTBLANK(OFFSET(A$1,,,SUMPRODUCT(MAX(ROW(E$1:E1725)*(E2=E$1:E1725))))))</f>
        <v> </v>
      </c>
      <c r="K1726" s="26" t="str">
        <f>IF(OR(E1726="",E1726="!!!",F1726="NEW"),"",INDEX(J$1:J1725,SUMPRODUCT(MAX(ROW(E$1:E1725)*(E1726=E$1:E1725)))))</f>
        <v> </v>
      </c>
      <c r="L1726" s="27"/>
    </row>
    <row r="1727" spans="1:12">
      <c r="A1727" s="20" t="s">
        <v>1260</v>
      </c>
      <c r="B1727" s="21" t="s">
        <v>659</v>
      </c>
      <c r="C1727" s="21" t="s">
        <v>516</v>
      </c>
      <c r="E1727" s="22">
        <f>IF(D1727="?OLD","!!!","")</f>
        <v/>
      </c>
      <c r="F1727" s="23" t="str">
        <f>IF(OR(E1727="",E1727="!!!"),"",IF(NOT(ISNA(VLOOKUP(E1727,E$1:E1726,1,FALSE()))),"OLD",IF(AND(E1727&lt;&gt;"",E1727&lt;&gt;"!!!"),"NEW","")))</f>
        <v> </v>
      </c>
      <c r="G1727" s="24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5" t="str">
        <f>IF(J1727&lt;&gt;1,"",IF(I1727="SBJ","CB","?"))</f>
        <v> </v>
      </c>
      <c r="I1727" s="26" t="str">
        <f>IF(OR(E1727="",E1727="!!!",F1727="NEW"),"",INDEX(B1726:B$2,-1+SUMPRODUCT(MAX(ROW(E1726:E$2)*(E1727=E1726:E$2)))))</f>
        <v> </v>
      </c>
      <c r="J1727" s="26" t="str">
        <f>IF(OR(E1727="",E1727="!!!",F1727="NEW"),"",COUNTBLANK(OFFSET(A$1,,,SUMPRODUCT(MAX(ROW(E$2:E1727)*(E1727=E$2:E1727)))))-COUNTBLANK(OFFSET(A$1,,,SUMPRODUCT(MAX(ROW(E$1:E1726)*(E2=E$1:E1726))))))</f>
        <v> </v>
      </c>
      <c r="K1727" s="26" t="str">
        <f>IF(OR(E1727="",E1727="!!!",F1727="NEW"),"",INDEX(J$1:J1726,SUMPRODUCT(MAX(ROW(E$1:E1726)*(E1727=E$1:E1726)))))</f>
        <v> </v>
      </c>
      <c r="L1727" s="27"/>
    </row>
    <row r="1728" spans="1:12">
      <c r="A1728" s="20" t="s">
        <v>1261</v>
      </c>
      <c r="E1728" s="22">
        <f>IF(D1728="?OLD","!!!","")</f>
        <v/>
      </c>
      <c r="F1728" s="23" t="str">
        <f>IF(OR(E1728="",E1728="!!!"),"",IF(NOT(ISNA(VLOOKUP(E1728,E$1:E1727,1,FALSE()))),"OLD",IF(AND(E1728&lt;&gt;"",E1728&lt;&gt;"!!!"),"NEW","")))</f>
        <v> </v>
      </c>
      <c r="G1728" s="24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5" t="str">
        <f>IF(J1728&lt;&gt;1,"",IF(I1728="SBJ","CB","?"))</f>
        <v> </v>
      </c>
      <c r="I1728" s="26" t="str">
        <f>IF(OR(E1728="",E1728="!!!",F1728="NEW"),"",INDEX(B1727:B$2,-1+SUMPRODUCT(MAX(ROW(E1727:E$2)*(E1728=E1727:E$2)))))</f>
        <v> </v>
      </c>
      <c r="J1728" s="26" t="str">
        <f>IF(OR(E1728="",E1728="!!!",F1728="NEW"),"",COUNTBLANK(OFFSET(A$1,,,SUMPRODUCT(MAX(ROW(E$2:E1728)*(E1728=E$2:E1728)))))-COUNTBLANK(OFFSET(A$1,,,SUMPRODUCT(MAX(ROW(E$1:E1727)*(E2=E$1:E1727))))))</f>
        <v> </v>
      </c>
      <c r="K1728" s="26" t="str">
        <f>IF(OR(E1728="",E1728="!!!",F1728="NEW"),"",INDEX(J$1:J1727,SUMPRODUCT(MAX(ROW(E$1:E1727)*(E1728=E$1:E1727)))))</f>
        <v> </v>
      </c>
      <c r="L1728" s="27"/>
    </row>
    <row r="1729" spans="1:12">
      <c r="A1729" s="20" t="s">
        <v>468</v>
      </c>
      <c r="E1729" s="22">
        <f>IF(D1729="?OLD","!!!","")</f>
        <v/>
      </c>
      <c r="F1729" s="23" t="str">
        <f>IF(OR(E1729="",E1729="!!!"),"",IF(NOT(ISNA(VLOOKUP(E1729,E$1:E1728,1,FALSE()))),"OLD",IF(AND(E1729&lt;&gt;"",E1729&lt;&gt;"!!!"),"NEW","")))</f>
        <v> </v>
      </c>
      <c r="G1729" s="24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5" t="str">
        <f>IF(J1729&lt;&gt;1,"",IF(I1729="SBJ","CB","?"))</f>
        <v> </v>
      </c>
      <c r="I1729" s="26" t="str">
        <f>IF(OR(E1729="",E1729="!!!",F1729="NEW"),"",INDEX(B1728:B$2,-1+SUMPRODUCT(MAX(ROW(E1728:E$2)*(E1729=E1728:E$2)))))</f>
        <v> </v>
      </c>
      <c r="J1729" s="26" t="str">
        <f>IF(OR(E1729="",E1729="!!!",F1729="NEW"),"",COUNTBLANK(OFFSET(A$1,,,SUMPRODUCT(MAX(ROW(E$2:E1729)*(E1729=E$2:E1729)))))-COUNTBLANK(OFFSET(A$1,,,SUMPRODUCT(MAX(ROW(E$1:E1728)*(E2=E$1:E1728))))))</f>
        <v> </v>
      </c>
      <c r="K1729" s="26" t="str">
        <f>IF(OR(E1729="",E1729="!!!",F1729="NEW"),"",INDEX(J$1:J1728,SUMPRODUCT(MAX(ROW(E$1:E1728)*(E1729=E$1:E1728)))))</f>
        <v> </v>
      </c>
      <c r="L1729" s="27"/>
    </row>
    <row r="1730" spans="1:12">
      <c r="A1730" s="20" t="s">
        <v>355</v>
      </c>
      <c r="B1730" s="21" t="s">
        <v>462</v>
      </c>
      <c r="C1730" s="21" t="s">
        <v>471</v>
      </c>
      <c r="D1730" s="21" t="s">
        <v>424</v>
      </c>
      <c r="E1730" s="22">
        <f>IF(D1730="?OLD","!!!","")</f>
        <v/>
      </c>
      <c r="F1730" s="23" t="str">
        <f>IF(OR(E1730="",E1730="!!!"),"",IF(NOT(ISNA(VLOOKUP(E1730,E$1:E1729,1,FALSE()))),"OLD",IF(AND(E1730&lt;&gt;"",E1730&lt;&gt;"!!!"),"NEW","")))</f>
        <v> </v>
      </c>
      <c r="G1730" s="24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5" t="str">
        <f>IF(J1730&lt;&gt;1,"",IF(I1730="SBJ","CB","?"))</f>
        <v> </v>
      </c>
      <c r="I1730" s="26" t="str">
        <f>IF(OR(E1730="",E1730="!!!",F1730="NEW"),"",INDEX(B1729:B$2,-1+SUMPRODUCT(MAX(ROW(E1729:E$2)*(E1730=E1729:E$2)))))</f>
        <v> </v>
      </c>
      <c r="J1730" s="26" t="str">
        <f>IF(OR(E1730="",E1730="!!!",F1730="NEW"),"",COUNTBLANK(OFFSET(A$1,,,SUMPRODUCT(MAX(ROW(E$2:E1730)*(E1730=E$2:E1730)))))-COUNTBLANK(OFFSET(A$1,,,SUMPRODUCT(MAX(ROW(E$1:E1729)*(E2=E$1:E1729))))))</f>
        <v> </v>
      </c>
      <c r="K1730" s="26" t="str">
        <f>IF(OR(E1730="",E1730="!!!",F1730="NEW"),"",INDEX(J$1:J1729,SUMPRODUCT(MAX(ROW(E$1:E1729)*(E1730=E$1:E1729)))))</f>
        <v> </v>
      </c>
      <c r="L1730" s="27"/>
    </row>
    <row r="1731" spans="1:12">
      <c r="A1731" s="20" t="s">
        <v>430</v>
      </c>
      <c r="E1731" s="22">
        <f>IF(D1731="?OLD","!!!","")</f>
        <v/>
      </c>
      <c r="F1731" s="23" t="str">
        <f>IF(OR(E1731="",E1731="!!!"),"",IF(NOT(ISNA(VLOOKUP(E1731,E$1:E1730,1,FALSE()))),"OLD",IF(AND(E1731&lt;&gt;"",E1731&lt;&gt;"!!!"),"NEW","")))</f>
        <v> </v>
      </c>
      <c r="G1731" s="24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5" t="str">
        <f>IF(J1731&lt;&gt;1,"",IF(I1731="SBJ","CB","?"))</f>
        <v> </v>
      </c>
      <c r="I1731" s="26" t="str">
        <f>IF(OR(E1731="",E1731="!!!",F1731="NEW"),"",INDEX(B1730:B$2,-1+SUMPRODUCT(MAX(ROW(E1730:E$2)*(E1731=E1730:E$2)))))</f>
        <v> </v>
      </c>
      <c r="J1731" s="26" t="str">
        <f>IF(OR(E1731="",E1731="!!!",F1731="NEW"),"",COUNTBLANK(OFFSET(A$1,,,SUMPRODUCT(MAX(ROW(E$2:E1731)*(E1731=E$2:E1731)))))-COUNTBLANK(OFFSET(A$1,,,SUMPRODUCT(MAX(ROW(E$1:E1730)*(E2=E$1:E1730))))))</f>
        <v> </v>
      </c>
      <c r="K1731" s="26" t="str">
        <f>IF(OR(E1731="",E1731="!!!",F1731="NEW"),"",INDEX(J$1:J1730,SUMPRODUCT(MAX(ROW(E$1:E1730)*(E1731=E$1:E1730)))))</f>
        <v> </v>
      </c>
      <c r="L1731" s="27"/>
    </row>
    <row r="1732" spans="1:12">
      <c r="A1732" s="20" t="s">
        <v>1262</v>
      </c>
      <c r="E1732" s="22">
        <f>IF(D1732="?OLD","!!!","")</f>
        <v/>
      </c>
      <c r="F1732" s="23" t="str">
        <f>IF(OR(E1732="",E1732="!!!"),"",IF(NOT(ISNA(VLOOKUP(E1732,E$1:E1731,1,FALSE()))),"OLD",IF(AND(E1732&lt;&gt;"",E1732&lt;&gt;"!!!"),"NEW","")))</f>
        <v> </v>
      </c>
      <c r="G1732" s="24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5" t="str">
        <f>IF(J1732&lt;&gt;1,"",IF(I1732="SBJ","CB","?"))</f>
        <v> </v>
      </c>
      <c r="I1732" s="26" t="str">
        <f>IF(OR(E1732="",E1732="!!!",F1732="NEW"),"",INDEX(B1731:B$2,-1+SUMPRODUCT(MAX(ROW(E1731:E$2)*(E1732=E1731:E$2)))))</f>
        <v> </v>
      </c>
      <c r="J1732" s="26" t="str">
        <f>IF(OR(E1732="",E1732="!!!",F1732="NEW"),"",COUNTBLANK(OFFSET(A$1,,,SUMPRODUCT(MAX(ROW(E$2:E1732)*(E1732=E$2:E1732)))))-COUNTBLANK(OFFSET(A$1,,,SUMPRODUCT(MAX(ROW(E$1:E1731)*(E2=E$1:E1731))))))</f>
        <v> </v>
      </c>
      <c r="K1732" s="26" t="str">
        <f>IF(OR(E1732="",E1732="!!!",F1732="NEW"),"",INDEX(J$1:J1731,SUMPRODUCT(MAX(ROW(E$1:E1731)*(E1732=E$1:E1731)))))</f>
        <v> </v>
      </c>
      <c r="L1732" s="27"/>
    </row>
    <row r="1733" spans="1:12">
      <c r="A1733" s="20" t="s">
        <v>1083</v>
      </c>
      <c r="E1733" s="22">
        <f>IF(D1733="?OLD","!!!","")</f>
        <v/>
      </c>
      <c r="F1733" s="23" t="str">
        <f>IF(OR(E1733="",E1733="!!!"),"",IF(NOT(ISNA(VLOOKUP(E1733,E$1:E1732,1,FALSE()))),"OLD",IF(AND(E1733&lt;&gt;"",E1733&lt;&gt;"!!!"),"NEW","")))</f>
        <v> </v>
      </c>
      <c r="G1733" s="24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5" t="str">
        <f>IF(J1733&lt;&gt;1,"",IF(I1733="SBJ","CB","?"))</f>
        <v> </v>
      </c>
      <c r="I1733" s="26" t="str">
        <f>IF(OR(E1733="",E1733="!!!",F1733="NEW"),"",INDEX(B1732:B$2,-1+SUMPRODUCT(MAX(ROW(E1732:E$2)*(E1733=E1732:E$2)))))</f>
        <v> </v>
      </c>
      <c r="J1733" s="26" t="str">
        <f>IF(OR(E1733="",E1733="!!!",F1733="NEW"),"",COUNTBLANK(OFFSET(A$1,,,SUMPRODUCT(MAX(ROW(E$2:E1733)*(E1733=E$2:E1733)))))-COUNTBLANK(OFFSET(A$1,,,SUMPRODUCT(MAX(ROW(E$1:E1732)*(E2=E$1:E1732))))))</f>
        <v> </v>
      </c>
      <c r="K1733" s="26" t="str">
        <f>IF(OR(E1733="",E1733="!!!",F1733="NEW"),"",INDEX(J$1:J1732,SUMPRODUCT(MAX(ROW(E$1:E1732)*(E1733=E$1:E1732)))))</f>
        <v> </v>
      </c>
      <c r="L1733" s="27"/>
    </row>
    <row r="1734" spans="1:12">
      <c r="A1734" s="20" t="s">
        <v>678</v>
      </c>
      <c r="B1734" s="21" t="s">
        <v>809</v>
      </c>
      <c r="C1734" s="21" t="s">
        <v>423</v>
      </c>
      <c r="D1734" s="21" t="s">
        <v>424</v>
      </c>
      <c r="E1734" s="22">
        <f>IF(D1734="?OLD","!!!","")</f>
        <v/>
      </c>
      <c r="F1734" s="23" t="str">
        <f>IF(OR(E1734="",E1734="!!!"),"",IF(NOT(ISNA(VLOOKUP(E1734,E$1:E1733,1,FALSE()))),"OLD",IF(AND(E1734&lt;&gt;"",E1734&lt;&gt;"!!!"),"NEW","")))</f>
        <v> </v>
      </c>
      <c r="G1734" s="24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5" t="str">
        <f>IF(J1734&lt;&gt;1,"",IF(I1734="SBJ","CB","?"))</f>
        <v> </v>
      </c>
      <c r="I1734" s="26" t="str">
        <f>IF(OR(E1734="",E1734="!!!",F1734="NEW"),"",INDEX(B1733:B$2,-1+SUMPRODUCT(MAX(ROW(E1733:E$2)*(E1734=E1733:E$2)))))</f>
        <v> </v>
      </c>
      <c r="J1734" s="26" t="str">
        <f>IF(OR(E1734="",E1734="!!!",F1734="NEW"),"",COUNTBLANK(OFFSET(A$1,,,SUMPRODUCT(MAX(ROW(E$2:E1734)*(E1734=E$2:E1734)))))-COUNTBLANK(OFFSET(A$1,,,SUMPRODUCT(MAX(ROW(E$1:E1733)*(E2=E$1:E1733))))))</f>
        <v> </v>
      </c>
      <c r="K1734" s="26" t="str">
        <f>IF(OR(E1734="",E1734="!!!",F1734="NEW"),"",INDEX(J$1:J1733,SUMPRODUCT(MAX(ROW(E$1:E1733)*(E1734=E$1:E1733)))))</f>
        <v> </v>
      </c>
      <c r="L1734" s="27"/>
    </row>
    <row r="1735" spans="1:12">
      <c r="A1735" s="20" t="s">
        <v>1263</v>
      </c>
      <c r="E1735" s="22">
        <f>IF(D1735="?OLD","!!!","")</f>
        <v/>
      </c>
      <c r="F1735" s="23" t="str">
        <f>IF(OR(E1735="",E1735="!!!"),"",IF(NOT(ISNA(VLOOKUP(E1735,E$1:E1734,1,FALSE()))),"OLD",IF(AND(E1735&lt;&gt;"",E1735&lt;&gt;"!!!"),"NEW","")))</f>
        <v> </v>
      </c>
      <c r="G1735" s="24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5" t="str">
        <f>IF(J1735&lt;&gt;1,"",IF(I1735="SBJ","CB","?"))</f>
        <v> </v>
      </c>
      <c r="I1735" s="26" t="str">
        <f>IF(OR(E1735="",E1735="!!!",F1735="NEW"),"",INDEX(B1734:B$2,-1+SUMPRODUCT(MAX(ROW(E1734:E$2)*(E1735=E1734:E$2)))))</f>
        <v> </v>
      </c>
      <c r="J1735" s="26" t="str">
        <f>IF(OR(E1735="",E1735="!!!",F1735="NEW"),"",COUNTBLANK(OFFSET(A$1,,,SUMPRODUCT(MAX(ROW(E$2:E1735)*(E1735=E$2:E1735)))))-COUNTBLANK(OFFSET(A$1,,,SUMPRODUCT(MAX(ROW(E$1:E1734)*(E2=E$1:E1734))))))</f>
        <v> </v>
      </c>
      <c r="K1735" s="26" t="str">
        <f>IF(OR(E1735="",E1735="!!!",F1735="NEW"),"",INDEX(J$1:J1734,SUMPRODUCT(MAX(ROW(E$1:E1734)*(E1735=E$1:E1734)))))</f>
        <v> </v>
      </c>
      <c r="L1735" s="27"/>
    </row>
    <row r="1736" spans="1:12">
      <c r="A1736" s="20" t="s">
        <v>545</v>
      </c>
      <c r="E1736" s="22">
        <f>IF(D1736="?OLD","!!!","")</f>
        <v/>
      </c>
      <c r="F1736" s="23" t="str">
        <f>IF(OR(E1736="",E1736="!!!"),"",IF(NOT(ISNA(VLOOKUP(E1736,E$1:E1735,1,FALSE()))),"OLD",IF(AND(E1736&lt;&gt;"",E1736&lt;&gt;"!!!"),"NEW","")))</f>
        <v> </v>
      </c>
      <c r="G1736" s="24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5" t="str">
        <f>IF(J1736&lt;&gt;1,"",IF(I1736="SBJ","CB","?"))</f>
        <v> </v>
      </c>
      <c r="I1736" s="26" t="str">
        <f>IF(OR(E1736="",E1736="!!!",F1736="NEW"),"",INDEX(B1735:B$2,-1+SUMPRODUCT(MAX(ROW(E1735:E$2)*(E1736=E1735:E$2)))))</f>
        <v> </v>
      </c>
      <c r="J1736" s="26" t="str">
        <f>IF(OR(E1736="",E1736="!!!",F1736="NEW"),"",COUNTBLANK(OFFSET(A$1,,,SUMPRODUCT(MAX(ROW(E$2:E1736)*(E1736=E$2:E1736)))))-COUNTBLANK(OFFSET(A$1,,,SUMPRODUCT(MAX(ROW(E$1:E1735)*(E2=E$1:E1735))))))</f>
        <v> </v>
      </c>
      <c r="K1736" s="26" t="str">
        <f>IF(OR(E1736="",E1736="!!!",F1736="NEW"),"",INDEX(J$1:J1735,SUMPRODUCT(MAX(ROW(E$1:E1735)*(E1736=E$1:E1735)))))</f>
        <v> </v>
      </c>
      <c r="L1736" s="27"/>
    </row>
    <row r="1737" spans="1:12">
      <c r="A1737" s="20" t="s">
        <v>1264</v>
      </c>
      <c r="E1737" s="22">
        <f>IF(D1737="?OLD","!!!","")</f>
        <v/>
      </c>
      <c r="F1737" s="23" t="str">
        <f>IF(OR(E1737="",E1737="!!!"),"",IF(NOT(ISNA(VLOOKUP(E1737,E$1:E1736,1,FALSE()))),"OLD",IF(AND(E1737&lt;&gt;"",E1737&lt;&gt;"!!!"),"NEW","")))</f>
        <v> </v>
      </c>
      <c r="G1737" s="24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5" t="str">
        <f>IF(J1737&lt;&gt;1,"",IF(I1737="SBJ","CB","?"))</f>
        <v> </v>
      </c>
      <c r="I1737" s="26" t="str">
        <f>IF(OR(E1737="",E1737="!!!",F1737="NEW"),"",INDEX(B1736:B$2,-1+SUMPRODUCT(MAX(ROW(E1736:E$2)*(E1737=E1736:E$2)))))</f>
        <v> </v>
      </c>
      <c r="J1737" s="26" t="str">
        <f>IF(OR(E1737="",E1737="!!!",F1737="NEW"),"",COUNTBLANK(OFFSET(A$1,,,SUMPRODUCT(MAX(ROW(E$2:E1737)*(E1737=E$2:E1737)))))-COUNTBLANK(OFFSET(A$1,,,SUMPRODUCT(MAX(ROW(E$1:E1736)*(E2=E$1:E1736))))))</f>
        <v> </v>
      </c>
      <c r="K1737" s="26" t="str">
        <f>IF(OR(E1737="",E1737="!!!",F1737="NEW"),"",INDEX(J$1:J1736,SUMPRODUCT(MAX(ROW(E$1:E1736)*(E1737=E$1:E1736)))))</f>
        <v> </v>
      </c>
      <c r="L1737" s="27"/>
    </row>
    <row r="1738" spans="1:12">
      <c r="A1738" s="20" t="s">
        <v>1087</v>
      </c>
      <c r="E1738" s="22">
        <f>IF(D1738="?OLD","!!!","")</f>
        <v/>
      </c>
      <c r="F1738" s="23" t="str">
        <f>IF(OR(E1738="",E1738="!!!"),"",IF(NOT(ISNA(VLOOKUP(E1738,E$1:E1737,1,FALSE()))),"OLD",IF(AND(E1738&lt;&gt;"",E1738&lt;&gt;"!!!"),"NEW","")))</f>
        <v> </v>
      </c>
      <c r="G1738" s="24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5" t="str">
        <f>IF(J1738&lt;&gt;1,"",IF(I1738="SBJ","CB","?"))</f>
        <v> </v>
      </c>
      <c r="I1738" s="26" t="str">
        <f>IF(OR(E1738="",E1738="!!!",F1738="NEW"),"",INDEX(B1737:B$2,-1+SUMPRODUCT(MAX(ROW(E1737:E$2)*(E1738=E1737:E$2)))))</f>
        <v> </v>
      </c>
      <c r="J1738" s="26" t="str">
        <f>IF(OR(E1738="",E1738="!!!",F1738="NEW"),"",COUNTBLANK(OFFSET(A$1,,,SUMPRODUCT(MAX(ROW(E$2:E1738)*(E1738=E$2:E1738)))))-COUNTBLANK(OFFSET(A$1,,,SUMPRODUCT(MAX(ROW(E$1:E1737)*(E2=E$1:E1737))))))</f>
        <v> </v>
      </c>
      <c r="K1738" s="26" t="str">
        <f>IF(OR(E1738="",E1738="!!!",F1738="NEW"),"",INDEX(J$1:J1737,SUMPRODUCT(MAX(ROW(E$1:E1737)*(E1738=E$1:E1737)))))</f>
        <v> </v>
      </c>
      <c r="L1738" s="27"/>
    </row>
    <row r="1739" spans="1:12">
      <c r="A1739" s="20" t="s">
        <v>453</v>
      </c>
      <c r="E1739" s="22">
        <f>IF(D1739="?OLD","!!!","")</f>
        <v/>
      </c>
      <c r="F1739" s="23" t="str">
        <f>IF(OR(E1739="",E1739="!!!"),"",IF(NOT(ISNA(VLOOKUP(E1739,E$1:E1738,1,FALSE()))),"OLD",IF(AND(E1739&lt;&gt;"",E1739&lt;&gt;"!!!"),"NEW","")))</f>
        <v> </v>
      </c>
      <c r="G1739" s="24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5" t="str">
        <f>IF(J1739&lt;&gt;1,"",IF(I1739="SBJ","CB","?"))</f>
        <v> </v>
      </c>
      <c r="I1739" s="26" t="str">
        <f>IF(OR(E1739="",E1739="!!!",F1739="NEW"),"",INDEX(B1738:B$2,-1+SUMPRODUCT(MAX(ROW(E1738:E$2)*(E1739=E1738:E$2)))))</f>
        <v> </v>
      </c>
      <c r="J1739" s="26" t="str">
        <f>IF(OR(E1739="",E1739="!!!",F1739="NEW"),"",COUNTBLANK(OFFSET(A$1,,,SUMPRODUCT(MAX(ROW(E$2:E1739)*(E1739=E$2:E1739)))))-COUNTBLANK(OFFSET(A$1,,,SUMPRODUCT(MAX(ROW(E$1:E1738)*(E2=E$1:E1738))))))</f>
        <v> </v>
      </c>
      <c r="K1739" s="26" t="str">
        <f>IF(OR(E1739="",E1739="!!!",F1739="NEW"),"",INDEX(J$1:J1738,SUMPRODUCT(MAX(ROW(E$1:E1738)*(E1739=E$1:E1738)))))</f>
        <v> </v>
      </c>
      <c r="L1739" s="27"/>
    </row>
    <row r="1740" spans="1:12">
      <c r="A1740" s="20" t="s">
        <v>558</v>
      </c>
      <c r="B1740" s="21" t="s">
        <v>1265</v>
      </c>
      <c r="C1740" s="21" t="s">
        <v>481</v>
      </c>
      <c r="E1740" s="22">
        <f>IF(D1740="?OLD","!!!","")</f>
        <v/>
      </c>
      <c r="F1740" s="23" t="str">
        <f>IF(OR(E1740="",E1740="!!!"),"",IF(NOT(ISNA(VLOOKUP(E1740,E$1:E1739,1,FALSE()))),"OLD",IF(AND(E1740&lt;&gt;"",E1740&lt;&gt;"!!!"),"NEW","")))</f>
        <v> </v>
      </c>
      <c r="G1740" s="24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5" t="str">
        <f>IF(J1740&lt;&gt;1,"",IF(I1740="SBJ","CB","?"))</f>
        <v> </v>
      </c>
      <c r="I1740" s="26" t="str">
        <f>IF(OR(E1740="",E1740="!!!",F1740="NEW"),"",INDEX(B1739:B$2,-1+SUMPRODUCT(MAX(ROW(E1739:E$2)*(E1740=E1739:E$2)))))</f>
        <v> </v>
      </c>
      <c r="J1740" s="26" t="str">
        <f>IF(OR(E1740="",E1740="!!!",F1740="NEW"),"",COUNTBLANK(OFFSET(A$1,,,SUMPRODUCT(MAX(ROW(E$2:E1740)*(E1740=E$2:E1740)))))-COUNTBLANK(OFFSET(A$1,,,SUMPRODUCT(MAX(ROW(E$1:E1739)*(E2=E$1:E1739))))))</f>
        <v> </v>
      </c>
      <c r="K1740" s="26" t="str">
        <f>IF(OR(E1740="",E1740="!!!",F1740="NEW"),"",INDEX(J$1:J1739,SUMPRODUCT(MAX(ROW(E$1:E1739)*(E1740=E$1:E1739)))))</f>
        <v> </v>
      </c>
      <c r="L1740" s="27"/>
    </row>
    <row r="1741" spans="1:12">
      <c r="A1741" s="20" t="s">
        <v>492</v>
      </c>
      <c r="B1741" s="21" t="s">
        <v>1266</v>
      </c>
      <c r="C1741" s="21" t="s">
        <v>423</v>
      </c>
      <c r="D1741" s="21" t="s">
        <v>424</v>
      </c>
      <c r="E1741" s="22">
        <f>IF(D1741="?OLD","!!!","")</f>
        <v/>
      </c>
      <c r="F1741" s="23" t="str">
        <f>IF(OR(E1741="",E1741="!!!"),"",IF(NOT(ISNA(VLOOKUP(E1741,E$1:E1740,1,FALSE()))),"OLD",IF(AND(E1741&lt;&gt;"",E1741&lt;&gt;"!!!"),"NEW","")))</f>
        <v> </v>
      </c>
      <c r="G1741" s="24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5" t="str">
        <f>IF(J1741&lt;&gt;1,"",IF(I1741="SBJ","CB","?"))</f>
        <v> </v>
      </c>
      <c r="I1741" s="26" t="str">
        <f>IF(OR(E1741="",E1741="!!!",F1741="NEW"),"",INDEX(B1740:B$2,-1+SUMPRODUCT(MAX(ROW(E1740:E$2)*(E1741=E1740:E$2)))))</f>
        <v> </v>
      </c>
      <c r="J1741" s="26" t="str">
        <f>IF(OR(E1741="",E1741="!!!",F1741="NEW"),"",COUNTBLANK(OFFSET(A$1,,,SUMPRODUCT(MAX(ROW(E$2:E1741)*(E1741=E$2:E1741)))))-COUNTBLANK(OFFSET(A$1,,,SUMPRODUCT(MAX(ROW(E$1:E1740)*(E2=E$1:E1740))))))</f>
        <v> </v>
      </c>
      <c r="K1741" s="26" t="str">
        <f>IF(OR(E1741="",E1741="!!!",F1741="NEW"),"",INDEX(J$1:J1740,SUMPRODUCT(MAX(ROW(E$1:E1740)*(E1741=E$1:E1740)))))</f>
        <v> </v>
      </c>
      <c r="L1741" s="27"/>
    </row>
    <row r="1742" spans="1:12">
      <c r="A1742" s="20" t="s">
        <v>636</v>
      </c>
      <c r="E1742" s="22">
        <f>IF(D1742="?OLD","!!!","")</f>
        <v/>
      </c>
      <c r="F1742" s="23" t="str">
        <f>IF(OR(E1742="",E1742="!!!"),"",IF(NOT(ISNA(VLOOKUP(E1742,E$1:E1741,1,FALSE()))),"OLD",IF(AND(E1742&lt;&gt;"",E1742&lt;&gt;"!!!"),"NEW","")))</f>
        <v> </v>
      </c>
      <c r="G1742" s="24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5" t="str">
        <f>IF(J1742&lt;&gt;1,"",IF(I1742="SBJ","CB","?"))</f>
        <v> </v>
      </c>
      <c r="I1742" s="26" t="str">
        <f>IF(OR(E1742="",E1742="!!!",F1742="NEW"),"",INDEX(B1741:B$2,-1+SUMPRODUCT(MAX(ROW(E1741:E$2)*(E1742=E1741:E$2)))))</f>
        <v> </v>
      </c>
      <c r="J1742" s="26" t="str">
        <f>IF(OR(E1742="",E1742="!!!",F1742="NEW"),"",COUNTBLANK(OFFSET(A$1,,,SUMPRODUCT(MAX(ROW(E$2:E1742)*(E1742=E$2:E1742)))))-COUNTBLANK(OFFSET(A$1,,,SUMPRODUCT(MAX(ROW(E$1:E1741)*(E2=E$1:E1741))))))</f>
        <v> </v>
      </c>
      <c r="K1742" s="26" t="str">
        <f>IF(OR(E1742="",E1742="!!!",F1742="NEW"),"",INDEX(J$1:J1741,SUMPRODUCT(MAX(ROW(E$1:E1741)*(E1742=E$1:E1741)))))</f>
        <v> </v>
      </c>
      <c r="L1742" s="27"/>
    </row>
    <row r="1743" spans="1:12">
      <c r="A1743" s="20" t="s">
        <v>1267</v>
      </c>
      <c r="E1743" s="22">
        <f>IF(D1743="?OLD","!!!","")</f>
        <v/>
      </c>
      <c r="F1743" s="23" t="str">
        <f>IF(OR(E1743="",E1743="!!!"),"",IF(NOT(ISNA(VLOOKUP(E1743,E$1:E1742,1,FALSE()))),"OLD",IF(AND(E1743&lt;&gt;"",E1743&lt;&gt;"!!!"),"NEW","")))</f>
        <v> </v>
      </c>
      <c r="G1743" s="24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5" t="str">
        <f>IF(J1743&lt;&gt;1,"",IF(I1743="SBJ","CB","?"))</f>
        <v> </v>
      </c>
      <c r="I1743" s="26" t="str">
        <f>IF(OR(E1743="",E1743="!!!",F1743="NEW"),"",INDEX(B1742:B$2,-1+SUMPRODUCT(MAX(ROW(E1742:E$2)*(E1743=E1742:E$2)))))</f>
        <v> </v>
      </c>
      <c r="J1743" s="26" t="str">
        <f>IF(OR(E1743="",E1743="!!!",F1743="NEW"),"",COUNTBLANK(OFFSET(A$1,,,SUMPRODUCT(MAX(ROW(E$2:E1743)*(E1743=E$2:E1743)))))-COUNTBLANK(OFFSET(A$1,,,SUMPRODUCT(MAX(ROW(E$1:E1742)*(E2=E$1:E1742))))))</f>
        <v> </v>
      </c>
      <c r="K1743" s="26" t="str">
        <f>IF(OR(E1743="",E1743="!!!",F1743="NEW"),"",INDEX(J$1:J1742,SUMPRODUCT(MAX(ROW(E$1:E1742)*(E1743=E$1:E1742)))))</f>
        <v> </v>
      </c>
      <c r="L1743" s="27"/>
    </row>
    <row r="1744" spans="1:12">
      <c r="A1744" s="20" t="s">
        <v>1219</v>
      </c>
      <c r="E1744" s="22">
        <f>IF(D1744="?OLD","!!!","")</f>
        <v/>
      </c>
      <c r="F1744" s="23" t="str">
        <f>IF(OR(E1744="",E1744="!!!"),"",IF(NOT(ISNA(VLOOKUP(E1744,E$1:E1743,1,FALSE()))),"OLD",IF(AND(E1744&lt;&gt;"",E1744&lt;&gt;"!!!"),"NEW","")))</f>
        <v> </v>
      </c>
      <c r="G1744" s="24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5" t="str">
        <f>IF(J1744&lt;&gt;1,"",IF(I1744="SBJ","CB","?"))</f>
        <v> </v>
      </c>
      <c r="I1744" s="26" t="str">
        <f>IF(OR(E1744="",E1744="!!!",F1744="NEW"),"",INDEX(B1743:B$2,-1+SUMPRODUCT(MAX(ROW(E1743:E$2)*(E1744=E1743:E$2)))))</f>
        <v> </v>
      </c>
      <c r="J1744" s="26" t="str">
        <f>IF(OR(E1744="",E1744="!!!",F1744="NEW"),"",COUNTBLANK(OFFSET(A$1,,,SUMPRODUCT(MAX(ROW(E$2:E1744)*(E1744=E$2:E1744)))))-COUNTBLANK(OFFSET(A$1,,,SUMPRODUCT(MAX(ROW(E$1:E1743)*(E2=E$1:E1743))))))</f>
        <v> </v>
      </c>
      <c r="K1744" s="26" t="str">
        <f>IF(OR(E1744="",E1744="!!!",F1744="NEW"),"",INDEX(J$1:J1743,SUMPRODUCT(MAX(ROW(E$1:E1743)*(E1744=E$1:E1743)))))</f>
        <v> </v>
      </c>
      <c r="L1744" s="27"/>
    </row>
    <row r="1745" spans="1:12">
      <c r="A1745" s="20" t="s">
        <v>438</v>
      </c>
      <c r="E1745" s="22">
        <f>IF(D1745="?OLD","!!!","")</f>
        <v/>
      </c>
      <c r="F1745" s="23" t="str">
        <f>IF(OR(E1745="",E1745="!!!"),"",IF(NOT(ISNA(VLOOKUP(E1745,E$1:E1744,1,FALSE()))),"OLD",IF(AND(E1745&lt;&gt;"",E1745&lt;&gt;"!!!"),"NEW","")))</f>
        <v> </v>
      </c>
      <c r="G1745" s="24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5" t="str">
        <f>IF(J1745&lt;&gt;1,"",IF(I1745="SBJ","CB","?"))</f>
        <v> </v>
      </c>
      <c r="I1745" s="26" t="str">
        <f>IF(OR(E1745="",E1745="!!!",F1745="NEW"),"",INDEX(B1744:B$2,-1+SUMPRODUCT(MAX(ROW(E1744:E$2)*(E1745=E1744:E$2)))))</f>
        <v> </v>
      </c>
      <c r="J1745" s="26" t="str">
        <f>IF(OR(E1745="",E1745="!!!",F1745="NEW"),"",COUNTBLANK(OFFSET(A$1,,,SUMPRODUCT(MAX(ROW(E$2:E1745)*(E1745=E$2:E1745)))))-COUNTBLANK(OFFSET(A$1,,,SUMPRODUCT(MAX(ROW(E$1:E1744)*(E2=E$1:E1744))))))</f>
        <v> </v>
      </c>
      <c r="K1745" s="26" t="str">
        <f>IF(OR(E1745="",E1745="!!!",F1745="NEW"),"",INDEX(J$1:J1744,SUMPRODUCT(MAX(ROW(E$1:E1744)*(E1745=E$1:E1744)))))</f>
        <v> </v>
      </c>
      <c r="L1745" s="27"/>
    </row>
    <row r="1746" spans="1:12">
      <c r="A1746" s="20"/>
    </row>
    <row r="1747" spans="1:12">
      <c r="A1747" s="20" t="s">
        <v>1268</v>
      </c>
    </row>
    <row r="1748" spans="1:12">
      <c r="A1748" s="20" t="s">
        <v>755</v>
      </c>
      <c r="B1748" s="21" t="s">
        <v>422</v>
      </c>
      <c r="C1748" s="21" t="s">
        <v>477</v>
      </c>
      <c r="D1748" s="21" t="s">
        <v>424</v>
      </c>
      <c r="E1748" s="22">
        <f>IF(D1748="?OLD","!!!","")</f>
        <v/>
      </c>
      <c r="F1748" s="23" t="str">
        <f>IF(OR(E1748="",E1748="!!!"),"",IF(NOT(ISNA(VLOOKUP(E1748,E$1:E1747,1,FALSE()))),"OLD",IF(AND(E1748&lt;&gt;"",E1748&lt;&gt;"!!!"),"NEW","")))</f>
        <v> </v>
      </c>
      <c r="G1748" s="24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5" t="str">
        <f>IF(J1748&lt;&gt;1,"",IF(I1748="SBJ","CB","?"))</f>
        <v> </v>
      </c>
      <c r="I1748" s="26" t="str">
        <f>IF(OR(E1748="",E1748="!!!",F1748="NEW"),"",INDEX(B1747:B$2,-1+SUMPRODUCT(MAX(ROW(E1747:E$2)*(E1748=E1747:E$2)))))</f>
        <v> </v>
      </c>
      <c r="J1748" s="26" t="str">
        <f>IF(OR(E1748="",E1748="!!!",F1748="NEW"),"",COUNTBLANK(OFFSET(A$1,,,SUMPRODUCT(MAX(ROW(E$2:E1748)*(E1748=E$2:E1748)))))-COUNTBLANK(OFFSET(A$1,,,SUMPRODUCT(MAX(ROW(E$1:E1747)*(E2=E$1:E1747))))))</f>
        <v> </v>
      </c>
      <c r="K1748" s="26" t="str">
        <f>IF(OR(E1748="",E1748="!!!",F1748="NEW"),"",INDEX(J$1:J1747,SUMPRODUCT(MAX(ROW(E$1:E1747)*(E1748=E$1:E1747)))))</f>
        <v> </v>
      </c>
      <c r="L1748" s="27"/>
    </row>
    <row r="1749" spans="1:12">
      <c r="A1749" s="20" t="s">
        <v>453</v>
      </c>
      <c r="E1749" s="22">
        <f>IF(D1749="?OLD","!!!","")</f>
        <v/>
      </c>
      <c r="F1749" s="23" t="str">
        <f>IF(OR(E1749="",E1749="!!!"),"",IF(NOT(ISNA(VLOOKUP(E1749,E$1:E1748,1,FALSE()))),"OLD",IF(AND(E1749&lt;&gt;"",E1749&lt;&gt;"!!!"),"NEW","")))</f>
        <v> </v>
      </c>
      <c r="G1749" s="24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5" t="str">
        <f>IF(J1749&lt;&gt;1,"",IF(I1749="SBJ","CB","?"))</f>
        <v> </v>
      </c>
      <c r="I1749" s="26" t="str">
        <f>IF(OR(E1749="",E1749="!!!",F1749="NEW"),"",INDEX(B1748:B$2,-1+SUMPRODUCT(MAX(ROW(E1748:E$2)*(E1749=E1748:E$2)))))</f>
        <v> </v>
      </c>
      <c r="J1749" s="26" t="str">
        <f>IF(OR(E1749="",E1749="!!!",F1749="NEW"),"",COUNTBLANK(OFFSET(A$1,,,SUMPRODUCT(MAX(ROW(E$2:E1749)*(E1749=E$2:E1749)))))-COUNTBLANK(OFFSET(A$1,,,SUMPRODUCT(MAX(ROW(E$1:E1748)*(E2=E$1:E1748))))))</f>
        <v> </v>
      </c>
      <c r="K1749" s="26" t="str">
        <f>IF(OR(E1749="",E1749="!!!",F1749="NEW"),"",INDEX(J$1:J1748,SUMPRODUCT(MAX(ROW(E$1:E1748)*(E1749=E$1:E1748)))))</f>
        <v> </v>
      </c>
      <c r="L1749" s="27"/>
    </row>
    <row r="1750" spans="1:12">
      <c r="A1750" s="20" t="s">
        <v>728</v>
      </c>
      <c r="B1750" s="21" t="s">
        <v>556</v>
      </c>
      <c r="C1750" s="21" t="s">
        <v>423</v>
      </c>
      <c r="D1750" s="21" t="s">
        <v>424</v>
      </c>
      <c r="E1750" s="22">
        <f>IF(D1750="?OLD","!!!","")</f>
        <v/>
      </c>
      <c r="F1750" s="23" t="str">
        <f>IF(OR(E1750="",E1750="!!!"),"",IF(NOT(ISNA(VLOOKUP(E1750,E$1:E1749,1,FALSE()))),"OLD",IF(AND(E1750&lt;&gt;"",E1750&lt;&gt;"!!!"),"NEW","")))</f>
        <v> </v>
      </c>
      <c r="G1750" s="24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5" t="str">
        <f>IF(J1750&lt;&gt;1,"",IF(I1750="SBJ","CB","?"))</f>
        <v> </v>
      </c>
      <c r="I1750" s="26" t="str">
        <f>IF(OR(E1750="",E1750="!!!",F1750="NEW"),"",INDEX(B1749:B$2,-1+SUMPRODUCT(MAX(ROW(E1749:E$2)*(E1750=E1749:E$2)))))</f>
        <v> </v>
      </c>
      <c r="J1750" s="26" t="str">
        <f>IF(OR(E1750="",E1750="!!!",F1750="NEW"),"",COUNTBLANK(OFFSET(A$1,,,SUMPRODUCT(MAX(ROW(E$2:E1750)*(E1750=E$2:E1750)))))-COUNTBLANK(OFFSET(A$1,,,SUMPRODUCT(MAX(ROW(E$1:E1749)*(E2=E$1:E1749))))))</f>
        <v> </v>
      </c>
      <c r="K1750" s="26" t="str">
        <f>IF(OR(E1750="",E1750="!!!",F1750="NEW"),"",INDEX(J$1:J1749,SUMPRODUCT(MAX(ROW(E$1:E1749)*(E1750=E$1:E1749)))))</f>
        <v> </v>
      </c>
      <c r="L1750" s="27"/>
    </row>
    <row r="1751" spans="1:12">
      <c r="A1751" s="20" t="s">
        <v>1269</v>
      </c>
      <c r="E1751" s="22">
        <f>IF(D1751="?OLD","!!!","")</f>
        <v/>
      </c>
      <c r="F1751" s="23" t="str">
        <f>IF(OR(E1751="",E1751="!!!"),"",IF(NOT(ISNA(VLOOKUP(E1751,E$1:E1750,1,FALSE()))),"OLD",IF(AND(E1751&lt;&gt;"",E1751&lt;&gt;"!!!"),"NEW","")))</f>
        <v> </v>
      </c>
      <c r="G1751" s="24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5" t="str">
        <f>IF(J1751&lt;&gt;1,"",IF(I1751="SBJ","CB","?"))</f>
        <v> </v>
      </c>
      <c r="I1751" s="26" t="str">
        <f>IF(OR(E1751="",E1751="!!!",F1751="NEW"),"",INDEX(B1750:B$2,-1+SUMPRODUCT(MAX(ROW(E1750:E$2)*(E1751=E1750:E$2)))))</f>
        <v> </v>
      </c>
      <c r="J1751" s="26" t="str">
        <f>IF(OR(E1751="",E1751="!!!",F1751="NEW"),"",COUNTBLANK(OFFSET(A$1,,,SUMPRODUCT(MAX(ROW(E$2:E1751)*(E1751=E$2:E1751)))))-COUNTBLANK(OFFSET(A$1,,,SUMPRODUCT(MAX(ROW(E$1:E1750)*(E2=E$1:E1750))))))</f>
        <v> </v>
      </c>
      <c r="K1751" s="26" t="str">
        <f>IF(OR(E1751="",E1751="!!!",F1751="NEW"),"",INDEX(J$1:J1750,SUMPRODUCT(MAX(ROW(E$1:E1750)*(E1751=E$1:E1750)))))</f>
        <v> </v>
      </c>
      <c r="L1751" s="27"/>
    </row>
    <row r="1752" spans="1:12">
      <c r="A1752" s="20" t="s">
        <v>453</v>
      </c>
      <c r="E1752" s="22">
        <f>IF(D1752="?OLD","!!!","")</f>
        <v/>
      </c>
      <c r="F1752" s="23" t="str">
        <f>IF(OR(E1752="",E1752="!!!"),"",IF(NOT(ISNA(VLOOKUP(E1752,E$1:E1751,1,FALSE()))),"OLD",IF(AND(E1752&lt;&gt;"",E1752&lt;&gt;"!!!"),"NEW","")))</f>
        <v> </v>
      </c>
      <c r="G1752" s="24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5" t="str">
        <f>IF(J1752&lt;&gt;1,"",IF(I1752="SBJ","CB","?"))</f>
        <v> </v>
      </c>
      <c r="I1752" s="26" t="str">
        <f>IF(OR(E1752="",E1752="!!!",F1752="NEW"),"",INDEX(B1751:B$2,-1+SUMPRODUCT(MAX(ROW(E1751:E$2)*(E1752=E1751:E$2)))))</f>
        <v> </v>
      </c>
      <c r="J1752" s="26" t="str">
        <f>IF(OR(E1752="",E1752="!!!",F1752="NEW"),"",COUNTBLANK(OFFSET(A$1,,,SUMPRODUCT(MAX(ROW(E$2:E1752)*(E1752=E$2:E1752)))))-COUNTBLANK(OFFSET(A$1,,,SUMPRODUCT(MAX(ROW(E$1:E1751)*(E2=E$1:E1751))))))</f>
        <v> </v>
      </c>
      <c r="K1752" s="26" t="str">
        <f>IF(OR(E1752="",E1752="!!!",F1752="NEW"),"",INDEX(J$1:J1751,SUMPRODUCT(MAX(ROW(E$1:E1751)*(E1752=E$1:E1751)))))</f>
        <v> </v>
      </c>
      <c r="L1752" s="27"/>
    </row>
    <row r="1753" spans="1:12">
      <c r="A1753" s="20" t="s">
        <v>1270</v>
      </c>
      <c r="E1753" s="22">
        <f>IF(D1753="?OLD","!!!","")</f>
        <v/>
      </c>
      <c r="F1753" s="23" t="str">
        <f>IF(OR(E1753="",E1753="!!!"),"",IF(NOT(ISNA(VLOOKUP(E1753,E$1:E1752,1,FALSE()))),"OLD",IF(AND(E1753&lt;&gt;"",E1753&lt;&gt;"!!!"),"NEW","")))</f>
        <v> </v>
      </c>
      <c r="G1753" s="24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5" t="str">
        <f>IF(J1753&lt;&gt;1,"",IF(I1753="SBJ","CB","?"))</f>
        <v> </v>
      </c>
      <c r="I1753" s="26" t="str">
        <f>IF(OR(E1753="",E1753="!!!",F1753="NEW"),"",INDEX(B1752:B$2,-1+SUMPRODUCT(MAX(ROW(E1752:E$2)*(E1753=E1752:E$2)))))</f>
        <v> </v>
      </c>
      <c r="J1753" s="26" t="str">
        <f>IF(OR(E1753="",E1753="!!!",F1753="NEW"),"",COUNTBLANK(OFFSET(A$1,,,SUMPRODUCT(MAX(ROW(E$2:E1753)*(E1753=E$2:E1753)))))-COUNTBLANK(OFFSET(A$1,,,SUMPRODUCT(MAX(ROW(E$1:E1752)*(E2=E$1:E1752))))))</f>
        <v> </v>
      </c>
      <c r="K1753" s="26" t="str">
        <f>IF(OR(E1753="",E1753="!!!",F1753="NEW"),"",INDEX(J$1:J1752,SUMPRODUCT(MAX(ROW(E$1:E1752)*(E1753=E$1:E1752)))))</f>
        <v> </v>
      </c>
      <c r="L1753" s="27"/>
    </row>
    <row r="1754" spans="1:12">
      <c r="A1754" s="20" t="s">
        <v>1271</v>
      </c>
      <c r="E1754" s="22">
        <f>IF(D1754="?OLD","!!!","")</f>
        <v/>
      </c>
      <c r="F1754" s="23" t="str">
        <f>IF(OR(E1754="",E1754="!!!"),"",IF(NOT(ISNA(VLOOKUP(E1754,E$1:E1753,1,FALSE()))),"OLD",IF(AND(E1754&lt;&gt;"",E1754&lt;&gt;"!!!"),"NEW","")))</f>
        <v> </v>
      </c>
      <c r="G1754" s="24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5" t="str">
        <f>IF(J1754&lt;&gt;1,"",IF(I1754="SBJ","CB","?"))</f>
        <v> </v>
      </c>
      <c r="I1754" s="26" t="str">
        <f>IF(OR(E1754="",E1754="!!!",F1754="NEW"),"",INDEX(B1753:B$2,-1+SUMPRODUCT(MAX(ROW(E1753:E$2)*(E1754=E1753:E$2)))))</f>
        <v> </v>
      </c>
      <c r="J1754" s="26" t="str">
        <f>IF(OR(E1754="",E1754="!!!",F1754="NEW"),"",COUNTBLANK(OFFSET(A$1,,,SUMPRODUCT(MAX(ROW(E$2:E1754)*(E1754=E$2:E1754)))))-COUNTBLANK(OFFSET(A$1,,,SUMPRODUCT(MAX(ROW(E$1:E1753)*(E2=E$1:E1753))))))</f>
        <v> </v>
      </c>
      <c r="K1754" s="26" t="str">
        <f>IF(OR(E1754="",E1754="!!!",F1754="NEW"),"",INDEX(J$1:J1753,SUMPRODUCT(MAX(ROW(E$1:E1753)*(E1754=E$1:E1753)))))</f>
        <v> </v>
      </c>
      <c r="L1754" s="27"/>
    </row>
    <row r="1755" spans="1:12">
      <c r="A1755" s="20" t="s">
        <v>1272</v>
      </c>
      <c r="B1755" s="21" t="s">
        <v>500</v>
      </c>
      <c r="C1755" s="21" t="s">
        <v>448</v>
      </c>
      <c r="E1755" s="22">
        <f>IF(D1755="?OLD","!!!","")</f>
        <v/>
      </c>
      <c r="F1755" s="23" t="str">
        <f>IF(OR(E1755="",E1755="!!!"),"",IF(NOT(ISNA(VLOOKUP(E1755,E$1:E1754,1,FALSE()))),"OLD",IF(AND(E1755&lt;&gt;"",E1755&lt;&gt;"!!!"),"NEW","")))</f>
        <v> </v>
      </c>
      <c r="G1755" s="24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5" t="str">
        <f>IF(J1755&lt;&gt;1,"",IF(I1755="SBJ","CB","?"))</f>
        <v> </v>
      </c>
      <c r="I1755" s="26" t="str">
        <f>IF(OR(E1755="",E1755="!!!",F1755="NEW"),"",INDEX(B1754:B$2,-1+SUMPRODUCT(MAX(ROW(E1754:E$2)*(E1755=E1754:E$2)))))</f>
        <v> </v>
      </c>
      <c r="J1755" s="26" t="str">
        <f>IF(OR(E1755="",E1755="!!!",F1755="NEW"),"",COUNTBLANK(OFFSET(A$1,,,SUMPRODUCT(MAX(ROW(E$2:E1755)*(E1755=E$2:E1755)))))-COUNTBLANK(OFFSET(A$1,,,SUMPRODUCT(MAX(ROW(E$1:E1754)*(E2=E$1:E1754))))))</f>
        <v> </v>
      </c>
      <c r="K1755" s="26" t="str">
        <f>IF(OR(E1755="",E1755="!!!",F1755="NEW"),"",INDEX(J$1:J1754,SUMPRODUCT(MAX(ROW(E$1:E1754)*(E1755=E$1:E1754)))))</f>
        <v> </v>
      </c>
      <c r="L1755" s="27"/>
    </row>
    <row r="1756" spans="1:12">
      <c r="A1756" s="20" t="s">
        <v>453</v>
      </c>
      <c r="E1756" s="22">
        <f>IF(D1756="?OLD","!!!","")</f>
        <v/>
      </c>
      <c r="F1756" s="23" t="str">
        <f>IF(OR(E1756="",E1756="!!!"),"",IF(NOT(ISNA(VLOOKUP(E1756,E$1:E1755,1,FALSE()))),"OLD",IF(AND(E1756&lt;&gt;"",E1756&lt;&gt;"!!!"),"NEW","")))</f>
        <v> </v>
      </c>
      <c r="G1756" s="24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5" t="str">
        <f>IF(J1756&lt;&gt;1,"",IF(I1756="SBJ","CB","?"))</f>
        <v> </v>
      </c>
      <c r="I1756" s="26" t="str">
        <f>IF(OR(E1756="",E1756="!!!",F1756="NEW"),"",INDEX(B1755:B$2,-1+SUMPRODUCT(MAX(ROW(E1755:E$2)*(E1756=E1755:E$2)))))</f>
        <v> </v>
      </c>
      <c r="J1756" s="26" t="str">
        <f>IF(OR(E1756="",E1756="!!!",F1756="NEW"),"",COUNTBLANK(OFFSET(A$1,,,SUMPRODUCT(MAX(ROW(E$2:E1756)*(E1756=E$2:E1756)))))-COUNTBLANK(OFFSET(A$1,,,SUMPRODUCT(MAX(ROW(E$1:E1755)*(E2=E$1:E1755))))))</f>
        <v> </v>
      </c>
      <c r="K1756" s="26" t="str">
        <f>IF(OR(E1756="",E1756="!!!",F1756="NEW"),"",INDEX(J$1:J1755,SUMPRODUCT(MAX(ROW(E$1:E1755)*(E1756=E$1:E1755)))))</f>
        <v> </v>
      </c>
      <c r="L1756" s="27"/>
    </row>
    <row r="1757" spans="1:12">
      <c r="A1757" s="20" t="s">
        <v>602</v>
      </c>
      <c r="E1757" s="22">
        <f>IF(D1757="?OLD","!!!","")</f>
        <v/>
      </c>
      <c r="F1757" s="23" t="str">
        <f>IF(OR(E1757="",E1757="!!!"),"",IF(NOT(ISNA(VLOOKUP(E1757,E$1:E1756,1,FALSE()))),"OLD",IF(AND(E1757&lt;&gt;"",E1757&lt;&gt;"!!!"),"NEW","")))</f>
        <v> </v>
      </c>
      <c r="G1757" s="24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5" t="str">
        <f>IF(J1757&lt;&gt;1,"",IF(I1757="SBJ","CB","?"))</f>
        <v> </v>
      </c>
      <c r="I1757" s="26" t="str">
        <f>IF(OR(E1757="",E1757="!!!",F1757="NEW"),"",INDEX(B1756:B$2,-1+SUMPRODUCT(MAX(ROW(E1756:E$2)*(E1757=E1756:E$2)))))</f>
        <v> </v>
      </c>
      <c r="J1757" s="26" t="str">
        <f>IF(OR(E1757="",E1757="!!!",F1757="NEW"),"",COUNTBLANK(OFFSET(A$1,,,SUMPRODUCT(MAX(ROW(E$2:E1757)*(E1757=E$2:E1757)))))-COUNTBLANK(OFFSET(A$1,,,SUMPRODUCT(MAX(ROW(E$1:E1756)*(E2=E$1:E1756))))))</f>
        <v> </v>
      </c>
      <c r="K1757" s="26" t="str">
        <f>IF(OR(E1757="",E1757="!!!",F1757="NEW"),"",INDEX(J$1:J1756,SUMPRODUCT(MAX(ROW(E$1:E1756)*(E1757=E$1:E1756)))))</f>
        <v> </v>
      </c>
      <c r="L1757" s="27"/>
    </row>
    <row r="1758" spans="1:12">
      <c r="A1758" s="20" t="s">
        <v>482</v>
      </c>
      <c r="B1758" s="21" t="s">
        <v>556</v>
      </c>
      <c r="C1758" s="21" t="s">
        <v>477</v>
      </c>
      <c r="D1758" s="21" t="s">
        <v>424</v>
      </c>
      <c r="E1758" s="22">
        <f>IF(D1758="?OLD","!!!","")</f>
        <v/>
      </c>
      <c r="F1758" s="23" t="str">
        <f>IF(OR(E1758="",E1758="!!!"),"",IF(NOT(ISNA(VLOOKUP(E1758,E$1:E1757,1,FALSE()))),"OLD",IF(AND(E1758&lt;&gt;"",E1758&lt;&gt;"!!!"),"NEW","")))</f>
        <v> </v>
      </c>
      <c r="G1758" s="24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5" t="str">
        <f>IF(J1758&lt;&gt;1,"",IF(I1758="SBJ","CB","?"))</f>
        <v> </v>
      </c>
      <c r="I1758" s="26" t="str">
        <f>IF(OR(E1758="",E1758="!!!",F1758="NEW"),"",INDEX(B1757:B$2,-1+SUMPRODUCT(MAX(ROW(E1757:E$2)*(E1758=E1757:E$2)))))</f>
        <v> </v>
      </c>
      <c r="J1758" s="26" t="str">
        <f>IF(OR(E1758="",E1758="!!!",F1758="NEW"),"",COUNTBLANK(OFFSET(A$1,,,SUMPRODUCT(MAX(ROW(E$2:E1758)*(E1758=E$2:E1758)))))-COUNTBLANK(OFFSET(A$1,,,SUMPRODUCT(MAX(ROW(E$1:E1757)*(E2=E$1:E1757))))))</f>
        <v> </v>
      </c>
      <c r="K1758" s="26" t="str">
        <f>IF(OR(E1758="",E1758="!!!",F1758="NEW"),"",INDEX(J$1:J1757,SUMPRODUCT(MAX(ROW(E$1:E1757)*(E1758=E$1:E1757)))))</f>
        <v> </v>
      </c>
      <c r="L1758" s="27"/>
    </row>
    <row r="1759" spans="1:12">
      <c r="A1759" s="20" t="s">
        <v>1273</v>
      </c>
      <c r="E1759" s="22">
        <f>IF(D1759="?OLD","!!!","")</f>
        <v/>
      </c>
      <c r="F1759" s="23" t="str">
        <f>IF(OR(E1759="",E1759="!!!"),"",IF(NOT(ISNA(VLOOKUP(E1759,E$1:E1758,1,FALSE()))),"OLD",IF(AND(E1759&lt;&gt;"",E1759&lt;&gt;"!!!"),"NEW","")))</f>
        <v> </v>
      </c>
      <c r="G1759" s="24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5" t="str">
        <f>IF(J1759&lt;&gt;1,"",IF(I1759="SBJ","CB","?"))</f>
        <v> </v>
      </c>
      <c r="I1759" s="26" t="str">
        <f>IF(OR(E1759="",E1759="!!!",F1759="NEW"),"",INDEX(B1758:B$2,-1+SUMPRODUCT(MAX(ROW(E1758:E$2)*(E1759=E1758:E$2)))))</f>
        <v> </v>
      </c>
      <c r="J1759" s="26" t="str">
        <f>IF(OR(E1759="",E1759="!!!",F1759="NEW"),"",COUNTBLANK(OFFSET(A$1,,,SUMPRODUCT(MAX(ROW(E$2:E1759)*(E1759=E$2:E1759)))))-COUNTBLANK(OFFSET(A$1,,,SUMPRODUCT(MAX(ROW(E$1:E1758)*(E2=E$1:E1758))))))</f>
        <v> </v>
      </c>
      <c r="K1759" s="26" t="str">
        <f>IF(OR(E1759="",E1759="!!!",F1759="NEW"),"",INDEX(J$1:J1758,SUMPRODUCT(MAX(ROW(E$1:E1758)*(E1759=E$1:E1758)))))</f>
        <v> </v>
      </c>
      <c r="L1759" s="27"/>
    </row>
    <row r="1760" spans="1:12">
      <c r="A1760" s="20" t="s">
        <v>478</v>
      </c>
      <c r="E1760" s="22">
        <f>IF(D1760="?OLD","!!!","")</f>
        <v/>
      </c>
      <c r="F1760" s="23" t="str">
        <f>IF(OR(E1760="",E1760="!!!"),"",IF(NOT(ISNA(VLOOKUP(E1760,E$1:E1759,1,FALSE()))),"OLD",IF(AND(E1760&lt;&gt;"",E1760&lt;&gt;"!!!"),"NEW","")))</f>
        <v> </v>
      </c>
      <c r="G1760" s="24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5" t="str">
        <f>IF(J1760&lt;&gt;1,"",IF(I1760="SBJ","CB","?"))</f>
        <v> </v>
      </c>
      <c r="I1760" s="26" t="str">
        <f>IF(OR(E1760="",E1760="!!!",F1760="NEW"),"",INDEX(B1759:B$2,-1+SUMPRODUCT(MAX(ROW(E1759:E$2)*(E1760=E1759:E$2)))))</f>
        <v> </v>
      </c>
      <c r="J1760" s="26" t="str">
        <f>IF(OR(E1760="",E1760="!!!",F1760="NEW"),"",COUNTBLANK(OFFSET(A$1,,,SUMPRODUCT(MAX(ROW(E$2:E1760)*(E1760=E$2:E1760)))))-COUNTBLANK(OFFSET(A$1,,,SUMPRODUCT(MAX(ROW(E$1:E1759)*(E2=E$1:E1759))))))</f>
        <v> </v>
      </c>
      <c r="K1760" s="26" t="str">
        <f>IF(OR(E1760="",E1760="!!!",F1760="NEW"),"",INDEX(J$1:J1759,SUMPRODUCT(MAX(ROW(E$1:E1759)*(E1760=E$1:E1759)))))</f>
        <v> </v>
      </c>
      <c r="L1760" s="27"/>
    </row>
    <row r="1761" spans="1:12">
      <c r="A1761" s="20" t="s">
        <v>1030</v>
      </c>
      <c r="E1761" s="22">
        <f>IF(D1761="?OLD","!!!","")</f>
        <v/>
      </c>
      <c r="F1761" s="23" t="str">
        <f>IF(OR(E1761="",E1761="!!!"),"",IF(NOT(ISNA(VLOOKUP(E1761,E$1:E1760,1,FALSE()))),"OLD",IF(AND(E1761&lt;&gt;"",E1761&lt;&gt;"!!!"),"NEW","")))</f>
        <v> </v>
      </c>
      <c r="G1761" s="24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5" t="str">
        <f>IF(J1761&lt;&gt;1,"",IF(I1761="SBJ","CB","?"))</f>
        <v> </v>
      </c>
      <c r="I1761" s="26" t="str">
        <f>IF(OR(E1761="",E1761="!!!",F1761="NEW"),"",INDEX(B1760:B$2,-1+SUMPRODUCT(MAX(ROW(E1760:E$2)*(E1761=E1760:E$2)))))</f>
        <v> </v>
      </c>
      <c r="J1761" s="26" t="str">
        <f>IF(OR(E1761="",E1761="!!!",F1761="NEW"),"",COUNTBLANK(OFFSET(A$1,,,SUMPRODUCT(MAX(ROW(E$2:E1761)*(E1761=E$2:E1761)))))-COUNTBLANK(OFFSET(A$1,,,SUMPRODUCT(MAX(ROW(E$1:E1760)*(E2=E$1:E1760))))))</f>
        <v> </v>
      </c>
      <c r="K1761" s="26" t="str">
        <f>IF(OR(E1761="",E1761="!!!",F1761="NEW"),"",INDEX(J$1:J1760,SUMPRODUCT(MAX(ROW(E$1:E1760)*(E1761=E$1:E1760)))))</f>
        <v> </v>
      </c>
      <c r="L1761" s="27"/>
    </row>
    <row r="1762" spans="1:12">
      <c r="A1762" s="20" t="s">
        <v>506</v>
      </c>
      <c r="E1762" s="22">
        <f>IF(D1762="?OLD","!!!","")</f>
        <v/>
      </c>
      <c r="F1762" s="23" t="str">
        <f>IF(OR(E1762="",E1762="!!!"),"",IF(NOT(ISNA(VLOOKUP(E1762,E$1:E1761,1,FALSE()))),"OLD",IF(AND(E1762&lt;&gt;"",E1762&lt;&gt;"!!!"),"NEW","")))</f>
        <v> </v>
      </c>
      <c r="G1762" s="24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5" t="str">
        <f>IF(J1762&lt;&gt;1,"",IF(I1762="SBJ","CB","?"))</f>
        <v> </v>
      </c>
      <c r="I1762" s="26" t="str">
        <f>IF(OR(E1762="",E1762="!!!",F1762="NEW"),"",INDEX(B1761:B$2,-1+SUMPRODUCT(MAX(ROW(E1761:E$2)*(E1762=E1761:E$2)))))</f>
        <v> </v>
      </c>
      <c r="J1762" s="26" t="str">
        <f>IF(OR(E1762="",E1762="!!!",F1762="NEW"),"",COUNTBLANK(OFFSET(A$1,,,SUMPRODUCT(MAX(ROW(E$2:E1762)*(E1762=E$2:E1762)))))-COUNTBLANK(OFFSET(A$1,,,SUMPRODUCT(MAX(ROW(E$1:E1761)*(E2=E$1:E1761))))))</f>
        <v> </v>
      </c>
      <c r="K1762" s="26" t="str">
        <f>IF(OR(E1762="",E1762="!!!",F1762="NEW"),"",INDEX(J$1:J1761,SUMPRODUCT(MAX(ROW(E$1:E1761)*(E1762=E$1:E1761)))))</f>
        <v> </v>
      </c>
      <c r="L1762" s="27"/>
    </row>
    <row r="1763" spans="1:12">
      <c r="A1763" s="20" t="s">
        <v>1274</v>
      </c>
      <c r="E1763" s="22">
        <f>IF(D1763="?OLD","!!!","")</f>
        <v/>
      </c>
      <c r="F1763" s="23" t="str">
        <f>IF(OR(E1763="",E1763="!!!"),"",IF(NOT(ISNA(VLOOKUP(E1763,E$1:E1762,1,FALSE()))),"OLD",IF(AND(E1763&lt;&gt;"",E1763&lt;&gt;"!!!"),"NEW","")))</f>
        <v> </v>
      </c>
      <c r="G1763" s="24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5" t="str">
        <f>IF(J1763&lt;&gt;1,"",IF(I1763="SBJ","CB","?"))</f>
        <v> </v>
      </c>
      <c r="I1763" s="26" t="str">
        <f>IF(OR(E1763="",E1763="!!!",F1763="NEW"),"",INDEX(B1762:B$2,-1+SUMPRODUCT(MAX(ROW(E1762:E$2)*(E1763=E1762:E$2)))))</f>
        <v> </v>
      </c>
      <c r="J1763" s="26" t="str">
        <f>IF(OR(E1763="",E1763="!!!",F1763="NEW"),"",COUNTBLANK(OFFSET(A$1,,,SUMPRODUCT(MAX(ROW(E$2:E1763)*(E1763=E$2:E1763)))))-COUNTBLANK(OFFSET(A$1,,,SUMPRODUCT(MAX(ROW(E$1:E1762)*(E2=E$1:E1762))))))</f>
        <v> </v>
      </c>
      <c r="K1763" s="26" t="str">
        <f>IF(OR(E1763="",E1763="!!!",F1763="NEW"),"",INDEX(J$1:J1762,SUMPRODUCT(MAX(ROW(E$1:E1762)*(E1763=E$1:E1762)))))</f>
        <v> </v>
      </c>
      <c r="L1763" s="27"/>
    </row>
    <row r="1764" spans="1:12">
      <c r="A1764" s="20" t="s">
        <v>438</v>
      </c>
      <c r="E1764" s="22">
        <f>IF(D1764="?OLD","!!!","")</f>
        <v/>
      </c>
      <c r="F1764" s="23" t="str">
        <f>IF(OR(E1764="",E1764="!!!"),"",IF(NOT(ISNA(VLOOKUP(E1764,E$1:E1763,1,FALSE()))),"OLD",IF(AND(E1764&lt;&gt;"",E1764&lt;&gt;"!!!"),"NEW","")))</f>
        <v> </v>
      </c>
      <c r="G1764" s="24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5" t="str">
        <f>IF(J1764&lt;&gt;1,"",IF(I1764="SBJ","CB","?"))</f>
        <v> </v>
      </c>
      <c r="I1764" s="26" t="str">
        <f>IF(OR(E1764="",E1764="!!!",F1764="NEW"),"",INDEX(B1763:B$2,-1+SUMPRODUCT(MAX(ROW(E1763:E$2)*(E1764=E1763:E$2)))))</f>
        <v> </v>
      </c>
      <c r="J1764" s="26" t="str">
        <f>IF(OR(E1764="",E1764="!!!",F1764="NEW"),"",COUNTBLANK(OFFSET(A$1,,,SUMPRODUCT(MAX(ROW(E$2:E1764)*(E1764=E$2:E1764)))))-COUNTBLANK(OFFSET(A$1,,,SUMPRODUCT(MAX(ROW(E$1:E1763)*(E2=E$1:E1763))))))</f>
        <v> </v>
      </c>
      <c r="K1764" s="26" t="str">
        <f>IF(OR(E1764="",E1764="!!!",F1764="NEW"),"",INDEX(J$1:J1763,SUMPRODUCT(MAX(ROW(E$1:E1763)*(E1764=E$1:E1763)))))</f>
        <v> </v>
      </c>
      <c r="L1764" s="27"/>
    </row>
    <row r="1765" spans="1:12">
      <c r="A1765" s="20"/>
    </row>
    <row r="1766" spans="1:12">
      <c r="A1766" s="20" t="s">
        <v>1275</v>
      </c>
    </row>
    <row r="1767" spans="1:12">
      <c r="A1767" s="20" t="s">
        <v>1276</v>
      </c>
      <c r="E1767" s="22">
        <f>IF(D1767="?OLD","!!!","")</f>
        <v/>
      </c>
      <c r="F1767" s="23" t="str">
        <f>IF(OR(E1767="",E1767="!!!"),"",IF(NOT(ISNA(VLOOKUP(E1767,E$1:E1766,1,FALSE()))),"OLD",IF(AND(E1767&lt;&gt;"",E1767&lt;&gt;"!!!"),"NEW","")))</f>
        <v> </v>
      </c>
      <c r="G1767" s="24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5" t="str">
        <f>IF(J1767&lt;&gt;1,"",IF(I1767="SBJ","CB","?"))</f>
        <v> </v>
      </c>
      <c r="I1767" s="26" t="str">
        <f>IF(OR(E1767="",E1767="!!!",F1767="NEW"),"",INDEX(B1766:B$2,-1+SUMPRODUCT(MAX(ROW(E1766:E$2)*(E1767=E1766:E$2)))))</f>
        <v> </v>
      </c>
      <c r="J1767" s="26" t="str">
        <f>IF(OR(E1767="",E1767="!!!",F1767="NEW"),"",COUNTBLANK(OFFSET(A$1,,,SUMPRODUCT(MAX(ROW(E$2:E1767)*(E1767=E$2:E1767)))))-COUNTBLANK(OFFSET(A$1,,,SUMPRODUCT(MAX(ROW(E$1:E1766)*(E2=E$1:E1766))))))</f>
        <v> </v>
      </c>
      <c r="K1767" s="26" t="str">
        <f>IF(OR(E1767="",E1767="!!!",F1767="NEW"),"",INDEX(J$1:J1766,SUMPRODUCT(MAX(ROW(E$1:E1766)*(E1767=E$1:E1766)))))</f>
        <v> </v>
      </c>
      <c r="L1767" s="27"/>
    </row>
    <row r="1768" spans="1:12">
      <c r="A1768" s="20" t="s">
        <v>453</v>
      </c>
      <c r="E1768" s="22">
        <f>IF(D1768="?OLD","!!!","")</f>
        <v/>
      </c>
      <c r="F1768" s="23" t="str">
        <f>IF(OR(E1768="",E1768="!!!"),"",IF(NOT(ISNA(VLOOKUP(E1768,E$1:E1767,1,FALSE()))),"OLD",IF(AND(E1768&lt;&gt;"",E1768&lt;&gt;"!!!"),"NEW","")))</f>
        <v> </v>
      </c>
      <c r="G1768" s="24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5" t="str">
        <f>IF(J1768&lt;&gt;1,"",IF(I1768="SBJ","CB","?"))</f>
        <v> </v>
      </c>
      <c r="I1768" s="26" t="str">
        <f>IF(OR(E1768="",E1768="!!!",F1768="NEW"),"",INDEX(B1767:B$2,-1+SUMPRODUCT(MAX(ROW(E1767:E$2)*(E1768=E1767:E$2)))))</f>
        <v> </v>
      </c>
      <c r="J1768" s="26" t="str">
        <f>IF(OR(E1768="",E1768="!!!",F1768="NEW"),"",COUNTBLANK(OFFSET(A$1,,,SUMPRODUCT(MAX(ROW(E$2:E1768)*(E1768=E$2:E1768)))))-COUNTBLANK(OFFSET(A$1,,,SUMPRODUCT(MAX(ROW(E$1:E1767)*(E2=E$1:E1767))))))</f>
        <v> </v>
      </c>
      <c r="K1768" s="26" t="str">
        <f>IF(OR(E1768="",E1768="!!!",F1768="NEW"),"",INDEX(J$1:J1767,SUMPRODUCT(MAX(ROW(E$1:E1767)*(E1768=E$1:E1767)))))</f>
        <v> </v>
      </c>
      <c r="L1768" s="27"/>
    </row>
    <row r="1769" spans="1:12">
      <c r="A1769" s="20" t="s">
        <v>1277</v>
      </c>
      <c r="B1769" s="21" t="s">
        <v>422</v>
      </c>
      <c r="E1769" s="22">
        <f>IF(D1769="?OLD","!!!","")</f>
        <v/>
      </c>
      <c r="F1769" s="23" t="str">
        <f>IF(OR(E1769="",E1769="!!!"),"",IF(NOT(ISNA(VLOOKUP(E1769,E$1:E1768,1,FALSE()))),"OLD",IF(AND(E1769&lt;&gt;"",E1769&lt;&gt;"!!!"),"NEW","")))</f>
        <v> </v>
      </c>
      <c r="G1769" s="24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5" t="str">
        <f>IF(J1769&lt;&gt;1,"",IF(I1769="SBJ","CB","?"))</f>
        <v> </v>
      </c>
      <c r="I1769" s="26" t="str">
        <f>IF(OR(E1769="",E1769="!!!",F1769="NEW"),"",INDEX(B1768:B$2,-1+SUMPRODUCT(MAX(ROW(E1768:E$2)*(E1769=E1768:E$2)))))</f>
        <v> </v>
      </c>
      <c r="J1769" s="26" t="str">
        <f>IF(OR(E1769="",E1769="!!!",F1769="NEW"),"",COUNTBLANK(OFFSET(A$1,,,SUMPRODUCT(MAX(ROW(E$2:E1769)*(E1769=E$2:E1769)))))-COUNTBLANK(OFFSET(A$1,,,SUMPRODUCT(MAX(ROW(E$1:E1768)*(E2=E$1:E1768))))))</f>
        <v> </v>
      </c>
      <c r="K1769" s="26" t="str">
        <f>IF(OR(E1769="",E1769="!!!",F1769="NEW"),"",INDEX(J$1:J1768,SUMPRODUCT(MAX(ROW(E$1:E1768)*(E1769=E$1:E1768)))))</f>
        <v> </v>
      </c>
      <c r="L1769" s="27"/>
    </row>
    <row r="1770" spans="1:12">
      <c r="A1770" s="20" t="s">
        <v>1027</v>
      </c>
      <c r="E1770" s="22">
        <f>IF(D1770="?OLD","!!!","")</f>
        <v/>
      </c>
      <c r="F1770" s="23" t="str">
        <f>IF(OR(E1770="",E1770="!!!"),"",IF(NOT(ISNA(VLOOKUP(E1770,E$1:E1769,1,FALSE()))),"OLD",IF(AND(E1770&lt;&gt;"",E1770&lt;&gt;"!!!"),"NEW","")))</f>
        <v> </v>
      </c>
      <c r="G1770" s="24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5" t="str">
        <f>IF(J1770&lt;&gt;1,"",IF(I1770="SBJ","CB","?"))</f>
        <v> </v>
      </c>
      <c r="I1770" s="26" t="str">
        <f>IF(OR(E1770="",E1770="!!!",F1770="NEW"),"",INDEX(B1769:B$2,-1+SUMPRODUCT(MAX(ROW(E1769:E$2)*(E1770=E1769:E$2)))))</f>
        <v> </v>
      </c>
      <c r="J1770" s="26" t="str">
        <f>IF(OR(E1770="",E1770="!!!",F1770="NEW"),"",COUNTBLANK(OFFSET(A$1,,,SUMPRODUCT(MAX(ROW(E$2:E1770)*(E1770=E$2:E1770)))))-COUNTBLANK(OFFSET(A$1,,,SUMPRODUCT(MAX(ROW(E$1:E1769)*(E2=E$1:E1769))))))</f>
        <v> </v>
      </c>
      <c r="K1770" s="26" t="str">
        <f>IF(OR(E1770="",E1770="!!!",F1770="NEW"),"",INDEX(J$1:J1769,SUMPRODUCT(MAX(ROW(E$1:E1769)*(E1770=E$1:E1769)))))</f>
        <v> </v>
      </c>
      <c r="L1770" s="27"/>
    </row>
    <row r="1771" spans="1:12">
      <c r="A1771" s="20" t="s">
        <v>1278</v>
      </c>
      <c r="E1771" s="22">
        <f>IF(D1771="?OLD","!!!","")</f>
        <v/>
      </c>
      <c r="F1771" s="23" t="str">
        <f>IF(OR(E1771="",E1771="!!!"),"",IF(NOT(ISNA(VLOOKUP(E1771,E$1:E1770,1,FALSE()))),"OLD",IF(AND(E1771&lt;&gt;"",E1771&lt;&gt;"!!!"),"NEW","")))</f>
        <v> </v>
      </c>
      <c r="G1771" s="24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5" t="str">
        <f>IF(J1771&lt;&gt;1,"",IF(I1771="SBJ","CB","?"))</f>
        <v> </v>
      </c>
      <c r="I1771" s="26" t="str">
        <f>IF(OR(E1771="",E1771="!!!",F1771="NEW"),"",INDEX(B1770:B$2,-1+SUMPRODUCT(MAX(ROW(E1770:E$2)*(E1771=E1770:E$2)))))</f>
        <v> </v>
      </c>
      <c r="J1771" s="26" t="str">
        <f>IF(OR(E1771="",E1771="!!!",F1771="NEW"),"",COUNTBLANK(OFFSET(A$1,,,SUMPRODUCT(MAX(ROW(E$2:E1771)*(E1771=E$2:E1771)))))-COUNTBLANK(OFFSET(A$1,,,SUMPRODUCT(MAX(ROW(E$1:E1770)*(E2=E$1:E1770))))))</f>
        <v> </v>
      </c>
      <c r="K1771" s="26" t="str">
        <f>IF(OR(E1771="",E1771="!!!",F1771="NEW"),"",INDEX(J$1:J1770,SUMPRODUCT(MAX(ROW(E$1:E1770)*(E1771=E$1:E1770)))))</f>
        <v> </v>
      </c>
      <c r="L1771" s="27"/>
    </row>
    <row r="1772" spans="1:12">
      <c r="A1772" s="20" t="s">
        <v>1028</v>
      </c>
      <c r="E1772" s="22">
        <f>IF(D1772="?OLD","!!!","")</f>
        <v/>
      </c>
      <c r="F1772" s="23" t="str">
        <f>IF(OR(E1772="",E1772="!!!"),"",IF(NOT(ISNA(VLOOKUP(E1772,E$1:E1771,1,FALSE()))),"OLD",IF(AND(E1772&lt;&gt;"",E1772&lt;&gt;"!!!"),"NEW","")))</f>
        <v> </v>
      </c>
      <c r="G1772" s="24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5" t="str">
        <f>IF(J1772&lt;&gt;1,"",IF(I1772="SBJ","CB","?"))</f>
        <v> </v>
      </c>
      <c r="I1772" s="26" t="str">
        <f>IF(OR(E1772="",E1772="!!!",F1772="NEW"),"",INDEX(B1771:B$2,-1+SUMPRODUCT(MAX(ROW(E1771:E$2)*(E1772=E1771:E$2)))))</f>
        <v> </v>
      </c>
      <c r="J1772" s="26" t="str">
        <f>IF(OR(E1772="",E1772="!!!",F1772="NEW"),"",COUNTBLANK(OFFSET(A$1,,,SUMPRODUCT(MAX(ROW(E$2:E1772)*(E1772=E$2:E1772)))))-COUNTBLANK(OFFSET(A$1,,,SUMPRODUCT(MAX(ROW(E$1:E1771)*(E2=E$1:E1771))))))</f>
        <v> </v>
      </c>
      <c r="K1772" s="26" t="str">
        <f>IF(OR(E1772="",E1772="!!!",F1772="NEW"),"",INDEX(J$1:J1771,SUMPRODUCT(MAX(ROW(E$1:E1771)*(E1772=E$1:E1771)))))</f>
        <v> </v>
      </c>
      <c r="L1772" s="27"/>
    </row>
    <row r="1773" spans="1:12">
      <c r="A1773" s="20" t="s">
        <v>811</v>
      </c>
      <c r="B1773" s="21" t="s">
        <v>533</v>
      </c>
      <c r="C1773" s="21" t="s">
        <v>477</v>
      </c>
      <c r="D1773" s="21" t="s">
        <v>424</v>
      </c>
      <c r="E1773" s="22">
        <f>IF(D1773="?OLD","!!!","")</f>
        <v/>
      </c>
      <c r="F1773" s="23" t="str">
        <f>IF(OR(E1773="",E1773="!!!"),"",IF(NOT(ISNA(VLOOKUP(E1773,E$1:E1772,1,FALSE()))),"OLD",IF(AND(E1773&lt;&gt;"",E1773&lt;&gt;"!!!"),"NEW","")))</f>
        <v> </v>
      </c>
      <c r="G1773" s="24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5" t="str">
        <f>IF(J1773&lt;&gt;1,"",IF(I1773="SBJ","CB","?"))</f>
        <v> </v>
      </c>
      <c r="I1773" s="26" t="str">
        <f>IF(OR(E1773="",E1773="!!!",F1773="NEW"),"",INDEX(B1772:B$2,-1+SUMPRODUCT(MAX(ROW(E1772:E$2)*(E1773=E1772:E$2)))))</f>
        <v> </v>
      </c>
      <c r="J1773" s="26" t="str">
        <f>IF(OR(E1773="",E1773="!!!",F1773="NEW"),"",COUNTBLANK(OFFSET(A$1,,,SUMPRODUCT(MAX(ROW(E$2:E1773)*(E1773=E$2:E1773)))))-COUNTBLANK(OFFSET(A$1,,,SUMPRODUCT(MAX(ROW(E$1:E1772)*(E2=E$1:E1772))))))</f>
        <v> </v>
      </c>
      <c r="K1773" s="26" t="str">
        <f>IF(OR(E1773="",E1773="!!!",F1773="NEW"),"",INDEX(J$1:J1772,SUMPRODUCT(MAX(ROW(E$1:E1772)*(E1773=E$1:E1772)))))</f>
        <v> </v>
      </c>
      <c r="L1773" s="27"/>
    </row>
    <row r="1774" spans="1:12">
      <c r="A1774" s="20" t="s">
        <v>438</v>
      </c>
      <c r="E1774" s="22">
        <f>IF(D1774="?OLD","!!!","")</f>
        <v/>
      </c>
      <c r="F1774" s="23" t="str">
        <f>IF(OR(E1774="",E1774="!!!"),"",IF(NOT(ISNA(VLOOKUP(E1774,E$1:E1773,1,FALSE()))),"OLD",IF(AND(E1774&lt;&gt;"",E1774&lt;&gt;"!!!"),"NEW","")))</f>
        <v> </v>
      </c>
      <c r="G1774" s="24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5" t="str">
        <f>IF(J1774&lt;&gt;1,"",IF(I1774="SBJ","CB","?"))</f>
        <v> </v>
      </c>
      <c r="I1774" s="26" t="str">
        <f>IF(OR(E1774="",E1774="!!!",F1774="NEW"),"",INDEX(B1773:B$2,-1+SUMPRODUCT(MAX(ROW(E1773:E$2)*(E1774=E1773:E$2)))))</f>
        <v> </v>
      </c>
      <c r="J1774" s="26" t="str">
        <f>IF(OR(E1774="",E1774="!!!",F1774="NEW"),"",COUNTBLANK(OFFSET(A$1,,,SUMPRODUCT(MAX(ROW(E$2:E1774)*(E1774=E$2:E1774)))))-COUNTBLANK(OFFSET(A$1,,,SUMPRODUCT(MAX(ROW(E$1:E1773)*(E2=E$1:E1773))))))</f>
        <v> </v>
      </c>
      <c r="K1774" s="26" t="str">
        <f>IF(OR(E1774="",E1774="!!!",F1774="NEW"),"",INDEX(J$1:J1773,SUMPRODUCT(MAX(ROW(E$1:E1773)*(E1774=E$1:E1773)))))</f>
        <v> </v>
      </c>
      <c r="L1774" s="27"/>
    </row>
    <row r="1775" spans="1:12">
      <c r="A1775" s="20"/>
    </row>
    <row r="1776" spans="1:12">
      <c r="A1776" s="20" t="s">
        <v>1279</v>
      </c>
    </row>
    <row r="1777" spans="1:12">
      <c r="A1777" s="20" t="s">
        <v>1072</v>
      </c>
      <c r="E1777" s="22">
        <f>IF(D1777="?OLD","!!!","")</f>
        <v/>
      </c>
      <c r="F1777" s="23" t="str">
        <f>IF(OR(E1777="",E1777="!!!"),"",IF(NOT(ISNA(VLOOKUP(E1777,E$1:E1776,1,FALSE()))),"OLD",IF(AND(E1777&lt;&gt;"",E1777&lt;&gt;"!!!"),"NEW","")))</f>
        <v> </v>
      </c>
      <c r="G1777" s="24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5" t="str">
        <f>IF(J1777&lt;&gt;1,"",IF(I1777="SBJ","CB","?"))</f>
        <v> </v>
      </c>
      <c r="I1777" s="26" t="str">
        <f>IF(OR(E1777="",E1777="!!!",F1777="NEW"),"",INDEX(B1776:B$2,-1+SUMPRODUCT(MAX(ROW(E1776:E$2)*(E1777=E1776:E$2)))))</f>
        <v> </v>
      </c>
      <c r="J1777" s="26" t="str">
        <f>IF(OR(E1777="",E1777="!!!",F1777="NEW"),"",COUNTBLANK(OFFSET(A$1,,,SUMPRODUCT(MAX(ROW(E$2:E1777)*(E1777=E$2:E1777)))))-COUNTBLANK(OFFSET(A$1,,,SUMPRODUCT(MAX(ROW(E$1:E1776)*(E2=E$1:E1776))))))</f>
        <v> </v>
      </c>
      <c r="K1777" s="26" t="str">
        <f>IF(OR(E1777="",E1777="!!!",F1777="NEW"),"",INDEX(J$1:J1776,SUMPRODUCT(MAX(ROW(E$1:E1776)*(E1777=E$1:E1776)))))</f>
        <v> </v>
      </c>
      <c r="L1777" s="27"/>
    </row>
    <row r="1778" spans="1:12">
      <c r="A1778" s="20" t="s">
        <v>995</v>
      </c>
      <c r="E1778" s="22">
        <f>IF(D1778="?OLD","!!!","")</f>
        <v/>
      </c>
      <c r="F1778" s="23" t="str">
        <f>IF(OR(E1778="",E1778="!!!"),"",IF(NOT(ISNA(VLOOKUP(E1778,E$1:E1777,1,FALSE()))),"OLD",IF(AND(E1778&lt;&gt;"",E1778&lt;&gt;"!!!"),"NEW","")))</f>
        <v> </v>
      </c>
      <c r="G1778" s="24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5" t="str">
        <f>IF(J1778&lt;&gt;1,"",IF(I1778="SBJ","CB","?"))</f>
        <v> </v>
      </c>
      <c r="I1778" s="26" t="str">
        <f>IF(OR(E1778="",E1778="!!!",F1778="NEW"),"",INDEX(B1777:B$2,-1+SUMPRODUCT(MAX(ROW(E1777:E$2)*(E1778=E1777:E$2)))))</f>
        <v> </v>
      </c>
      <c r="J1778" s="26" t="str">
        <f>IF(OR(E1778="",E1778="!!!",F1778="NEW"),"",COUNTBLANK(OFFSET(A$1,,,SUMPRODUCT(MAX(ROW(E$2:E1778)*(E1778=E$2:E1778)))))-COUNTBLANK(OFFSET(A$1,,,SUMPRODUCT(MAX(ROW(E$1:E1777)*(E2=E$1:E1777))))))</f>
        <v> </v>
      </c>
      <c r="K1778" s="26" t="str">
        <f>IF(OR(E1778="",E1778="!!!",F1778="NEW"),"",INDEX(J$1:J1777,SUMPRODUCT(MAX(ROW(E$1:E1777)*(E1778=E$1:E1777)))))</f>
        <v> </v>
      </c>
      <c r="L1778" s="27"/>
    </row>
    <row r="1779" spans="1:12">
      <c r="A1779" s="20" t="s">
        <v>1280</v>
      </c>
      <c r="E1779" s="22">
        <f>IF(D1779="?OLD","!!!","")</f>
        <v/>
      </c>
      <c r="F1779" s="23" t="str">
        <f>IF(OR(E1779="",E1779="!!!"),"",IF(NOT(ISNA(VLOOKUP(E1779,E$1:E1778,1,FALSE()))),"OLD",IF(AND(E1779&lt;&gt;"",E1779&lt;&gt;"!!!"),"NEW","")))</f>
        <v> </v>
      </c>
      <c r="G1779" s="24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5" t="str">
        <f>IF(J1779&lt;&gt;1,"",IF(I1779="SBJ","CB","?"))</f>
        <v> </v>
      </c>
      <c r="I1779" s="26" t="str">
        <f>IF(OR(E1779="",E1779="!!!",F1779="NEW"),"",INDEX(B1778:B$2,-1+SUMPRODUCT(MAX(ROW(E1778:E$2)*(E1779=E1778:E$2)))))</f>
        <v> </v>
      </c>
      <c r="J1779" s="26" t="str">
        <f>IF(OR(E1779="",E1779="!!!",F1779="NEW"),"",COUNTBLANK(OFFSET(A$1,,,SUMPRODUCT(MAX(ROW(E$2:E1779)*(E1779=E$2:E1779)))))-COUNTBLANK(OFFSET(A$1,,,SUMPRODUCT(MAX(ROW(E$1:E1778)*(E2=E$1:E1778))))))</f>
        <v> </v>
      </c>
      <c r="K1779" s="26" t="str">
        <f>IF(OR(E1779="",E1779="!!!",F1779="NEW"),"",INDEX(J$1:J1778,SUMPRODUCT(MAX(ROW(E$1:E1778)*(E1779=E$1:E1778)))))</f>
        <v> </v>
      </c>
      <c r="L1779" s="27"/>
    </row>
    <row r="1780" spans="1:12">
      <c r="A1780" s="20" t="s">
        <v>1281</v>
      </c>
      <c r="B1780" s="21" t="s">
        <v>422</v>
      </c>
      <c r="C1780" s="21" t="s">
        <v>516</v>
      </c>
      <c r="E1780" s="22">
        <f>IF(D1780="?OLD","!!!","")</f>
        <v/>
      </c>
      <c r="F1780" s="23" t="str">
        <f>IF(OR(E1780="",E1780="!!!"),"",IF(NOT(ISNA(VLOOKUP(E1780,E$1:E1779,1,FALSE()))),"OLD",IF(AND(E1780&lt;&gt;"",E1780&lt;&gt;"!!!"),"NEW","")))</f>
        <v> </v>
      </c>
      <c r="G1780" s="24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5" t="str">
        <f>IF(J1780&lt;&gt;1,"",IF(I1780="SBJ","CB","?"))</f>
        <v> </v>
      </c>
      <c r="I1780" s="26" t="str">
        <f>IF(OR(E1780="",E1780="!!!",F1780="NEW"),"",INDEX(B1779:B$2,-1+SUMPRODUCT(MAX(ROW(E1779:E$2)*(E1780=E1779:E$2)))))</f>
        <v> </v>
      </c>
      <c r="J1780" s="26" t="str">
        <f>IF(OR(E1780="",E1780="!!!",F1780="NEW"),"",COUNTBLANK(OFFSET(A$1,,,SUMPRODUCT(MAX(ROW(E$2:E1780)*(E1780=E$2:E1780)))))-COUNTBLANK(OFFSET(A$1,,,SUMPRODUCT(MAX(ROW(E$1:E1779)*(E2=E$1:E1779))))))</f>
        <v> </v>
      </c>
      <c r="K1780" s="26" t="str">
        <f>IF(OR(E1780="",E1780="!!!",F1780="NEW"),"",INDEX(J$1:J1779,SUMPRODUCT(MAX(ROW(E$1:E1779)*(E1780=E$1:E1779)))))</f>
        <v> </v>
      </c>
      <c r="L1780" s="27"/>
    </row>
    <row r="1781" spans="1:12">
      <c r="A1781" s="20" t="s">
        <v>453</v>
      </c>
      <c r="E1781" s="22">
        <f>IF(D1781="?OLD","!!!","")</f>
        <v/>
      </c>
      <c r="F1781" s="23" t="str">
        <f>IF(OR(E1781="",E1781="!!!"),"",IF(NOT(ISNA(VLOOKUP(E1781,E$1:E1780,1,FALSE()))),"OLD",IF(AND(E1781&lt;&gt;"",E1781&lt;&gt;"!!!"),"NEW","")))</f>
        <v> </v>
      </c>
      <c r="G1781" s="24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5" t="str">
        <f>IF(J1781&lt;&gt;1,"",IF(I1781="SBJ","CB","?"))</f>
        <v> </v>
      </c>
      <c r="I1781" s="26" t="str">
        <f>IF(OR(E1781="",E1781="!!!",F1781="NEW"),"",INDEX(B1780:B$2,-1+SUMPRODUCT(MAX(ROW(E1780:E$2)*(E1781=E1780:E$2)))))</f>
        <v> </v>
      </c>
      <c r="J1781" s="26" t="str">
        <f>IF(OR(E1781="",E1781="!!!",F1781="NEW"),"",COUNTBLANK(OFFSET(A$1,,,SUMPRODUCT(MAX(ROW(E$2:E1781)*(E1781=E$2:E1781)))))-COUNTBLANK(OFFSET(A$1,,,SUMPRODUCT(MAX(ROW(E$1:E1780)*(E2=E$1:E1780))))))</f>
        <v> </v>
      </c>
      <c r="K1781" s="26" t="str">
        <f>IF(OR(E1781="",E1781="!!!",F1781="NEW"),"",INDEX(J$1:J1780,SUMPRODUCT(MAX(ROW(E$1:E1780)*(E1781=E$1:E1780)))))</f>
        <v> </v>
      </c>
      <c r="L1781" s="27"/>
    </row>
    <row r="1782" spans="1:12">
      <c r="A1782" s="20" t="s">
        <v>1062</v>
      </c>
      <c r="B1782" s="21" t="s">
        <v>462</v>
      </c>
      <c r="C1782" s="21" t="s">
        <v>481</v>
      </c>
      <c r="E1782" s="22">
        <f>IF(D1782="?OLD","!!!","")</f>
        <v/>
      </c>
      <c r="F1782" s="23" t="str">
        <f>IF(OR(E1782="",E1782="!!!"),"",IF(NOT(ISNA(VLOOKUP(E1782,E$1:E1781,1,FALSE()))),"OLD",IF(AND(E1782&lt;&gt;"",E1782&lt;&gt;"!!!"),"NEW","")))</f>
        <v> </v>
      </c>
      <c r="G1782" s="24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5" t="str">
        <f>IF(J1782&lt;&gt;1,"",IF(I1782="SBJ","CB","?"))</f>
        <v> </v>
      </c>
      <c r="I1782" s="26" t="str">
        <f>IF(OR(E1782="",E1782="!!!",F1782="NEW"),"",INDEX(B1781:B$2,-1+SUMPRODUCT(MAX(ROW(E1781:E$2)*(E1782=E1781:E$2)))))</f>
        <v> </v>
      </c>
      <c r="J1782" s="26" t="str">
        <f>IF(OR(E1782="",E1782="!!!",F1782="NEW"),"",COUNTBLANK(OFFSET(A$1,,,SUMPRODUCT(MAX(ROW(E$2:E1782)*(E1782=E$2:E1782)))))-COUNTBLANK(OFFSET(A$1,,,SUMPRODUCT(MAX(ROW(E$1:E1781)*(E2=E$1:E1781))))))</f>
        <v> </v>
      </c>
      <c r="K1782" s="26" t="str">
        <f>IF(OR(E1782="",E1782="!!!",F1782="NEW"),"",INDEX(J$1:J1781,SUMPRODUCT(MAX(ROW(E$1:E1781)*(E1782=E$1:E1781)))))</f>
        <v> </v>
      </c>
      <c r="L1782" s="27"/>
    </row>
    <row r="1783" spans="1:12">
      <c r="A1783" s="20" t="s">
        <v>636</v>
      </c>
      <c r="E1783" s="22">
        <f>IF(D1783="?OLD","!!!","")</f>
        <v/>
      </c>
      <c r="F1783" s="23" t="str">
        <f>IF(OR(E1783="",E1783="!!!"),"",IF(NOT(ISNA(VLOOKUP(E1783,E$1:E1782,1,FALSE()))),"OLD",IF(AND(E1783&lt;&gt;"",E1783&lt;&gt;"!!!"),"NEW","")))</f>
        <v> </v>
      </c>
      <c r="G1783" s="24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5" t="str">
        <f>IF(J1783&lt;&gt;1,"",IF(I1783="SBJ","CB","?"))</f>
        <v> </v>
      </c>
      <c r="I1783" s="26" t="str">
        <f>IF(OR(E1783="",E1783="!!!",F1783="NEW"),"",INDEX(B1782:B$2,-1+SUMPRODUCT(MAX(ROW(E1782:E$2)*(E1783=E1782:E$2)))))</f>
        <v> </v>
      </c>
      <c r="J1783" s="26" t="str">
        <f>IF(OR(E1783="",E1783="!!!",F1783="NEW"),"",COUNTBLANK(OFFSET(A$1,,,SUMPRODUCT(MAX(ROW(E$2:E1783)*(E1783=E$2:E1783)))))-COUNTBLANK(OFFSET(A$1,,,SUMPRODUCT(MAX(ROW(E$1:E1782)*(E2=E$1:E1782))))))</f>
        <v> </v>
      </c>
      <c r="K1783" s="26" t="str">
        <f>IF(OR(E1783="",E1783="!!!",F1783="NEW"),"",INDEX(J$1:J1782,SUMPRODUCT(MAX(ROW(E$1:E1782)*(E1783=E$1:E1782)))))</f>
        <v> </v>
      </c>
      <c r="L1783" s="27"/>
    </row>
    <row r="1784" spans="1:12">
      <c r="A1784" s="20" t="s">
        <v>1282</v>
      </c>
      <c r="E1784" s="22">
        <f>IF(D1784="?OLD","!!!","")</f>
        <v/>
      </c>
      <c r="F1784" s="23" t="str">
        <f>IF(OR(E1784="",E1784="!!!"),"",IF(NOT(ISNA(VLOOKUP(E1784,E$1:E1783,1,FALSE()))),"OLD",IF(AND(E1784&lt;&gt;"",E1784&lt;&gt;"!!!"),"NEW","")))</f>
        <v> </v>
      </c>
      <c r="G1784" s="24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5" t="str">
        <f>IF(J1784&lt;&gt;1,"",IF(I1784="SBJ","CB","?"))</f>
        <v> </v>
      </c>
      <c r="I1784" s="26" t="str">
        <f>IF(OR(E1784="",E1784="!!!",F1784="NEW"),"",INDEX(B1783:B$2,-1+SUMPRODUCT(MAX(ROW(E1783:E$2)*(E1784=E1783:E$2)))))</f>
        <v> </v>
      </c>
      <c r="J1784" s="26" t="str">
        <f>IF(OR(E1784="",E1784="!!!",F1784="NEW"),"",COUNTBLANK(OFFSET(A$1,,,SUMPRODUCT(MAX(ROW(E$2:E1784)*(E1784=E$2:E1784)))))-COUNTBLANK(OFFSET(A$1,,,SUMPRODUCT(MAX(ROW(E$1:E1783)*(E2=E$1:E1783))))))</f>
        <v> </v>
      </c>
      <c r="K1784" s="26" t="str">
        <f>IF(OR(E1784="",E1784="!!!",F1784="NEW"),"",INDEX(J$1:J1783,SUMPRODUCT(MAX(ROW(E$1:E1783)*(E1784=E$1:E1783)))))</f>
        <v> </v>
      </c>
      <c r="L1784" s="27"/>
    </row>
    <row r="1785" spans="1:12">
      <c r="A1785" s="20" t="s">
        <v>1283</v>
      </c>
      <c r="E1785" s="22">
        <f>IF(D1785="?OLD","!!!","")</f>
        <v/>
      </c>
      <c r="F1785" s="23" t="str">
        <f>IF(OR(E1785="",E1785="!!!"),"",IF(NOT(ISNA(VLOOKUP(E1785,E$1:E1784,1,FALSE()))),"OLD",IF(AND(E1785&lt;&gt;"",E1785&lt;&gt;"!!!"),"NEW","")))</f>
        <v> </v>
      </c>
      <c r="G1785" s="24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5" t="str">
        <f>IF(J1785&lt;&gt;1,"",IF(I1785="SBJ","CB","?"))</f>
        <v> </v>
      </c>
      <c r="I1785" s="26" t="str">
        <f>IF(OR(E1785="",E1785="!!!",F1785="NEW"),"",INDEX(B1784:B$2,-1+SUMPRODUCT(MAX(ROW(E1784:E$2)*(E1785=E1784:E$2)))))</f>
        <v> </v>
      </c>
      <c r="J1785" s="26" t="str">
        <f>IF(OR(E1785="",E1785="!!!",F1785="NEW"),"",COUNTBLANK(OFFSET(A$1,,,SUMPRODUCT(MAX(ROW(E$2:E1785)*(E1785=E$2:E1785)))))-COUNTBLANK(OFFSET(A$1,,,SUMPRODUCT(MAX(ROW(E$1:E1784)*(E2=E$1:E1784))))))</f>
        <v> </v>
      </c>
      <c r="K1785" s="26" t="str">
        <f>IF(OR(E1785="",E1785="!!!",F1785="NEW"),"",INDEX(J$1:J1784,SUMPRODUCT(MAX(ROW(E$1:E1784)*(E1785=E$1:E1784)))))</f>
        <v> </v>
      </c>
      <c r="L1785" s="27"/>
    </row>
    <row r="1786" spans="1:12">
      <c r="A1786" s="20" t="s">
        <v>1284</v>
      </c>
      <c r="E1786" s="22">
        <f>IF(D1786="?OLD","!!!","")</f>
        <v/>
      </c>
      <c r="F1786" s="23" t="str">
        <f>IF(OR(E1786="",E1786="!!!"),"",IF(NOT(ISNA(VLOOKUP(E1786,E$1:E1785,1,FALSE()))),"OLD",IF(AND(E1786&lt;&gt;"",E1786&lt;&gt;"!!!"),"NEW","")))</f>
        <v> </v>
      </c>
      <c r="G1786" s="24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5" t="str">
        <f>IF(J1786&lt;&gt;1,"",IF(I1786="SBJ","CB","?"))</f>
        <v> </v>
      </c>
      <c r="I1786" s="26" t="str">
        <f>IF(OR(E1786="",E1786="!!!",F1786="NEW"),"",INDEX(B1785:B$2,-1+SUMPRODUCT(MAX(ROW(E1785:E$2)*(E1786=E1785:E$2)))))</f>
        <v> </v>
      </c>
      <c r="J1786" s="26" t="str">
        <f>IF(OR(E1786="",E1786="!!!",F1786="NEW"),"",COUNTBLANK(OFFSET(A$1,,,SUMPRODUCT(MAX(ROW(E$2:E1786)*(E1786=E$2:E1786)))))-COUNTBLANK(OFFSET(A$1,,,SUMPRODUCT(MAX(ROW(E$1:E1785)*(E2=E$1:E1785))))))</f>
        <v> </v>
      </c>
      <c r="K1786" s="26" t="str">
        <f>IF(OR(E1786="",E1786="!!!",F1786="NEW"),"",INDEX(J$1:J1785,SUMPRODUCT(MAX(ROW(E$1:E1785)*(E1786=E$1:E1785)))))</f>
        <v> </v>
      </c>
      <c r="L1786" s="27"/>
    </row>
    <row r="1787" spans="1:12">
      <c r="A1787" s="20" t="s">
        <v>438</v>
      </c>
      <c r="E1787" s="22">
        <f>IF(D1787="?OLD","!!!","")</f>
        <v/>
      </c>
      <c r="F1787" s="23" t="str">
        <f>IF(OR(E1787="",E1787="!!!"),"",IF(NOT(ISNA(VLOOKUP(E1787,E$1:E1786,1,FALSE()))),"OLD",IF(AND(E1787&lt;&gt;"",E1787&lt;&gt;"!!!"),"NEW","")))</f>
        <v> </v>
      </c>
      <c r="G1787" s="24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5" t="str">
        <f>IF(J1787&lt;&gt;1,"",IF(I1787="SBJ","CB","?"))</f>
        <v> </v>
      </c>
      <c r="I1787" s="26" t="str">
        <f>IF(OR(E1787="",E1787="!!!",F1787="NEW"),"",INDEX(B1786:B$2,-1+SUMPRODUCT(MAX(ROW(E1786:E$2)*(E1787=E1786:E$2)))))</f>
        <v> </v>
      </c>
      <c r="J1787" s="26" t="str">
        <f>IF(OR(E1787="",E1787="!!!",F1787="NEW"),"",COUNTBLANK(OFFSET(A$1,,,SUMPRODUCT(MAX(ROW(E$2:E1787)*(E1787=E$2:E1787)))))-COUNTBLANK(OFFSET(A$1,,,SUMPRODUCT(MAX(ROW(E$1:E1786)*(E2=E$1:E1786))))))</f>
        <v> </v>
      </c>
      <c r="K1787" s="26" t="str">
        <f>IF(OR(E1787="",E1787="!!!",F1787="NEW"),"",INDEX(J$1:J1786,SUMPRODUCT(MAX(ROW(E$1:E1786)*(E1787=E$1:E1786)))))</f>
        <v> </v>
      </c>
      <c r="L1787" s="27"/>
    </row>
    <row r="1788" spans="1:12">
      <c r="A1788" s="20"/>
    </row>
    <row r="1789" spans="1:12">
      <c r="A1789" s="20" t="s">
        <v>1285</v>
      </c>
    </row>
    <row r="1790" spans="1:12">
      <c r="A1790" s="20" t="s">
        <v>765</v>
      </c>
      <c r="E1790" s="22">
        <f>IF(D1790="?OLD","!!!","")</f>
        <v/>
      </c>
      <c r="F1790" s="23" t="str">
        <f>IF(OR(E1790="",E1790="!!!"),"",IF(NOT(ISNA(VLOOKUP(E1790,E$1:E1789,1,FALSE()))),"OLD",IF(AND(E1790&lt;&gt;"",E1790&lt;&gt;"!!!"),"NEW","")))</f>
        <v> </v>
      </c>
      <c r="G1790" s="24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5" t="str">
        <f>IF(J1790&lt;&gt;1,"",IF(I1790="SBJ","CB","?"))</f>
        <v> </v>
      </c>
      <c r="I1790" s="26" t="str">
        <f>IF(OR(E1790="",E1790="!!!",F1790="NEW"),"",INDEX(B1789:B$2,-1+SUMPRODUCT(MAX(ROW(E1789:E$2)*(E1790=E1789:E$2)))))</f>
        <v> </v>
      </c>
      <c r="J1790" s="26" t="str">
        <f>IF(OR(E1790="",E1790="!!!",F1790="NEW"),"",COUNTBLANK(OFFSET(A$1,,,SUMPRODUCT(MAX(ROW(E$2:E1790)*(E1790=E$2:E1790)))))-COUNTBLANK(OFFSET(A$1,,,SUMPRODUCT(MAX(ROW(E$1:E1789)*(E2=E$1:E1789))))))</f>
        <v> </v>
      </c>
      <c r="K1790" s="26" t="str">
        <f>IF(OR(E1790="",E1790="!!!",F1790="NEW"),"",INDEX(J$1:J1789,SUMPRODUCT(MAX(ROW(E$1:E1789)*(E1790=E$1:E1789)))))</f>
        <v> </v>
      </c>
      <c r="L1790" s="27"/>
    </row>
    <row r="1791" spans="1:12">
      <c r="A1791" s="20" t="s">
        <v>683</v>
      </c>
      <c r="E1791" s="22">
        <f>IF(D1791="?OLD","!!!","")</f>
        <v/>
      </c>
      <c r="F1791" s="23" t="str">
        <f>IF(OR(E1791="",E1791="!!!"),"",IF(NOT(ISNA(VLOOKUP(E1791,E$1:E1790,1,FALSE()))),"OLD",IF(AND(E1791&lt;&gt;"",E1791&lt;&gt;"!!!"),"NEW","")))</f>
        <v> </v>
      </c>
      <c r="G1791" s="24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5" t="str">
        <f>IF(J1791&lt;&gt;1,"",IF(I1791="SBJ","CB","?"))</f>
        <v> </v>
      </c>
      <c r="I1791" s="26" t="str">
        <f>IF(OR(E1791="",E1791="!!!",F1791="NEW"),"",INDEX(B1790:B$2,-1+SUMPRODUCT(MAX(ROW(E1790:E$2)*(E1791=E1790:E$2)))))</f>
        <v> </v>
      </c>
      <c r="J1791" s="26" t="str">
        <f>IF(OR(E1791="",E1791="!!!",F1791="NEW"),"",COUNTBLANK(OFFSET(A$1,,,SUMPRODUCT(MAX(ROW(E$2:E1791)*(E1791=E$2:E1791)))))-COUNTBLANK(OFFSET(A$1,,,SUMPRODUCT(MAX(ROW(E$1:E1790)*(E2=E$1:E1790))))))</f>
        <v> </v>
      </c>
      <c r="K1791" s="26" t="str">
        <f>IF(OR(E1791="",E1791="!!!",F1791="NEW"),"",INDEX(J$1:J1790,SUMPRODUCT(MAX(ROW(E$1:E1790)*(E1791=E$1:E1790)))))</f>
        <v> </v>
      </c>
      <c r="L1791" s="27"/>
    </row>
    <row r="1792" spans="1:12">
      <c r="A1792" s="20" t="s">
        <v>1286</v>
      </c>
      <c r="B1792" s="21" t="s">
        <v>422</v>
      </c>
      <c r="C1792" s="21" t="s">
        <v>471</v>
      </c>
      <c r="D1792" s="21" t="s">
        <v>424</v>
      </c>
      <c r="E1792" s="22">
        <f>IF(D1792="?OLD","!!!","")</f>
        <v/>
      </c>
      <c r="F1792" s="23" t="str">
        <f>IF(OR(E1792="",E1792="!!!"),"",IF(NOT(ISNA(VLOOKUP(E1792,E$1:E1791,1,FALSE()))),"OLD",IF(AND(E1792&lt;&gt;"",E1792&lt;&gt;"!!!"),"NEW","")))</f>
        <v> </v>
      </c>
      <c r="G1792" s="24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5" t="str">
        <f>IF(J1792&lt;&gt;1,"",IF(I1792="SBJ","CB","?"))</f>
        <v> </v>
      </c>
      <c r="I1792" s="26" t="str">
        <f>IF(OR(E1792="",E1792="!!!",F1792="NEW"),"",INDEX(B1791:B$2,-1+SUMPRODUCT(MAX(ROW(E1791:E$2)*(E1792=E1791:E$2)))))</f>
        <v> </v>
      </c>
      <c r="J1792" s="26" t="str">
        <f>IF(OR(E1792="",E1792="!!!",F1792="NEW"),"",COUNTBLANK(OFFSET(A$1,,,SUMPRODUCT(MAX(ROW(E$2:E1792)*(E1792=E$2:E1792)))))-COUNTBLANK(OFFSET(A$1,,,SUMPRODUCT(MAX(ROW(E$1:E1791)*(E2=E$1:E1791))))))</f>
        <v> </v>
      </c>
      <c r="K1792" s="26" t="str">
        <f>IF(OR(E1792="",E1792="!!!",F1792="NEW"),"",INDEX(J$1:J1791,SUMPRODUCT(MAX(ROW(E$1:E1791)*(E1792=E$1:E1791)))))</f>
        <v> </v>
      </c>
      <c r="L1792" s="27"/>
    </row>
    <row r="1793" spans="1:12">
      <c r="A1793" s="20" t="s">
        <v>1287</v>
      </c>
      <c r="E1793" s="22">
        <f>IF(D1793="?OLD","!!!","")</f>
        <v/>
      </c>
      <c r="F1793" s="23" t="str">
        <f>IF(OR(E1793="",E1793="!!!"),"",IF(NOT(ISNA(VLOOKUP(E1793,E$1:E1792,1,FALSE()))),"OLD",IF(AND(E1793&lt;&gt;"",E1793&lt;&gt;"!!!"),"NEW","")))</f>
        <v> </v>
      </c>
      <c r="G1793" s="24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5" t="str">
        <f>IF(J1793&lt;&gt;1,"",IF(I1793="SBJ","CB","?"))</f>
        <v> </v>
      </c>
      <c r="I1793" s="26" t="str">
        <f>IF(OR(E1793="",E1793="!!!",F1793="NEW"),"",INDEX(B1792:B$2,-1+SUMPRODUCT(MAX(ROW(E1792:E$2)*(E1793=E1792:E$2)))))</f>
        <v> </v>
      </c>
      <c r="J1793" s="26" t="str">
        <f>IF(OR(E1793="",E1793="!!!",F1793="NEW"),"",COUNTBLANK(OFFSET(A$1,,,SUMPRODUCT(MAX(ROW(E$2:E1793)*(E1793=E$2:E1793)))))-COUNTBLANK(OFFSET(A$1,,,SUMPRODUCT(MAX(ROW(E$1:E1792)*(E2=E$1:E1792))))))</f>
        <v> </v>
      </c>
      <c r="K1793" s="26" t="str">
        <f>IF(OR(E1793="",E1793="!!!",F1793="NEW"),"",INDEX(J$1:J1792,SUMPRODUCT(MAX(ROW(E$1:E1792)*(E1793=E$1:E1792)))))</f>
        <v> </v>
      </c>
      <c r="L1793" s="27"/>
    </row>
    <row r="1794" spans="1:12">
      <c r="A1794" s="20" t="s">
        <v>1288</v>
      </c>
      <c r="E1794" s="22">
        <f>IF(D1794="?OLD","!!!","")</f>
        <v/>
      </c>
      <c r="F1794" s="23" t="str">
        <f>IF(OR(E1794="",E1794="!!!"),"",IF(NOT(ISNA(VLOOKUP(E1794,E$1:E1793,1,FALSE()))),"OLD",IF(AND(E1794&lt;&gt;"",E1794&lt;&gt;"!!!"),"NEW","")))</f>
        <v> </v>
      </c>
      <c r="G1794" s="24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5" t="str">
        <f>IF(J1794&lt;&gt;1,"",IF(I1794="SBJ","CB","?"))</f>
        <v> </v>
      </c>
      <c r="I1794" s="26" t="str">
        <f>IF(OR(E1794="",E1794="!!!",F1794="NEW"),"",INDEX(B1793:B$2,-1+SUMPRODUCT(MAX(ROW(E1793:E$2)*(E1794=E1793:E$2)))))</f>
        <v> </v>
      </c>
      <c r="J1794" s="26" t="str">
        <f>IF(OR(E1794="",E1794="!!!",F1794="NEW"),"",COUNTBLANK(OFFSET(A$1,,,SUMPRODUCT(MAX(ROW(E$2:E1794)*(E1794=E$2:E1794)))))-COUNTBLANK(OFFSET(A$1,,,SUMPRODUCT(MAX(ROW(E$1:E1793)*(E2=E$1:E1793))))))</f>
        <v> </v>
      </c>
      <c r="K1794" s="26" t="str">
        <f>IF(OR(E1794="",E1794="!!!",F1794="NEW"),"",INDEX(J$1:J1793,SUMPRODUCT(MAX(ROW(E$1:E1793)*(E1794=E$1:E1793)))))</f>
        <v> </v>
      </c>
      <c r="L1794" s="27"/>
    </row>
    <row r="1795" spans="1:12">
      <c r="A1795" s="20" t="s">
        <v>1289</v>
      </c>
      <c r="E1795" s="22">
        <f>IF(D1795="?OLD","!!!","")</f>
        <v/>
      </c>
      <c r="F1795" s="23" t="str">
        <f>IF(OR(E1795="",E1795="!!!"),"",IF(NOT(ISNA(VLOOKUP(E1795,E$1:E1794,1,FALSE()))),"OLD",IF(AND(E1795&lt;&gt;"",E1795&lt;&gt;"!!!"),"NEW","")))</f>
        <v> </v>
      </c>
      <c r="G1795" s="24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IF(J1795&lt;&gt;1,"",IF(I1795="SBJ","CB","?"))</f>
        <v> </v>
      </c>
      <c r="I1795" s="26" t="str">
        <f>IF(OR(E1795="",E1795="!!!",F1795="NEW"),"",INDEX(B1794:B$2,-1+SUMPRODUCT(MAX(ROW(E1794:E$2)*(E1795=E1794:E$2)))))</f>
        <v> </v>
      </c>
      <c r="J1795" s="26" t="str">
        <f>IF(OR(E1795="",E1795="!!!",F1795="NEW"),"",COUNTBLANK(OFFSET(A$1,,,SUMPRODUCT(MAX(ROW(E$2:E1795)*(E1795=E$2:E1795)))))-COUNTBLANK(OFFSET(A$1,,,SUMPRODUCT(MAX(ROW(E$1:E1794)*(E2=E$1:E1794))))))</f>
        <v> </v>
      </c>
      <c r="K1795" s="26" t="str">
        <f>IF(OR(E1795="",E1795="!!!",F1795="NEW"),"",INDEX(J$1:J1794,SUMPRODUCT(MAX(ROW(E$1:E1794)*(E1795=E$1:E1794)))))</f>
        <v> </v>
      </c>
      <c r="L1795" s="27"/>
    </row>
    <row r="1796" spans="1:12">
      <c r="A1796" s="20" t="s">
        <v>1290</v>
      </c>
      <c r="E1796" s="22">
        <f>IF(D1796="?OLD","!!!","")</f>
        <v/>
      </c>
      <c r="F1796" s="23" t="str">
        <f>IF(OR(E1796="",E1796="!!!"),"",IF(NOT(ISNA(VLOOKUP(E1796,E$1:E1795,1,FALSE()))),"OLD",IF(AND(E1796&lt;&gt;"",E1796&lt;&gt;"!!!"),"NEW","")))</f>
        <v> </v>
      </c>
      <c r="G1796" s="24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5" t="str">
        <f>IF(J1796&lt;&gt;1,"",IF(I1796="SBJ","CB","?"))</f>
        <v> </v>
      </c>
      <c r="I1796" s="26" t="str">
        <f>IF(OR(E1796="",E1796="!!!",F1796="NEW"),"",INDEX(B1795:B$2,-1+SUMPRODUCT(MAX(ROW(E1795:E$2)*(E1796=E1795:E$2)))))</f>
        <v> </v>
      </c>
      <c r="J1796" s="26" t="str">
        <f>IF(OR(E1796="",E1796="!!!",F1796="NEW"),"",COUNTBLANK(OFFSET(A$1,,,SUMPRODUCT(MAX(ROW(E$2:E1796)*(E1796=E$2:E1796)))))-COUNTBLANK(OFFSET(A$1,,,SUMPRODUCT(MAX(ROW(E$1:E1795)*(E2=E$1:E1795))))))</f>
        <v> </v>
      </c>
      <c r="K1796" s="26" t="str">
        <f>IF(OR(E1796="",E1796="!!!",F1796="NEW"),"",INDEX(J$1:J1795,SUMPRODUCT(MAX(ROW(E$1:E1795)*(E1796=E$1:E1795)))))</f>
        <v> </v>
      </c>
      <c r="L1796" s="27"/>
    </row>
    <row r="1797" spans="1:12">
      <c r="A1797" s="20" t="s">
        <v>1291</v>
      </c>
      <c r="E1797" s="22">
        <f>IF(D1797="?OLD","!!!","")</f>
        <v/>
      </c>
      <c r="F1797" s="23" t="str">
        <f>IF(OR(E1797="",E1797="!!!"),"",IF(NOT(ISNA(VLOOKUP(E1797,E$1:E1796,1,FALSE()))),"OLD",IF(AND(E1797&lt;&gt;"",E1797&lt;&gt;"!!!"),"NEW","")))</f>
        <v> </v>
      </c>
      <c r="G1797" s="24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5" t="str">
        <f>IF(J1797&lt;&gt;1,"",IF(I1797="SBJ","CB","?"))</f>
        <v> </v>
      </c>
      <c r="I1797" s="26" t="str">
        <f>IF(OR(E1797="",E1797="!!!",F1797="NEW"),"",INDEX(B1796:B$2,-1+SUMPRODUCT(MAX(ROW(E1796:E$2)*(E1797=E1796:E$2)))))</f>
        <v> </v>
      </c>
      <c r="J1797" s="26" t="str">
        <f>IF(OR(E1797="",E1797="!!!",F1797="NEW"),"",COUNTBLANK(OFFSET(A$1,,,SUMPRODUCT(MAX(ROW(E$2:E1797)*(E1797=E$2:E1797)))))-COUNTBLANK(OFFSET(A$1,,,SUMPRODUCT(MAX(ROW(E$1:E1796)*(E2=E$1:E1796))))))</f>
        <v> </v>
      </c>
      <c r="K1797" s="26" t="str">
        <f>IF(OR(E1797="",E1797="!!!",F1797="NEW"),"",INDEX(J$1:J1796,SUMPRODUCT(MAX(ROW(E$1:E1796)*(E1797=E$1:E1796)))))</f>
        <v> </v>
      </c>
      <c r="L1797" s="27"/>
    </row>
    <row r="1798" spans="1:12">
      <c r="A1798" s="20" t="s">
        <v>964</v>
      </c>
      <c r="B1798" s="21" t="s">
        <v>434</v>
      </c>
      <c r="C1798" s="21" t="s">
        <v>516</v>
      </c>
      <c r="E1798" s="22">
        <f>IF(D1798="?OLD","!!!","")</f>
        <v/>
      </c>
      <c r="F1798" s="23" t="str">
        <f>IF(OR(E1798="",E1798="!!!"),"",IF(NOT(ISNA(VLOOKUP(E1798,E$1:E1797,1,FALSE()))),"OLD",IF(AND(E1798&lt;&gt;"",E1798&lt;&gt;"!!!"),"NEW","")))</f>
        <v> </v>
      </c>
      <c r="G1798" s="24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5" t="str">
        <f>IF(J1798&lt;&gt;1,"",IF(I1798="SBJ","CB","?"))</f>
        <v> </v>
      </c>
      <c r="I1798" s="26" t="str">
        <f>IF(OR(E1798="",E1798="!!!",F1798="NEW"),"",INDEX(B1797:B$2,-1+SUMPRODUCT(MAX(ROW(E1797:E$2)*(E1798=E1797:E$2)))))</f>
        <v> </v>
      </c>
      <c r="J1798" s="26" t="str">
        <f>IF(OR(E1798="",E1798="!!!",F1798="NEW"),"",COUNTBLANK(OFFSET(A$1,,,SUMPRODUCT(MAX(ROW(E$2:E1798)*(E1798=E$2:E1798)))))-COUNTBLANK(OFFSET(A$1,,,SUMPRODUCT(MAX(ROW(E$1:E1797)*(E2=E$1:E1797))))))</f>
        <v> </v>
      </c>
      <c r="K1798" s="26" t="str">
        <f>IF(OR(E1798="",E1798="!!!",F1798="NEW"),"",INDEX(J$1:J1797,SUMPRODUCT(MAX(ROW(E$1:E1797)*(E1798=E$1:E1797)))))</f>
        <v> </v>
      </c>
      <c r="L1798" s="27"/>
    </row>
    <row r="1799" spans="1:12">
      <c r="A1799" s="20" t="s">
        <v>1292</v>
      </c>
      <c r="E1799" s="22">
        <f>IF(D1799="?OLD","!!!","")</f>
        <v/>
      </c>
      <c r="F1799" s="23" t="str">
        <f>IF(OR(E1799="",E1799="!!!"),"",IF(NOT(ISNA(VLOOKUP(E1799,E$1:E1798,1,FALSE()))),"OLD",IF(AND(E1799&lt;&gt;"",E1799&lt;&gt;"!!!"),"NEW","")))</f>
        <v> </v>
      </c>
      <c r="G1799" s="24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5" t="str">
        <f>IF(J1799&lt;&gt;1,"",IF(I1799="SBJ","CB","?"))</f>
        <v> </v>
      </c>
      <c r="I1799" s="26" t="str">
        <f>IF(OR(E1799="",E1799="!!!",F1799="NEW"),"",INDEX(B1798:B$2,-1+SUMPRODUCT(MAX(ROW(E1798:E$2)*(E1799=E1798:E$2)))))</f>
        <v> </v>
      </c>
      <c r="J1799" s="26" t="str">
        <f>IF(OR(E1799="",E1799="!!!",F1799="NEW"),"",COUNTBLANK(OFFSET(A$1,,,SUMPRODUCT(MAX(ROW(E$2:E1799)*(E1799=E$2:E1799)))))-COUNTBLANK(OFFSET(A$1,,,SUMPRODUCT(MAX(ROW(E$1:E1798)*(E2=E$1:E1798))))))</f>
        <v> </v>
      </c>
      <c r="K1799" s="26" t="str">
        <f>IF(OR(E1799="",E1799="!!!",F1799="NEW"),"",INDEX(J$1:J1798,SUMPRODUCT(MAX(ROW(E$1:E1798)*(E1799=E$1:E1798)))))</f>
        <v> </v>
      </c>
      <c r="L1799" s="27"/>
    </row>
    <row r="1800" spans="1:12">
      <c r="A1800" s="20" t="s">
        <v>1019</v>
      </c>
      <c r="E1800" s="22">
        <f>IF(D1800="?OLD","!!!","")</f>
        <v/>
      </c>
      <c r="F1800" s="23" t="str">
        <f>IF(OR(E1800="",E1800="!!!"),"",IF(NOT(ISNA(VLOOKUP(E1800,E$1:E1799,1,FALSE()))),"OLD",IF(AND(E1800&lt;&gt;"",E1800&lt;&gt;"!!!"),"NEW","")))</f>
        <v> </v>
      </c>
      <c r="G1800" s="24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5" t="str">
        <f>IF(J1800&lt;&gt;1,"",IF(I1800="SBJ","CB","?"))</f>
        <v> </v>
      </c>
      <c r="I1800" s="26" t="str">
        <f>IF(OR(E1800="",E1800="!!!",F1800="NEW"),"",INDEX(B1799:B$2,-1+SUMPRODUCT(MAX(ROW(E1799:E$2)*(E1800=E1799:E$2)))))</f>
        <v> </v>
      </c>
      <c r="J1800" s="26" t="str">
        <f>IF(OR(E1800="",E1800="!!!",F1800="NEW"),"",COUNTBLANK(OFFSET(A$1,,,SUMPRODUCT(MAX(ROW(E$2:E1800)*(E1800=E$2:E1800)))))-COUNTBLANK(OFFSET(A$1,,,SUMPRODUCT(MAX(ROW(E$1:E1799)*(E2=E$1:E1799))))))</f>
        <v> </v>
      </c>
      <c r="K1800" s="26" t="str">
        <f>IF(OR(E1800="",E1800="!!!",F1800="NEW"),"",INDEX(J$1:J1799,SUMPRODUCT(MAX(ROW(E$1:E1799)*(E1800=E$1:E1799)))))</f>
        <v> </v>
      </c>
      <c r="L1800" s="27"/>
    </row>
    <row r="1801" spans="1:12">
      <c r="A1801" s="20" t="s">
        <v>1293</v>
      </c>
      <c r="E1801" s="22">
        <f>IF(D1801="?OLD","!!!","")</f>
        <v/>
      </c>
      <c r="F1801" s="23" t="str">
        <f>IF(OR(E1801="",E1801="!!!"),"",IF(NOT(ISNA(VLOOKUP(E1801,E$1:E1800,1,FALSE()))),"OLD",IF(AND(E1801&lt;&gt;"",E1801&lt;&gt;"!!!"),"NEW","")))</f>
        <v> </v>
      </c>
      <c r="G1801" s="24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5" t="str">
        <f>IF(J1801&lt;&gt;1,"",IF(I1801="SBJ","CB","?"))</f>
        <v> </v>
      </c>
      <c r="I1801" s="26" t="str">
        <f>IF(OR(E1801="",E1801="!!!",F1801="NEW"),"",INDEX(B1800:B$2,-1+SUMPRODUCT(MAX(ROW(E1800:E$2)*(E1801=E1800:E$2)))))</f>
        <v> </v>
      </c>
      <c r="J1801" s="26" t="str">
        <f>IF(OR(E1801="",E1801="!!!",F1801="NEW"),"",COUNTBLANK(OFFSET(A$1,,,SUMPRODUCT(MAX(ROW(E$2:E1801)*(E1801=E$2:E1801)))))-COUNTBLANK(OFFSET(A$1,,,SUMPRODUCT(MAX(ROW(E$1:E1800)*(E2=E$1:E1800))))))</f>
        <v> </v>
      </c>
      <c r="K1801" s="26" t="str">
        <f>IF(OR(E1801="",E1801="!!!",F1801="NEW"),"",INDEX(J$1:J1800,SUMPRODUCT(MAX(ROW(E$1:E1800)*(E1801=E$1:E1800)))))</f>
        <v> </v>
      </c>
      <c r="L1801" s="27"/>
    </row>
    <row r="1802" spans="1:12">
      <c r="A1802" s="20" t="s">
        <v>436</v>
      </c>
      <c r="E1802" s="22">
        <f>IF(D1802="?OLD","!!!","")</f>
        <v/>
      </c>
      <c r="F1802" s="23" t="str">
        <f>IF(OR(E1802="",E1802="!!!"),"",IF(NOT(ISNA(VLOOKUP(E1802,E$1:E1801,1,FALSE()))),"OLD",IF(AND(E1802&lt;&gt;"",E1802&lt;&gt;"!!!"),"NEW","")))</f>
        <v> </v>
      </c>
      <c r="G1802" s="24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5" t="str">
        <f>IF(J1802&lt;&gt;1,"",IF(I1802="SBJ","CB","?"))</f>
        <v> </v>
      </c>
      <c r="I1802" s="26" t="str">
        <f>IF(OR(E1802="",E1802="!!!",F1802="NEW"),"",INDEX(B1801:B$2,-1+SUMPRODUCT(MAX(ROW(E1801:E$2)*(E1802=E1801:E$2)))))</f>
        <v> </v>
      </c>
      <c r="J1802" s="26" t="str">
        <f>IF(OR(E1802="",E1802="!!!",F1802="NEW"),"",COUNTBLANK(OFFSET(A$1,,,SUMPRODUCT(MAX(ROW(E$2:E1802)*(E1802=E$2:E1802)))))-COUNTBLANK(OFFSET(A$1,,,SUMPRODUCT(MAX(ROW(E$1:E1801)*(E2=E$1:E1801))))))</f>
        <v> </v>
      </c>
      <c r="K1802" s="26" t="str">
        <f>IF(OR(E1802="",E1802="!!!",F1802="NEW"),"",INDEX(J$1:J1801,SUMPRODUCT(MAX(ROW(E$1:E1801)*(E1802=E$1:E1801)))))</f>
        <v> </v>
      </c>
      <c r="L1802" s="27"/>
    </row>
    <row r="1803" spans="1:12">
      <c r="A1803" s="20" t="s">
        <v>443</v>
      </c>
      <c r="E1803" s="22">
        <f>IF(D1803="?OLD","!!!","")</f>
        <v/>
      </c>
      <c r="F1803" s="23" t="str">
        <f>IF(OR(E1803="",E1803="!!!"),"",IF(NOT(ISNA(VLOOKUP(E1803,E$1:E1802,1,FALSE()))),"OLD",IF(AND(E1803&lt;&gt;"",E1803&lt;&gt;"!!!"),"NEW","")))</f>
        <v> </v>
      </c>
      <c r="G1803" s="24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5" t="str">
        <f>IF(J1803&lt;&gt;1,"",IF(I1803="SBJ","CB","?"))</f>
        <v> </v>
      </c>
      <c r="I1803" s="26" t="str">
        <f>IF(OR(E1803="",E1803="!!!",F1803="NEW"),"",INDEX(B1802:B$2,-1+SUMPRODUCT(MAX(ROW(E1802:E$2)*(E1803=E1802:E$2)))))</f>
        <v> </v>
      </c>
      <c r="J1803" s="26" t="str">
        <f>IF(OR(E1803="",E1803="!!!",F1803="NEW"),"",COUNTBLANK(OFFSET(A$1,,,SUMPRODUCT(MAX(ROW(E$2:E1803)*(E1803=E$2:E1803)))))-COUNTBLANK(OFFSET(A$1,,,SUMPRODUCT(MAX(ROW(E$1:E1802)*(E2=E$1:E1802))))))</f>
        <v> </v>
      </c>
      <c r="K1803" s="26" t="str">
        <f>IF(OR(E1803="",E1803="!!!",F1803="NEW"),"",INDEX(J$1:J1802,SUMPRODUCT(MAX(ROW(E$1:E1802)*(E1803=E$1:E1802)))))</f>
        <v> </v>
      </c>
      <c r="L1803" s="27"/>
    </row>
    <row r="1804" spans="1:12">
      <c r="A1804" s="20" t="s">
        <v>12</v>
      </c>
      <c r="E1804" s="22">
        <f>IF(D1804="?OLD","!!!","")</f>
        <v/>
      </c>
      <c r="F1804" s="23" t="str">
        <f>IF(OR(E1804="",E1804="!!!"),"",IF(NOT(ISNA(VLOOKUP(E1804,E$1:E1803,1,FALSE()))),"OLD",IF(AND(E1804&lt;&gt;"",E1804&lt;&gt;"!!!"),"NEW","")))</f>
        <v> </v>
      </c>
      <c r="G1804" s="24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5" t="str">
        <f>IF(J1804&lt;&gt;1,"",IF(I1804="SBJ","CB","?"))</f>
        <v> </v>
      </c>
      <c r="I1804" s="26" t="str">
        <f>IF(OR(E1804="",E1804="!!!",F1804="NEW"),"",INDEX(B1803:B$2,-1+SUMPRODUCT(MAX(ROW(E1803:E$2)*(E1804=E1803:E$2)))))</f>
        <v> </v>
      </c>
      <c r="J1804" s="26" t="str">
        <f>IF(OR(E1804="",E1804="!!!",F1804="NEW"),"",COUNTBLANK(OFFSET(A$1,,,SUMPRODUCT(MAX(ROW(E$2:E1804)*(E1804=E$2:E1804)))))-COUNTBLANK(OFFSET(A$1,,,SUMPRODUCT(MAX(ROW(E$1:E1803)*(E2=E$1:E1803))))))</f>
        <v> </v>
      </c>
      <c r="K1804" s="26" t="str">
        <f>IF(OR(E1804="",E1804="!!!",F1804="NEW"),"",INDEX(J$1:J1803,SUMPRODUCT(MAX(ROW(E$1:E1803)*(E1804=E$1:E1803)))))</f>
        <v> </v>
      </c>
      <c r="L1804" s="27"/>
    </row>
    <row r="1805" spans="1:12">
      <c r="A1805" s="20" t="s">
        <v>1294</v>
      </c>
      <c r="E1805" s="22">
        <f>IF(D1805="?OLD","!!!","")</f>
        <v/>
      </c>
      <c r="F1805" s="23" t="str">
        <f>IF(OR(E1805="",E1805="!!!"),"",IF(NOT(ISNA(VLOOKUP(E1805,E$1:E1804,1,FALSE()))),"OLD",IF(AND(E1805&lt;&gt;"",E1805&lt;&gt;"!!!"),"NEW","")))</f>
        <v> </v>
      </c>
      <c r="G1805" s="24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5" t="str">
        <f>IF(J1805&lt;&gt;1,"",IF(I1805="SBJ","CB","?"))</f>
        <v> </v>
      </c>
      <c r="I1805" s="26" t="str">
        <f>IF(OR(E1805="",E1805="!!!",F1805="NEW"),"",INDEX(B1804:B$2,-1+SUMPRODUCT(MAX(ROW(E1804:E$2)*(E1805=E1804:E$2)))))</f>
        <v> </v>
      </c>
      <c r="J1805" s="26" t="str">
        <f>IF(OR(E1805="",E1805="!!!",F1805="NEW"),"",COUNTBLANK(OFFSET(A$1,,,SUMPRODUCT(MAX(ROW(E$2:E1805)*(E1805=E$2:E1805)))))-COUNTBLANK(OFFSET(A$1,,,SUMPRODUCT(MAX(ROW(E$1:E1804)*(E2=E$1:E1804))))))</f>
        <v> </v>
      </c>
      <c r="K1805" s="26" t="str">
        <f>IF(OR(E1805="",E1805="!!!",F1805="NEW"),"",INDEX(J$1:J1804,SUMPRODUCT(MAX(ROW(E$1:E1804)*(E1805=E$1:E1804)))))</f>
        <v> </v>
      </c>
      <c r="L1805" s="27"/>
    </row>
    <row r="1806" spans="1:12">
      <c r="A1806" s="20" t="s">
        <v>1295</v>
      </c>
      <c r="E1806" s="22">
        <f>IF(D1806="?OLD","!!!","")</f>
        <v/>
      </c>
      <c r="F1806" s="23" t="str">
        <f>IF(OR(E1806="",E1806="!!!"),"",IF(NOT(ISNA(VLOOKUP(E1806,E$1:E1805,1,FALSE()))),"OLD",IF(AND(E1806&lt;&gt;"",E1806&lt;&gt;"!!!"),"NEW","")))</f>
        <v> </v>
      </c>
      <c r="G1806" s="24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5" t="str">
        <f>IF(J1806&lt;&gt;1,"",IF(I1806="SBJ","CB","?"))</f>
        <v> </v>
      </c>
      <c r="I1806" s="26" t="str">
        <f>IF(OR(E1806="",E1806="!!!",F1806="NEW"),"",INDEX(B1805:B$2,-1+SUMPRODUCT(MAX(ROW(E1805:E$2)*(E1806=E1805:E$2)))))</f>
        <v> </v>
      </c>
      <c r="J1806" s="26" t="str">
        <f>IF(OR(E1806="",E1806="!!!",F1806="NEW"),"",COUNTBLANK(OFFSET(A$1,,,SUMPRODUCT(MAX(ROW(E$2:E1806)*(E1806=E$2:E1806)))))-COUNTBLANK(OFFSET(A$1,,,SUMPRODUCT(MAX(ROW(E$1:E1805)*(E2=E$1:E1805))))))</f>
        <v> </v>
      </c>
      <c r="K1806" s="26" t="str">
        <f>IF(OR(E1806="",E1806="!!!",F1806="NEW"),"",INDEX(J$1:J1805,SUMPRODUCT(MAX(ROW(E$1:E1805)*(E1806=E$1:E1805)))))</f>
        <v> </v>
      </c>
      <c r="L1806" s="27"/>
    </row>
    <row r="1807" spans="1:12">
      <c r="A1807" s="20" t="s">
        <v>453</v>
      </c>
      <c r="E1807" s="22">
        <f>IF(D1807="?OLD","!!!","")</f>
        <v/>
      </c>
      <c r="F1807" s="23" t="str">
        <f>IF(OR(E1807="",E1807="!!!"),"",IF(NOT(ISNA(VLOOKUP(E1807,E$1:E1806,1,FALSE()))),"OLD",IF(AND(E1807&lt;&gt;"",E1807&lt;&gt;"!!!"),"NEW","")))</f>
        <v> </v>
      </c>
      <c r="G1807" s="24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5" t="str">
        <f>IF(J1807&lt;&gt;1,"",IF(I1807="SBJ","CB","?"))</f>
        <v> </v>
      </c>
      <c r="I1807" s="26" t="str">
        <f>IF(OR(E1807="",E1807="!!!",F1807="NEW"),"",INDEX(B1806:B$2,-1+SUMPRODUCT(MAX(ROW(E1806:E$2)*(E1807=E1806:E$2)))))</f>
        <v> </v>
      </c>
      <c r="J1807" s="26" t="str">
        <f>IF(OR(E1807="",E1807="!!!",F1807="NEW"),"",COUNTBLANK(OFFSET(A$1,,,SUMPRODUCT(MAX(ROW(E$2:E1807)*(E1807=E$2:E1807)))))-COUNTBLANK(OFFSET(A$1,,,SUMPRODUCT(MAX(ROW(E$1:E1806)*(E2=E$1:E1806))))))</f>
        <v> </v>
      </c>
      <c r="K1807" s="26" t="str">
        <f>IF(OR(E1807="",E1807="!!!",F1807="NEW"),"",INDEX(J$1:J1806,SUMPRODUCT(MAX(ROW(E$1:E1806)*(E1807=E$1:E1806)))))</f>
        <v> </v>
      </c>
      <c r="L1807" s="27"/>
    </row>
    <row r="1808" spans="1:12">
      <c r="A1808" s="20" t="s">
        <v>1296</v>
      </c>
      <c r="E1808" s="22">
        <f>IF(D1808="?OLD","!!!","")</f>
        <v/>
      </c>
      <c r="F1808" s="23" t="str">
        <f>IF(OR(E1808="",E1808="!!!"),"",IF(NOT(ISNA(VLOOKUP(E1808,E$1:E1807,1,FALSE()))),"OLD",IF(AND(E1808&lt;&gt;"",E1808&lt;&gt;"!!!"),"NEW","")))</f>
        <v> </v>
      </c>
      <c r="G1808" s="24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5" t="str">
        <f>IF(J1808&lt;&gt;1,"",IF(I1808="SBJ","CB","?"))</f>
        <v> </v>
      </c>
      <c r="I1808" s="26" t="str">
        <f>IF(OR(E1808="",E1808="!!!",F1808="NEW"),"",INDEX(B1807:B$2,-1+SUMPRODUCT(MAX(ROW(E1807:E$2)*(E1808=E1807:E$2)))))</f>
        <v> </v>
      </c>
      <c r="J1808" s="26" t="str">
        <f>IF(OR(E1808="",E1808="!!!",F1808="NEW"),"",COUNTBLANK(OFFSET(A$1,,,SUMPRODUCT(MAX(ROW(E$2:E1808)*(E1808=E$2:E1808)))))-COUNTBLANK(OFFSET(A$1,,,SUMPRODUCT(MAX(ROW(E$1:E1807)*(E2=E$1:E1807))))))</f>
        <v> </v>
      </c>
      <c r="K1808" s="26" t="str">
        <f>IF(OR(E1808="",E1808="!!!",F1808="NEW"),"",INDEX(J$1:J1807,SUMPRODUCT(MAX(ROW(E$1:E1807)*(E1808=E$1:E1807)))))</f>
        <v> </v>
      </c>
      <c r="L1808" s="27"/>
    </row>
    <row r="1809" spans="1:12">
      <c r="A1809" s="20" t="s">
        <v>430</v>
      </c>
      <c r="E1809" s="22">
        <f>IF(D1809="?OLD","!!!","")</f>
        <v/>
      </c>
      <c r="F1809" s="23" t="str">
        <f>IF(OR(E1809="",E1809="!!!"),"",IF(NOT(ISNA(VLOOKUP(E1809,E$1:E1808,1,FALSE()))),"OLD",IF(AND(E1809&lt;&gt;"",E1809&lt;&gt;"!!!"),"NEW","")))</f>
        <v> </v>
      </c>
      <c r="G1809" s="24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5" t="str">
        <f>IF(J1809&lt;&gt;1,"",IF(I1809="SBJ","CB","?"))</f>
        <v> </v>
      </c>
      <c r="I1809" s="26" t="str">
        <f>IF(OR(E1809="",E1809="!!!",F1809="NEW"),"",INDEX(B1808:B$2,-1+SUMPRODUCT(MAX(ROW(E1808:E$2)*(E1809=E1808:E$2)))))</f>
        <v> </v>
      </c>
      <c r="J1809" s="26" t="str">
        <f>IF(OR(E1809="",E1809="!!!",F1809="NEW"),"",COUNTBLANK(OFFSET(A$1,,,SUMPRODUCT(MAX(ROW(E$2:E1809)*(E1809=E$2:E1809)))))-COUNTBLANK(OFFSET(A$1,,,SUMPRODUCT(MAX(ROW(E$1:E1808)*(E2=E$1:E1808))))))</f>
        <v> </v>
      </c>
      <c r="K1809" s="26" t="str">
        <f>IF(OR(E1809="",E1809="!!!",F1809="NEW"),"",INDEX(J$1:J1808,SUMPRODUCT(MAX(ROW(E$1:E1808)*(E1809=E$1:E1808)))))</f>
        <v> </v>
      </c>
      <c r="L1809" s="27"/>
    </row>
    <row r="1810" spans="1:12">
      <c r="A1810" s="20" t="s">
        <v>1297</v>
      </c>
      <c r="E1810" s="22">
        <f>IF(D1810="?OLD","!!!","")</f>
        <v/>
      </c>
      <c r="F1810" s="23" t="str">
        <f>IF(OR(E1810="",E1810="!!!"),"",IF(NOT(ISNA(VLOOKUP(E1810,E$1:E1809,1,FALSE()))),"OLD",IF(AND(E1810&lt;&gt;"",E1810&lt;&gt;"!!!"),"NEW","")))</f>
        <v> </v>
      </c>
      <c r="G1810" s="24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5" t="str">
        <f>IF(J1810&lt;&gt;1,"",IF(I1810="SBJ","CB","?"))</f>
        <v> </v>
      </c>
      <c r="I1810" s="26" t="str">
        <f>IF(OR(E1810="",E1810="!!!",F1810="NEW"),"",INDEX(B1809:B$2,-1+SUMPRODUCT(MAX(ROW(E1809:E$2)*(E1810=E1809:E$2)))))</f>
        <v> </v>
      </c>
      <c r="J1810" s="26" t="str">
        <f>IF(OR(E1810="",E1810="!!!",F1810="NEW"),"",COUNTBLANK(OFFSET(A$1,,,SUMPRODUCT(MAX(ROW(E$2:E1810)*(E1810=E$2:E1810)))))-COUNTBLANK(OFFSET(A$1,,,SUMPRODUCT(MAX(ROW(E$1:E1809)*(E2=E$1:E1809))))))</f>
        <v> </v>
      </c>
      <c r="K1810" s="26" t="str">
        <f>IF(OR(E1810="",E1810="!!!",F1810="NEW"),"",INDEX(J$1:J1809,SUMPRODUCT(MAX(ROW(E$1:E1809)*(E1810=E$1:E1809)))))</f>
        <v> </v>
      </c>
      <c r="L1810" s="27"/>
    </row>
    <row r="1811" spans="1:12">
      <c r="A1811" s="20" t="s">
        <v>453</v>
      </c>
      <c r="E1811" s="22">
        <f>IF(D1811="?OLD","!!!","")</f>
        <v/>
      </c>
      <c r="F1811" s="23" t="str">
        <f>IF(OR(E1811="",E1811="!!!"),"",IF(NOT(ISNA(VLOOKUP(E1811,E$1:E1810,1,FALSE()))),"OLD",IF(AND(E1811&lt;&gt;"",E1811&lt;&gt;"!!!"),"NEW","")))</f>
        <v> </v>
      </c>
      <c r="G1811" s="24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5" t="str">
        <f>IF(J1811&lt;&gt;1,"",IF(I1811="SBJ","CB","?"))</f>
        <v> </v>
      </c>
      <c r="I1811" s="26" t="str">
        <f>IF(OR(E1811="",E1811="!!!",F1811="NEW"),"",INDEX(B1810:B$2,-1+SUMPRODUCT(MAX(ROW(E1810:E$2)*(E1811=E1810:E$2)))))</f>
        <v> </v>
      </c>
      <c r="J1811" s="26" t="str">
        <f>IF(OR(E1811="",E1811="!!!",F1811="NEW"),"",COUNTBLANK(OFFSET(A$1,,,SUMPRODUCT(MAX(ROW(E$2:E1811)*(E1811=E$2:E1811)))))-COUNTBLANK(OFFSET(A$1,,,SUMPRODUCT(MAX(ROW(E$1:E1810)*(E2=E$1:E1810))))))</f>
        <v> </v>
      </c>
      <c r="K1811" s="26" t="str">
        <f>IF(OR(E1811="",E1811="!!!",F1811="NEW"),"",INDEX(J$1:J1810,SUMPRODUCT(MAX(ROW(E$1:E1810)*(E1811=E$1:E1810)))))</f>
        <v> </v>
      </c>
      <c r="L1811" s="27"/>
    </row>
    <row r="1812" spans="1:12">
      <c r="A1812" s="20" t="s">
        <v>558</v>
      </c>
      <c r="B1812" s="21" t="s">
        <v>1298</v>
      </c>
      <c r="C1812" s="21" t="s">
        <v>481</v>
      </c>
      <c r="E1812" s="22">
        <f>IF(D1812="?OLD","!!!","")</f>
        <v/>
      </c>
      <c r="F1812" s="23" t="str">
        <f>IF(OR(E1812="",E1812="!!!"),"",IF(NOT(ISNA(VLOOKUP(E1812,E$1:E1811,1,FALSE()))),"OLD",IF(AND(E1812&lt;&gt;"",E1812&lt;&gt;"!!!"),"NEW","")))</f>
        <v> </v>
      </c>
      <c r="G1812" s="24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5" t="str">
        <f>IF(J1812&lt;&gt;1,"",IF(I1812="SBJ","CB","?"))</f>
        <v> </v>
      </c>
      <c r="I1812" s="26" t="str">
        <f>IF(OR(E1812="",E1812="!!!",F1812="NEW"),"",INDEX(B1811:B$2,-1+SUMPRODUCT(MAX(ROW(E1811:E$2)*(E1812=E1811:E$2)))))</f>
        <v> </v>
      </c>
      <c r="J1812" s="26" t="str">
        <f>IF(OR(E1812="",E1812="!!!",F1812="NEW"),"",COUNTBLANK(OFFSET(A$1,,,SUMPRODUCT(MAX(ROW(E$2:E1812)*(E1812=E$2:E1812)))))-COUNTBLANK(OFFSET(A$1,,,SUMPRODUCT(MAX(ROW(E$1:E1811)*(E2=E$1:E1811))))))</f>
        <v> </v>
      </c>
      <c r="K1812" s="26" t="str">
        <f>IF(OR(E1812="",E1812="!!!",F1812="NEW"),"",INDEX(J$1:J1811,SUMPRODUCT(MAX(ROW(E$1:E1811)*(E1812=E$1:E1811)))))</f>
        <v> </v>
      </c>
      <c r="L1812" s="27"/>
    </row>
    <row r="1813" spans="1:12">
      <c r="A1813" s="20" t="s">
        <v>1299</v>
      </c>
      <c r="E1813" s="22">
        <f>IF(D1813="?OLD","!!!","")</f>
        <v/>
      </c>
      <c r="F1813" s="23" t="str">
        <f>IF(OR(E1813="",E1813="!!!"),"",IF(NOT(ISNA(VLOOKUP(E1813,E$1:E1812,1,FALSE()))),"OLD",IF(AND(E1813&lt;&gt;"",E1813&lt;&gt;"!!!"),"NEW","")))</f>
        <v> </v>
      </c>
      <c r="G1813" s="24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5" t="str">
        <f>IF(J1813&lt;&gt;1,"",IF(I1813="SBJ","CB","?"))</f>
        <v> </v>
      </c>
      <c r="I1813" s="26" t="str">
        <f>IF(OR(E1813="",E1813="!!!",F1813="NEW"),"",INDEX(B1812:B$2,-1+SUMPRODUCT(MAX(ROW(E1812:E$2)*(E1813=E1812:E$2)))))</f>
        <v> </v>
      </c>
      <c r="J1813" s="26" t="str">
        <f>IF(OR(E1813="",E1813="!!!",F1813="NEW"),"",COUNTBLANK(OFFSET(A$1,,,SUMPRODUCT(MAX(ROW(E$2:E1813)*(E1813=E$2:E1813)))))-COUNTBLANK(OFFSET(A$1,,,SUMPRODUCT(MAX(ROW(E$1:E1812)*(E2=E$1:E1812))))))</f>
        <v> </v>
      </c>
      <c r="K1813" s="26" t="str">
        <f>IF(OR(E1813="",E1813="!!!",F1813="NEW"),"",INDEX(J$1:J1812,SUMPRODUCT(MAX(ROW(E$1:E1812)*(E1813=E$1:E1812)))))</f>
        <v> </v>
      </c>
      <c r="L1813" s="27"/>
    </row>
    <row r="1814" spans="1:12">
      <c r="A1814" s="20" t="s">
        <v>1300</v>
      </c>
      <c r="E1814" s="22">
        <f>IF(D1814="?OLD","!!!","")</f>
        <v/>
      </c>
      <c r="F1814" s="23" t="str">
        <f>IF(OR(E1814="",E1814="!!!"),"",IF(NOT(ISNA(VLOOKUP(E1814,E$1:E1813,1,FALSE()))),"OLD",IF(AND(E1814&lt;&gt;"",E1814&lt;&gt;"!!!"),"NEW","")))</f>
        <v> </v>
      </c>
      <c r="G1814" s="24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5" t="str">
        <f>IF(J1814&lt;&gt;1,"",IF(I1814="SBJ","CB","?"))</f>
        <v> </v>
      </c>
      <c r="I1814" s="26" t="str">
        <f>IF(OR(E1814="",E1814="!!!",F1814="NEW"),"",INDEX(B1813:B$2,-1+SUMPRODUCT(MAX(ROW(E1813:E$2)*(E1814=E1813:E$2)))))</f>
        <v> </v>
      </c>
      <c r="J1814" s="26" t="str">
        <f>IF(OR(E1814="",E1814="!!!",F1814="NEW"),"",COUNTBLANK(OFFSET(A$1,,,SUMPRODUCT(MAX(ROW(E$2:E1814)*(E1814=E$2:E1814)))))-COUNTBLANK(OFFSET(A$1,,,SUMPRODUCT(MAX(ROW(E$1:E1813)*(E2=E$1:E1813))))))</f>
        <v> </v>
      </c>
      <c r="K1814" s="26" t="str">
        <f>IF(OR(E1814="",E1814="!!!",F1814="NEW"),"",INDEX(J$1:J1813,SUMPRODUCT(MAX(ROW(E$1:E1813)*(E1814=E$1:E1813)))))</f>
        <v> </v>
      </c>
      <c r="L1814" s="27"/>
    </row>
    <row r="1815" spans="1:12">
      <c r="A1815" s="20" t="s">
        <v>506</v>
      </c>
      <c r="E1815" s="22">
        <f>IF(D1815="?OLD","!!!","")</f>
        <v/>
      </c>
      <c r="F1815" s="23" t="str">
        <f>IF(OR(E1815="",E1815="!!!"),"",IF(NOT(ISNA(VLOOKUP(E1815,E$1:E1814,1,FALSE()))),"OLD",IF(AND(E1815&lt;&gt;"",E1815&lt;&gt;"!!!"),"NEW","")))</f>
        <v> </v>
      </c>
      <c r="G1815" s="24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5" t="str">
        <f>IF(J1815&lt;&gt;1,"",IF(I1815="SBJ","CB","?"))</f>
        <v> </v>
      </c>
      <c r="I1815" s="26" t="str">
        <f>IF(OR(E1815="",E1815="!!!",F1815="NEW"),"",INDEX(B1814:B$2,-1+SUMPRODUCT(MAX(ROW(E1814:E$2)*(E1815=E1814:E$2)))))</f>
        <v> </v>
      </c>
      <c r="J1815" s="26" t="str">
        <f>IF(OR(E1815="",E1815="!!!",F1815="NEW"),"",COUNTBLANK(OFFSET(A$1,,,SUMPRODUCT(MAX(ROW(E$2:E1815)*(E1815=E$2:E1815)))))-COUNTBLANK(OFFSET(A$1,,,SUMPRODUCT(MAX(ROW(E$1:E1814)*(E2=E$1:E1814))))))</f>
        <v> </v>
      </c>
      <c r="K1815" s="26" t="str">
        <f>IF(OR(E1815="",E1815="!!!",F1815="NEW"),"",INDEX(J$1:J1814,SUMPRODUCT(MAX(ROW(E$1:E1814)*(E1815=E$1:E1814)))))</f>
        <v> </v>
      </c>
      <c r="L1815" s="27"/>
    </row>
    <row r="1816" spans="1:12">
      <c r="A1816" s="20" t="s">
        <v>811</v>
      </c>
      <c r="E1816" s="22">
        <f>IF(D1816="?OLD","!!!","")</f>
        <v/>
      </c>
      <c r="F1816" s="23" t="str">
        <f>IF(OR(E1816="",E1816="!!!"),"",IF(NOT(ISNA(VLOOKUP(E1816,E$1:E1815,1,FALSE()))),"OLD",IF(AND(E1816&lt;&gt;"",E1816&lt;&gt;"!!!"),"NEW","")))</f>
        <v> </v>
      </c>
      <c r="G1816" s="24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5" t="str">
        <f>IF(J1816&lt;&gt;1,"",IF(I1816="SBJ","CB","?"))</f>
        <v> </v>
      </c>
      <c r="I1816" s="26" t="str">
        <f>IF(OR(E1816="",E1816="!!!",F1816="NEW"),"",INDEX(B1815:B$2,-1+SUMPRODUCT(MAX(ROW(E1815:E$2)*(E1816=E1815:E$2)))))</f>
        <v> </v>
      </c>
      <c r="J1816" s="26" t="str">
        <f>IF(OR(E1816="",E1816="!!!",F1816="NEW"),"",COUNTBLANK(OFFSET(A$1,,,SUMPRODUCT(MAX(ROW(E$2:E1816)*(E1816=E$2:E1816)))))-COUNTBLANK(OFFSET(A$1,,,SUMPRODUCT(MAX(ROW(E$1:E1815)*(E2=E$1:E1815))))))</f>
        <v> </v>
      </c>
      <c r="K1816" s="26" t="str">
        <f>IF(OR(E1816="",E1816="!!!",F1816="NEW"),"",INDEX(J$1:J1815,SUMPRODUCT(MAX(ROW(E$1:E1815)*(E1816=E$1:E1815)))))</f>
        <v> </v>
      </c>
      <c r="L1816" s="27"/>
    </row>
    <row r="1817" spans="1:12">
      <c r="A1817" s="20" t="s">
        <v>510</v>
      </c>
      <c r="B1817" s="21" t="s">
        <v>679</v>
      </c>
      <c r="C1817" s="21" t="s">
        <v>471</v>
      </c>
      <c r="D1817" s="21" t="s">
        <v>424</v>
      </c>
      <c r="E1817" s="22">
        <f>IF(D1817="?OLD","!!!","")</f>
        <v/>
      </c>
      <c r="F1817" s="23" t="str">
        <f>IF(OR(E1817="",E1817="!!!"),"",IF(NOT(ISNA(VLOOKUP(E1817,E$1:E1816,1,FALSE()))),"OLD",IF(AND(E1817&lt;&gt;"",E1817&lt;&gt;"!!!"),"NEW","")))</f>
        <v> </v>
      </c>
      <c r="G1817" s="24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5" t="str">
        <f>IF(J1817&lt;&gt;1,"",IF(I1817="SBJ","CB","?"))</f>
        <v> </v>
      </c>
      <c r="I1817" s="26" t="str">
        <f>IF(OR(E1817="",E1817="!!!",F1817="NEW"),"",INDEX(B1816:B$2,-1+SUMPRODUCT(MAX(ROW(E1816:E$2)*(E1817=E1816:E$2)))))</f>
        <v> </v>
      </c>
      <c r="J1817" s="26" t="str">
        <f>IF(OR(E1817="",E1817="!!!",F1817="NEW"),"",COUNTBLANK(OFFSET(A$1,,,SUMPRODUCT(MAX(ROW(E$2:E1817)*(E1817=E$2:E1817)))))-COUNTBLANK(OFFSET(A$1,,,SUMPRODUCT(MAX(ROW(E$1:E1816)*(E2=E$1:E1816))))))</f>
        <v> </v>
      </c>
      <c r="K1817" s="26" t="str">
        <f>IF(OR(E1817="",E1817="!!!",F1817="NEW"),"",INDEX(J$1:J1816,SUMPRODUCT(MAX(ROW(E$1:E1816)*(E1817=E$1:E1816)))))</f>
        <v> </v>
      </c>
      <c r="L1817" s="27"/>
    </row>
    <row r="1818" spans="1:12">
      <c r="A1818" s="20" t="s">
        <v>915</v>
      </c>
      <c r="E1818" s="22">
        <f>IF(D1818="?OLD","!!!","")</f>
        <v/>
      </c>
      <c r="F1818" s="23" t="str">
        <f>IF(OR(E1818="",E1818="!!!"),"",IF(NOT(ISNA(VLOOKUP(E1818,E$1:E1817,1,FALSE()))),"OLD",IF(AND(E1818&lt;&gt;"",E1818&lt;&gt;"!!!"),"NEW","")))</f>
        <v> </v>
      </c>
      <c r="G1818" s="24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5" t="str">
        <f>IF(J1818&lt;&gt;1,"",IF(I1818="SBJ","CB","?"))</f>
        <v> </v>
      </c>
      <c r="I1818" s="26" t="str">
        <f>IF(OR(E1818="",E1818="!!!",F1818="NEW"),"",INDEX(B1817:B$2,-1+SUMPRODUCT(MAX(ROW(E1817:E$2)*(E1818=E1817:E$2)))))</f>
        <v> </v>
      </c>
      <c r="J1818" s="26" t="str">
        <f>IF(OR(E1818="",E1818="!!!",F1818="NEW"),"",COUNTBLANK(OFFSET(A$1,,,SUMPRODUCT(MAX(ROW(E$2:E1818)*(E1818=E$2:E1818)))))-COUNTBLANK(OFFSET(A$1,,,SUMPRODUCT(MAX(ROW(E$1:E1817)*(E2=E$1:E1817))))))</f>
        <v> </v>
      </c>
      <c r="K1818" s="26" t="str">
        <f>IF(OR(E1818="",E1818="!!!",F1818="NEW"),"",INDEX(J$1:J1817,SUMPRODUCT(MAX(ROW(E$1:E1817)*(E1818=E$1:E1817)))))</f>
        <v> </v>
      </c>
      <c r="L1818" s="27"/>
    </row>
    <row r="1819" spans="1:12">
      <c r="A1819" s="20"/>
    </row>
    <row r="1820" spans="1:12">
      <c r="A1820" s="20" t="s">
        <v>1301</v>
      </c>
    </row>
    <row r="1821" spans="1:12">
      <c r="A1821" s="20" t="s">
        <v>1021</v>
      </c>
      <c r="E1821" s="22">
        <f>IF(D1821="?OLD","!!!","")</f>
        <v/>
      </c>
      <c r="F1821" s="23" t="str">
        <f>IF(OR(E1821="",E1821="!!!"),"",IF(NOT(ISNA(VLOOKUP(E1821,E$1:E1820,1,FALSE()))),"OLD",IF(AND(E1821&lt;&gt;"",E1821&lt;&gt;"!!!"),"NEW","")))</f>
        <v> </v>
      </c>
      <c r="G1821" s="24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5" t="str">
        <f>IF(J1821&lt;&gt;1,"",IF(I1821="SBJ","CB","?"))</f>
        <v> </v>
      </c>
      <c r="I1821" s="26" t="str">
        <f>IF(OR(E1821="",E1821="!!!",F1821="NEW"),"",INDEX(B1820:B$2,-1+SUMPRODUCT(MAX(ROW(E1820:E$2)*(E1821=E1820:E$2)))))</f>
        <v> </v>
      </c>
      <c r="J1821" s="26" t="str">
        <f>IF(OR(E1821="",E1821="!!!",F1821="NEW"),"",COUNTBLANK(OFFSET(A$1,,,SUMPRODUCT(MAX(ROW(E$2:E1821)*(E1821=E$2:E1821)))))-COUNTBLANK(OFFSET(A$1,,,SUMPRODUCT(MAX(ROW(E$1:E1820)*(E2=E$1:E1820))))))</f>
        <v> </v>
      </c>
      <c r="K1821" s="26" t="str">
        <f>IF(OR(E1821="",E1821="!!!",F1821="NEW"),"",INDEX(J$1:J1820,SUMPRODUCT(MAX(ROW(E$1:E1820)*(E1821=E$1:E1820)))))</f>
        <v> </v>
      </c>
      <c r="L1821" s="27"/>
    </row>
    <row r="1822" spans="1:12">
      <c r="A1822" s="20" t="s">
        <v>1222</v>
      </c>
      <c r="B1822" s="21" t="s">
        <v>659</v>
      </c>
      <c r="C1822" s="21" t="s">
        <v>680</v>
      </c>
      <c r="D1822" s="21" t="s">
        <v>424</v>
      </c>
      <c r="E1822" s="22">
        <f>IF(D1822="?OLD","!!!","")</f>
        <v/>
      </c>
      <c r="F1822" s="23" t="str">
        <f>IF(OR(E1822="",E1822="!!!"),"",IF(NOT(ISNA(VLOOKUP(E1822,E$1:E1821,1,FALSE()))),"OLD",IF(AND(E1822&lt;&gt;"",E1822&lt;&gt;"!!!"),"NEW","")))</f>
        <v> </v>
      </c>
      <c r="G1822" s="24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5" t="str">
        <f>IF(J1822&lt;&gt;1,"",IF(I1822="SBJ","CB","?"))</f>
        <v> </v>
      </c>
      <c r="I1822" s="26" t="str">
        <f>IF(OR(E1822="",E1822="!!!",F1822="NEW"),"",INDEX(B1821:B$2,-1+SUMPRODUCT(MAX(ROW(E1821:E$2)*(E1822=E1821:E$2)))))</f>
        <v> </v>
      </c>
      <c r="J1822" s="26" t="str">
        <f>IF(OR(E1822="",E1822="!!!",F1822="NEW"),"",COUNTBLANK(OFFSET(A$1,,,SUMPRODUCT(MAX(ROW(E$2:E1822)*(E1822=E$2:E1822)))))-COUNTBLANK(OFFSET(A$1,,,SUMPRODUCT(MAX(ROW(E$1:E1821)*(E2=E$1:E1821))))))</f>
        <v> </v>
      </c>
      <c r="K1822" s="26" t="str">
        <f>IF(OR(E1822="",E1822="!!!",F1822="NEW"),"",INDEX(J$1:J1821,SUMPRODUCT(MAX(ROW(E$1:E1821)*(E1822=E$1:E1821)))))</f>
        <v> </v>
      </c>
      <c r="L1822" s="27"/>
    </row>
    <row r="1823" spans="1:12">
      <c r="A1823" s="20" t="s">
        <v>443</v>
      </c>
      <c r="B1823" s="21" t="s">
        <v>422</v>
      </c>
      <c r="E1823" s="22">
        <f>IF(D1823="?OLD","!!!","")</f>
        <v/>
      </c>
      <c r="F1823" s="23" t="str">
        <f>IF(OR(E1823="",E1823="!!!"),"",IF(NOT(ISNA(VLOOKUP(E1823,E$1:E1822,1,FALSE()))),"OLD",IF(AND(E1823&lt;&gt;"",E1823&lt;&gt;"!!!"),"NEW","")))</f>
        <v> </v>
      </c>
      <c r="G1823" s="24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5" t="str">
        <f>IF(J1823&lt;&gt;1,"",IF(I1823="SBJ","CB","?"))</f>
        <v> </v>
      </c>
      <c r="I1823" s="26" t="str">
        <f>IF(OR(E1823="",E1823="!!!",F1823="NEW"),"",INDEX(B1822:B$2,-1+SUMPRODUCT(MAX(ROW(E1822:E$2)*(E1823=E1822:E$2)))))</f>
        <v> </v>
      </c>
      <c r="J1823" s="26" t="str">
        <f>IF(OR(E1823="",E1823="!!!",F1823="NEW"),"",COUNTBLANK(OFFSET(A$1,,,SUMPRODUCT(MAX(ROW(E$2:E1823)*(E1823=E$2:E1823)))))-COUNTBLANK(OFFSET(A$1,,,SUMPRODUCT(MAX(ROW(E$1:E1822)*(E2=E$1:E1822))))))</f>
        <v> </v>
      </c>
      <c r="K1823" s="26" t="str">
        <f>IF(OR(E1823="",E1823="!!!",F1823="NEW"),"",INDEX(J$1:J1822,SUMPRODUCT(MAX(ROW(E$1:E1822)*(E1823=E$1:E1822)))))</f>
        <v> </v>
      </c>
      <c r="L1823" s="27"/>
    </row>
    <row r="1824" spans="1:12">
      <c r="A1824" s="20" t="s">
        <v>1302</v>
      </c>
      <c r="E1824" s="22">
        <f>IF(D1824="?OLD","!!!","")</f>
        <v/>
      </c>
      <c r="F1824" s="23" t="str">
        <f>IF(OR(E1824="",E1824="!!!"),"",IF(NOT(ISNA(VLOOKUP(E1824,E$1:E1823,1,FALSE()))),"OLD",IF(AND(E1824&lt;&gt;"",E1824&lt;&gt;"!!!"),"NEW","")))</f>
        <v> </v>
      </c>
      <c r="G1824" s="24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5" t="str">
        <f>IF(J1824&lt;&gt;1,"",IF(I1824="SBJ","CB","?"))</f>
        <v> </v>
      </c>
      <c r="I1824" s="26" t="str">
        <f>IF(OR(E1824="",E1824="!!!",F1824="NEW"),"",INDEX(B1823:B$2,-1+SUMPRODUCT(MAX(ROW(E1823:E$2)*(E1824=E1823:E$2)))))</f>
        <v> </v>
      </c>
      <c r="J1824" s="26" t="str">
        <f>IF(OR(E1824="",E1824="!!!",F1824="NEW"),"",COUNTBLANK(OFFSET(A$1,,,SUMPRODUCT(MAX(ROW(E$2:E1824)*(E1824=E$2:E1824)))))-COUNTBLANK(OFFSET(A$1,,,SUMPRODUCT(MAX(ROW(E$1:E1823)*(E2=E$1:E1823))))))</f>
        <v> </v>
      </c>
      <c r="K1824" s="26" t="str">
        <f>IF(OR(E1824="",E1824="!!!",F1824="NEW"),"",INDEX(J$1:J1823,SUMPRODUCT(MAX(ROW(E$1:E1823)*(E1824=E$1:E1823)))))</f>
        <v> </v>
      </c>
      <c r="L1824" s="27"/>
    </row>
    <row r="1825" spans="1:12">
      <c r="A1825" s="20" t="s">
        <v>465</v>
      </c>
      <c r="E1825" s="22">
        <f>IF(D1825="?OLD","!!!","")</f>
        <v/>
      </c>
      <c r="F1825" s="23" t="str">
        <f>IF(OR(E1825="",E1825="!!!"),"",IF(NOT(ISNA(VLOOKUP(E1825,E$1:E1824,1,FALSE()))),"OLD",IF(AND(E1825&lt;&gt;"",E1825&lt;&gt;"!!!"),"NEW","")))</f>
        <v> </v>
      </c>
      <c r="G1825" s="24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5" t="str">
        <f>IF(J1825&lt;&gt;1,"",IF(I1825="SBJ","CB","?"))</f>
        <v> </v>
      </c>
      <c r="I1825" s="26" t="str">
        <f>IF(OR(E1825="",E1825="!!!",F1825="NEW"),"",INDEX(B1824:B$2,-1+SUMPRODUCT(MAX(ROW(E1824:E$2)*(E1825=E1824:E$2)))))</f>
        <v> </v>
      </c>
      <c r="J1825" s="26" t="str">
        <f>IF(OR(E1825="",E1825="!!!",F1825="NEW"),"",COUNTBLANK(OFFSET(A$1,,,SUMPRODUCT(MAX(ROW(E$2:E1825)*(E1825=E$2:E1825)))))-COUNTBLANK(OFFSET(A$1,,,SUMPRODUCT(MAX(ROW(E$1:E1824)*(E2=E$1:E1824))))))</f>
        <v> </v>
      </c>
      <c r="K1825" s="26" t="str">
        <f>IF(OR(E1825="",E1825="!!!",F1825="NEW"),"",INDEX(J$1:J1824,SUMPRODUCT(MAX(ROW(E$1:E1824)*(E1825=E$1:E1824)))))</f>
        <v> </v>
      </c>
      <c r="L1825" s="27"/>
    </row>
    <row r="1826" spans="1:12">
      <c r="A1826" s="20" t="s">
        <v>1303</v>
      </c>
      <c r="E1826" s="22">
        <f>IF(D1826="?OLD","!!!","")</f>
        <v/>
      </c>
      <c r="F1826" s="23" t="str">
        <f>IF(OR(E1826="",E1826="!!!"),"",IF(NOT(ISNA(VLOOKUP(E1826,E$1:E1825,1,FALSE()))),"OLD",IF(AND(E1826&lt;&gt;"",E1826&lt;&gt;"!!!"),"NEW","")))</f>
        <v> </v>
      </c>
      <c r="G1826" s="24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5" t="str">
        <f>IF(J1826&lt;&gt;1,"",IF(I1826="SBJ","CB","?"))</f>
        <v> </v>
      </c>
      <c r="I1826" s="26" t="str">
        <f>IF(OR(E1826="",E1826="!!!",F1826="NEW"),"",INDEX(B1825:B$2,-1+SUMPRODUCT(MAX(ROW(E1825:E$2)*(E1826=E1825:E$2)))))</f>
        <v> </v>
      </c>
      <c r="J1826" s="26" t="str">
        <f>IF(OR(E1826="",E1826="!!!",F1826="NEW"),"",COUNTBLANK(OFFSET(A$1,,,SUMPRODUCT(MAX(ROW(E$2:E1826)*(E1826=E$2:E1826)))))-COUNTBLANK(OFFSET(A$1,,,SUMPRODUCT(MAX(ROW(E$1:E1825)*(E2=E$1:E1825))))))</f>
        <v> </v>
      </c>
      <c r="K1826" s="26" t="str">
        <f>IF(OR(E1826="",E1826="!!!",F1826="NEW"),"",INDEX(J$1:J1825,SUMPRODUCT(MAX(ROW(E$1:E1825)*(E1826=E$1:E1825)))))</f>
        <v> </v>
      </c>
      <c r="L1826" s="27"/>
    </row>
    <row r="1827" spans="1:12">
      <c r="A1827" s="20" t="s">
        <v>1019</v>
      </c>
      <c r="E1827" s="22">
        <f>IF(D1827="?OLD","!!!","")</f>
        <v/>
      </c>
      <c r="F1827" s="23" t="str">
        <f>IF(OR(E1827="",E1827="!!!"),"",IF(NOT(ISNA(VLOOKUP(E1827,E$1:E1826,1,FALSE()))),"OLD",IF(AND(E1827&lt;&gt;"",E1827&lt;&gt;"!!!"),"NEW","")))</f>
        <v> </v>
      </c>
      <c r="G1827" s="24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5" t="str">
        <f>IF(J1827&lt;&gt;1,"",IF(I1827="SBJ","CB","?"))</f>
        <v> </v>
      </c>
      <c r="I1827" s="26" t="str">
        <f>IF(OR(E1827="",E1827="!!!",F1827="NEW"),"",INDEX(B1826:B$2,-1+SUMPRODUCT(MAX(ROW(E1826:E$2)*(E1827=E1826:E$2)))))</f>
        <v> </v>
      </c>
      <c r="J1827" s="26" t="str">
        <f>IF(OR(E1827="",E1827="!!!",F1827="NEW"),"",COUNTBLANK(OFFSET(A$1,,,SUMPRODUCT(MAX(ROW(E$2:E1827)*(E1827=E$2:E1827)))))-COUNTBLANK(OFFSET(A$1,,,SUMPRODUCT(MAX(ROW(E$1:E1826)*(E2=E$1:E1826))))))</f>
        <v> </v>
      </c>
      <c r="K1827" s="26" t="str">
        <f>IF(OR(E1827="",E1827="!!!",F1827="NEW"),"",INDEX(J$1:J1826,SUMPRODUCT(MAX(ROW(E$1:E1826)*(E1827=E$1:E1826)))))</f>
        <v> </v>
      </c>
      <c r="L1827" s="27"/>
    </row>
    <row r="1828" spans="1:12">
      <c r="A1828" s="20" t="s">
        <v>453</v>
      </c>
      <c r="E1828" s="22">
        <f>IF(D1828="?OLD","!!!","")</f>
        <v/>
      </c>
      <c r="F1828" s="23" t="str">
        <f>IF(OR(E1828="",E1828="!!!"),"",IF(NOT(ISNA(VLOOKUP(E1828,E$1:E1827,1,FALSE()))),"OLD",IF(AND(E1828&lt;&gt;"",E1828&lt;&gt;"!!!"),"NEW","")))</f>
        <v> </v>
      </c>
      <c r="G1828" s="24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5" t="str">
        <f>IF(J1828&lt;&gt;1,"",IF(I1828="SBJ","CB","?"))</f>
        <v> </v>
      </c>
      <c r="I1828" s="26" t="str">
        <f>IF(OR(E1828="",E1828="!!!",F1828="NEW"),"",INDEX(B1827:B$2,-1+SUMPRODUCT(MAX(ROW(E1827:E$2)*(E1828=E1827:E$2)))))</f>
        <v> </v>
      </c>
      <c r="J1828" s="26" t="str">
        <f>IF(OR(E1828="",E1828="!!!",F1828="NEW"),"",COUNTBLANK(OFFSET(A$1,,,SUMPRODUCT(MAX(ROW(E$2:E1828)*(E1828=E$2:E1828)))))-COUNTBLANK(OFFSET(A$1,,,SUMPRODUCT(MAX(ROW(E$1:E1827)*(E2=E$1:E1827))))))</f>
        <v> </v>
      </c>
      <c r="K1828" s="26" t="str">
        <f>IF(OR(E1828="",E1828="!!!",F1828="NEW"),"",INDEX(J$1:J1827,SUMPRODUCT(MAX(ROW(E$1:E1827)*(E1828=E$1:E1827)))))</f>
        <v> </v>
      </c>
      <c r="L1828" s="27"/>
    </row>
    <row r="1829" spans="1:12">
      <c r="A1829" s="20" t="s">
        <v>502</v>
      </c>
      <c r="E1829" s="22">
        <f>IF(D1829="?OLD","!!!","")</f>
        <v/>
      </c>
      <c r="F1829" s="23" t="str">
        <f>IF(OR(E1829="",E1829="!!!"),"",IF(NOT(ISNA(VLOOKUP(E1829,E$1:E1828,1,FALSE()))),"OLD",IF(AND(E1829&lt;&gt;"",E1829&lt;&gt;"!!!"),"NEW","")))</f>
        <v> </v>
      </c>
      <c r="G1829" s="24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5" t="str">
        <f>IF(J1829&lt;&gt;1,"",IF(I1829="SBJ","CB","?"))</f>
        <v> </v>
      </c>
      <c r="I1829" s="26" t="str">
        <f>IF(OR(E1829="",E1829="!!!",F1829="NEW"),"",INDEX(B1828:B$2,-1+SUMPRODUCT(MAX(ROW(E1828:E$2)*(E1829=E1828:E$2)))))</f>
        <v> </v>
      </c>
      <c r="J1829" s="26" t="str">
        <f>IF(OR(E1829="",E1829="!!!",F1829="NEW"),"",COUNTBLANK(OFFSET(A$1,,,SUMPRODUCT(MAX(ROW(E$2:E1829)*(E1829=E$2:E1829)))))-COUNTBLANK(OFFSET(A$1,,,SUMPRODUCT(MAX(ROW(E$1:E1828)*(E2=E$1:E1828))))))</f>
        <v> </v>
      </c>
      <c r="K1829" s="26" t="str">
        <f>IF(OR(E1829="",E1829="!!!",F1829="NEW"),"",INDEX(J$1:J1828,SUMPRODUCT(MAX(ROW(E$1:E1828)*(E1829=E$1:E1828)))))</f>
        <v> </v>
      </c>
      <c r="L1829" s="27"/>
    </row>
    <row r="1830" spans="1:12">
      <c r="A1830" s="20" t="s">
        <v>1304</v>
      </c>
      <c r="B1830" s="21" t="s">
        <v>434</v>
      </c>
      <c r="C1830" s="21" t="s">
        <v>680</v>
      </c>
      <c r="D1830" s="21" t="s">
        <v>424</v>
      </c>
      <c r="E1830" s="22">
        <f>IF(D1830="?OLD","!!!","")</f>
        <v/>
      </c>
      <c r="F1830" s="23" t="str">
        <f>IF(OR(E1830="",E1830="!!!"),"",IF(NOT(ISNA(VLOOKUP(E1830,E$1:E1829,1,FALSE()))),"OLD",IF(AND(E1830&lt;&gt;"",E1830&lt;&gt;"!!!"),"NEW","")))</f>
        <v> </v>
      </c>
      <c r="G1830" s="24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5" t="str">
        <f>IF(J1830&lt;&gt;1,"",IF(I1830="SBJ","CB","?"))</f>
        <v> </v>
      </c>
      <c r="I1830" s="26" t="str">
        <f>IF(OR(E1830="",E1830="!!!",F1830="NEW"),"",INDEX(B1829:B$2,-1+SUMPRODUCT(MAX(ROW(E1829:E$2)*(E1830=E1829:E$2)))))</f>
        <v> </v>
      </c>
      <c r="J1830" s="26" t="str">
        <f>IF(OR(E1830="",E1830="!!!",F1830="NEW"),"",COUNTBLANK(OFFSET(A$1,,,SUMPRODUCT(MAX(ROW(E$2:E1830)*(E1830=E$2:E1830)))))-COUNTBLANK(OFFSET(A$1,,,SUMPRODUCT(MAX(ROW(E$1:E1829)*(E2=E$1:E1829))))))</f>
        <v> </v>
      </c>
      <c r="K1830" s="26" t="str">
        <f>IF(OR(E1830="",E1830="!!!",F1830="NEW"),"",INDEX(J$1:J1829,SUMPRODUCT(MAX(ROW(E$1:E1829)*(E1830=E$1:E1829)))))</f>
        <v> </v>
      </c>
      <c r="L1830" s="27"/>
    </row>
    <row r="1831" spans="1:12">
      <c r="A1831" s="20" t="s">
        <v>1305</v>
      </c>
      <c r="E1831" s="22">
        <f>IF(D1831="?OLD","!!!","")</f>
        <v/>
      </c>
      <c r="F1831" s="23" t="str">
        <f>IF(OR(E1831="",E1831="!!!"),"",IF(NOT(ISNA(VLOOKUP(E1831,E$1:E1830,1,FALSE()))),"OLD",IF(AND(E1831&lt;&gt;"",E1831&lt;&gt;"!!!"),"NEW","")))</f>
        <v> </v>
      </c>
      <c r="G1831" s="24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5" t="str">
        <f>IF(J1831&lt;&gt;1,"",IF(I1831="SBJ","CB","?"))</f>
        <v> </v>
      </c>
      <c r="I1831" s="26" t="str">
        <f>IF(OR(E1831="",E1831="!!!",F1831="NEW"),"",INDEX(B1830:B$2,-1+SUMPRODUCT(MAX(ROW(E1830:E$2)*(E1831=E1830:E$2)))))</f>
        <v> </v>
      </c>
      <c r="J1831" s="26" t="str">
        <f>IF(OR(E1831="",E1831="!!!",F1831="NEW"),"",COUNTBLANK(OFFSET(A$1,,,SUMPRODUCT(MAX(ROW(E$2:E1831)*(E1831=E$2:E1831)))))-COUNTBLANK(OFFSET(A$1,,,SUMPRODUCT(MAX(ROW(E$1:E1830)*(E2=E$1:E1830))))))</f>
        <v> </v>
      </c>
      <c r="K1831" s="26" t="str">
        <f>IF(OR(E1831="",E1831="!!!",F1831="NEW"),"",INDEX(J$1:J1830,SUMPRODUCT(MAX(ROW(E$1:E1830)*(E1831=E$1:E1830)))))</f>
        <v> </v>
      </c>
      <c r="L1831" s="27"/>
    </row>
    <row r="1832" spans="1:12">
      <c r="A1832" s="20" t="s">
        <v>633</v>
      </c>
      <c r="B1832" s="21" t="s">
        <v>556</v>
      </c>
      <c r="E1832" s="22">
        <f>IF(D1832="?OLD","!!!","")</f>
        <v/>
      </c>
      <c r="F1832" s="23" t="str">
        <f>IF(OR(E1832="",E1832="!!!"),"",IF(NOT(ISNA(VLOOKUP(E1832,E$1:E1831,1,FALSE()))),"OLD",IF(AND(E1832&lt;&gt;"",E1832&lt;&gt;"!!!"),"NEW","")))</f>
        <v> </v>
      </c>
      <c r="G1832" s="24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5" t="str">
        <f>IF(J1832&lt;&gt;1,"",IF(I1832="SBJ","CB","?"))</f>
        <v> </v>
      </c>
      <c r="I1832" s="26" t="str">
        <f>IF(OR(E1832="",E1832="!!!",F1832="NEW"),"",INDEX(B1831:B$2,-1+SUMPRODUCT(MAX(ROW(E1831:E$2)*(E1832=E1831:E$2)))))</f>
        <v> </v>
      </c>
      <c r="J1832" s="26" t="str">
        <f>IF(OR(E1832="",E1832="!!!",F1832="NEW"),"",COUNTBLANK(OFFSET(A$1,,,SUMPRODUCT(MAX(ROW(E$2:E1832)*(E1832=E$2:E1832)))))-COUNTBLANK(OFFSET(A$1,,,SUMPRODUCT(MAX(ROW(E$1:E1831)*(E2=E$1:E1831))))))</f>
        <v> </v>
      </c>
      <c r="K1832" s="26" t="str">
        <f>IF(OR(E1832="",E1832="!!!",F1832="NEW"),"",INDEX(J$1:J1831,SUMPRODUCT(MAX(ROW(E$1:E1831)*(E1832=E$1:E1831)))))</f>
        <v> </v>
      </c>
      <c r="L1832" s="27"/>
    </row>
    <row r="1833" spans="1:12">
      <c r="A1833" s="20" t="s">
        <v>1306</v>
      </c>
      <c r="E1833" s="22">
        <f>IF(D1833="?OLD","!!!","")</f>
        <v/>
      </c>
      <c r="F1833" s="23" t="str">
        <f>IF(OR(E1833="",E1833="!!!"),"",IF(NOT(ISNA(VLOOKUP(E1833,E$1:E1832,1,FALSE()))),"OLD",IF(AND(E1833&lt;&gt;"",E1833&lt;&gt;"!!!"),"NEW","")))</f>
        <v> </v>
      </c>
      <c r="G1833" s="24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5" t="str">
        <f>IF(J1833&lt;&gt;1,"",IF(I1833="SBJ","CB","?"))</f>
        <v> </v>
      </c>
      <c r="I1833" s="26" t="str">
        <f>IF(OR(E1833="",E1833="!!!",F1833="NEW"),"",INDEX(B1832:B$2,-1+SUMPRODUCT(MAX(ROW(E1832:E$2)*(E1833=E1832:E$2)))))</f>
        <v> </v>
      </c>
      <c r="J1833" s="26" t="str">
        <f>IF(OR(E1833="",E1833="!!!",F1833="NEW"),"",COUNTBLANK(OFFSET(A$1,,,SUMPRODUCT(MAX(ROW(E$2:E1833)*(E1833=E$2:E1833)))))-COUNTBLANK(OFFSET(A$1,,,SUMPRODUCT(MAX(ROW(E$1:E1832)*(E2=E$1:E1832))))))</f>
        <v> </v>
      </c>
      <c r="K1833" s="26" t="str">
        <f>IF(OR(E1833="",E1833="!!!",F1833="NEW"),"",INDEX(J$1:J1832,SUMPRODUCT(MAX(ROW(E$1:E1832)*(E1833=E$1:E1832)))))</f>
        <v> </v>
      </c>
      <c r="L1833" s="27"/>
    </row>
    <row r="1834" spans="1:12">
      <c r="A1834" s="20" t="s">
        <v>1307</v>
      </c>
      <c r="B1834" s="21" t="s">
        <v>434</v>
      </c>
      <c r="C1834" s="21" t="s">
        <v>680</v>
      </c>
      <c r="D1834" s="21" t="s">
        <v>424</v>
      </c>
      <c r="E1834" s="22">
        <f>IF(D1834="?OLD","!!!","")</f>
        <v/>
      </c>
      <c r="F1834" s="23" t="str">
        <f>IF(OR(E1834="",E1834="!!!"),"",IF(NOT(ISNA(VLOOKUP(E1834,E$1:E1833,1,FALSE()))),"OLD",IF(AND(E1834&lt;&gt;"",E1834&lt;&gt;"!!!"),"NEW","")))</f>
        <v> </v>
      </c>
      <c r="G1834" s="24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5" t="str">
        <f>IF(J1834&lt;&gt;1,"",IF(I1834="SBJ","CB","?"))</f>
        <v> </v>
      </c>
      <c r="I1834" s="26" t="str">
        <f>IF(OR(E1834="",E1834="!!!",F1834="NEW"),"",INDEX(B1833:B$2,-1+SUMPRODUCT(MAX(ROW(E1833:E$2)*(E1834=E1833:E$2)))))</f>
        <v> </v>
      </c>
      <c r="J1834" s="26" t="str">
        <f>IF(OR(E1834="",E1834="!!!",F1834="NEW"),"",COUNTBLANK(OFFSET(A$1,,,SUMPRODUCT(MAX(ROW(E$2:E1834)*(E1834=E$2:E1834)))))-COUNTBLANK(OFFSET(A$1,,,SUMPRODUCT(MAX(ROW(E$1:E1833)*(E2=E$1:E1833))))))</f>
        <v> </v>
      </c>
      <c r="K1834" s="26" t="str">
        <f>IF(OR(E1834="",E1834="!!!",F1834="NEW"),"",INDEX(J$1:J1833,SUMPRODUCT(MAX(ROW(E$1:E1833)*(E1834=E$1:E1833)))))</f>
        <v> </v>
      </c>
      <c r="L1834" s="27"/>
    </row>
    <row r="1835" spans="1:12">
      <c r="A1835" s="20" t="s">
        <v>1079</v>
      </c>
      <c r="E1835" s="22">
        <f>IF(D1835="?OLD","!!!","")</f>
        <v/>
      </c>
      <c r="F1835" s="23" t="str">
        <f>IF(OR(E1835="",E1835="!!!"),"",IF(NOT(ISNA(VLOOKUP(E1835,E$1:E1834,1,FALSE()))),"OLD",IF(AND(E1835&lt;&gt;"",E1835&lt;&gt;"!!!"),"NEW","")))</f>
        <v> </v>
      </c>
      <c r="G1835" s="24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5" t="str">
        <f>IF(J1835&lt;&gt;1,"",IF(I1835="SBJ","CB","?"))</f>
        <v> </v>
      </c>
      <c r="I1835" s="26" t="str">
        <f>IF(OR(E1835="",E1835="!!!",F1835="NEW"),"",INDEX(B1834:B$2,-1+SUMPRODUCT(MAX(ROW(E1834:E$2)*(E1835=E1834:E$2)))))</f>
        <v> </v>
      </c>
      <c r="J1835" s="26" t="str">
        <f>IF(OR(E1835="",E1835="!!!",F1835="NEW"),"",COUNTBLANK(OFFSET(A$1,,,SUMPRODUCT(MAX(ROW(E$2:E1835)*(E1835=E$2:E1835)))))-COUNTBLANK(OFFSET(A$1,,,SUMPRODUCT(MAX(ROW(E$1:E1834)*(E2=E$1:E1834))))))</f>
        <v> </v>
      </c>
      <c r="K1835" s="26" t="str">
        <f>IF(OR(E1835="",E1835="!!!",F1835="NEW"),"",INDEX(J$1:J1834,SUMPRODUCT(MAX(ROW(E$1:E1834)*(E1835=E$1:E1834)))))</f>
        <v> </v>
      </c>
      <c r="L1835" s="27"/>
    </row>
    <row r="1836" spans="1:12">
      <c r="A1836" s="20" t="s">
        <v>453</v>
      </c>
      <c r="E1836" s="22">
        <f>IF(D1836="?OLD","!!!","")</f>
        <v/>
      </c>
      <c r="F1836" s="23" t="str">
        <f>IF(OR(E1836="",E1836="!!!"),"",IF(NOT(ISNA(VLOOKUP(E1836,E$1:E1835,1,FALSE()))),"OLD",IF(AND(E1836&lt;&gt;"",E1836&lt;&gt;"!!!"),"NEW","")))</f>
        <v> </v>
      </c>
      <c r="G1836" s="24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5" t="str">
        <f>IF(J1836&lt;&gt;1,"",IF(I1836="SBJ","CB","?"))</f>
        <v> </v>
      </c>
      <c r="I1836" s="26" t="str">
        <f>IF(OR(E1836="",E1836="!!!",F1836="NEW"),"",INDEX(B1835:B$2,-1+SUMPRODUCT(MAX(ROW(E1835:E$2)*(E1836=E1835:E$2)))))</f>
        <v> </v>
      </c>
      <c r="J1836" s="26" t="str">
        <f>IF(OR(E1836="",E1836="!!!",F1836="NEW"),"",COUNTBLANK(OFFSET(A$1,,,SUMPRODUCT(MAX(ROW(E$2:E1836)*(E1836=E$2:E1836)))))-COUNTBLANK(OFFSET(A$1,,,SUMPRODUCT(MAX(ROW(E$1:E1835)*(E2=E$1:E1835))))))</f>
        <v> </v>
      </c>
      <c r="K1836" s="26" t="str">
        <f>IF(OR(E1836="",E1836="!!!",F1836="NEW"),"",INDEX(J$1:J1835,SUMPRODUCT(MAX(ROW(E$1:E1835)*(E1836=E$1:E1835)))))</f>
        <v> </v>
      </c>
      <c r="L1836" s="27"/>
    </row>
    <row r="1837" spans="1:12">
      <c r="A1837" s="20" t="s">
        <v>313</v>
      </c>
      <c r="E1837" s="22">
        <f>IF(D1837="?OLD","!!!","")</f>
        <v/>
      </c>
      <c r="F1837" s="23" t="str">
        <f>IF(OR(E1837="",E1837="!!!"),"",IF(NOT(ISNA(VLOOKUP(E1837,E$1:E1836,1,FALSE()))),"OLD",IF(AND(E1837&lt;&gt;"",E1837&lt;&gt;"!!!"),"NEW","")))</f>
        <v> </v>
      </c>
      <c r="G1837" s="24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5" t="str">
        <f>IF(J1837&lt;&gt;1,"",IF(I1837="SBJ","CB","?"))</f>
        <v> </v>
      </c>
      <c r="I1837" s="26" t="str">
        <f>IF(OR(E1837="",E1837="!!!",F1837="NEW"),"",INDEX(B1836:B$2,-1+SUMPRODUCT(MAX(ROW(E1836:E$2)*(E1837=E1836:E$2)))))</f>
        <v> </v>
      </c>
      <c r="J1837" s="26" t="str">
        <f>IF(OR(E1837="",E1837="!!!",F1837="NEW"),"",COUNTBLANK(OFFSET(A$1,,,SUMPRODUCT(MAX(ROW(E$2:E1837)*(E1837=E$2:E1837)))))-COUNTBLANK(OFFSET(A$1,,,SUMPRODUCT(MAX(ROW(E$1:E1836)*(E2=E$1:E1836))))))</f>
        <v> </v>
      </c>
      <c r="K1837" s="26" t="str">
        <f>IF(OR(E1837="",E1837="!!!",F1837="NEW"),"",INDEX(J$1:J1836,SUMPRODUCT(MAX(ROW(E$1:E1836)*(E1837=E$1:E1836)))))</f>
        <v> </v>
      </c>
      <c r="L1837" s="27"/>
    </row>
    <row r="1838" spans="1:12">
      <c r="A1838" s="20" t="s">
        <v>453</v>
      </c>
      <c r="E1838" s="22">
        <f>IF(D1838="?OLD","!!!","")</f>
        <v/>
      </c>
      <c r="F1838" s="23" t="str">
        <f>IF(OR(E1838="",E1838="!!!"),"",IF(NOT(ISNA(VLOOKUP(E1838,E$1:E1837,1,FALSE()))),"OLD",IF(AND(E1838&lt;&gt;"",E1838&lt;&gt;"!!!"),"NEW","")))</f>
        <v> </v>
      </c>
      <c r="G1838" s="24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5" t="str">
        <f>IF(J1838&lt;&gt;1,"",IF(I1838="SBJ","CB","?"))</f>
        <v> </v>
      </c>
      <c r="I1838" s="26" t="str">
        <f>IF(OR(E1838="",E1838="!!!",F1838="NEW"),"",INDEX(B1837:B$2,-1+SUMPRODUCT(MAX(ROW(E1837:E$2)*(E1838=E1837:E$2)))))</f>
        <v> </v>
      </c>
      <c r="J1838" s="26" t="str">
        <f>IF(OR(E1838="",E1838="!!!",F1838="NEW"),"",COUNTBLANK(OFFSET(A$1,,,SUMPRODUCT(MAX(ROW(E$2:E1838)*(E1838=E$2:E1838)))))-COUNTBLANK(OFFSET(A$1,,,SUMPRODUCT(MAX(ROW(E$1:E1837)*(E2=E$1:E1837))))))</f>
        <v> </v>
      </c>
      <c r="K1838" s="26" t="str">
        <f>IF(OR(E1838="",E1838="!!!",F1838="NEW"),"",INDEX(J$1:J1837,SUMPRODUCT(MAX(ROW(E$1:E1837)*(E1838=E$1:E1837)))))</f>
        <v> </v>
      </c>
      <c r="L1838" s="27"/>
    </row>
    <row r="1839" spans="1:12">
      <c r="A1839" s="20" t="s">
        <v>1308</v>
      </c>
      <c r="B1839" s="21" t="s">
        <v>462</v>
      </c>
      <c r="E1839" s="22">
        <f>IF(D1839="?OLD","!!!","")</f>
        <v/>
      </c>
      <c r="F1839" s="23" t="str">
        <f>IF(OR(E1839="",E1839="!!!"),"",IF(NOT(ISNA(VLOOKUP(E1839,E$1:E1838,1,FALSE()))),"OLD",IF(AND(E1839&lt;&gt;"",E1839&lt;&gt;"!!!"),"NEW","")))</f>
        <v> </v>
      </c>
      <c r="G1839" s="24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5" t="str">
        <f>IF(J1839&lt;&gt;1,"",IF(I1839="SBJ","CB","?"))</f>
        <v> </v>
      </c>
      <c r="I1839" s="26" t="str">
        <f>IF(OR(E1839="",E1839="!!!",F1839="NEW"),"",INDEX(B1838:B$2,-1+SUMPRODUCT(MAX(ROW(E1838:E$2)*(E1839=E1838:E$2)))))</f>
        <v> </v>
      </c>
      <c r="J1839" s="26" t="str">
        <f>IF(OR(E1839="",E1839="!!!",F1839="NEW"),"",COUNTBLANK(OFFSET(A$1,,,SUMPRODUCT(MAX(ROW(E$2:E1839)*(E1839=E$2:E1839)))))-COUNTBLANK(OFFSET(A$1,,,SUMPRODUCT(MAX(ROW(E$1:E1838)*(E2=E$1:E1838))))))</f>
        <v> </v>
      </c>
      <c r="K1839" s="26" t="str">
        <f>IF(OR(E1839="",E1839="!!!",F1839="NEW"),"",INDEX(J$1:J1838,SUMPRODUCT(MAX(ROW(E$1:E1838)*(E1839=E$1:E1838)))))</f>
        <v> </v>
      </c>
      <c r="L1839" s="27"/>
    </row>
    <row r="1840" spans="1:12">
      <c r="A1840" s="20" t="s">
        <v>1309</v>
      </c>
      <c r="E1840" s="22">
        <f>IF(D1840="?OLD","!!!","")</f>
        <v/>
      </c>
      <c r="F1840" s="23" t="str">
        <f>IF(OR(E1840="",E1840="!!!"),"",IF(NOT(ISNA(VLOOKUP(E1840,E$1:E1839,1,FALSE()))),"OLD",IF(AND(E1840&lt;&gt;"",E1840&lt;&gt;"!!!"),"NEW","")))</f>
        <v> </v>
      </c>
      <c r="G1840" s="24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5" t="str">
        <f>IF(J1840&lt;&gt;1,"",IF(I1840="SBJ","CB","?"))</f>
        <v> </v>
      </c>
      <c r="I1840" s="26" t="str">
        <f>IF(OR(E1840="",E1840="!!!",F1840="NEW"),"",INDEX(B1839:B$2,-1+SUMPRODUCT(MAX(ROW(E1839:E$2)*(E1840=E1839:E$2)))))</f>
        <v> </v>
      </c>
      <c r="J1840" s="26" t="str">
        <f>IF(OR(E1840="",E1840="!!!",F1840="NEW"),"",COUNTBLANK(OFFSET(A$1,,,SUMPRODUCT(MAX(ROW(E$2:E1840)*(E1840=E$2:E1840)))))-COUNTBLANK(OFFSET(A$1,,,SUMPRODUCT(MAX(ROW(E$1:E1839)*(E2=E$1:E1839))))))</f>
        <v> </v>
      </c>
      <c r="K1840" s="26" t="str">
        <f>IF(OR(E1840="",E1840="!!!",F1840="NEW"),"",INDEX(J$1:J1839,SUMPRODUCT(MAX(ROW(E$1:E1839)*(E1840=E$1:E1839)))))</f>
        <v> </v>
      </c>
      <c r="L1840" s="27"/>
    </row>
    <row r="1841" spans="1:12">
      <c r="A1841" s="20" t="s">
        <v>453</v>
      </c>
      <c r="E1841" s="22">
        <f>IF(D1841="?OLD","!!!","")</f>
        <v/>
      </c>
      <c r="F1841" s="23" t="str">
        <f>IF(OR(E1841="",E1841="!!!"),"",IF(NOT(ISNA(VLOOKUP(E1841,E$1:E1840,1,FALSE()))),"OLD",IF(AND(E1841&lt;&gt;"",E1841&lt;&gt;"!!!"),"NEW","")))</f>
        <v> </v>
      </c>
      <c r="G1841" s="24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5" t="str">
        <f>IF(J1841&lt;&gt;1,"",IF(I1841="SBJ","CB","?"))</f>
        <v> </v>
      </c>
      <c r="I1841" s="26" t="str">
        <f>IF(OR(E1841="",E1841="!!!",F1841="NEW"),"",INDEX(B1840:B$2,-1+SUMPRODUCT(MAX(ROW(E1840:E$2)*(E1841=E1840:E$2)))))</f>
        <v> </v>
      </c>
      <c r="J1841" s="26" t="str">
        <f>IF(OR(E1841="",E1841="!!!",F1841="NEW"),"",COUNTBLANK(OFFSET(A$1,,,SUMPRODUCT(MAX(ROW(E$2:E1841)*(E1841=E$2:E1841)))))-COUNTBLANK(OFFSET(A$1,,,SUMPRODUCT(MAX(ROW(E$1:E1840)*(E2=E$1:E1840))))))</f>
        <v> </v>
      </c>
      <c r="K1841" s="26" t="str">
        <f>IF(OR(E1841="",E1841="!!!",F1841="NEW"),"",INDEX(J$1:J1840,SUMPRODUCT(MAX(ROW(E$1:E1840)*(E1841=E$1:E1840)))))</f>
        <v> </v>
      </c>
      <c r="L1841" s="27"/>
    </row>
    <row r="1842" spans="1:12">
      <c r="A1842" s="20" t="s">
        <v>683</v>
      </c>
      <c r="E1842" s="22">
        <f>IF(D1842="?OLD","!!!","")</f>
        <v/>
      </c>
      <c r="F1842" s="23" t="str">
        <f>IF(OR(E1842="",E1842="!!!"),"",IF(NOT(ISNA(VLOOKUP(E1842,E$1:E1841,1,FALSE()))),"OLD",IF(AND(E1842&lt;&gt;"",E1842&lt;&gt;"!!!"),"NEW","")))</f>
        <v> </v>
      </c>
      <c r="G1842" s="24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5" t="str">
        <f>IF(J1842&lt;&gt;1,"",IF(I1842="SBJ","CB","?"))</f>
        <v> </v>
      </c>
      <c r="I1842" s="26" t="str">
        <f>IF(OR(E1842="",E1842="!!!",F1842="NEW"),"",INDEX(B1841:B$2,-1+SUMPRODUCT(MAX(ROW(E1841:E$2)*(E1842=E1841:E$2)))))</f>
        <v> </v>
      </c>
      <c r="J1842" s="26" t="str">
        <f>IF(OR(E1842="",E1842="!!!",F1842="NEW"),"",COUNTBLANK(OFFSET(A$1,,,SUMPRODUCT(MAX(ROW(E$2:E1842)*(E1842=E$2:E1842)))))-COUNTBLANK(OFFSET(A$1,,,SUMPRODUCT(MAX(ROW(E$1:E1841)*(E2=E$1:E1841))))))</f>
        <v> </v>
      </c>
      <c r="K1842" s="26" t="str">
        <f>IF(OR(E1842="",E1842="!!!",F1842="NEW"),"",INDEX(J$1:J1841,SUMPRODUCT(MAX(ROW(E$1:E1841)*(E1842=E$1:E1841)))))</f>
        <v> </v>
      </c>
      <c r="L1842" s="27"/>
    </row>
    <row r="1843" spans="1:12">
      <c r="A1843" s="20" t="s">
        <v>1310</v>
      </c>
      <c r="B1843" s="21" t="s">
        <v>462</v>
      </c>
      <c r="C1843" s="21" t="s">
        <v>471</v>
      </c>
      <c r="D1843" s="21" t="s">
        <v>424</v>
      </c>
      <c r="E1843" s="22">
        <f>IF(D1843="?OLD","!!!","")</f>
        <v/>
      </c>
      <c r="F1843" s="23" t="str">
        <f>IF(OR(E1843="",E1843="!!!"),"",IF(NOT(ISNA(VLOOKUP(E1843,E$1:E1842,1,FALSE()))),"OLD",IF(AND(E1843&lt;&gt;"",E1843&lt;&gt;"!!!"),"NEW","")))</f>
        <v> </v>
      </c>
      <c r="G1843" s="24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5" t="str">
        <f>IF(J1843&lt;&gt;1,"",IF(I1843="SBJ","CB","?"))</f>
        <v> </v>
      </c>
      <c r="I1843" s="26" t="str">
        <f>IF(OR(E1843="",E1843="!!!",F1843="NEW"),"",INDEX(B1842:B$2,-1+SUMPRODUCT(MAX(ROW(E1842:E$2)*(E1843=E1842:E$2)))))</f>
        <v> </v>
      </c>
      <c r="J1843" s="26" t="str">
        <f>IF(OR(E1843="",E1843="!!!",F1843="NEW"),"",COUNTBLANK(OFFSET(A$1,,,SUMPRODUCT(MAX(ROW(E$2:E1843)*(E1843=E$2:E1843)))))-COUNTBLANK(OFFSET(A$1,,,SUMPRODUCT(MAX(ROW(E$1:E1842)*(E2=E$1:E1842))))))</f>
        <v> </v>
      </c>
      <c r="K1843" s="26" t="str">
        <f>IF(OR(E1843="",E1843="!!!",F1843="NEW"),"",INDEX(J$1:J1842,SUMPRODUCT(MAX(ROW(E$1:E1842)*(E1843=E$1:E1842)))))</f>
        <v> </v>
      </c>
      <c r="L1843" s="27"/>
    </row>
    <row r="1844" spans="1:12">
      <c r="A1844" s="20" t="s">
        <v>632</v>
      </c>
      <c r="E1844" s="22">
        <f>IF(D1844="?OLD","!!!","")</f>
        <v/>
      </c>
      <c r="F1844" s="23" t="str">
        <f>IF(OR(E1844="",E1844="!!!"),"",IF(NOT(ISNA(VLOOKUP(E1844,E$1:E1843,1,FALSE()))),"OLD",IF(AND(E1844&lt;&gt;"",E1844&lt;&gt;"!!!"),"NEW","")))</f>
        <v> </v>
      </c>
      <c r="G1844" s="24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5" t="str">
        <f>IF(J1844&lt;&gt;1,"",IF(I1844="SBJ","CB","?"))</f>
        <v> </v>
      </c>
      <c r="I1844" s="26" t="str">
        <f>IF(OR(E1844="",E1844="!!!",F1844="NEW"),"",INDEX(B1843:B$2,-1+SUMPRODUCT(MAX(ROW(E1843:E$2)*(E1844=E1843:E$2)))))</f>
        <v> </v>
      </c>
      <c r="J1844" s="26" t="str">
        <f>IF(OR(E1844="",E1844="!!!",F1844="NEW"),"",COUNTBLANK(OFFSET(A$1,,,SUMPRODUCT(MAX(ROW(E$2:E1844)*(E1844=E$2:E1844)))))-COUNTBLANK(OFFSET(A$1,,,SUMPRODUCT(MAX(ROW(E$1:E1843)*(E2=E$1:E1843))))))</f>
        <v> </v>
      </c>
      <c r="K1844" s="26" t="str">
        <f>IF(OR(E1844="",E1844="!!!",F1844="NEW"),"",INDEX(J$1:J1843,SUMPRODUCT(MAX(ROW(E$1:E1843)*(E1844=E$1:E1843)))))</f>
        <v> </v>
      </c>
      <c r="L1844" s="27"/>
    </row>
    <row r="1845" spans="1:12">
      <c r="A1845" s="20" t="s">
        <v>482</v>
      </c>
      <c r="E1845" s="22">
        <f>IF(D1845="?OLD","!!!","")</f>
        <v/>
      </c>
      <c r="F1845" s="23" t="str">
        <f>IF(OR(E1845="",E1845="!!!"),"",IF(NOT(ISNA(VLOOKUP(E1845,E$1:E1844,1,FALSE()))),"OLD",IF(AND(E1845&lt;&gt;"",E1845&lt;&gt;"!!!"),"NEW","")))</f>
        <v> </v>
      </c>
      <c r="G1845" s="24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5" t="str">
        <f>IF(J1845&lt;&gt;1,"",IF(I1845="SBJ","CB","?"))</f>
        <v> </v>
      </c>
      <c r="I1845" s="26" t="str">
        <f>IF(OR(E1845="",E1845="!!!",F1845="NEW"),"",INDEX(B1844:B$2,-1+SUMPRODUCT(MAX(ROW(E1844:E$2)*(E1845=E1844:E$2)))))</f>
        <v> </v>
      </c>
      <c r="J1845" s="26" t="str">
        <f>IF(OR(E1845="",E1845="!!!",F1845="NEW"),"",COUNTBLANK(OFFSET(A$1,,,SUMPRODUCT(MAX(ROW(E$2:E1845)*(E1845=E$2:E1845)))))-COUNTBLANK(OFFSET(A$1,,,SUMPRODUCT(MAX(ROW(E$1:E1844)*(E2=E$1:E1844))))))</f>
        <v> </v>
      </c>
      <c r="K1845" s="26" t="str">
        <f>IF(OR(E1845="",E1845="!!!",F1845="NEW"),"",INDEX(J$1:J1844,SUMPRODUCT(MAX(ROW(E$1:E1844)*(E1845=E$1:E1844)))))</f>
        <v> </v>
      </c>
      <c r="L1845" s="27"/>
    </row>
    <row r="1846" spans="1:12">
      <c r="A1846" s="20" t="s">
        <v>1311</v>
      </c>
      <c r="B1846" s="21" t="s">
        <v>432</v>
      </c>
      <c r="C1846" s="21" t="s">
        <v>471</v>
      </c>
      <c r="D1846" s="21" t="s">
        <v>424</v>
      </c>
      <c r="E1846" s="22">
        <f>IF(D1846="?OLD","!!!","")</f>
        <v/>
      </c>
      <c r="F1846" s="23" t="str">
        <f>IF(OR(E1846="",E1846="!!!"),"",IF(NOT(ISNA(VLOOKUP(E1846,E$1:E1845,1,FALSE()))),"OLD",IF(AND(E1846&lt;&gt;"",E1846&lt;&gt;"!!!"),"NEW","")))</f>
        <v> </v>
      </c>
      <c r="G1846" s="24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5" t="str">
        <f>IF(J1846&lt;&gt;1,"",IF(I1846="SBJ","CB","?"))</f>
        <v> </v>
      </c>
      <c r="I1846" s="26" t="str">
        <f>IF(OR(E1846="",E1846="!!!",F1846="NEW"),"",INDEX(B1845:B$2,-1+SUMPRODUCT(MAX(ROW(E1845:E$2)*(E1846=E1845:E$2)))))</f>
        <v> </v>
      </c>
      <c r="J1846" s="26" t="str">
        <f>IF(OR(E1846="",E1846="!!!",F1846="NEW"),"",COUNTBLANK(OFFSET(A$1,,,SUMPRODUCT(MAX(ROW(E$2:E1846)*(E1846=E$2:E1846)))))-COUNTBLANK(OFFSET(A$1,,,SUMPRODUCT(MAX(ROW(E$1:E1845)*(E2=E$1:E1845))))))</f>
        <v> </v>
      </c>
      <c r="K1846" s="26" t="str">
        <f>IF(OR(E1846="",E1846="!!!",F1846="NEW"),"",INDEX(J$1:J1845,SUMPRODUCT(MAX(ROW(E$1:E1845)*(E1846=E$1:E1845)))))</f>
        <v> </v>
      </c>
      <c r="L1846" s="27"/>
    </row>
    <row r="1847" spans="1:12">
      <c r="A1847" s="20" t="s">
        <v>1312</v>
      </c>
      <c r="E1847" s="22">
        <f>IF(D1847="?OLD","!!!","")</f>
        <v/>
      </c>
      <c r="F1847" s="23" t="str">
        <f>IF(OR(E1847="",E1847="!!!"),"",IF(NOT(ISNA(VLOOKUP(E1847,E$1:E1846,1,FALSE()))),"OLD",IF(AND(E1847&lt;&gt;"",E1847&lt;&gt;"!!!"),"NEW","")))</f>
        <v> </v>
      </c>
      <c r="G1847" s="24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5" t="str">
        <f>IF(J1847&lt;&gt;1,"",IF(I1847="SBJ","CB","?"))</f>
        <v> </v>
      </c>
      <c r="I1847" s="26" t="str">
        <f>IF(OR(E1847="",E1847="!!!",F1847="NEW"),"",INDEX(B1846:B$2,-1+SUMPRODUCT(MAX(ROW(E1846:E$2)*(E1847=E1846:E$2)))))</f>
        <v> </v>
      </c>
      <c r="J1847" s="26" t="str">
        <f>IF(OR(E1847="",E1847="!!!",F1847="NEW"),"",COUNTBLANK(OFFSET(A$1,,,SUMPRODUCT(MAX(ROW(E$2:E1847)*(E1847=E$2:E1847)))))-COUNTBLANK(OFFSET(A$1,,,SUMPRODUCT(MAX(ROW(E$1:E1846)*(E2=E$1:E1846))))))</f>
        <v> </v>
      </c>
      <c r="K1847" s="26" t="str">
        <f>IF(OR(E1847="",E1847="!!!",F1847="NEW"),"",INDEX(J$1:J1846,SUMPRODUCT(MAX(ROW(E$1:E1846)*(E1847=E$1:E1846)))))</f>
        <v> </v>
      </c>
      <c r="L1847" s="27"/>
    </row>
    <row r="1848" spans="1:12">
      <c r="A1848" s="20" t="s">
        <v>1313</v>
      </c>
      <c r="E1848" s="22">
        <f>IF(D1848="?OLD","!!!","")</f>
        <v/>
      </c>
      <c r="F1848" s="23" t="str">
        <f>IF(OR(E1848="",E1848="!!!"),"",IF(NOT(ISNA(VLOOKUP(E1848,E$1:E1847,1,FALSE()))),"OLD",IF(AND(E1848&lt;&gt;"",E1848&lt;&gt;"!!!"),"NEW","")))</f>
        <v> </v>
      </c>
      <c r="G1848" s="24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5" t="str">
        <f>IF(J1848&lt;&gt;1,"",IF(I1848="SBJ","CB","?"))</f>
        <v> </v>
      </c>
      <c r="I1848" s="26" t="str">
        <f>IF(OR(E1848="",E1848="!!!",F1848="NEW"),"",INDEX(B1847:B$2,-1+SUMPRODUCT(MAX(ROW(E1847:E$2)*(E1848=E1847:E$2)))))</f>
        <v> </v>
      </c>
      <c r="J1848" s="26" t="str">
        <f>IF(OR(E1848="",E1848="!!!",F1848="NEW"),"",COUNTBLANK(OFFSET(A$1,,,SUMPRODUCT(MAX(ROW(E$2:E1848)*(E1848=E$2:E1848)))))-COUNTBLANK(OFFSET(A$1,,,SUMPRODUCT(MAX(ROW(E$1:E1847)*(E2=E$1:E1847))))))</f>
        <v> </v>
      </c>
      <c r="K1848" s="26" t="str">
        <f>IF(OR(E1848="",E1848="!!!",F1848="NEW"),"",INDEX(J$1:J1847,SUMPRODUCT(MAX(ROW(E$1:E1847)*(E1848=E$1:E1847)))))</f>
        <v> </v>
      </c>
      <c r="L1848" s="27"/>
    </row>
    <row r="1849" spans="1:12">
      <c r="A1849" s="20" t="s">
        <v>1314</v>
      </c>
      <c r="B1849" s="21" t="s">
        <v>536</v>
      </c>
      <c r="E1849" s="22">
        <f>IF(D1849="?OLD","!!!","")</f>
        <v/>
      </c>
      <c r="F1849" s="23" t="str">
        <f>IF(OR(E1849="",E1849="!!!"),"",IF(NOT(ISNA(VLOOKUP(E1849,E$1:E1848,1,FALSE()))),"OLD",IF(AND(E1849&lt;&gt;"",E1849&lt;&gt;"!!!"),"NEW","")))</f>
        <v> </v>
      </c>
      <c r="G1849" s="24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5" t="str">
        <f>IF(J1849&lt;&gt;1,"",IF(I1849="SBJ","CB","?"))</f>
        <v> </v>
      </c>
      <c r="I1849" s="26" t="str">
        <f>IF(OR(E1849="",E1849="!!!",F1849="NEW"),"",INDEX(B1848:B$2,-1+SUMPRODUCT(MAX(ROW(E1848:E$2)*(E1849=E1848:E$2)))))</f>
        <v> </v>
      </c>
      <c r="J1849" s="26" t="str">
        <f>IF(OR(E1849="",E1849="!!!",F1849="NEW"),"",COUNTBLANK(OFFSET(A$1,,,SUMPRODUCT(MAX(ROW(E$2:E1849)*(E1849=E$2:E1849)))))-COUNTBLANK(OFFSET(A$1,,,SUMPRODUCT(MAX(ROW(E$1:E1848)*(E2=E$1:E1848))))))</f>
        <v> </v>
      </c>
      <c r="K1849" s="26" t="str">
        <f>IF(OR(E1849="",E1849="!!!",F1849="NEW"),"",INDEX(J$1:J1848,SUMPRODUCT(MAX(ROW(E$1:E1848)*(E1849=E$1:E1848)))))</f>
        <v> </v>
      </c>
      <c r="L1849" s="27"/>
    </row>
    <row r="1850" spans="1:12">
      <c r="A1850" s="20" t="s">
        <v>1062</v>
      </c>
      <c r="B1850" s="21" t="s">
        <v>940</v>
      </c>
      <c r="C1850" s="21" t="s">
        <v>481</v>
      </c>
      <c r="E1850" s="22">
        <f>IF(D1850="?OLD","!!!","")</f>
        <v/>
      </c>
      <c r="F1850" s="23" t="str">
        <f>IF(OR(E1850="",E1850="!!!"),"",IF(NOT(ISNA(VLOOKUP(E1850,E$1:E1849,1,FALSE()))),"OLD",IF(AND(E1850&lt;&gt;"",E1850&lt;&gt;"!!!"),"NEW","")))</f>
        <v> </v>
      </c>
      <c r="G1850" s="24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5" t="str">
        <f>IF(J1850&lt;&gt;1,"",IF(I1850="SBJ","CB","?"))</f>
        <v> </v>
      </c>
      <c r="I1850" s="26" t="str">
        <f>IF(OR(E1850="",E1850="!!!",F1850="NEW"),"",INDEX(B1849:B$2,-1+SUMPRODUCT(MAX(ROW(E1849:E$2)*(E1850=E1849:E$2)))))</f>
        <v> </v>
      </c>
      <c r="J1850" s="26" t="str">
        <f>IF(OR(E1850="",E1850="!!!",F1850="NEW"),"",COUNTBLANK(OFFSET(A$1,,,SUMPRODUCT(MAX(ROW(E$2:E1850)*(E1850=E$2:E1850)))))-COUNTBLANK(OFFSET(A$1,,,SUMPRODUCT(MAX(ROW(E$1:E1849)*(E2=E$1:E1849))))))</f>
        <v> </v>
      </c>
      <c r="K1850" s="26" t="str">
        <f>IF(OR(E1850="",E1850="!!!",F1850="NEW"),"",INDEX(J$1:J1849,SUMPRODUCT(MAX(ROW(E$1:E1849)*(E1850=E$1:E1849)))))</f>
        <v> </v>
      </c>
      <c r="L1850" s="27"/>
    </row>
    <row r="1851" spans="1:12">
      <c r="A1851" s="20" t="s">
        <v>1315</v>
      </c>
      <c r="E1851" s="22">
        <f>IF(D1851="?OLD","!!!","")</f>
        <v/>
      </c>
      <c r="F1851" s="23" t="str">
        <f>IF(OR(E1851="",E1851="!!!"),"",IF(NOT(ISNA(VLOOKUP(E1851,E$1:E1850,1,FALSE()))),"OLD",IF(AND(E1851&lt;&gt;"",E1851&lt;&gt;"!!!"),"NEW","")))</f>
        <v> </v>
      </c>
      <c r="G1851" s="24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5" t="str">
        <f>IF(J1851&lt;&gt;1,"",IF(I1851="SBJ","CB","?"))</f>
        <v> </v>
      </c>
      <c r="I1851" s="26" t="str">
        <f>IF(OR(E1851="",E1851="!!!",F1851="NEW"),"",INDEX(B1850:B$2,-1+SUMPRODUCT(MAX(ROW(E1850:E$2)*(E1851=E1850:E$2)))))</f>
        <v> </v>
      </c>
      <c r="J1851" s="26" t="str">
        <f>IF(OR(E1851="",E1851="!!!",F1851="NEW"),"",COUNTBLANK(OFFSET(A$1,,,SUMPRODUCT(MAX(ROW(E$2:E1851)*(E1851=E$2:E1851)))))-COUNTBLANK(OFFSET(A$1,,,SUMPRODUCT(MAX(ROW(E$1:E1850)*(E2=E$1:E1850))))))</f>
        <v> </v>
      </c>
      <c r="K1851" s="26" t="str">
        <f>IF(OR(E1851="",E1851="!!!",F1851="NEW"),"",INDEX(J$1:J1850,SUMPRODUCT(MAX(ROW(E$1:E1850)*(E1851=E$1:E1850)))))</f>
        <v> </v>
      </c>
      <c r="L1851" s="27"/>
    </row>
    <row r="1852" spans="1:12">
      <c r="A1852" s="20" t="s">
        <v>506</v>
      </c>
      <c r="E1852" s="22">
        <f>IF(D1852="?OLD","!!!","")</f>
        <v/>
      </c>
      <c r="F1852" s="23" t="str">
        <f>IF(OR(E1852="",E1852="!!!"),"",IF(NOT(ISNA(VLOOKUP(E1852,E$1:E1851,1,FALSE()))),"OLD",IF(AND(E1852&lt;&gt;"",E1852&lt;&gt;"!!!"),"NEW","")))</f>
        <v> </v>
      </c>
      <c r="G1852" s="24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5" t="str">
        <f>IF(J1852&lt;&gt;1,"",IF(I1852="SBJ","CB","?"))</f>
        <v> </v>
      </c>
      <c r="I1852" s="26" t="str">
        <f>IF(OR(E1852="",E1852="!!!",F1852="NEW"),"",INDEX(B1851:B$2,-1+SUMPRODUCT(MAX(ROW(E1851:E$2)*(E1852=E1851:E$2)))))</f>
        <v> </v>
      </c>
      <c r="J1852" s="26" t="str">
        <f>IF(OR(E1852="",E1852="!!!",F1852="NEW"),"",COUNTBLANK(OFFSET(A$1,,,SUMPRODUCT(MAX(ROW(E$2:E1852)*(E1852=E$2:E1852)))))-COUNTBLANK(OFFSET(A$1,,,SUMPRODUCT(MAX(ROW(E$1:E1851)*(E2=E$1:E1851))))))</f>
        <v> </v>
      </c>
      <c r="K1852" s="26" t="str">
        <f>IF(OR(E1852="",E1852="!!!",F1852="NEW"),"",INDEX(J$1:J1851,SUMPRODUCT(MAX(ROW(E$1:E1851)*(E1852=E$1:E1851)))))</f>
        <v> </v>
      </c>
      <c r="L1852" s="27"/>
    </row>
    <row r="1853" spans="1:12">
      <c r="A1853" s="20" t="s">
        <v>467</v>
      </c>
      <c r="E1853" s="22">
        <f>IF(D1853="?OLD","!!!","")</f>
        <v/>
      </c>
      <c r="F1853" s="23" t="str">
        <f>IF(OR(E1853="",E1853="!!!"),"",IF(NOT(ISNA(VLOOKUP(E1853,E$1:E1852,1,FALSE()))),"OLD",IF(AND(E1853&lt;&gt;"",E1853&lt;&gt;"!!!"),"NEW","")))</f>
        <v> </v>
      </c>
      <c r="G1853" s="24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5" t="str">
        <f>IF(J1853&lt;&gt;1,"",IF(I1853="SBJ","CB","?"))</f>
        <v> </v>
      </c>
      <c r="I1853" s="26" t="str">
        <f>IF(OR(E1853="",E1853="!!!",F1853="NEW"),"",INDEX(B1852:B$2,-1+SUMPRODUCT(MAX(ROW(E1852:E$2)*(E1853=E1852:E$2)))))</f>
        <v> </v>
      </c>
      <c r="J1853" s="26" t="str">
        <f>IF(OR(E1853="",E1853="!!!",F1853="NEW"),"",COUNTBLANK(OFFSET(A$1,,,SUMPRODUCT(MAX(ROW(E$2:E1853)*(E1853=E$2:E1853)))))-COUNTBLANK(OFFSET(A$1,,,SUMPRODUCT(MAX(ROW(E$1:E1852)*(E2=E$1:E1852))))))</f>
        <v> </v>
      </c>
      <c r="K1853" s="26" t="str">
        <f>IF(OR(E1853="",E1853="!!!",F1853="NEW"),"",INDEX(J$1:J1852,SUMPRODUCT(MAX(ROW(E$1:E1852)*(E1853=E$1:E1852)))))</f>
        <v> </v>
      </c>
      <c r="L1853" s="27"/>
    </row>
    <row r="1854" spans="1:12">
      <c r="A1854" s="20" t="s">
        <v>915</v>
      </c>
      <c r="E1854" s="22">
        <f>IF(D1854="?OLD","!!!","")</f>
        <v/>
      </c>
      <c r="F1854" s="23" t="str">
        <f>IF(OR(E1854="",E1854="!!!"),"",IF(NOT(ISNA(VLOOKUP(E1854,E$1:E1853,1,FALSE()))),"OLD",IF(AND(E1854&lt;&gt;"",E1854&lt;&gt;"!!!"),"NEW","")))</f>
        <v> </v>
      </c>
      <c r="G1854" s="24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5" t="str">
        <f>IF(J1854&lt;&gt;1,"",IF(I1854="SBJ","CB","?"))</f>
        <v> </v>
      </c>
      <c r="I1854" s="26" t="str">
        <f>IF(OR(E1854="",E1854="!!!",F1854="NEW"),"",INDEX(B1853:B$2,-1+SUMPRODUCT(MAX(ROW(E1853:E$2)*(E1854=E1853:E$2)))))</f>
        <v> </v>
      </c>
      <c r="J1854" s="26" t="str">
        <f>IF(OR(E1854="",E1854="!!!",F1854="NEW"),"",COUNTBLANK(OFFSET(A$1,,,SUMPRODUCT(MAX(ROW(E$2:E1854)*(E1854=E$2:E1854)))))-COUNTBLANK(OFFSET(A$1,,,SUMPRODUCT(MAX(ROW(E$1:E1853)*(E2=E$1:E1853))))))</f>
        <v> </v>
      </c>
      <c r="K1854" s="26" t="str">
        <f>IF(OR(E1854="",E1854="!!!",F1854="NEW"),"",INDEX(J$1:J1853,SUMPRODUCT(MAX(ROW(E$1:E1853)*(E1854=E$1:E1853)))))</f>
        <v> </v>
      </c>
      <c r="L1854" s="27"/>
    </row>
    <row r="1855" spans="1:12">
      <c r="A1855" s="20"/>
    </row>
    <row r="1856" spans="1:12">
      <c r="A1856" s="20" t="s">
        <v>1316</v>
      </c>
    </row>
    <row r="1857" spans="1:12">
      <c r="A1857" s="20" t="s">
        <v>1317</v>
      </c>
      <c r="E1857" s="22">
        <f>IF(D1857="?OLD","!!!","")</f>
        <v/>
      </c>
      <c r="F1857" s="23" t="str">
        <f>IF(OR(E1857="",E1857="!!!"),"",IF(NOT(ISNA(VLOOKUP(E1857,E$1:E1856,1,FALSE()))),"OLD",IF(AND(E1857&lt;&gt;"",E1857&lt;&gt;"!!!"),"NEW","")))</f>
        <v> </v>
      </c>
      <c r="G1857" s="24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5" t="str">
        <f>IF(J1857&lt;&gt;1,"",IF(I1857="SBJ","CB","?"))</f>
        <v> </v>
      </c>
      <c r="I1857" s="26" t="str">
        <f>IF(OR(E1857="",E1857="!!!",F1857="NEW"),"",INDEX(B1856:B$2,-1+SUMPRODUCT(MAX(ROW(E1856:E$2)*(E1857=E1856:E$2)))))</f>
        <v> </v>
      </c>
      <c r="J1857" s="26" t="str">
        <f>IF(OR(E1857="",E1857="!!!",F1857="NEW"),"",COUNTBLANK(OFFSET(A$1,,,SUMPRODUCT(MAX(ROW(E$2:E1857)*(E1857=E$2:E1857)))))-COUNTBLANK(OFFSET(A$1,,,SUMPRODUCT(MAX(ROW(E$1:E1856)*(E2=E$1:E1856))))))</f>
        <v> </v>
      </c>
      <c r="K1857" s="26" t="str">
        <f>IF(OR(E1857="",E1857="!!!",F1857="NEW"),"",INDEX(J$1:J1856,SUMPRODUCT(MAX(ROW(E$1:E1856)*(E1857=E$1:E1856)))))</f>
        <v> </v>
      </c>
      <c r="L1857" s="27"/>
    </row>
    <row r="1858" spans="1:12">
      <c r="A1858" s="20" t="s">
        <v>438</v>
      </c>
      <c r="E1858" s="22">
        <f>IF(D1858="?OLD","!!!","")</f>
        <v/>
      </c>
      <c r="F1858" s="23" t="str">
        <f>IF(OR(E1858="",E1858="!!!"),"",IF(NOT(ISNA(VLOOKUP(E1858,E$1:E1857,1,FALSE()))),"OLD",IF(AND(E1858&lt;&gt;"",E1858&lt;&gt;"!!!"),"NEW","")))</f>
        <v> </v>
      </c>
      <c r="G1858" s="24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5" t="str">
        <f>IF(J1858&lt;&gt;1,"",IF(I1858="SBJ","CB","?"))</f>
        <v> </v>
      </c>
      <c r="I1858" s="26" t="str">
        <f>IF(OR(E1858="",E1858="!!!",F1858="NEW"),"",INDEX(B1857:B$2,-1+SUMPRODUCT(MAX(ROW(E1857:E$2)*(E1858=E1857:E$2)))))</f>
        <v> </v>
      </c>
      <c r="J1858" s="26" t="str">
        <f>IF(OR(E1858="",E1858="!!!",F1858="NEW"),"",COUNTBLANK(OFFSET(A$1,,,SUMPRODUCT(MAX(ROW(E$2:E1858)*(E1858=E$2:E1858)))))-COUNTBLANK(OFFSET(A$1,,,SUMPRODUCT(MAX(ROW(E$1:E1857)*(E2=E$1:E1857))))))</f>
        <v> </v>
      </c>
      <c r="K1858" s="26" t="str">
        <f>IF(OR(E1858="",E1858="!!!",F1858="NEW"),"",INDEX(J$1:J1857,SUMPRODUCT(MAX(ROW(E$1:E1857)*(E1858=E$1:E1857)))))</f>
        <v> </v>
      </c>
      <c r="L1858" s="27"/>
    </row>
    <row r="1859" spans="1:12">
      <c r="A1859" s="20"/>
    </row>
    <row r="1860" spans="1:12">
      <c r="A1860" s="20" t="s">
        <v>1318</v>
      </c>
    </row>
    <row r="1861" spans="1:12">
      <c r="A1861" s="20" t="s">
        <v>1319</v>
      </c>
      <c r="E1861" s="22">
        <f>IF(D1861="?OLD","!!!","")</f>
        <v/>
      </c>
      <c r="F1861" s="23" t="str">
        <f>IF(OR(E1861="",E1861="!!!"),"",IF(NOT(ISNA(VLOOKUP(E1861,E$1:E1860,1,FALSE()))),"OLD",IF(AND(E1861&lt;&gt;"",E1861&lt;&gt;"!!!"),"NEW","")))</f>
        <v> </v>
      </c>
      <c r="G1861" s="24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5" t="str">
        <f>IF(J1861&lt;&gt;1,"",IF(I1861="SBJ","CB","?"))</f>
        <v> </v>
      </c>
      <c r="I1861" s="26" t="str">
        <f>IF(OR(E1861="",E1861="!!!",F1861="NEW"),"",INDEX(B1860:B$2,-1+SUMPRODUCT(MAX(ROW(E1860:E$2)*(E1861=E1860:E$2)))))</f>
        <v> </v>
      </c>
      <c r="J1861" s="26" t="str">
        <f>IF(OR(E1861="",E1861="!!!",F1861="NEW"),"",COUNTBLANK(OFFSET(A$1,,,SUMPRODUCT(MAX(ROW(E$2:E1861)*(E1861=E$2:E1861)))))-COUNTBLANK(OFFSET(A$1,,,SUMPRODUCT(MAX(ROW(E$1:E1860)*(E2=E$1:E1860))))))</f>
        <v> </v>
      </c>
      <c r="K1861" s="26" t="str">
        <f>IF(OR(E1861="",E1861="!!!",F1861="NEW"),"",INDEX(J$1:J1860,SUMPRODUCT(MAX(ROW(E$1:E1860)*(E1861=E$1:E1860)))))</f>
        <v> </v>
      </c>
      <c r="L1861" s="27"/>
    </row>
    <row r="1862" spans="1:12">
      <c r="A1862" s="20" t="s">
        <v>450</v>
      </c>
      <c r="E1862" s="22">
        <f>IF(D1862="?OLD","!!!","")</f>
        <v/>
      </c>
      <c r="F1862" s="23" t="str">
        <f>IF(OR(E1862="",E1862="!!!"),"",IF(NOT(ISNA(VLOOKUP(E1862,E$1:E1861,1,FALSE()))),"OLD",IF(AND(E1862&lt;&gt;"",E1862&lt;&gt;"!!!"),"NEW","")))</f>
        <v> </v>
      </c>
      <c r="G1862" s="24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5" t="str">
        <f>IF(J1862&lt;&gt;1,"",IF(I1862="SBJ","CB","?"))</f>
        <v> </v>
      </c>
      <c r="I1862" s="26" t="str">
        <f>IF(OR(E1862="",E1862="!!!",F1862="NEW"),"",INDEX(B1861:B$2,-1+SUMPRODUCT(MAX(ROW(E1861:E$2)*(E1862=E1861:E$2)))))</f>
        <v> </v>
      </c>
      <c r="J1862" s="26" t="str">
        <f>IF(OR(E1862="",E1862="!!!",F1862="NEW"),"",COUNTBLANK(OFFSET(A$1,,,SUMPRODUCT(MAX(ROW(E$2:E1862)*(E1862=E$2:E1862)))))-COUNTBLANK(OFFSET(A$1,,,SUMPRODUCT(MAX(ROW(E$1:E1861)*(E2=E$1:E1861))))))</f>
        <v> </v>
      </c>
      <c r="K1862" s="26" t="str">
        <f>IF(OR(E1862="",E1862="!!!",F1862="NEW"),"",INDEX(J$1:J1861,SUMPRODUCT(MAX(ROW(E$1:E1861)*(E1862=E$1:E1861)))))</f>
        <v> </v>
      </c>
      <c r="L1862" s="27"/>
    </row>
    <row r="1863" spans="1:12">
      <c r="A1863" s="20" t="s">
        <v>453</v>
      </c>
      <c r="E1863" s="22">
        <f>IF(D1863="?OLD","!!!","")</f>
        <v/>
      </c>
      <c r="F1863" s="23" t="str">
        <f>IF(OR(E1863="",E1863="!!!"),"",IF(NOT(ISNA(VLOOKUP(E1863,E$1:E1862,1,FALSE()))),"OLD",IF(AND(E1863&lt;&gt;"",E1863&lt;&gt;"!!!"),"NEW","")))</f>
        <v> </v>
      </c>
      <c r="G1863" s="24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5" t="str">
        <f>IF(J1863&lt;&gt;1,"",IF(I1863="SBJ","CB","?"))</f>
        <v> </v>
      </c>
      <c r="I1863" s="26" t="str">
        <f>IF(OR(E1863="",E1863="!!!",F1863="NEW"),"",INDEX(B1862:B$2,-1+SUMPRODUCT(MAX(ROW(E1862:E$2)*(E1863=E1862:E$2)))))</f>
        <v> </v>
      </c>
      <c r="J1863" s="26" t="str">
        <f>IF(OR(E1863="",E1863="!!!",F1863="NEW"),"",COUNTBLANK(OFFSET(A$1,,,SUMPRODUCT(MAX(ROW(E$2:E1863)*(E1863=E$2:E1863)))))-COUNTBLANK(OFFSET(A$1,,,SUMPRODUCT(MAX(ROW(E$1:E1862)*(E2=E$1:E1862))))))</f>
        <v> </v>
      </c>
      <c r="K1863" s="26" t="str">
        <f>IF(OR(E1863="",E1863="!!!",F1863="NEW"),"",INDEX(J$1:J1862,SUMPRODUCT(MAX(ROW(E$1:E1862)*(E1863=E$1:E1862)))))</f>
        <v> </v>
      </c>
      <c r="L1863" s="27"/>
    </row>
    <row r="1864" spans="1:12">
      <c r="A1864" s="20" t="s">
        <v>459</v>
      </c>
      <c r="B1864" s="21" t="s">
        <v>422</v>
      </c>
      <c r="C1864" s="21" t="s">
        <v>481</v>
      </c>
      <c r="E1864" s="22">
        <f>IF(D1864="?OLD","!!!","")</f>
        <v/>
      </c>
      <c r="F1864" s="23" t="str">
        <f>IF(OR(E1864="",E1864="!!!"),"",IF(NOT(ISNA(VLOOKUP(E1864,E$1:E1863,1,FALSE()))),"OLD",IF(AND(E1864&lt;&gt;"",E1864&lt;&gt;"!!!"),"NEW","")))</f>
        <v> </v>
      </c>
      <c r="G1864" s="24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5" t="str">
        <f>IF(J1864&lt;&gt;1,"",IF(I1864="SBJ","CB","?"))</f>
        <v> </v>
      </c>
      <c r="I1864" s="26" t="str">
        <f>IF(OR(E1864="",E1864="!!!",F1864="NEW"),"",INDEX(B1863:B$2,-1+SUMPRODUCT(MAX(ROW(E1863:E$2)*(E1864=E1863:E$2)))))</f>
        <v> </v>
      </c>
      <c r="J1864" s="26" t="str">
        <f>IF(OR(E1864="",E1864="!!!",F1864="NEW"),"",COUNTBLANK(OFFSET(A$1,,,SUMPRODUCT(MAX(ROW(E$2:E1864)*(E1864=E$2:E1864)))))-COUNTBLANK(OFFSET(A$1,,,SUMPRODUCT(MAX(ROW(E$1:E1863)*(E2=E$1:E1863))))))</f>
        <v> </v>
      </c>
      <c r="K1864" s="26" t="str">
        <f>IF(OR(E1864="",E1864="!!!",F1864="NEW"),"",INDEX(J$1:J1863,SUMPRODUCT(MAX(ROW(E$1:E1863)*(E1864=E$1:E1863)))))</f>
        <v> </v>
      </c>
      <c r="L1864" s="27"/>
    </row>
    <row r="1865" spans="1:12">
      <c r="A1865" s="20" t="s">
        <v>1320</v>
      </c>
      <c r="E1865" s="22">
        <f>IF(D1865="?OLD","!!!","")</f>
        <v/>
      </c>
      <c r="F1865" s="23" t="str">
        <f>IF(OR(E1865="",E1865="!!!"),"",IF(NOT(ISNA(VLOOKUP(E1865,E$1:E1864,1,FALSE()))),"OLD",IF(AND(E1865&lt;&gt;"",E1865&lt;&gt;"!!!"),"NEW","")))</f>
        <v> </v>
      </c>
      <c r="G1865" s="24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5" t="str">
        <f>IF(J1865&lt;&gt;1,"",IF(I1865="SBJ","CB","?"))</f>
        <v> </v>
      </c>
      <c r="I1865" s="26" t="str">
        <f>IF(OR(E1865="",E1865="!!!",F1865="NEW"),"",INDEX(B1864:B$2,-1+SUMPRODUCT(MAX(ROW(E1864:E$2)*(E1865=E1864:E$2)))))</f>
        <v> </v>
      </c>
      <c r="J1865" s="26" t="str">
        <f>IF(OR(E1865="",E1865="!!!",F1865="NEW"),"",COUNTBLANK(OFFSET(A$1,,,SUMPRODUCT(MAX(ROW(E$2:E1865)*(E1865=E$2:E1865)))))-COUNTBLANK(OFFSET(A$1,,,SUMPRODUCT(MAX(ROW(E$1:E1864)*(E2=E$1:E1864))))))</f>
        <v> </v>
      </c>
      <c r="K1865" s="26" t="str">
        <f>IF(OR(E1865="",E1865="!!!",F1865="NEW"),"",INDEX(J$1:J1864,SUMPRODUCT(MAX(ROW(E$1:E1864)*(E1865=E$1:E1864)))))</f>
        <v> </v>
      </c>
      <c r="L1865" s="27"/>
    </row>
    <row r="1866" spans="1:12">
      <c r="A1866" s="20" t="s">
        <v>661</v>
      </c>
      <c r="E1866" s="22">
        <f>IF(D1866="?OLD","!!!","")</f>
        <v/>
      </c>
      <c r="F1866" s="23" t="str">
        <f>IF(OR(E1866="",E1866="!!!"),"",IF(NOT(ISNA(VLOOKUP(E1866,E$1:E1865,1,FALSE()))),"OLD",IF(AND(E1866&lt;&gt;"",E1866&lt;&gt;"!!!"),"NEW","")))</f>
        <v> </v>
      </c>
      <c r="G1866" s="24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5" t="str">
        <f>IF(J1866&lt;&gt;1,"",IF(I1866="SBJ","CB","?"))</f>
        <v> </v>
      </c>
      <c r="I1866" s="26" t="str">
        <f>IF(OR(E1866="",E1866="!!!",F1866="NEW"),"",INDEX(B1865:B$2,-1+SUMPRODUCT(MAX(ROW(E1865:E$2)*(E1866=E1865:E$2)))))</f>
        <v> </v>
      </c>
      <c r="J1866" s="26" t="str">
        <f>IF(OR(E1866="",E1866="!!!",F1866="NEW"),"",COUNTBLANK(OFFSET(A$1,,,SUMPRODUCT(MAX(ROW(E$2:E1866)*(E1866=E$2:E1866)))))-COUNTBLANK(OFFSET(A$1,,,SUMPRODUCT(MAX(ROW(E$1:E1865)*(E2=E$1:E1865))))))</f>
        <v> </v>
      </c>
      <c r="K1866" s="26" t="str">
        <f>IF(OR(E1866="",E1866="!!!",F1866="NEW"),"",INDEX(J$1:J1865,SUMPRODUCT(MAX(ROW(E$1:E1865)*(E1866=E$1:E1865)))))</f>
        <v> </v>
      </c>
      <c r="L1866" s="27"/>
    </row>
    <row r="1867" spans="1:12">
      <c r="A1867" s="20" t="s">
        <v>453</v>
      </c>
      <c r="E1867" s="22">
        <f>IF(D1867="?OLD","!!!","")</f>
        <v/>
      </c>
      <c r="F1867" s="23" t="str">
        <f>IF(OR(E1867="",E1867="!!!"),"",IF(NOT(ISNA(VLOOKUP(E1867,E$1:E1866,1,FALSE()))),"OLD",IF(AND(E1867&lt;&gt;"",E1867&lt;&gt;"!!!"),"NEW","")))</f>
        <v> </v>
      </c>
      <c r="G1867" s="24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5" t="str">
        <f>IF(J1867&lt;&gt;1,"",IF(I1867="SBJ","CB","?"))</f>
        <v> </v>
      </c>
      <c r="I1867" s="26" t="str">
        <f>IF(OR(E1867="",E1867="!!!",F1867="NEW"),"",INDEX(B1866:B$2,-1+SUMPRODUCT(MAX(ROW(E1866:E$2)*(E1867=E1866:E$2)))))</f>
        <v> </v>
      </c>
      <c r="J1867" s="26" t="str">
        <f>IF(OR(E1867="",E1867="!!!",F1867="NEW"),"",COUNTBLANK(OFFSET(A$1,,,SUMPRODUCT(MAX(ROW(E$2:E1867)*(E1867=E$2:E1867)))))-COUNTBLANK(OFFSET(A$1,,,SUMPRODUCT(MAX(ROW(E$1:E1866)*(E2=E$1:E1866))))))</f>
        <v> </v>
      </c>
      <c r="K1867" s="26" t="str">
        <f>IF(OR(E1867="",E1867="!!!",F1867="NEW"),"",INDEX(J$1:J1866,SUMPRODUCT(MAX(ROW(E$1:E1866)*(E1867=E$1:E1866)))))</f>
        <v> </v>
      </c>
      <c r="L1867" s="27"/>
    </row>
    <row r="1868" spans="1:12">
      <c r="A1868" s="20" t="s">
        <v>430</v>
      </c>
      <c r="E1868" s="22">
        <f>IF(D1868="?OLD","!!!","")</f>
        <v/>
      </c>
      <c r="F1868" s="23" t="str">
        <f>IF(OR(E1868="",E1868="!!!"),"",IF(NOT(ISNA(VLOOKUP(E1868,E$1:E1867,1,FALSE()))),"OLD",IF(AND(E1868&lt;&gt;"",E1868&lt;&gt;"!!!"),"NEW","")))</f>
        <v> </v>
      </c>
      <c r="G1868" s="24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5" t="str">
        <f>IF(J1868&lt;&gt;1,"",IF(I1868="SBJ","CB","?"))</f>
        <v> </v>
      </c>
      <c r="I1868" s="26" t="str">
        <f>IF(OR(E1868="",E1868="!!!",F1868="NEW"),"",INDEX(B1867:B$2,-1+SUMPRODUCT(MAX(ROW(E1867:E$2)*(E1868=E1867:E$2)))))</f>
        <v> </v>
      </c>
      <c r="J1868" s="26" t="str">
        <f>IF(OR(E1868="",E1868="!!!",F1868="NEW"),"",COUNTBLANK(OFFSET(A$1,,,SUMPRODUCT(MAX(ROW(E$2:E1868)*(E1868=E$2:E1868)))))-COUNTBLANK(OFFSET(A$1,,,SUMPRODUCT(MAX(ROW(E$1:E1867)*(E2=E$1:E1867))))))</f>
        <v> </v>
      </c>
      <c r="K1868" s="26" t="str">
        <f>IF(OR(E1868="",E1868="!!!",F1868="NEW"),"",INDEX(J$1:J1867,SUMPRODUCT(MAX(ROW(E$1:E1867)*(E1868=E$1:E1867)))))</f>
        <v> </v>
      </c>
      <c r="L1868" s="27"/>
    </row>
    <row r="1869" spans="1:12">
      <c r="A1869" s="20" t="s">
        <v>1321</v>
      </c>
      <c r="B1869" s="21" t="s">
        <v>556</v>
      </c>
      <c r="E1869" s="22">
        <f>IF(D1869="?OLD","!!!","")</f>
        <v/>
      </c>
      <c r="F1869" s="23" t="str">
        <f>IF(OR(E1869="",E1869="!!!"),"",IF(NOT(ISNA(VLOOKUP(E1869,E$1:E1868,1,FALSE()))),"OLD",IF(AND(E1869&lt;&gt;"",E1869&lt;&gt;"!!!"),"NEW","")))</f>
        <v> </v>
      </c>
      <c r="G1869" s="24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5" t="str">
        <f>IF(J1869&lt;&gt;1,"",IF(I1869="SBJ","CB","?"))</f>
        <v> </v>
      </c>
      <c r="I1869" s="26" t="str">
        <f>IF(OR(E1869="",E1869="!!!",F1869="NEW"),"",INDEX(B1868:B$2,-1+SUMPRODUCT(MAX(ROW(E1868:E$2)*(E1869=E1868:E$2)))))</f>
        <v> </v>
      </c>
      <c r="J1869" s="26" t="str">
        <f>IF(OR(E1869="",E1869="!!!",F1869="NEW"),"",COUNTBLANK(OFFSET(A$1,,,SUMPRODUCT(MAX(ROW(E$2:E1869)*(E1869=E$2:E1869)))))-COUNTBLANK(OFFSET(A$1,,,SUMPRODUCT(MAX(ROW(E$1:E1868)*(E2=E$1:E1868))))))</f>
        <v> </v>
      </c>
      <c r="K1869" s="26" t="str">
        <f>IF(OR(E1869="",E1869="!!!",F1869="NEW"),"",INDEX(J$1:J1868,SUMPRODUCT(MAX(ROW(E$1:E1868)*(E1869=E$1:E1868)))))</f>
        <v> </v>
      </c>
      <c r="L1869" s="27"/>
    </row>
    <row r="1870" spans="1:12">
      <c r="A1870" s="20" t="s">
        <v>486</v>
      </c>
      <c r="E1870" s="22">
        <f>IF(D1870="?OLD","!!!","")</f>
        <v/>
      </c>
      <c r="F1870" s="23" t="str">
        <f>IF(OR(E1870="",E1870="!!!"),"",IF(NOT(ISNA(VLOOKUP(E1870,E$1:E1869,1,FALSE()))),"OLD",IF(AND(E1870&lt;&gt;"",E1870&lt;&gt;"!!!"),"NEW","")))</f>
        <v> </v>
      </c>
      <c r="G1870" s="24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5" t="str">
        <f>IF(J1870&lt;&gt;1,"",IF(I1870="SBJ","CB","?"))</f>
        <v> </v>
      </c>
      <c r="I1870" s="26" t="str">
        <f>IF(OR(E1870="",E1870="!!!",F1870="NEW"),"",INDEX(B1869:B$2,-1+SUMPRODUCT(MAX(ROW(E1869:E$2)*(E1870=E1869:E$2)))))</f>
        <v> </v>
      </c>
      <c r="J1870" s="26" t="str">
        <f>IF(OR(E1870="",E1870="!!!",F1870="NEW"),"",COUNTBLANK(OFFSET(A$1,,,SUMPRODUCT(MAX(ROW(E$2:E1870)*(E1870=E$2:E1870)))))-COUNTBLANK(OFFSET(A$1,,,SUMPRODUCT(MAX(ROW(E$1:E1869)*(E2=E$1:E1869))))))</f>
        <v> </v>
      </c>
      <c r="K1870" s="26" t="str">
        <f>IF(OR(E1870="",E1870="!!!",F1870="NEW"),"",INDEX(J$1:J1869,SUMPRODUCT(MAX(ROW(E$1:E1869)*(E1870=E$1:E1869)))))</f>
        <v> </v>
      </c>
      <c r="L1870" s="27"/>
    </row>
    <row r="1871" spans="1:12">
      <c r="A1871" s="20" t="s">
        <v>1322</v>
      </c>
      <c r="E1871" s="22">
        <f>IF(D1871="?OLD","!!!","")</f>
        <v/>
      </c>
      <c r="F1871" s="23" t="str">
        <f>IF(OR(E1871="",E1871="!!!"),"",IF(NOT(ISNA(VLOOKUP(E1871,E$1:E1870,1,FALSE()))),"OLD",IF(AND(E1871&lt;&gt;"",E1871&lt;&gt;"!!!"),"NEW","")))</f>
        <v> </v>
      </c>
      <c r="G1871" s="24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5" t="str">
        <f>IF(J1871&lt;&gt;1,"",IF(I1871="SBJ","CB","?"))</f>
        <v> </v>
      </c>
      <c r="I1871" s="26" t="str">
        <f>IF(OR(E1871="",E1871="!!!",F1871="NEW"),"",INDEX(B1870:B$2,-1+SUMPRODUCT(MAX(ROW(E1870:E$2)*(E1871=E1870:E$2)))))</f>
        <v> </v>
      </c>
      <c r="J1871" s="26" t="str">
        <f>IF(OR(E1871="",E1871="!!!",F1871="NEW"),"",COUNTBLANK(OFFSET(A$1,,,SUMPRODUCT(MAX(ROW(E$2:E1871)*(E1871=E$2:E1871)))))-COUNTBLANK(OFFSET(A$1,,,SUMPRODUCT(MAX(ROW(E$1:E1870)*(E2=E$1:E1870))))))</f>
        <v> </v>
      </c>
      <c r="K1871" s="26" t="str">
        <f>IF(OR(E1871="",E1871="!!!",F1871="NEW"),"",INDEX(J$1:J1870,SUMPRODUCT(MAX(ROW(E$1:E1870)*(E1871=E$1:E1870)))))</f>
        <v> </v>
      </c>
      <c r="L1871" s="27"/>
    </row>
    <row r="1872" spans="1:12">
      <c r="A1872" s="20" t="s">
        <v>623</v>
      </c>
      <c r="E1872" s="22">
        <f>IF(D1872="?OLD","!!!","")</f>
        <v/>
      </c>
      <c r="F1872" s="23" t="str">
        <f>IF(OR(E1872="",E1872="!!!"),"",IF(NOT(ISNA(VLOOKUP(E1872,E$1:E1871,1,FALSE()))),"OLD",IF(AND(E1872&lt;&gt;"",E1872&lt;&gt;"!!!"),"NEW","")))</f>
        <v> </v>
      </c>
      <c r="G1872" s="24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5" t="str">
        <f>IF(J1872&lt;&gt;1,"",IF(I1872="SBJ","CB","?"))</f>
        <v> </v>
      </c>
      <c r="I1872" s="26" t="str">
        <f>IF(OR(E1872="",E1872="!!!",F1872="NEW"),"",INDEX(B1871:B$2,-1+SUMPRODUCT(MAX(ROW(E1871:E$2)*(E1872=E1871:E$2)))))</f>
        <v> </v>
      </c>
      <c r="J1872" s="26" t="str">
        <f>IF(OR(E1872="",E1872="!!!",F1872="NEW"),"",COUNTBLANK(OFFSET(A$1,,,SUMPRODUCT(MAX(ROW(E$2:E1872)*(E1872=E$2:E1872)))))-COUNTBLANK(OFFSET(A$1,,,SUMPRODUCT(MAX(ROW(E$1:E1871)*(E2=E$1:E1871))))))</f>
        <v> </v>
      </c>
      <c r="K1872" s="26" t="str">
        <f>IF(OR(E1872="",E1872="!!!",F1872="NEW"),"",INDEX(J$1:J1871,SUMPRODUCT(MAX(ROW(E$1:E1871)*(E1872=E$1:E1871)))))</f>
        <v> </v>
      </c>
      <c r="L1872" s="27"/>
    </row>
    <row r="1873" spans="1:12">
      <c r="A1873" s="20" t="s">
        <v>1323</v>
      </c>
      <c r="E1873" s="22">
        <f>IF(D1873="?OLD","!!!","")</f>
        <v/>
      </c>
      <c r="F1873" s="23" t="str">
        <f>IF(OR(E1873="",E1873="!!!"),"",IF(NOT(ISNA(VLOOKUP(E1873,E$1:E1872,1,FALSE()))),"OLD",IF(AND(E1873&lt;&gt;"",E1873&lt;&gt;"!!!"),"NEW","")))</f>
        <v> </v>
      </c>
      <c r="G1873" s="24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5" t="str">
        <f>IF(J1873&lt;&gt;1,"",IF(I1873="SBJ","CB","?"))</f>
        <v> </v>
      </c>
      <c r="I1873" s="26" t="str">
        <f>IF(OR(E1873="",E1873="!!!",F1873="NEW"),"",INDEX(B1872:B$2,-1+SUMPRODUCT(MAX(ROW(E1872:E$2)*(E1873=E1872:E$2)))))</f>
        <v> </v>
      </c>
      <c r="J1873" s="26" t="str">
        <f>IF(OR(E1873="",E1873="!!!",F1873="NEW"),"",COUNTBLANK(OFFSET(A$1,,,SUMPRODUCT(MAX(ROW(E$2:E1873)*(E1873=E$2:E1873)))))-COUNTBLANK(OFFSET(A$1,,,SUMPRODUCT(MAX(ROW(E$1:E1872)*(E2=E$1:E1872))))))</f>
        <v> </v>
      </c>
      <c r="K1873" s="26" t="str">
        <f>IF(OR(E1873="",E1873="!!!",F1873="NEW"),"",INDEX(J$1:J1872,SUMPRODUCT(MAX(ROW(E$1:E1872)*(E1873=E$1:E1872)))))</f>
        <v> </v>
      </c>
      <c r="L1873" s="27"/>
    </row>
    <row r="1874" spans="1:12">
      <c r="A1874" s="20" t="s">
        <v>453</v>
      </c>
      <c r="E1874" s="22">
        <f>IF(D1874="?OLD","!!!","")</f>
        <v/>
      </c>
      <c r="F1874" s="23" t="str">
        <f>IF(OR(E1874="",E1874="!!!"),"",IF(NOT(ISNA(VLOOKUP(E1874,E$1:E1873,1,FALSE()))),"OLD",IF(AND(E1874&lt;&gt;"",E1874&lt;&gt;"!!!"),"NEW","")))</f>
        <v> </v>
      </c>
      <c r="G1874" s="24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5" t="str">
        <f>IF(J1874&lt;&gt;1,"",IF(I1874="SBJ","CB","?"))</f>
        <v> </v>
      </c>
      <c r="I1874" s="26" t="str">
        <f>IF(OR(E1874="",E1874="!!!",F1874="NEW"),"",INDEX(B1873:B$2,-1+SUMPRODUCT(MAX(ROW(E1873:E$2)*(E1874=E1873:E$2)))))</f>
        <v> </v>
      </c>
      <c r="J1874" s="26" t="str">
        <f>IF(OR(E1874="",E1874="!!!",F1874="NEW"),"",COUNTBLANK(OFFSET(A$1,,,SUMPRODUCT(MAX(ROW(E$2:E1874)*(E1874=E$2:E1874)))))-COUNTBLANK(OFFSET(A$1,,,SUMPRODUCT(MAX(ROW(E$1:E1873)*(E2=E$1:E1873))))))</f>
        <v> </v>
      </c>
      <c r="K1874" s="26" t="str">
        <f>IF(OR(E1874="",E1874="!!!",F1874="NEW"),"",INDEX(J$1:J1873,SUMPRODUCT(MAX(ROW(E$1:E1873)*(E1874=E$1:E1873)))))</f>
        <v> </v>
      </c>
      <c r="L1874" s="27"/>
    </row>
    <row r="1875" spans="1:12">
      <c r="A1875" s="20" t="s">
        <v>482</v>
      </c>
      <c r="B1875" s="21" t="s">
        <v>556</v>
      </c>
      <c r="C1875" s="21" t="s">
        <v>477</v>
      </c>
      <c r="D1875" s="21" t="s">
        <v>424</v>
      </c>
      <c r="E1875" s="22">
        <f>IF(D1875="?OLD","!!!","")</f>
        <v/>
      </c>
      <c r="F1875" s="23" t="str">
        <f>IF(OR(E1875="",E1875="!!!"),"",IF(NOT(ISNA(VLOOKUP(E1875,E$1:E1874,1,FALSE()))),"OLD",IF(AND(E1875&lt;&gt;"",E1875&lt;&gt;"!!!"),"NEW","")))</f>
        <v> </v>
      </c>
      <c r="G1875" s="24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5" t="str">
        <f>IF(J1875&lt;&gt;1,"",IF(I1875="SBJ","CB","?"))</f>
        <v> </v>
      </c>
      <c r="I1875" s="26" t="str">
        <f>IF(OR(E1875="",E1875="!!!",F1875="NEW"),"",INDEX(B1874:B$2,-1+SUMPRODUCT(MAX(ROW(E1874:E$2)*(E1875=E1874:E$2)))))</f>
        <v> </v>
      </c>
      <c r="J1875" s="26" t="str">
        <f>IF(OR(E1875="",E1875="!!!",F1875="NEW"),"",COUNTBLANK(OFFSET(A$1,,,SUMPRODUCT(MAX(ROW(E$2:E1875)*(E1875=E$2:E1875)))))-COUNTBLANK(OFFSET(A$1,,,SUMPRODUCT(MAX(ROW(E$1:E1874)*(E2=E$1:E1874))))))</f>
        <v> </v>
      </c>
      <c r="K1875" s="26" t="str">
        <f>IF(OR(E1875="",E1875="!!!",F1875="NEW"),"",INDEX(J$1:J1874,SUMPRODUCT(MAX(ROW(E$1:E1874)*(E1875=E$1:E1874)))))</f>
        <v> </v>
      </c>
      <c r="L1875" s="27"/>
    </row>
    <row r="1876" spans="1:12">
      <c r="A1876" s="20" t="s">
        <v>329</v>
      </c>
      <c r="B1876" s="21" t="s">
        <v>533</v>
      </c>
      <c r="C1876" s="21" t="s">
        <v>477</v>
      </c>
      <c r="D1876" s="21" t="s">
        <v>424</v>
      </c>
      <c r="E1876" s="22">
        <f>IF(D1876="?OLD","!!!","")</f>
        <v/>
      </c>
      <c r="F1876" s="23" t="str">
        <f>IF(OR(E1876="",E1876="!!!"),"",IF(NOT(ISNA(VLOOKUP(E1876,E$1:E1875,1,FALSE()))),"OLD",IF(AND(E1876&lt;&gt;"",E1876&lt;&gt;"!!!"),"NEW","")))</f>
        <v> </v>
      </c>
      <c r="G1876" s="24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5" t="str">
        <f>IF(J1876&lt;&gt;1,"",IF(I1876="SBJ","CB","?"))</f>
        <v> </v>
      </c>
      <c r="I1876" s="26" t="str">
        <f>IF(OR(E1876="",E1876="!!!",F1876="NEW"),"",INDEX(B1875:B$2,-1+SUMPRODUCT(MAX(ROW(E1875:E$2)*(E1876=E1875:E$2)))))</f>
        <v> </v>
      </c>
      <c r="J1876" s="26" t="str">
        <f>IF(OR(E1876="",E1876="!!!",F1876="NEW"),"",COUNTBLANK(OFFSET(A$1,,,SUMPRODUCT(MAX(ROW(E$2:E1876)*(E1876=E$2:E1876)))))-COUNTBLANK(OFFSET(A$1,,,SUMPRODUCT(MAX(ROW(E$1:E1875)*(E2=E$1:E1875))))))</f>
        <v> </v>
      </c>
      <c r="K1876" s="26" t="str">
        <f>IF(OR(E1876="",E1876="!!!",F1876="NEW"),"",INDEX(J$1:J1875,SUMPRODUCT(MAX(ROW(E$1:E1875)*(E1876=E$1:E1875)))))</f>
        <v> </v>
      </c>
      <c r="L1876" s="27"/>
    </row>
    <row r="1877" spans="1:12">
      <c r="A1877" s="20" t="s">
        <v>453</v>
      </c>
      <c r="E1877" s="22">
        <f>IF(D1877="?OLD","!!!","")</f>
        <v/>
      </c>
      <c r="F1877" s="23" t="str">
        <f>IF(OR(E1877="",E1877="!!!"),"",IF(NOT(ISNA(VLOOKUP(E1877,E$1:E1876,1,FALSE()))),"OLD",IF(AND(E1877&lt;&gt;"",E1877&lt;&gt;"!!!"),"NEW","")))</f>
        <v> </v>
      </c>
      <c r="G1877" s="24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5" t="str">
        <f>IF(J1877&lt;&gt;1,"",IF(I1877="SBJ","CB","?"))</f>
        <v> </v>
      </c>
      <c r="I1877" s="26" t="str">
        <f>IF(OR(E1877="",E1877="!!!",F1877="NEW"),"",INDEX(B1876:B$2,-1+SUMPRODUCT(MAX(ROW(E1876:E$2)*(E1877=E1876:E$2)))))</f>
        <v> </v>
      </c>
      <c r="J1877" s="26" t="str">
        <f>IF(OR(E1877="",E1877="!!!",F1877="NEW"),"",COUNTBLANK(OFFSET(A$1,,,SUMPRODUCT(MAX(ROW(E$2:E1877)*(E1877=E$2:E1877)))))-COUNTBLANK(OFFSET(A$1,,,SUMPRODUCT(MAX(ROW(E$1:E1876)*(E2=E$1:E1876))))))</f>
        <v> </v>
      </c>
      <c r="K1877" s="26" t="str">
        <f>IF(OR(E1877="",E1877="!!!",F1877="NEW"),"",INDEX(J$1:J1876,SUMPRODUCT(MAX(ROW(E$1:E1876)*(E1877=E$1:E1876)))))</f>
        <v> </v>
      </c>
      <c r="L1877" s="27"/>
    </row>
    <row r="1878" spans="1:12">
      <c r="A1878" s="20" t="s">
        <v>459</v>
      </c>
      <c r="E1878" s="22">
        <f>IF(D1878="?OLD","!!!","")</f>
        <v/>
      </c>
      <c r="F1878" s="23" t="str">
        <f>IF(OR(E1878="",E1878="!!!"),"",IF(NOT(ISNA(VLOOKUP(E1878,E$1:E1877,1,FALSE()))),"OLD",IF(AND(E1878&lt;&gt;"",E1878&lt;&gt;"!!!"),"NEW","")))</f>
        <v> </v>
      </c>
      <c r="G1878" s="24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5" t="str">
        <f>IF(J1878&lt;&gt;1,"",IF(I1878="SBJ","CB","?"))</f>
        <v> </v>
      </c>
      <c r="I1878" s="26" t="str">
        <f>IF(OR(E1878="",E1878="!!!",F1878="NEW"),"",INDEX(B1877:B$2,-1+SUMPRODUCT(MAX(ROW(E1877:E$2)*(E1878=E1877:E$2)))))</f>
        <v> </v>
      </c>
      <c r="J1878" s="26" t="str">
        <f>IF(OR(E1878="",E1878="!!!",F1878="NEW"),"",COUNTBLANK(OFFSET(A$1,,,SUMPRODUCT(MAX(ROW(E$2:E1878)*(E1878=E$2:E1878)))))-COUNTBLANK(OFFSET(A$1,,,SUMPRODUCT(MAX(ROW(E$1:E1877)*(E2=E$1:E1877))))))</f>
        <v> </v>
      </c>
      <c r="K1878" s="26" t="str">
        <f>IF(OR(E1878="",E1878="!!!",F1878="NEW"),"",INDEX(J$1:J1877,SUMPRODUCT(MAX(ROW(E$1:E1877)*(E1878=E$1:E1877)))))</f>
        <v> </v>
      </c>
      <c r="L1878" s="27"/>
    </row>
    <row r="1879" spans="1:12">
      <c r="A1879" s="20" t="s">
        <v>1324</v>
      </c>
      <c r="B1879" s="21" t="s">
        <v>462</v>
      </c>
      <c r="E1879" s="22">
        <f>IF(D1879="?OLD","!!!","")</f>
        <v/>
      </c>
      <c r="F1879" s="23" t="str">
        <f>IF(OR(E1879="",E1879="!!!"),"",IF(NOT(ISNA(VLOOKUP(E1879,E$1:E1878,1,FALSE()))),"OLD",IF(AND(E1879&lt;&gt;"",E1879&lt;&gt;"!!!"),"NEW","")))</f>
        <v> </v>
      </c>
      <c r="G1879" s="24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5" t="str">
        <f>IF(J1879&lt;&gt;1,"",IF(I1879="SBJ","CB","?"))</f>
        <v> </v>
      </c>
      <c r="I1879" s="26" t="str">
        <f>IF(OR(E1879="",E1879="!!!",F1879="NEW"),"",INDEX(B1878:B$2,-1+SUMPRODUCT(MAX(ROW(E1878:E$2)*(E1879=E1878:E$2)))))</f>
        <v> </v>
      </c>
      <c r="J1879" s="26" t="str">
        <f>IF(OR(E1879="",E1879="!!!",F1879="NEW"),"",COUNTBLANK(OFFSET(A$1,,,SUMPRODUCT(MAX(ROW(E$2:E1879)*(E1879=E$2:E1879)))))-COUNTBLANK(OFFSET(A$1,,,SUMPRODUCT(MAX(ROW(E$1:E1878)*(E2=E$1:E1878))))))</f>
        <v> </v>
      </c>
      <c r="K1879" s="26" t="str">
        <f>IF(OR(E1879="",E1879="!!!",F1879="NEW"),"",INDEX(J$1:J1878,SUMPRODUCT(MAX(ROW(E$1:E1878)*(E1879=E$1:E1878)))))</f>
        <v> </v>
      </c>
      <c r="L1879" s="27"/>
    </row>
    <row r="1880" spans="1:12">
      <c r="A1880" s="20" t="s">
        <v>1325</v>
      </c>
      <c r="E1880" s="22">
        <f>IF(D1880="?OLD","!!!","")</f>
        <v/>
      </c>
      <c r="F1880" s="23" t="str">
        <f>IF(OR(E1880="",E1880="!!!"),"",IF(NOT(ISNA(VLOOKUP(E1880,E$1:E1879,1,FALSE()))),"OLD",IF(AND(E1880&lt;&gt;"",E1880&lt;&gt;"!!!"),"NEW","")))</f>
        <v> </v>
      </c>
      <c r="G1880" s="24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5" t="str">
        <f>IF(J1880&lt;&gt;1,"",IF(I1880="SBJ","CB","?"))</f>
        <v> </v>
      </c>
      <c r="I1880" s="26" t="str">
        <f>IF(OR(E1880="",E1880="!!!",F1880="NEW"),"",INDEX(B1879:B$2,-1+SUMPRODUCT(MAX(ROW(E1879:E$2)*(E1880=E1879:E$2)))))</f>
        <v> </v>
      </c>
      <c r="J1880" s="26" t="str">
        <f>IF(OR(E1880="",E1880="!!!",F1880="NEW"),"",COUNTBLANK(OFFSET(A$1,,,SUMPRODUCT(MAX(ROW(E$2:E1880)*(E1880=E$2:E1880)))))-COUNTBLANK(OFFSET(A$1,,,SUMPRODUCT(MAX(ROW(E$1:E1879)*(E2=E$1:E1879))))))</f>
        <v> </v>
      </c>
      <c r="K1880" s="26" t="str">
        <f>IF(OR(E1880="",E1880="!!!",F1880="NEW"),"",INDEX(J$1:J1879,SUMPRODUCT(MAX(ROW(E$1:E1879)*(E1880=E$1:E1879)))))</f>
        <v> </v>
      </c>
      <c r="L1880" s="27"/>
    </row>
    <row r="1881" spans="1:12">
      <c r="A1881" s="20" t="s">
        <v>1326</v>
      </c>
      <c r="E1881" s="22">
        <f>IF(D1881="?OLD","!!!","")</f>
        <v/>
      </c>
      <c r="F1881" s="23" t="str">
        <f>IF(OR(E1881="",E1881="!!!"),"",IF(NOT(ISNA(VLOOKUP(E1881,E$1:E1880,1,FALSE()))),"OLD",IF(AND(E1881&lt;&gt;"",E1881&lt;&gt;"!!!"),"NEW","")))</f>
        <v> </v>
      </c>
      <c r="G1881" s="24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5" t="str">
        <f>IF(J1881&lt;&gt;1,"",IF(I1881="SBJ","CB","?"))</f>
        <v> </v>
      </c>
      <c r="I1881" s="26" t="str">
        <f>IF(OR(E1881="",E1881="!!!",F1881="NEW"),"",INDEX(B1880:B$2,-1+SUMPRODUCT(MAX(ROW(E1880:E$2)*(E1881=E1880:E$2)))))</f>
        <v> </v>
      </c>
      <c r="J1881" s="26" t="str">
        <f>IF(OR(E1881="",E1881="!!!",F1881="NEW"),"",COUNTBLANK(OFFSET(A$1,,,SUMPRODUCT(MAX(ROW(E$2:E1881)*(E1881=E$2:E1881)))))-COUNTBLANK(OFFSET(A$1,,,SUMPRODUCT(MAX(ROW(E$1:E1880)*(E2=E$1:E1880))))))</f>
        <v> </v>
      </c>
      <c r="K1881" s="26" t="str">
        <f>IF(OR(E1881="",E1881="!!!",F1881="NEW"),"",INDEX(J$1:J1880,SUMPRODUCT(MAX(ROW(E$1:E1880)*(E1881=E$1:E1880)))))</f>
        <v> </v>
      </c>
      <c r="L1881" s="27"/>
    </row>
    <row r="1882" spans="1:12">
      <c r="A1882" s="20" t="s">
        <v>1327</v>
      </c>
      <c r="E1882" s="22">
        <f>IF(D1882="?OLD","!!!","")</f>
        <v/>
      </c>
      <c r="F1882" s="23" t="str">
        <f>IF(OR(E1882="",E1882="!!!"),"",IF(NOT(ISNA(VLOOKUP(E1882,E$1:E1881,1,FALSE()))),"OLD",IF(AND(E1882&lt;&gt;"",E1882&lt;&gt;"!!!"),"NEW","")))</f>
        <v> </v>
      </c>
      <c r="G1882" s="24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5" t="str">
        <f>IF(J1882&lt;&gt;1,"",IF(I1882="SBJ","CB","?"))</f>
        <v> </v>
      </c>
      <c r="I1882" s="26" t="str">
        <f>IF(OR(E1882="",E1882="!!!",F1882="NEW"),"",INDEX(B1881:B$2,-1+SUMPRODUCT(MAX(ROW(E1881:E$2)*(E1882=E1881:E$2)))))</f>
        <v> </v>
      </c>
      <c r="J1882" s="26" t="str">
        <f>IF(OR(E1882="",E1882="!!!",F1882="NEW"),"",COUNTBLANK(OFFSET(A$1,,,SUMPRODUCT(MAX(ROW(E$2:E1882)*(E1882=E$2:E1882)))))-COUNTBLANK(OFFSET(A$1,,,SUMPRODUCT(MAX(ROW(E$1:E1881)*(E2=E$1:E1881))))))</f>
        <v> </v>
      </c>
      <c r="K1882" s="26" t="str">
        <f>IF(OR(E1882="",E1882="!!!",F1882="NEW"),"",INDEX(J$1:J1881,SUMPRODUCT(MAX(ROW(E$1:E1881)*(E1882=E$1:E1881)))))</f>
        <v> </v>
      </c>
      <c r="L1882" s="27"/>
    </row>
    <row r="1883" spans="1:12">
      <c r="A1883" s="20" t="s">
        <v>1328</v>
      </c>
      <c r="E1883" s="22">
        <f>IF(D1883="?OLD","!!!","")</f>
        <v/>
      </c>
      <c r="F1883" s="23" t="str">
        <f>IF(OR(E1883="",E1883="!!!"),"",IF(NOT(ISNA(VLOOKUP(E1883,E$1:E1882,1,FALSE()))),"OLD",IF(AND(E1883&lt;&gt;"",E1883&lt;&gt;"!!!"),"NEW","")))</f>
        <v> </v>
      </c>
      <c r="G1883" s="24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5" t="str">
        <f>IF(J1883&lt;&gt;1,"",IF(I1883="SBJ","CB","?"))</f>
        <v> </v>
      </c>
      <c r="I1883" s="26" t="str">
        <f>IF(OR(E1883="",E1883="!!!",F1883="NEW"),"",INDEX(B1882:B$2,-1+SUMPRODUCT(MAX(ROW(E1882:E$2)*(E1883=E1882:E$2)))))</f>
        <v> </v>
      </c>
      <c r="J1883" s="26" t="str">
        <f>IF(OR(E1883="",E1883="!!!",F1883="NEW"),"",COUNTBLANK(OFFSET(A$1,,,SUMPRODUCT(MAX(ROW(E$2:E1883)*(E1883=E$2:E1883)))))-COUNTBLANK(OFFSET(A$1,,,SUMPRODUCT(MAX(ROW(E$1:E1882)*(E2=E$1:E1882))))))</f>
        <v> </v>
      </c>
      <c r="K1883" s="26" t="str">
        <f>IF(OR(E1883="",E1883="!!!",F1883="NEW"),"",INDEX(J$1:J1882,SUMPRODUCT(MAX(ROW(E$1:E1882)*(E1883=E$1:E1882)))))</f>
        <v> </v>
      </c>
      <c r="L1883" s="27"/>
    </row>
    <row r="1884" spans="1:12">
      <c r="A1884" s="20" t="s">
        <v>1204</v>
      </c>
      <c r="E1884" s="22">
        <f>IF(D1884="?OLD","!!!","")</f>
        <v/>
      </c>
      <c r="F1884" s="23" t="str">
        <f>IF(OR(E1884="",E1884="!!!"),"",IF(NOT(ISNA(VLOOKUP(E1884,E$1:E1883,1,FALSE()))),"OLD",IF(AND(E1884&lt;&gt;"",E1884&lt;&gt;"!!!"),"NEW","")))</f>
        <v> </v>
      </c>
      <c r="G1884" s="24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5" t="str">
        <f>IF(J1884&lt;&gt;1,"",IF(I1884="SBJ","CB","?"))</f>
        <v> </v>
      </c>
      <c r="I1884" s="26" t="str">
        <f>IF(OR(E1884="",E1884="!!!",F1884="NEW"),"",INDEX(B1883:B$2,-1+SUMPRODUCT(MAX(ROW(E1883:E$2)*(E1884=E1883:E$2)))))</f>
        <v> </v>
      </c>
      <c r="J1884" s="26" t="str">
        <f>IF(OR(E1884="",E1884="!!!",F1884="NEW"),"",COUNTBLANK(OFFSET(A$1,,,SUMPRODUCT(MAX(ROW(E$2:E1884)*(E1884=E$2:E1884)))))-COUNTBLANK(OFFSET(A$1,,,SUMPRODUCT(MAX(ROW(E$1:E1883)*(E2=E$1:E1883))))))</f>
        <v> </v>
      </c>
      <c r="K1884" s="26" t="str">
        <f>IF(OR(E1884="",E1884="!!!",F1884="NEW"),"",INDEX(J$1:J1883,SUMPRODUCT(MAX(ROW(E$1:E1883)*(E1884=E$1:E1883)))))</f>
        <v> </v>
      </c>
      <c r="L1884" s="27"/>
    </row>
    <row r="1885" spans="1:12">
      <c r="A1885" s="20" t="s">
        <v>1329</v>
      </c>
      <c r="E1885" s="22">
        <f>IF(D1885="?OLD","!!!","")</f>
        <v/>
      </c>
      <c r="F1885" s="23" t="str">
        <f>IF(OR(E1885="",E1885="!!!"),"",IF(NOT(ISNA(VLOOKUP(E1885,E$1:E1884,1,FALSE()))),"OLD",IF(AND(E1885&lt;&gt;"",E1885&lt;&gt;"!!!"),"NEW","")))</f>
        <v> </v>
      </c>
      <c r="G1885" s="24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5" t="str">
        <f>IF(J1885&lt;&gt;1,"",IF(I1885="SBJ","CB","?"))</f>
        <v> </v>
      </c>
      <c r="I1885" s="26" t="str">
        <f>IF(OR(E1885="",E1885="!!!",F1885="NEW"),"",INDEX(B1884:B$2,-1+SUMPRODUCT(MAX(ROW(E1884:E$2)*(E1885=E1884:E$2)))))</f>
        <v> </v>
      </c>
      <c r="J1885" s="26" t="str">
        <f>IF(OR(E1885="",E1885="!!!",F1885="NEW"),"",COUNTBLANK(OFFSET(A$1,,,SUMPRODUCT(MAX(ROW(E$2:E1885)*(E1885=E$2:E1885)))))-COUNTBLANK(OFFSET(A$1,,,SUMPRODUCT(MAX(ROW(E$1:E1884)*(E2=E$1:E1884))))))</f>
        <v> </v>
      </c>
      <c r="K1885" s="26" t="str">
        <f>IF(OR(E1885="",E1885="!!!",F1885="NEW"),"",INDEX(J$1:J1884,SUMPRODUCT(MAX(ROW(E$1:E1884)*(E1885=E$1:E1884)))))</f>
        <v> </v>
      </c>
      <c r="L1885" s="27"/>
    </row>
    <row r="1886" spans="1:12">
      <c r="A1886" s="20" t="s">
        <v>1330</v>
      </c>
      <c r="E1886" s="22">
        <f>IF(D1886="?OLD","!!!","")</f>
        <v/>
      </c>
      <c r="F1886" s="23" t="str">
        <f>IF(OR(E1886="",E1886="!!!"),"",IF(NOT(ISNA(VLOOKUP(E1886,E$1:E1885,1,FALSE()))),"OLD",IF(AND(E1886&lt;&gt;"",E1886&lt;&gt;"!!!"),"NEW","")))</f>
        <v> </v>
      </c>
      <c r="G1886" s="24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5" t="str">
        <f>IF(J1886&lt;&gt;1,"",IF(I1886="SBJ","CB","?"))</f>
        <v> </v>
      </c>
      <c r="I1886" s="26" t="str">
        <f>IF(OR(E1886="",E1886="!!!",F1886="NEW"),"",INDEX(B1885:B$2,-1+SUMPRODUCT(MAX(ROW(E1885:E$2)*(E1886=E1885:E$2)))))</f>
        <v> </v>
      </c>
      <c r="J1886" s="26" t="str">
        <f>IF(OR(E1886="",E1886="!!!",F1886="NEW"),"",COUNTBLANK(OFFSET(A$1,,,SUMPRODUCT(MAX(ROW(E$2:E1886)*(E1886=E$2:E1886)))))-COUNTBLANK(OFFSET(A$1,,,SUMPRODUCT(MAX(ROW(E$1:E1885)*(E2=E$1:E1885))))))</f>
        <v> </v>
      </c>
      <c r="K1886" s="26" t="str">
        <f>IF(OR(E1886="",E1886="!!!",F1886="NEW"),"",INDEX(J$1:J1885,SUMPRODUCT(MAX(ROW(E$1:E1885)*(E1886=E$1:E1885)))))</f>
        <v> </v>
      </c>
      <c r="L1886" s="27"/>
    </row>
    <row r="1887" spans="1:12">
      <c r="A1887" s="20" t="s">
        <v>1331</v>
      </c>
      <c r="E1887" s="22">
        <f>IF(D1887="?OLD","!!!","")</f>
        <v/>
      </c>
      <c r="F1887" s="23" t="str">
        <f>IF(OR(E1887="",E1887="!!!"),"",IF(NOT(ISNA(VLOOKUP(E1887,E$1:E1886,1,FALSE()))),"OLD",IF(AND(E1887&lt;&gt;"",E1887&lt;&gt;"!!!"),"NEW","")))</f>
        <v> </v>
      </c>
      <c r="G1887" s="24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5" t="str">
        <f>IF(J1887&lt;&gt;1,"",IF(I1887="SBJ","CB","?"))</f>
        <v> </v>
      </c>
      <c r="I1887" s="26" t="str">
        <f>IF(OR(E1887="",E1887="!!!",F1887="NEW"),"",INDEX(B1886:B$2,-1+SUMPRODUCT(MAX(ROW(E1886:E$2)*(E1887=E1886:E$2)))))</f>
        <v> </v>
      </c>
      <c r="J1887" s="26" t="str">
        <f>IF(OR(E1887="",E1887="!!!",F1887="NEW"),"",COUNTBLANK(OFFSET(A$1,,,SUMPRODUCT(MAX(ROW(E$2:E1887)*(E1887=E$2:E1887)))))-COUNTBLANK(OFFSET(A$1,,,SUMPRODUCT(MAX(ROW(E$1:E1886)*(E2=E$1:E1886))))))</f>
        <v> </v>
      </c>
      <c r="K1887" s="26" t="str">
        <f>IF(OR(E1887="",E1887="!!!",F1887="NEW"),"",INDEX(J$1:J1886,SUMPRODUCT(MAX(ROW(E$1:E1886)*(E1887=E$1:E1886)))))</f>
        <v> </v>
      </c>
      <c r="L1887" s="27"/>
    </row>
    <row r="1888" spans="1:12">
      <c r="A1888" s="20" t="s">
        <v>453</v>
      </c>
      <c r="E1888" s="22">
        <f>IF(D1888="?OLD","!!!","")</f>
        <v/>
      </c>
      <c r="F1888" s="23" t="str">
        <f>IF(OR(E1888="",E1888="!!!"),"",IF(NOT(ISNA(VLOOKUP(E1888,E$1:E1887,1,FALSE()))),"OLD",IF(AND(E1888&lt;&gt;"",E1888&lt;&gt;"!!!"),"NEW","")))</f>
        <v> </v>
      </c>
      <c r="G1888" s="24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5" t="str">
        <f>IF(J1888&lt;&gt;1,"",IF(I1888="SBJ","CB","?"))</f>
        <v> </v>
      </c>
      <c r="I1888" s="26" t="str">
        <f>IF(OR(E1888="",E1888="!!!",F1888="NEW"),"",INDEX(B1887:B$2,-1+SUMPRODUCT(MAX(ROW(E1887:E$2)*(E1888=E1887:E$2)))))</f>
        <v> </v>
      </c>
      <c r="J1888" s="26" t="str">
        <f>IF(OR(E1888="",E1888="!!!",F1888="NEW"),"",COUNTBLANK(OFFSET(A$1,,,SUMPRODUCT(MAX(ROW(E$2:E1888)*(E1888=E$2:E1888)))))-COUNTBLANK(OFFSET(A$1,,,SUMPRODUCT(MAX(ROW(E$1:E1887)*(E2=E$1:E1887))))))</f>
        <v> </v>
      </c>
      <c r="K1888" s="26" t="str">
        <f>IF(OR(E1888="",E1888="!!!",F1888="NEW"),"",INDEX(J$1:J1887,SUMPRODUCT(MAX(ROW(E$1:E1887)*(E1888=E$1:E1887)))))</f>
        <v> </v>
      </c>
      <c r="L1888" s="27"/>
    </row>
    <row r="1889" spans="1:12">
      <c r="A1889" s="20" t="s">
        <v>506</v>
      </c>
      <c r="E1889" s="22">
        <f>IF(D1889="?OLD","!!!","")</f>
        <v/>
      </c>
      <c r="F1889" s="23" t="str">
        <f>IF(OR(E1889="",E1889="!!!"),"",IF(NOT(ISNA(VLOOKUP(E1889,E$1:E1888,1,FALSE()))),"OLD",IF(AND(E1889&lt;&gt;"",E1889&lt;&gt;"!!!"),"NEW","")))</f>
        <v> </v>
      </c>
      <c r="G1889" s="24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5" t="str">
        <f>IF(J1889&lt;&gt;1,"",IF(I1889="SBJ","CB","?"))</f>
        <v> </v>
      </c>
      <c r="I1889" s="26" t="str">
        <f>IF(OR(E1889="",E1889="!!!",F1889="NEW"),"",INDEX(B1888:B$2,-1+SUMPRODUCT(MAX(ROW(E1888:E$2)*(E1889=E1888:E$2)))))</f>
        <v> </v>
      </c>
      <c r="J1889" s="26" t="str">
        <f>IF(OR(E1889="",E1889="!!!",F1889="NEW"),"",COUNTBLANK(OFFSET(A$1,,,SUMPRODUCT(MAX(ROW(E$2:E1889)*(E1889=E$2:E1889)))))-COUNTBLANK(OFFSET(A$1,,,SUMPRODUCT(MAX(ROW(E$1:E1888)*(E2=E$1:E1888))))))</f>
        <v> </v>
      </c>
      <c r="K1889" s="26" t="str">
        <f>IF(OR(E1889="",E1889="!!!",F1889="NEW"),"",INDEX(J$1:J1888,SUMPRODUCT(MAX(ROW(E$1:E1888)*(E1889=E$1:E1888)))))</f>
        <v> </v>
      </c>
      <c r="L1889" s="27"/>
    </row>
    <row r="1890" spans="1:12">
      <c r="A1890" s="20" t="s">
        <v>1332</v>
      </c>
      <c r="E1890" s="22">
        <f>IF(D1890="?OLD","!!!","")</f>
        <v/>
      </c>
      <c r="F1890" s="23" t="str">
        <f>IF(OR(E1890="",E1890="!!!"),"",IF(NOT(ISNA(VLOOKUP(E1890,E$1:E1889,1,FALSE()))),"OLD",IF(AND(E1890&lt;&gt;"",E1890&lt;&gt;"!!!"),"NEW","")))</f>
        <v> </v>
      </c>
      <c r="G1890" s="24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5" t="str">
        <f>IF(J1890&lt;&gt;1,"",IF(I1890="SBJ","CB","?"))</f>
        <v> </v>
      </c>
      <c r="I1890" s="26" t="str">
        <f>IF(OR(E1890="",E1890="!!!",F1890="NEW"),"",INDEX(B1889:B$2,-1+SUMPRODUCT(MAX(ROW(E1889:E$2)*(E1890=E1889:E$2)))))</f>
        <v> </v>
      </c>
      <c r="J1890" s="26" t="str">
        <f>IF(OR(E1890="",E1890="!!!",F1890="NEW"),"",COUNTBLANK(OFFSET(A$1,,,SUMPRODUCT(MAX(ROW(E$2:E1890)*(E1890=E$2:E1890)))))-COUNTBLANK(OFFSET(A$1,,,SUMPRODUCT(MAX(ROW(E$1:E1889)*(E2=E$1:E1889))))))</f>
        <v> </v>
      </c>
      <c r="K1890" s="26" t="str">
        <f>IF(OR(E1890="",E1890="!!!",F1890="NEW"),"",INDEX(J$1:J1889,SUMPRODUCT(MAX(ROW(E$1:E1889)*(E1890=E$1:E1889)))))</f>
        <v> </v>
      </c>
      <c r="L1890" s="27"/>
    </row>
    <row r="1891" spans="1:12">
      <c r="A1891" s="20" t="s">
        <v>647</v>
      </c>
      <c r="B1891" s="21" t="s">
        <v>489</v>
      </c>
      <c r="C1891" s="21" t="s">
        <v>481</v>
      </c>
      <c r="E1891" s="22">
        <f>IF(D1891="?OLD","!!!","")</f>
        <v/>
      </c>
      <c r="F1891" s="23" t="str">
        <f>IF(OR(E1891="",E1891="!!!"),"",IF(NOT(ISNA(VLOOKUP(E1891,E$1:E1890,1,FALSE()))),"OLD",IF(AND(E1891&lt;&gt;"",E1891&lt;&gt;"!!!"),"NEW","")))</f>
        <v> </v>
      </c>
      <c r="G1891" s="24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5" t="str">
        <f>IF(J1891&lt;&gt;1,"",IF(I1891="SBJ","CB","?"))</f>
        <v> </v>
      </c>
      <c r="I1891" s="26" t="str">
        <f>IF(OR(E1891="",E1891="!!!",F1891="NEW"),"",INDEX(B1890:B$2,-1+SUMPRODUCT(MAX(ROW(E1890:E$2)*(E1891=E1890:E$2)))))</f>
        <v> </v>
      </c>
      <c r="J1891" s="26" t="str">
        <f>IF(OR(E1891="",E1891="!!!",F1891="NEW"),"",COUNTBLANK(OFFSET(A$1,,,SUMPRODUCT(MAX(ROW(E$2:E1891)*(E1891=E$2:E1891)))))-COUNTBLANK(OFFSET(A$1,,,SUMPRODUCT(MAX(ROW(E$1:E1890)*(E2=E$1:E1890))))))</f>
        <v> </v>
      </c>
      <c r="K1891" s="26" t="str">
        <f>IF(OR(E1891="",E1891="!!!",F1891="NEW"),"",INDEX(J$1:J1890,SUMPRODUCT(MAX(ROW(E$1:E1890)*(E1891=E$1:E1890)))))</f>
        <v> </v>
      </c>
      <c r="L1891" s="27"/>
    </row>
    <row r="1892" spans="1:12">
      <c r="A1892" s="20" t="s">
        <v>492</v>
      </c>
      <c r="B1892" s="21" t="s">
        <v>470</v>
      </c>
      <c r="C1892" s="21" t="s">
        <v>423</v>
      </c>
      <c r="D1892" s="21" t="s">
        <v>424</v>
      </c>
      <c r="E1892" s="22">
        <f>IF(D1892="?OLD","!!!","")</f>
        <v/>
      </c>
      <c r="F1892" s="23" t="str">
        <f>IF(OR(E1892="",E1892="!!!"),"",IF(NOT(ISNA(VLOOKUP(E1892,E$1:E1891,1,FALSE()))),"OLD",IF(AND(E1892&lt;&gt;"",E1892&lt;&gt;"!!!"),"NEW","")))</f>
        <v> </v>
      </c>
      <c r="G1892" s="24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5" t="str">
        <f>IF(J1892&lt;&gt;1,"",IF(I1892="SBJ","CB","?"))</f>
        <v> </v>
      </c>
      <c r="I1892" s="26" t="str">
        <f>IF(OR(E1892="",E1892="!!!",F1892="NEW"),"",INDEX(B1891:B$2,-1+SUMPRODUCT(MAX(ROW(E1891:E$2)*(E1892=E1891:E$2)))))</f>
        <v> </v>
      </c>
      <c r="J1892" s="26" t="str">
        <f>IF(OR(E1892="",E1892="!!!",F1892="NEW"),"",COUNTBLANK(OFFSET(A$1,,,SUMPRODUCT(MAX(ROW(E$2:E1892)*(E1892=E$2:E1892)))))-COUNTBLANK(OFFSET(A$1,,,SUMPRODUCT(MAX(ROW(E$1:E1891)*(E2=E$1:E1891))))))</f>
        <v> </v>
      </c>
      <c r="K1892" s="26" t="str">
        <f>IF(OR(E1892="",E1892="!!!",F1892="NEW"),"",INDEX(J$1:J1891,SUMPRODUCT(MAX(ROW(E$1:E1891)*(E1892=E$1:E1891)))))</f>
        <v> </v>
      </c>
      <c r="L1892" s="27"/>
    </row>
    <row r="1893" spans="1:12">
      <c r="A1893" s="20" t="s">
        <v>1333</v>
      </c>
      <c r="E1893" s="22">
        <f>IF(D1893="?OLD","!!!","")</f>
        <v/>
      </c>
      <c r="F1893" s="23" t="str">
        <f>IF(OR(E1893="",E1893="!!!"),"",IF(NOT(ISNA(VLOOKUP(E1893,E$1:E1892,1,FALSE()))),"OLD",IF(AND(E1893&lt;&gt;"",E1893&lt;&gt;"!!!"),"NEW","")))</f>
        <v> </v>
      </c>
      <c r="G1893" s="24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5" t="str">
        <f>IF(J1893&lt;&gt;1,"",IF(I1893="SBJ","CB","?"))</f>
        <v> </v>
      </c>
      <c r="I1893" s="26" t="str">
        <f>IF(OR(E1893="",E1893="!!!",F1893="NEW"),"",INDEX(B1892:B$2,-1+SUMPRODUCT(MAX(ROW(E1892:E$2)*(E1893=E1892:E$2)))))</f>
        <v> </v>
      </c>
      <c r="J1893" s="26" t="str">
        <f>IF(OR(E1893="",E1893="!!!",F1893="NEW"),"",COUNTBLANK(OFFSET(A$1,,,SUMPRODUCT(MAX(ROW(E$2:E1893)*(E1893=E$2:E1893)))))-COUNTBLANK(OFFSET(A$1,,,SUMPRODUCT(MAX(ROW(E$1:E1892)*(E2=E$1:E1892))))))</f>
        <v> </v>
      </c>
      <c r="K1893" s="26" t="str">
        <f>IF(OR(E1893="",E1893="!!!",F1893="NEW"),"",INDEX(J$1:J1892,SUMPRODUCT(MAX(ROW(E$1:E1892)*(E1893=E$1:E1892)))))</f>
        <v> </v>
      </c>
      <c r="L1893" s="27"/>
    </row>
    <row r="1894" spans="1:12">
      <c r="A1894" s="20" t="s">
        <v>1028</v>
      </c>
      <c r="E1894" s="22">
        <f>IF(D1894="?OLD","!!!","")</f>
        <v/>
      </c>
      <c r="F1894" s="23" t="str">
        <f>IF(OR(E1894="",E1894="!!!"),"",IF(NOT(ISNA(VLOOKUP(E1894,E$1:E1893,1,FALSE()))),"OLD",IF(AND(E1894&lt;&gt;"",E1894&lt;&gt;"!!!"),"NEW","")))</f>
        <v> </v>
      </c>
      <c r="G1894" s="24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5" t="str">
        <f>IF(J1894&lt;&gt;1,"",IF(I1894="SBJ","CB","?"))</f>
        <v> </v>
      </c>
      <c r="I1894" s="26" t="str">
        <f>IF(OR(E1894="",E1894="!!!",F1894="NEW"),"",INDEX(B1893:B$2,-1+SUMPRODUCT(MAX(ROW(E1893:E$2)*(E1894=E1893:E$2)))))</f>
        <v> </v>
      </c>
      <c r="J1894" s="26" t="str">
        <f>IF(OR(E1894="",E1894="!!!",F1894="NEW"),"",COUNTBLANK(OFFSET(A$1,,,SUMPRODUCT(MAX(ROW(E$2:E1894)*(E1894=E$2:E1894)))))-COUNTBLANK(OFFSET(A$1,,,SUMPRODUCT(MAX(ROW(E$1:E1893)*(E2=E$1:E1893))))))</f>
        <v> </v>
      </c>
      <c r="K1894" s="26" t="str">
        <f>IF(OR(E1894="",E1894="!!!",F1894="NEW"),"",INDEX(J$1:J1893,SUMPRODUCT(MAX(ROW(E$1:E1893)*(E1894=E$1:E1893)))))</f>
        <v> </v>
      </c>
      <c r="L1894" s="27"/>
    </row>
    <row r="1895" spans="1:12">
      <c r="A1895" s="20" t="s">
        <v>811</v>
      </c>
      <c r="B1895" s="21" t="s">
        <v>432</v>
      </c>
      <c r="C1895" s="21" t="s">
        <v>477</v>
      </c>
      <c r="D1895" s="21" t="s">
        <v>424</v>
      </c>
      <c r="E1895" s="22">
        <f>IF(D1895="?OLD","!!!","")</f>
        <v/>
      </c>
      <c r="F1895" s="23" t="str">
        <f>IF(OR(E1895="",E1895="!!!"),"",IF(NOT(ISNA(VLOOKUP(E1895,E$1:E1894,1,FALSE()))),"OLD",IF(AND(E1895&lt;&gt;"",E1895&lt;&gt;"!!!"),"NEW","")))</f>
        <v> </v>
      </c>
      <c r="G1895" s="24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5" t="str">
        <f>IF(J1895&lt;&gt;1,"",IF(I1895="SBJ","CB","?"))</f>
        <v> </v>
      </c>
      <c r="I1895" s="26" t="str">
        <f>IF(OR(E1895="",E1895="!!!",F1895="NEW"),"",INDEX(B1894:B$2,-1+SUMPRODUCT(MAX(ROW(E1894:E$2)*(E1895=E1894:E$2)))))</f>
        <v> </v>
      </c>
      <c r="J1895" s="26" t="str">
        <f>IF(OR(E1895="",E1895="!!!",F1895="NEW"),"",COUNTBLANK(OFFSET(A$1,,,SUMPRODUCT(MAX(ROW(E$2:E1895)*(E1895=E$2:E1895)))))-COUNTBLANK(OFFSET(A$1,,,SUMPRODUCT(MAX(ROW(E$1:E1894)*(E2=E$1:E1894))))))</f>
        <v> </v>
      </c>
      <c r="K1895" s="26" t="str">
        <f>IF(OR(E1895="",E1895="!!!",F1895="NEW"),"",INDEX(J$1:J1894,SUMPRODUCT(MAX(ROW(E$1:E1894)*(E1895=E$1:E1894)))))</f>
        <v> </v>
      </c>
      <c r="L1895" s="27"/>
    </row>
    <row r="1896" spans="1:12">
      <c r="A1896" s="20" t="s">
        <v>453</v>
      </c>
      <c r="E1896" s="22">
        <f>IF(D1896="?OLD","!!!","")</f>
        <v/>
      </c>
      <c r="F1896" s="23" t="str">
        <f>IF(OR(E1896="",E1896="!!!"),"",IF(NOT(ISNA(VLOOKUP(E1896,E$1:E1895,1,FALSE()))),"OLD",IF(AND(E1896&lt;&gt;"",E1896&lt;&gt;"!!!"),"NEW","")))</f>
        <v> </v>
      </c>
      <c r="G1896" s="24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5" t="str">
        <f>IF(J1896&lt;&gt;1,"",IF(I1896="SBJ","CB","?"))</f>
        <v> </v>
      </c>
      <c r="I1896" s="26" t="str">
        <f>IF(OR(E1896="",E1896="!!!",F1896="NEW"),"",INDEX(B1895:B$2,-1+SUMPRODUCT(MAX(ROW(E1895:E$2)*(E1896=E1895:E$2)))))</f>
        <v> </v>
      </c>
      <c r="J1896" s="26" t="str">
        <f>IF(OR(E1896="",E1896="!!!",F1896="NEW"),"",COUNTBLANK(OFFSET(A$1,,,SUMPRODUCT(MAX(ROW(E$2:E1896)*(E1896=E$2:E1896)))))-COUNTBLANK(OFFSET(A$1,,,SUMPRODUCT(MAX(ROW(E$1:E1895)*(E2=E$1:E1895))))))</f>
        <v> </v>
      </c>
      <c r="K1896" s="26" t="str">
        <f>IF(OR(E1896="",E1896="!!!",F1896="NEW"),"",INDEX(J$1:J1895,SUMPRODUCT(MAX(ROW(E$1:E1895)*(E1896=E$1:E1895)))))</f>
        <v> </v>
      </c>
      <c r="L1896" s="27"/>
    </row>
    <row r="1897" spans="1:12">
      <c r="A1897" s="20" t="s">
        <v>430</v>
      </c>
      <c r="E1897" s="22">
        <f>IF(D1897="?OLD","!!!","")</f>
        <v/>
      </c>
      <c r="F1897" s="23" t="str">
        <f>IF(OR(E1897="",E1897="!!!"),"",IF(NOT(ISNA(VLOOKUP(E1897,E$1:E1896,1,FALSE()))),"OLD",IF(AND(E1897&lt;&gt;"",E1897&lt;&gt;"!!!"),"NEW","")))</f>
        <v> </v>
      </c>
      <c r="G1897" s="24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5" t="str">
        <f>IF(J1897&lt;&gt;1,"",IF(I1897="SBJ","CB","?"))</f>
        <v> </v>
      </c>
      <c r="I1897" s="26" t="str">
        <f>IF(OR(E1897="",E1897="!!!",F1897="NEW"),"",INDEX(B1896:B$2,-1+SUMPRODUCT(MAX(ROW(E1896:E$2)*(E1897=E1896:E$2)))))</f>
        <v> </v>
      </c>
      <c r="J1897" s="26" t="str">
        <f>IF(OR(E1897="",E1897="!!!",F1897="NEW"),"",COUNTBLANK(OFFSET(A$1,,,SUMPRODUCT(MAX(ROW(E$2:E1897)*(E1897=E$2:E1897)))))-COUNTBLANK(OFFSET(A$1,,,SUMPRODUCT(MAX(ROW(E$1:E1896)*(E2=E$1:E1896))))))</f>
        <v> </v>
      </c>
      <c r="K1897" s="26" t="str">
        <f>IF(OR(E1897="",E1897="!!!",F1897="NEW"),"",INDEX(J$1:J1896,SUMPRODUCT(MAX(ROW(E$1:E1896)*(E1897=E$1:E1896)))))</f>
        <v> </v>
      </c>
      <c r="L1897" s="27"/>
    </row>
    <row r="1898" spans="1:12">
      <c r="A1898" s="20" t="s">
        <v>506</v>
      </c>
      <c r="E1898" s="22">
        <f>IF(D1898="?OLD","!!!","")</f>
        <v/>
      </c>
      <c r="F1898" s="23" t="str">
        <f>IF(OR(E1898="",E1898="!!!"),"",IF(NOT(ISNA(VLOOKUP(E1898,E$1:E1897,1,FALSE()))),"OLD",IF(AND(E1898&lt;&gt;"",E1898&lt;&gt;"!!!"),"NEW","")))</f>
        <v> </v>
      </c>
      <c r="G1898" s="24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5" t="str">
        <f>IF(J1898&lt;&gt;1,"",IF(I1898="SBJ","CB","?"))</f>
        <v> </v>
      </c>
      <c r="I1898" s="26" t="str">
        <f>IF(OR(E1898="",E1898="!!!",F1898="NEW"),"",INDEX(B1897:B$2,-1+SUMPRODUCT(MAX(ROW(E1897:E$2)*(E1898=E1897:E$2)))))</f>
        <v> </v>
      </c>
      <c r="J1898" s="26" t="str">
        <f>IF(OR(E1898="",E1898="!!!",F1898="NEW"),"",COUNTBLANK(OFFSET(A$1,,,SUMPRODUCT(MAX(ROW(E$2:E1898)*(E1898=E$2:E1898)))))-COUNTBLANK(OFFSET(A$1,,,SUMPRODUCT(MAX(ROW(E$1:E1897)*(E2=E$1:E1897))))))</f>
        <v> </v>
      </c>
      <c r="K1898" s="26" t="str">
        <f>IF(OR(E1898="",E1898="!!!",F1898="NEW"),"",INDEX(J$1:J1897,SUMPRODUCT(MAX(ROW(E$1:E1897)*(E1898=E$1:E1897)))))</f>
        <v> </v>
      </c>
      <c r="L1898" s="27"/>
    </row>
    <row r="1899" spans="1:12">
      <c r="A1899" s="20" t="s">
        <v>784</v>
      </c>
      <c r="E1899" s="22">
        <f>IF(D1899="?OLD","!!!","")</f>
        <v/>
      </c>
      <c r="F1899" s="23" t="str">
        <f>IF(OR(E1899="",E1899="!!!"),"",IF(NOT(ISNA(VLOOKUP(E1899,E$1:E1898,1,FALSE()))),"OLD",IF(AND(E1899&lt;&gt;"",E1899&lt;&gt;"!!!"),"NEW","")))</f>
        <v> </v>
      </c>
      <c r="G1899" s="24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5" t="str">
        <f>IF(J1899&lt;&gt;1,"",IF(I1899="SBJ","CB","?"))</f>
        <v> </v>
      </c>
      <c r="I1899" s="26" t="str">
        <f>IF(OR(E1899="",E1899="!!!",F1899="NEW"),"",INDEX(B1898:B$2,-1+SUMPRODUCT(MAX(ROW(E1898:E$2)*(E1899=E1898:E$2)))))</f>
        <v> </v>
      </c>
      <c r="J1899" s="26" t="str">
        <f>IF(OR(E1899="",E1899="!!!",F1899="NEW"),"",COUNTBLANK(OFFSET(A$1,,,SUMPRODUCT(MAX(ROW(E$2:E1899)*(E1899=E$2:E1899)))))-COUNTBLANK(OFFSET(A$1,,,SUMPRODUCT(MAX(ROW(E$1:E1898)*(E2=E$1:E1898))))))</f>
        <v> </v>
      </c>
      <c r="K1899" s="26" t="str">
        <f>IF(OR(E1899="",E1899="!!!",F1899="NEW"),"",INDEX(J$1:J1898,SUMPRODUCT(MAX(ROW(E$1:E1898)*(E1899=E$1:E1898)))))</f>
        <v> </v>
      </c>
      <c r="L1899" s="27"/>
    </row>
    <row r="1900" spans="1:12">
      <c r="A1900" s="20" t="s">
        <v>453</v>
      </c>
      <c r="E1900" s="22">
        <f>IF(D1900="?OLD","!!!","")</f>
        <v/>
      </c>
      <c r="F1900" s="23" t="str">
        <f>IF(OR(E1900="",E1900="!!!"),"",IF(NOT(ISNA(VLOOKUP(E1900,E$1:E1899,1,FALSE()))),"OLD",IF(AND(E1900&lt;&gt;"",E1900&lt;&gt;"!!!"),"NEW","")))</f>
        <v> </v>
      </c>
      <c r="G1900" s="24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5" t="str">
        <f>IF(J1900&lt;&gt;1,"",IF(I1900="SBJ","CB","?"))</f>
        <v> </v>
      </c>
      <c r="I1900" s="26" t="str">
        <f>IF(OR(E1900="",E1900="!!!",F1900="NEW"),"",INDEX(B1899:B$2,-1+SUMPRODUCT(MAX(ROW(E1899:E$2)*(E1900=E1899:E$2)))))</f>
        <v> </v>
      </c>
      <c r="J1900" s="26" t="str">
        <f>IF(OR(E1900="",E1900="!!!",F1900="NEW"),"",COUNTBLANK(OFFSET(A$1,,,SUMPRODUCT(MAX(ROW(E$2:E1900)*(E1900=E$2:E1900)))))-COUNTBLANK(OFFSET(A$1,,,SUMPRODUCT(MAX(ROW(E$1:E1899)*(E2=E$1:E1899))))))</f>
        <v> </v>
      </c>
      <c r="K1900" s="26" t="str">
        <f>IF(OR(E1900="",E1900="!!!",F1900="NEW"),"",INDEX(J$1:J1899,SUMPRODUCT(MAX(ROW(E$1:E1899)*(E1900=E$1:E1899)))))</f>
        <v> </v>
      </c>
      <c r="L1900" s="27"/>
    </row>
    <row r="1901" spans="1:12">
      <c r="A1901" s="20" t="s">
        <v>1204</v>
      </c>
      <c r="E1901" s="22">
        <f>IF(D1901="?OLD","!!!","")</f>
        <v/>
      </c>
      <c r="F1901" s="23" t="str">
        <f>IF(OR(E1901="",E1901="!!!"),"",IF(NOT(ISNA(VLOOKUP(E1901,E$1:E1900,1,FALSE()))),"OLD",IF(AND(E1901&lt;&gt;"",E1901&lt;&gt;"!!!"),"NEW","")))</f>
        <v> </v>
      </c>
      <c r="G1901" s="24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5" t="str">
        <f>IF(J1901&lt;&gt;1,"",IF(I1901="SBJ","CB","?"))</f>
        <v> </v>
      </c>
      <c r="I1901" s="26" t="str">
        <f>IF(OR(E1901="",E1901="!!!",F1901="NEW"),"",INDEX(B1900:B$2,-1+SUMPRODUCT(MAX(ROW(E1900:E$2)*(E1901=E1900:E$2)))))</f>
        <v> </v>
      </c>
      <c r="J1901" s="26" t="str">
        <f>IF(OR(E1901="",E1901="!!!",F1901="NEW"),"",COUNTBLANK(OFFSET(A$1,,,SUMPRODUCT(MAX(ROW(E$2:E1901)*(E1901=E$2:E1901)))))-COUNTBLANK(OFFSET(A$1,,,SUMPRODUCT(MAX(ROW(E$1:E1900)*(E2=E$1:E1900))))))</f>
        <v> </v>
      </c>
      <c r="K1901" s="26" t="str">
        <f>IF(OR(E1901="",E1901="!!!",F1901="NEW"),"",INDEX(J$1:J1900,SUMPRODUCT(MAX(ROW(E$1:E1900)*(E1901=E$1:E1900)))))</f>
        <v> </v>
      </c>
      <c r="L1901" s="27"/>
    </row>
    <row r="1902" spans="1:12">
      <c r="A1902" s="20" t="s">
        <v>1329</v>
      </c>
      <c r="E1902" s="22">
        <f>IF(D1902="?OLD","!!!","")</f>
        <v/>
      </c>
      <c r="F1902" s="23" t="str">
        <f>IF(OR(E1902="",E1902="!!!"),"",IF(NOT(ISNA(VLOOKUP(E1902,E$1:E1901,1,FALSE()))),"OLD",IF(AND(E1902&lt;&gt;"",E1902&lt;&gt;"!!!"),"NEW","")))</f>
        <v> </v>
      </c>
      <c r="G1902" s="24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5" t="str">
        <f>IF(J1902&lt;&gt;1,"",IF(I1902="SBJ","CB","?"))</f>
        <v> </v>
      </c>
      <c r="I1902" s="26" t="str">
        <f>IF(OR(E1902="",E1902="!!!",F1902="NEW"),"",INDEX(B1901:B$2,-1+SUMPRODUCT(MAX(ROW(E1901:E$2)*(E1902=E1901:E$2)))))</f>
        <v> </v>
      </c>
      <c r="J1902" s="26" t="str">
        <f>IF(OR(E1902="",E1902="!!!",F1902="NEW"),"",COUNTBLANK(OFFSET(A$1,,,SUMPRODUCT(MAX(ROW(E$2:E1902)*(E1902=E$2:E1902)))))-COUNTBLANK(OFFSET(A$1,,,SUMPRODUCT(MAX(ROW(E$1:E1901)*(E2=E$1:E1901))))))</f>
        <v> </v>
      </c>
      <c r="K1902" s="26" t="str">
        <f>IF(OR(E1902="",E1902="!!!",F1902="NEW"),"",INDEX(J$1:J1901,SUMPRODUCT(MAX(ROW(E$1:E1901)*(E1902=E$1:E1901)))))</f>
        <v> </v>
      </c>
      <c r="L1902" s="27"/>
    </row>
    <row r="1903" spans="1:12">
      <c r="A1903" s="20" t="s">
        <v>1330</v>
      </c>
      <c r="E1903" s="22">
        <f>IF(D1903="?OLD","!!!","")</f>
        <v/>
      </c>
      <c r="F1903" s="23" t="str">
        <f>IF(OR(E1903="",E1903="!!!"),"",IF(NOT(ISNA(VLOOKUP(E1903,E$1:E1902,1,FALSE()))),"OLD",IF(AND(E1903&lt;&gt;"",E1903&lt;&gt;"!!!"),"NEW","")))</f>
        <v> </v>
      </c>
      <c r="G1903" s="24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5" t="str">
        <f>IF(J1903&lt;&gt;1,"",IF(I1903="SBJ","CB","?"))</f>
        <v> </v>
      </c>
      <c r="I1903" s="26" t="str">
        <f>IF(OR(E1903="",E1903="!!!",F1903="NEW"),"",INDEX(B1902:B$2,-1+SUMPRODUCT(MAX(ROW(E1902:E$2)*(E1903=E1902:E$2)))))</f>
        <v> </v>
      </c>
      <c r="J1903" s="26" t="str">
        <f>IF(OR(E1903="",E1903="!!!",F1903="NEW"),"",COUNTBLANK(OFFSET(A$1,,,SUMPRODUCT(MAX(ROW(E$2:E1903)*(E1903=E$2:E1903)))))-COUNTBLANK(OFFSET(A$1,,,SUMPRODUCT(MAX(ROW(E$1:E1902)*(E2=E$1:E1902))))))</f>
        <v> </v>
      </c>
      <c r="K1903" s="26" t="str">
        <f>IF(OR(E1903="",E1903="!!!",F1903="NEW"),"",INDEX(J$1:J1902,SUMPRODUCT(MAX(ROW(E$1:E1902)*(E1903=E$1:E1902)))))</f>
        <v> </v>
      </c>
      <c r="L1903" s="27"/>
    </row>
    <row r="1904" spans="1:12">
      <c r="A1904" s="20" t="s">
        <v>1331</v>
      </c>
      <c r="E1904" s="22">
        <f>IF(D1904="?OLD","!!!","")</f>
        <v/>
      </c>
      <c r="F1904" s="23" t="str">
        <f>IF(OR(E1904="",E1904="!!!"),"",IF(NOT(ISNA(VLOOKUP(E1904,E$1:E1903,1,FALSE()))),"OLD",IF(AND(E1904&lt;&gt;"",E1904&lt;&gt;"!!!"),"NEW","")))</f>
        <v> </v>
      </c>
      <c r="G1904" s="24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5" t="str">
        <f>IF(J1904&lt;&gt;1,"",IF(I1904="SBJ","CB","?"))</f>
        <v> </v>
      </c>
      <c r="I1904" s="26" t="str">
        <f>IF(OR(E1904="",E1904="!!!",F1904="NEW"),"",INDEX(B1903:B$2,-1+SUMPRODUCT(MAX(ROW(E1903:E$2)*(E1904=E1903:E$2)))))</f>
        <v> </v>
      </c>
      <c r="J1904" s="26" t="str">
        <f>IF(OR(E1904="",E1904="!!!",F1904="NEW"),"",COUNTBLANK(OFFSET(A$1,,,SUMPRODUCT(MAX(ROW(E$2:E1904)*(E1904=E$2:E1904)))))-COUNTBLANK(OFFSET(A$1,,,SUMPRODUCT(MAX(ROW(E$1:E1903)*(E2=E$1:E1903))))))</f>
        <v> </v>
      </c>
      <c r="K1904" s="26" t="str">
        <f>IF(OR(E1904="",E1904="!!!",F1904="NEW"),"",INDEX(J$1:J1903,SUMPRODUCT(MAX(ROW(E$1:E1903)*(E1904=E$1:E1903)))))</f>
        <v> </v>
      </c>
      <c r="L1904" s="27"/>
    </row>
    <row r="1905" spans="1:12">
      <c r="A1905" s="20" t="s">
        <v>506</v>
      </c>
      <c r="E1905" s="22">
        <f>IF(D1905="?OLD","!!!","")</f>
        <v/>
      </c>
      <c r="F1905" s="23" t="str">
        <f>IF(OR(E1905="",E1905="!!!"),"",IF(NOT(ISNA(VLOOKUP(E1905,E$1:E1904,1,FALSE()))),"OLD",IF(AND(E1905&lt;&gt;"",E1905&lt;&gt;"!!!"),"NEW","")))</f>
        <v> </v>
      </c>
      <c r="G1905" s="24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5" t="str">
        <f>IF(J1905&lt;&gt;1,"",IF(I1905="SBJ","CB","?"))</f>
        <v> </v>
      </c>
      <c r="I1905" s="26" t="str">
        <f>IF(OR(E1905="",E1905="!!!",F1905="NEW"),"",INDEX(B1904:B$2,-1+SUMPRODUCT(MAX(ROW(E1904:E$2)*(E1905=E1904:E$2)))))</f>
        <v> </v>
      </c>
      <c r="J1905" s="26" t="str">
        <f>IF(OR(E1905="",E1905="!!!",F1905="NEW"),"",COUNTBLANK(OFFSET(A$1,,,SUMPRODUCT(MAX(ROW(E$2:E1905)*(E1905=E$2:E1905)))))-COUNTBLANK(OFFSET(A$1,,,SUMPRODUCT(MAX(ROW(E$1:E1904)*(E2=E$1:E1904))))))</f>
        <v> </v>
      </c>
      <c r="K1905" s="26" t="str">
        <f>IF(OR(E1905="",E1905="!!!",F1905="NEW"),"",INDEX(J$1:J1904,SUMPRODUCT(MAX(ROW(E$1:E1904)*(E1905=E$1:E1904)))))</f>
        <v> </v>
      </c>
      <c r="L1905" s="27"/>
    </row>
    <row r="1906" spans="1:12">
      <c r="A1906" s="20" t="s">
        <v>960</v>
      </c>
      <c r="E1906" s="22">
        <f>IF(D1906="?OLD","!!!","")</f>
        <v/>
      </c>
      <c r="F1906" s="23" t="str">
        <f>IF(OR(E1906="",E1906="!!!"),"",IF(NOT(ISNA(VLOOKUP(E1906,E$1:E1905,1,FALSE()))),"OLD",IF(AND(E1906&lt;&gt;"",E1906&lt;&gt;"!!!"),"NEW","")))</f>
        <v> </v>
      </c>
      <c r="G1906" s="24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5" t="str">
        <f>IF(J1906&lt;&gt;1,"",IF(I1906="SBJ","CB","?"))</f>
        <v> </v>
      </c>
      <c r="I1906" s="26" t="str">
        <f>IF(OR(E1906="",E1906="!!!",F1906="NEW"),"",INDEX(B1905:B$2,-1+SUMPRODUCT(MAX(ROW(E1905:E$2)*(E1906=E1905:E$2)))))</f>
        <v> </v>
      </c>
      <c r="J1906" s="26" t="str">
        <f>IF(OR(E1906="",E1906="!!!",F1906="NEW"),"",COUNTBLANK(OFFSET(A$1,,,SUMPRODUCT(MAX(ROW(E$2:E1906)*(E1906=E$2:E1906)))))-COUNTBLANK(OFFSET(A$1,,,SUMPRODUCT(MAX(ROW(E$1:E1905)*(E2=E$1:E1905))))))</f>
        <v> </v>
      </c>
      <c r="K1906" s="26" t="str">
        <f>IF(OR(E1906="",E1906="!!!",F1906="NEW"),"",INDEX(J$1:J1905,SUMPRODUCT(MAX(ROW(E$1:E1905)*(E1906=E$1:E1905)))))</f>
        <v> </v>
      </c>
      <c r="L1906" s="27"/>
    </row>
    <row r="1907" spans="1:12">
      <c r="A1907" s="20" t="s">
        <v>453</v>
      </c>
      <c r="E1907" s="22">
        <f>IF(D1907="?OLD","!!!","")</f>
        <v/>
      </c>
      <c r="F1907" s="23" t="str">
        <f>IF(OR(E1907="",E1907="!!!"),"",IF(NOT(ISNA(VLOOKUP(E1907,E$1:E1906,1,FALSE()))),"OLD",IF(AND(E1907&lt;&gt;"",E1907&lt;&gt;"!!!"),"NEW","")))</f>
        <v> </v>
      </c>
      <c r="G1907" s="24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5" t="str">
        <f>IF(J1907&lt;&gt;1,"",IF(I1907="SBJ","CB","?"))</f>
        <v> </v>
      </c>
      <c r="I1907" s="26" t="str">
        <f>IF(OR(E1907="",E1907="!!!",F1907="NEW"),"",INDEX(B1906:B$2,-1+SUMPRODUCT(MAX(ROW(E1906:E$2)*(E1907=E1906:E$2)))))</f>
        <v> </v>
      </c>
      <c r="J1907" s="26" t="str">
        <f>IF(OR(E1907="",E1907="!!!",F1907="NEW"),"",COUNTBLANK(OFFSET(A$1,,,SUMPRODUCT(MAX(ROW(E$2:E1907)*(E1907=E$2:E1907)))))-COUNTBLANK(OFFSET(A$1,,,SUMPRODUCT(MAX(ROW(E$1:E1906)*(E2=E$1:E1906))))))</f>
        <v> </v>
      </c>
      <c r="K1907" s="26" t="str">
        <f>IF(OR(E1907="",E1907="!!!",F1907="NEW"),"",INDEX(J$1:J1906,SUMPRODUCT(MAX(ROW(E$1:E1906)*(E1907=E$1:E1906)))))</f>
        <v> </v>
      </c>
      <c r="L1907" s="27"/>
    </row>
    <row r="1908" spans="1:12">
      <c r="A1908" s="20" t="s">
        <v>1334</v>
      </c>
      <c r="B1908" s="21" t="s">
        <v>491</v>
      </c>
      <c r="C1908" s="21" t="s">
        <v>481</v>
      </c>
      <c r="E1908" s="22">
        <f>IF(D1908="?OLD","!!!","")</f>
        <v/>
      </c>
      <c r="F1908" s="23" t="str">
        <f>IF(OR(E1908="",E1908="!!!"),"",IF(NOT(ISNA(VLOOKUP(E1908,E$1:E1907,1,FALSE()))),"OLD",IF(AND(E1908&lt;&gt;"",E1908&lt;&gt;"!!!"),"NEW","")))</f>
        <v> </v>
      </c>
      <c r="G1908" s="24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5" t="str">
        <f>IF(J1908&lt;&gt;1,"",IF(I1908="SBJ","CB","?"))</f>
        <v> </v>
      </c>
      <c r="I1908" s="26" t="str">
        <f>IF(OR(E1908="",E1908="!!!",F1908="NEW"),"",INDEX(B1907:B$2,-1+SUMPRODUCT(MAX(ROW(E1907:E$2)*(E1908=E1907:E$2)))))</f>
        <v> </v>
      </c>
      <c r="J1908" s="26" t="str">
        <f>IF(OR(E1908="",E1908="!!!",F1908="NEW"),"",COUNTBLANK(OFFSET(A$1,,,SUMPRODUCT(MAX(ROW(E$2:E1908)*(E1908=E$2:E1908)))))-COUNTBLANK(OFFSET(A$1,,,SUMPRODUCT(MAX(ROW(E$1:E1907)*(E2=E$1:E1907))))))</f>
        <v> </v>
      </c>
      <c r="K1908" s="26" t="str">
        <f>IF(OR(E1908="",E1908="!!!",F1908="NEW"),"",INDEX(J$1:J1907,SUMPRODUCT(MAX(ROW(E$1:E1907)*(E1908=E$1:E1907)))))</f>
        <v> </v>
      </c>
      <c r="L1908" s="27"/>
    </row>
    <row r="1909" spans="1:12">
      <c r="A1909" s="20" t="s">
        <v>1335</v>
      </c>
      <c r="E1909" s="22">
        <f>IF(D1909="?OLD","!!!","")</f>
        <v/>
      </c>
      <c r="F1909" s="23" t="str">
        <f>IF(OR(E1909="",E1909="!!!"),"",IF(NOT(ISNA(VLOOKUP(E1909,E$1:E1908,1,FALSE()))),"OLD",IF(AND(E1909&lt;&gt;"",E1909&lt;&gt;"!!!"),"NEW","")))</f>
        <v> </v>
      </c>
      <c r="G1909" s="24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5" t="str">
        <f>IF(J1909&lt;&gt;1,"",IF(I1909="SBJ","CB","?"))</f>
        <v> </v>
      </c>
      <c r="I1909" s="26" t="str">
        <f>IF(OR(E1909="",E1909="!!!",F1909="NEW"),"",INDEX(B1908:B$2,-1+SUMPRODUCT(MAX(ROW(E1908:E$2)*(E1909=E1908:E$2)))))</f>
        <v> </v>
      </c>
      <c r="J1909" s="26" t="str">
        <f>IF(OR(E1909="",E1909="!!!",F1909="NEW"),"",COUNTBLANK(OFFSET(A$1,,,SUMPRODUCT(MAX(ROW(E$2:E1909)*(E1909=E$2:E1909)))))-COUNTBLANK(OFFSET(A$1,,,SUMPRODUCT(MAX(ROW(E$1:E1908)*(E2=E$1:E1908))))))</f>
        <v> </v>
      </c>
      <c r="K1909" s="26" t="str">
        <f>IF(OR(E1909="",E1909="!!!",F1909="NEW"),"",INDEX(J$1:J1908,SUMPRODUCT(MAX(ROW(E$1:E1908)*(E1909=E$1:E1908)))))</f>
        <v> </v>
      </c>
      <c r="L1909" s="27"/>
    </row>
    <row r="1910" spans="1:12">
      <c r="A1910" s="20" t="s">
        <v>443</v>
      </c>
      <c r="E1910" s="22">
        <f>IF(D1910="?OLD","!!!","")</f>
        <v/>
      </c>
      <c r="F1910" s="23" t="str">
        <f>IF(OR(E1910="",E1910="!!!"),"",IF(NOT(ISNA(VLOOKUP(E1910,E$1:E1909,1,FALSE()))),"OLD",IF(AND(E1910&lt;&gt;"",E1910&lt;&gt;"!!!"),"NEW","")))</f>
        <v> </v>
      </c>
      <c r="G1910" s="24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5" t="str">
        <f>IF(J1910&lt;&gt;1,"",IF(I1910="SBJ","CB","?"))</f>
        <v> </v>
      </c>
      <c r="I1910" s="26" t="str">
        <f>IF(OR(E1910="",E1910="!!!",F1910="NEW"),"",INDEX(B1909:B$2,-1+SUMPRODUCT(MAX(ROW(E1909:E$2)*(E1910=E1909:E$2)))))</f>
        <v> </v>
      </c>
      <c r="J1910" s="26" t="str">
        <f>IF(OR(E1910="",E1910="!!!",F1910="NEW"),"",COUNTBLANK(OFFSET(A$1,,,SUMPRODUCT(MAX(ROW(E$2:E1910)*(E1910=E$2:E1910)))))-COUNTBLANK(OFFSET(A$1,,,SUMPRODUCT(MAX(ROW(E$1:E1909)*(E2=E$1:E1909))))))</f>
        <v> </v>
      </c>
      <c r="K1910" s="26" t="str">
        <f>IF(OR(E1910="",E1910="!!!",F1910="NEW"),"",INDEX(J$1:J1909,SUMPRODUCT(MAX(ROW(E$1:E1909)*(E1910=E$1:E1909)))))</f>
        <v> </v>
      </c>
      <c r="L1910" s="27"/>
    </row>
    <row r="1911" spans="1:12">
      <c r="A1911" s="20" t="s">
        <v>12</v>
      </c>
      <c r="E1911" s="22">
        <f>IF(D1911="?OLD","!!!","")</f>
        <v/>
      </c>
      <c r="F1911" s="23" t="str">
        <f>IF(OR(E1911="",E1911="!!!"),"",IF(NOT(ISNA(VLOOKUP(E1911,E$1:E1910,1,FALSE()))),"OLD",IF(AND(E1911&lt;&gt;"",E1911&lt;&gt;"!!!"),"NEW","")))</f>
        <v> </v>
      </c>
      <c r="G1911" s="24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5" t="str">
        <f>IF(J1911&lt;&gt;1,"",IF(I1911="SBJ","CB","?"))</f>
        <v> </v>
      </c>
      <c r="I1911" s="26" t="str">
        <f>IF(OR(E1911="",E1911="!!!",F1911="NEW"),"",INDEX(B1910:B$2,-1+SUMPRODUCT(MAX(ROW(E1910:E$2)*(E1911=E1910:E$2)))))</f>
        <v> </v>
      </c>
      <c r="J1911" s="26" t="str">
        <f>IF(OR(E1911="",E1911="!!!",F1911="NEW"),"",COUNTBLANK(OFFSET(A$1,,,SUMPRODUCT(MAX(ROW(E$2:E1911)*(E1911=E$2:E1911)))))-COUNTBLANK(OFFSET(A$1,,,SUMPRODUCT(MAX(ROW(E$1:E1910)*(E2=E$1:E1910))))))</f>
        <v> </v>
      </c>
      <c r="K1911" s="26" t="str">
        <f>IF(OR(E1911="",E1911="!!!",F1911="NEW"),"",INDEX(J$1:J1910,SUMPRODUCT(MAX(ROW(E$1:E1910)*(E1911=E$1:E1910)))))</f>
        <v> </v>
      </c>
      <c r="L1911" s="27"/>
    </row>
    <row r="1912" spans="1:12">
      <c r="A1912" s="20" t="s">
        <v>461</v>
      </c>
      <c r="B1912" s="21" t="s">
        <v>940</v>
      </c>
      <c r="E1912" s="22">
        <f>IF(D1912="?OLD","!!!","")</f>
        <v/>
      </c>
      <c r="F1912" s="23" t="str">
        <f>IF(OR(E1912="",E1912="!!!"),"",IF(NOT(ISNA(VLOOKUP(E1912,E$1:E1911,1,FALSE()))),"OLD",IF(AND(E1912&lt;&gt;"",E1912&lt;&gt;"!!!"),"NEW","")))</f>
        <v> </v>
      </c>
      <c r="G1912" s="24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5" t="str">
        <f>IF(J1912&lt;&gt;1,"",IF(I1912="SBJ","CB","?"))</f>
        <v> </v>
      </c>
      <c r="I1912" s="26" t="str">
        <f>IF(OR(E1912="",E1912="!!!",F1912="NEW"),"",INDEX(B1911:B$2,-1+SUMPRODUCT(MAX(ROW(E1911:E$2)*(E1912=E1911:E$2)))))</f>
        <v> </v>
      </c>
      <c r="J1912" s="26" t="str">
        <f>IF(OR(E1912="",E1912="!!!",F1912="NEW"),"",COUNTBLANK(OFFSET(A$1,,,SUMPRODUCT(MAX(ROW(E$2:E1912)*(E1912=E$2:E1912)))))-COUNTBLANK(OFFSET(A$1,,,SUMPRODUCT(MAX(ROW(E$1:E1911)*(E2=E$1:E1911))))))</f>
        <v> </v>
      </c>
      <c r="K1912" s="26" t="str">
        <f>IF(OR(E1912="",E1912="!!!",F1912="NEW"),"",INDEX(J$1:J1911,SUMPRODUCT(MAX(ROW(E$1:E1911)*(E1912=E$1:E1911)))))</f>
        <v> </v>
      </c>
      <c r="L1912" s="27"/>
    </row>
    <row r="1913" spans="1:12">
      <c r="A1913" s="20" t="s">
        <v>453</v>
      </c>
      <c r="E1913" s="22">
        <f>IF(D1913="?OLD","!!!","")</f>
        <v/>
      </c>
      <c r="F1913" s="23" t="str">
        <f>IF(OR(E1913="",E1913="!!!"),"",IF(NOT(ISNA(VLOOKUP(E1913,E$1:E1912,1,FALSE()))),"OLD",IF(AND(E1913&lt;&gt;"",E1913&lt;&gt;"!!!"),"NEW","")))</f>
        <v> </v>
      </c>
      <c r="G1913" s="24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5" t="str">
        <f>IF(J1913&lt;&gt;1,"",IF(I1913="SBJ","CB","?"))</f>
        <v> </v>
      </c>
      <c r="I1913" s="26" t="str">
        <f>IF(OR(E1913="",E1913="!!!",F1913="NEW"),"",INDEX(B1912:B$2,-1+SUMPRODUCT(MAX(ROW(E1912:E$2)*(E1913=E1912:E$2)))))</f>
        <v> </v>
      </c>
      <c r="J1913" s="26" t="str">
        <f>IF(OR(E1913="",E1913="!!!",F1913="NEW"),"",COUNTBLANK(OFFSET(A$1,,,SUMPRODUCT(MAX(ROW(E$2:E1913)*(E1913=E$2:E1913)))))-COUNTBLANK(OFFSET(A$1,,,SUMPRODUCT(MAX(ROW(E$1:E1912)*(E2=E$1:E1912))))))</f>
        <v> </v>
      </c>
      <c r="K1913" s="26" t="str">
        <f>IF(OR(E1913="",E1913="!!!",F1913="NEW"),"",INDEX(J$1:J1912,SUMPRODUCT(MAX(ROW(E$1:E1912)*(E1913=E$1:E1912)))))</f>
        <v> </v>
      </c>
      <c r="L1913" s="27"/>
    </row>
    <row r="1914" spans="1:12">
      <c r="A1914" s="20" t="s">
        <v>313</v>
      </c>
      <c r="E1914" s="22">
        <f>IF(D1914="?OLD","!!!","")</f>
        <v/>
      </c>
      <c r="F1914" s="23" t="str">
        <f>IF(OR(E1914="",E1914="!!!"),"",IF(NOT(ISNA(VLOOKUP(E1914,E$1:E1913,1,FALSE()))),"OLD",IF(AND(E1914&lt;&gt;"",E1914&lt;&gt;"!!!"),"NEW","")))</f>
        <v> </v>
      </c>
      <c r="G1914" s="24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5" t="str">
        <f>IF(J1914&lt;&gt;1,"",IF(I1914="SBJ","CB","?"))</f>
        <v> </v>
      </c>
      <c r="I1914" s="26" t="str">
        <f>IF(OR(E1914="",E1914="!!!",F1914="NEW"),"",INDEX(B1913:B$2,-1+SUMPRODUCT(MAX(ROW(E1913:E$2)*(E1914=E1913:E$2)))))</f>
        <v> </v>
      </c>
      <c r="J1914" s="26" t="str">
        <f>IF(OR(E1914="",E1914="!!!",F1914="NEW"),"",COUNTBLANK(OFFSET(A$1,,,SUMPRODUCT(MAX(ROW(E$2:E1914)*(E1914=E$2:E1914)))))-COUNTBLANK(OFFSET(A$1,,,SUMPRODUCT(MAX(ROW(E$1:E1913)*(E2=E$1:E1913))))))</f>
        <v> </v>
      </c>
      <c r="K1914" s="26" t="str">
        <f>IF(OR(E1914="",E1914="!!!",F1914="NEW"),"",INDEX(J$1:J1913,SUMPRODUCT(MAX(ROW(E$1:E1913)*(E1914=E$1:E1913)))))</f>
        <v> </v>
      </c>
      <c r="L1914" s="27"/>
    </row>
    <row r="1915" spans="1:12">
      <c r="A1915" s="20" t="s">
        <v>1336</v>
      </c>
      <c r="E1915" s="22">
        <f>IF(D1915="?OLD","!!!","")</f>
        <v/>
      </c>
      <c r="F1915" s="23" t="str">
        <f>IF(OR(E1915="",E1915="!!!"),"",IF(NOT(ISNA(VLOOKUP(E1915,E$1:E1914,1,FALSE()))),"OLD",IF(AND(E1915&lt;&gt;"",E1915&lt;&gt;"!!!"),"NEW","")))</f>
        <v> </v>
      </c>
      <c r="G1915" s="24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5" t="str">
        <f>IF(J1915&lt;&gt;1,"",IF(I1915="SBJ","CB","?"))</f>
        <v> </v>
      </c>
      <c r="I1915" s="26" t="str">
        <f>IF(OR(E1915="",E1915="!!!",F1915="NEW"),"",INDEX(B1914:B$2,-1+SUMPRODUCT(MAX(ROW(E1914:E$2)*(E1915=E1914:E$2)))))</f>
        <v> </v>
      </c>
      <c r="J1915" s="26" t="str">
        <f>IF(OR(E1915="",E1915="!!!",F1915="NEW"),"",COUNTBLANK(OFFSET(A$1,,,SUMPRODUCT(MAX(ROW(E$2:E1915)*(E1915=E$2:E1915)))))-COUNTBLANK(OFFSET(A$1,,,SUMPRODUCT(MAX(ROW(E$1:E1914)*(E2=E$1:E1914))))))</f>
        <v> </v>
      </c>
      <c r="K1915" s="26" t="str">
        <f>IF(OR(E1915="",E1915="!!!",F1915="NEW"),"",INDEX(J$1:J1914,SUMPRODUCT(MAX(ROW(E$1:E1914)*(E1915=E$1:E1914)))))</f>
        <v> </v>
      </c>
      <c r="L1915" s="27"/>
    </row>
    <row r="1916" spans="1:12">
      <c r="A1916" s="20" t="s">
        <v>438</v>
      </c>
      <c r="E1916" s="22">
        <f>IF(D1916="?OLD","!!!","")</f>
        <v/>
      </c>
      <c r="F1916" s="23" t="str">
        <f>IF(OR(E1916="",E1916="!!!"),"",IF(NOT(ISNA(VLOOKUP(E1916,E$1:E1915,1,FALSE()))),"OLD",IF(AND(E1916&lt;&gt;"",E1916&lt;&gt;"!!!"),"NEW","")))</f>
        <v> </v>
      </c>
      <c r="G1916" s="24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5" t="str">
        <f>IF(J1916&lt;&gt;1,"",IF(I1916="SBJ","CB","?"))</f>
        <v> </v>
      </c>
      <c r="I1916" s="26" t="str">
        <f>IF(OR(E1916="",E1916="!!!",F1916="NEW"),"",INDEX(B1915:B$2,-1+SUMPRODUCT(MAX(ROW(E1915:E$2)*(E1916=E1915:E$2)))))</f>
        <v> </v>
      </c>
      <c r="J1916" s="26" t="str">
        <f>IF(OR(E1916="",E1916="!!!",F1916="NEW"),"",COUNTBLANK(OFFSET(A$1,,,SUMPRODUCT(MAX(ROW(E$2:E1916)*(E1916=E$2:E1916)))))-COUNTBLANK(OFFSET(A$1,,,SUMPRODUCT(MAX(ROW(E$1:E1915)*(E2=E$1:E1915))))))</f>
        <v> </v>
      </c>
      <c r="K1916" s="26" t="str">
        <f>IF(OR(E1916="",E1916="!!!",F1916="NEW"),"",INDEX(J$1:J1915,SUMPRODUCT(MAX(ROW(E$1:E1915)*(E1916=E$1:E1915)))))</f>
        <v> </v>
      </c>
      <c r="L1916" s="27"/>
    </row>
    <row r="1917" spans="1:12">
      <c r="A1917" s="20"/>
    </row>
    <row r="1918" spans="1:12">
      <c r="A1918" s="20" t="s">
        <v>1337</v>
      </c>
    </row>
    <row r="1919" spans="1:12">
      <c r="A1919" s="20" t="s">
        <v>1338</v>
      </c>
      <c r="E1919" s="22">
        <f>IF(D1919="?OLD","!!!","")</f>
        <v/>
      </c>
      <c r="F1919" s="23" t="str">
        <f>IF(OR(E1919="",E1919="!!!"),"",IF(NOT(ISNA(VLOOKUP(E1919,E$1:E1918,1,FALSE()))),"OLD",IF(AND(E1919&lt;&gt;"",E1919&lt;&gt;"!!!"),"NEW","")))</f>
        <v> </v>
      </c>
      <c r="G1919" s="24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5" t="str">
        <f>IF(J1919&lt;&gt;1,"",IF(I1919="SBJ","CB","?"))</f>
        <v> </v>
      </c>
      <c r="I1919" s="26" t="str">
        <f>IF(OR(E1919="",E1919="!!!",F1919="NEW"),"",INDEX(B1918:B$2,-1+SUMPRODUCT(MAX(ROW(E1918:E$2)*(E1919=E1918:E$2)))))</f>
        <v> </v>
      </c>
      <c r="J1919" s="26" t="str">
        <f>IF(OR(E1919="",E1919="!!!",F1919="NEW"),"",COUNTBLANK(OFFSET(A$1,,,SUMPRODUCT(MAX(ROW(E$2:E1919)*(E1919=E$2:E1919)))))-COUNTBLANK(OFFSET(A$1,,,SUMPRODUCT(MAX(ROW(E$1:E1918)*(E2=E$1:E1918))))))</f>
        <v> </v>
      </c>
      <c r="K1919" s="26" t="str">
        <f>IF(OR(E1919="",E1919="!!!",F1919="NEW"),"",INDEX(J$1:J1918,SUMPRODUCT(MAX(ROW(E$1:E1918)*(E1919=E$1:E1918)))))</f>
        <v> </v>
      </c>
      <c r="L1919" s="27"/>
    </row>
    <row r="1920" spans="1:12">
      <c r="A1920" s="20" t="s">
        <v>149</v>
      </c>
      <c r="B1920" s="21" t="s">
        <v>422</v>
      </c>
      <c r="E1920" s="22">
        <f>IF(D1920="?OLD","!!!","")</f>
        <v/>
      </c>
      <c r="F1920" s="23" t="str">
        <f>IF(OR(E1920="",E1920="!!!"),"",IF(NOT(ISNA(VLOOKUP(E1920,E$1:E1919,1,FALSE()))),"OLD",IF(AND(E1920&lt;&gt;"",E1920&lt;&gt;"!!!"),"NEW","")))</f>
        <v> </v>
      </c>
      <c r="G1920" s="24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5" t="str">
        <f>IF(J1920&lt;&gt;1,"",IF(I1920="SBJ","CB","?"))</f>
        <v> </v>
      </c>
      <c r="I1920" s="26" t="str">
        <f>IF(OR(E1920="",E1920="!!!",F1920="NEW"),"",INDEX(B1919:B$2,-1+SUMPRODUCT(MAX(ROW(E1919:E$2)*(E1920=E1919:E$2)))))</f>
        <v> </v>
      </c>
      <c r="J1920" s="26" t="str">
        <f>IF(OR(E1920="",E1920="!!!",F1920="NEW"),"",COUNTBLANK(OFFSET(A$1,,,SUMPRODUCT(MAX(ROW(E$2:E1920)*(E1920=E$2:E1920)))))-COUNTBLANK(OFFSET(A$1,,,SUMPRODUCT(MAX(ROW(E$1:E1919)*(E2=E$1:E1919))))))</f>
        <v> </v>
      </c>
      <c r="K1920" s="26" t="str">
        <f>IF(OR(E1920="",E1920="!!!",F1920="NEW"),"",INDEX(J$1:J1919,SUMPRODUCT(MAX(ROW(E$1:E1919)*(E1920=E$1:E1919)))))</f>
        <v> </v>
      </c>
      <c r="L1920" s="27"/>
    </row>
    <row r="1921" spans="1:12">
      <c r="A1921" s="20" t="s">
        <v>1320</v>
      </c>
      <c r="E1921" s="22">
        <f>IF(D1921="?OLD","!!!","")</f>
        <v/>
      </c>
      <c r="F1921" s="23" t="str">
        <f>IF(OR(E1921="",E1921="!!!"),"",IF(NOT(ISNA(VLOOKUP(E1921,E$1:E1920,1,FALSE()))),"OLD",IF(AND(E1921&lt;&gt;"",E1921&lt;&gt;"!!!"),"NEW","")))</f>
        <v> </v>
      </c>
      <c r="G1921" s="24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5" t="str">
        <f>IF(J1921&lt;&gt;1,"",IF(I1921="SBJ","CB","?"))</f>
        <v> </v>
      </c>
      <c r="I1921" s="26" t="str">
        <f>IF(OR(E1921="",E1921="!!!",F1921="NEW"),"",INDEX(B1920:B$2,-1+SUMPRODUCT(MAX(ROW(E1920:E$2)*(E1921=E1920:E$2)))))</f>
        <v> </v>
      </c>
      <c r="J1921" s="26" t="str">
        <f>IF(OR(E1921="",E1921="!!!",F1921="NEW"),"",COUNTBLANK(OFFSET(A$1,,,SUMPRODUCT(MAX(ROW(E$2:E1921)*(E1921=E$2:E1921)))))-COUNTBLANK(OFFSET(A$1,,,SUMPRODUCT(MAX(ROW(E$1:E1920)*(E2=E$1:E1920))))))</f>
        <v> </v>
      </c>
      <c r="K1921" s="26" t="str">
        <f>IF(OR(E1921="",E1921="!!!",F1921="NEW"),"",INDEX(J$1:J1920,SUMPRODUCT(MAX(ROW(E$1:E1920)*(E1921=E$1:E1920)))))</f>
        <v> </v>
      </c>
      <c r="L1921" s="27"/>
    </row>
    <row r="1922" spans="1:12">
      <c r="A1922" s="20" t="s">
        <v>506</v>
      </c>
      <c r="E1922" s="22">
        <f>IF(D1922="?OLD","!!!","")</f>
        <v/>
      </c>
      <c r="F1922" s="23" t="str">
        <f>IF(OR(E1922="",E1922="!!!"),"",IF(NOT(ISNA(VLOOKUP(E1922,E$1:E1921,1,FALSE()))),"OLD",IF(AND(E1922&lt;&gt;"",E1922&lt;&gt;"!!!"),"NEW","")))</f>
        <v> </v>
      </c>
      <c r="G1922" s="24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5" t="str">
        <f>IF(J1922&lt;&gt;1,"",IF(I1922="SBJ","CB","?"))</f>
        <v> </v>
      </c>
      <c r="I1922" s="26" t="str">
        <f>IF(OR(E1922="",E1922="!!!",F1922="NEW"),"",INDEX(B1921:B$2,-1+SUMPRODUCT(MAX(ROW(E1921:E$2)*(E1922=E1921:E$2)))))</f>
        <v> </v>
      </c>
      <c r="J1922" s="26" t="str">
        <f>IF(OR(E1922="",E1922="!!!",F1922="NEW"),"",COUNTBLANK(OFFSET(A$1,,,SUMPRODUCT(MAX(ROW(E$2:E1922)*(E1922=E$2:E1922)))))-COUNTBLANK(OFFSET(A$1,,,SUMPRODUCT(MAX(ROW(E$1:E1921)*(E2=E$1:E1921))))))</f>
        <v> </v>
      </c>
      <c r="K1922" s="26" t="str">
        <f>IF(OR(E1922="",E1922="!!!",F1922="NEW"),"",INDEX(J$1:J1921,SUMPRODUCT(MAX(ROW(E$1:E1921)*(E1922=E$1:E1921)))))</f>
        <v> </v>
      </c>
      <c r="L1922" s="27"/>
    </row>
    <row r="1923" spans="1:12">
      <c r="A1923" s="20" t="s">
        <v>730</v>
      </c>
      <c r="B1923" s="21" t="s">
        <v>533</v>
      </c>
      <c r="C1923" s="21" t="s">
        <v>477</v>
      </c>
      <c r="D1923" s="21" t="s">
        <v>424</v>
      </c>
      <c r="E1923" s="22">
        <f>IF(D1923="?OLD","!!!","")</f>
        <v/>
      </c>
      <c r="F1923" s="23" t="str">
        <f>IF(OR(E1923="",E1923="!!!"),"",IF(NOT(ISNA(VLOOKUP(E1923,E$1:E1922,1,FALSE()))),"OLD",IF(AND(E1923&lt;&gt;"",E1923&lt;&gt;"!!!"),"NEW","")))</f>
        <v> </v>
      </c>
      <c r="G1923" s="24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5" t="str">
        <f>IF(J1923&lt;&gt;1,"",IF(I1923="SBJ","CB","?"))</f>
        <v> </v>
      </c>
      <c r="I1923" s="26" t="str">
        <f>IF(OR(E1923="",E1923="!!!",F1923="NEW"),"",INDEX(B1922:B$2,-1+SUMPRODUCT(MAX(ROW(E1922:E$2)*(E1923=E1922:E$2)))))</f>
        <v> </v>
      </c>
      <c r="J1923" s="26" t="str">
        <f>IF(OR(E1923="",E1923="!!!",F1923="NEW"),"",COUNTBLANK(OFFSET(A$1,,,SUMPRODUCT(MAX(ROW(E$2:E1923)*(E1923=E$2:E1923)))))-COUNTBLANK(OFFSET(A$1,,,SUMPRODUCT(MAX(ROW(E$1:E1922)*(E2=E$1:E1922))))))</f>
        <v> </v>
      </c>
      <c r="K1923" s="26" t="str">
        <f>IF(OR(E1923="",E1923="!!!",F1923="NEW"),"",INDEX(J$1:J1922,SUMPRODUCT(MAX(ROW(E$1:E1922)*(E1923=E$1:E1922)))))</f>
        <v> </v>
      </c>
      <c r="L1923" s="27"/>
    </row>
    <row r="1924" spans="1:12">
      <c r="A1924" s="20" t="s">
        <v>453</v>
      </c>
      <c r="E1924" s="22">
        <f>IF(D1924="?OLD","!!!","")</f>
        <v/>
      </c>
      <c r="F1924" s="23" t="str">
        <f>IF(OR(E1924="",E1924="!!!"),"",IF(NOT(ISNA(VLOOKUP(E1924,E$1:E1923,1,FALSE()))),"OLD",IF(AND(E1924&lt;&gt;"",E1924&lt;&gt;"!!!"),"NEW","")))</f>
        <v> </v>
      </c>
      <c r="G1924" s="24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5" t="str">
        <f>IF(J1924&lt;&gt;1,"",IF(I1924="SBJ","CB","?"))</f>
        <v> </v>
      </c>
      <c r="I1924" s="26" t="str">
        <f>IF(OR(E1924="",E1924="!!!",F1924="NEW"),"",INDEX(B1923:B$2,-1+SUMPRODUCT(MAX(ROW(E1923:E$2)*(E1924=E1923:E$2)))))</f>
        <v> </v>
      </c>
      <c r="J1924" s="26" t="str">
        <f>IF(OR(E1924="",E1924="!!!",F1924="NEW"),"",COUNTBLANK(OFFSET(A$1,,,SUMPRODUCT(MAX(ROW(E$2:E1924)*(E1924=E$2:E1924)))))-COUNTBLANK(OFFSET(A$1,,,SUMPRODUCT(MAX(ROW(E$1:E1923)*(E2=E$1:E1923))))))</f>
        <v> </v>
      </c>
      <c r="K1924" s="26" t="str">
        <f>IF(OR(E1924="",E1924="!!!",F1924="NEW"),"",INDEX(J$1:J1923,SUMPRODUCT(MAX(ROW(E$1:E1923)*(E1924=E$1:E1923)))))</f>
        <v> </v>
      </c>
      <c r="L1924" s="27"/>
    </row>
    <row r="1925" spans="1:12">
      <c r="A1925" s="20" t="s">
        <v>459</v>
      </c>
      <c r="E1925" s="22">
        <f>IF(D1925="?OLD","!!!","")</f>
        <v/>
      </c>
      <c r="F1925" s="23" t="str">
        <f>IF(OR(E1925="",E1925="!!!"),"",IF(NOT(ISNA(VLOOKUP(E1925,E$1:E1924,1,FALSE()))),"OLD",IF(AND(E1925&lt;&gt;"",E1925&lt;&gt;"!!!"),"NEW","")))</f>
        <v> </v>
      </c>
      <c r="G1925" s="24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5" t="str">
        <f>IF(J1925&lt;&gt;1,"",IF(I1925="SBJ","CB","?"))</f>
        <v> </v>
      </c>
      <c r="I1925" s="26" t="str">
        <f>IF(OR(E1925="",E1925="!!!",F1925="NEW"),"",INDEX(B1924:B$2,-1+SUMPRODUCT(MAX(ROW(E1924:E$2)*(E1925=E1924:E$2)))))</f>
        <v> </v>
      </c>
      <c r="J1925" s="26" t="str">
        <f>IF(OR(E1925="",E1925="!!!",F1925="NEW"),"",COUNTBLANK(OFFSET(A$1,,,SUMPRODUCT(MAX(ROW(E$2:E1925)*(E1925=E$2:E1925)))))-COUNTBLANK(OFFSET(A$1,,,SUMPRODUCT(MAX(ROW(E$1:E1924)*(E2=E$1:E1924))))))</f>
        <v> </v>
      </c>
      <c r="K1925" s="26" t="str">
        <f>IF(OR(E1925="",E1925="!!!",F1925="NEW"),"",INDEX(J$1:J1924,SUMPRODUCT(MAX(ROW(E$1:E1924)*(E1925=E$1:E1924)))))</f>
        <v> </v>
      </c>
      <c r="L1925" s="27"/>
    </row>
    <row r="1926" spans="1:12">
      <c r="A1926" s="20" t="s">
        <v>329</v>
      </c>
      <c r="B1926" s="21" t="s">
        <v>556</v>
      </c>
      <c r="C1926" s="21" t="s">
        <v>477</v>
      </c>
      <c r="D1926" s="21" t="s">
        <v>424</v>
      </c>
      <c r="E1926" s="22">
        <f>IF(D1926="?OLD","!!!","")</f>
        <v/>
      </c>
      <c r="F1926" s="23" t="str">
        <f>IF(OR(E1926="",E1926="!!!"),"",IF(NOT(ISNA(VLOOKUP(E1926,E$1:E1925,1,FALSE()))),"OLD",IF(AND(E1926&lt;&gt;"",E1926&lt;&gt;"!!!"),"NEW","")))</f>
        <v> </v>
      </c>
      <c r="G1926" s="24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5" t="str">
        <f>IF(J1926&lt;&gt;1,"",IF(I1926="SBJ","CB","?"))</f>
        <v> </v>
      </c>
      <c r="I1926" s="26" t="str">
        <f>IF(OR(E1926="",E1926="!!!",F1926="NEW"),"",INDEX(B1925:B$2,-1+SUMPRODUCT(MAX(ROW(E1925:E$2)*(E1926=E1925:E$2)))))</f>
        <v> </v>
      </c>
      <c r="J1926" s="26" t="str">
        <f>IF(OR(E1926="",E1926="!!!",F1926="NEW"),"",COUNTBLANK(OFFSET(A$1,,,SUMPRODUCT(MAX(ROW(E$2:E1926)*(E1926=E$2:E1926)))))-COUNTBLANK(OFFSET(A$1,,,SUMPRODUCT(MAX(ROW(E$1:E1925)*(E2=E$1:E1925))))))</f>
        <v> </v>
      </c>
      <c r="K1926" s="26" t="str">
        <f>IF(OR(E1926="",E1926="!!!",F1926="NEW"),"",INDEX(J$1:J1925,SUMPRODUCT(MAX(ROW(E$1:E1925)*(E1926=E$1:E1925)))))</f>
        <v> </v>
      </c>
      <c r="L1926" s="27"/>
    </row>
    <row r="1927" spans="1:12">
      <c r="A1927" s="20" t="s">
        <v>453</v>
      </c>
      <c r="E1927" s="22">
        <f>IF(D1927="?OLD","!!!","")</f>
        <v/>
      </c>
      <c r="F1927" s="23" t="str">
        <f>IF(OR(E1927="",E1927="!!!"),"",IF(NOT(ISNA(VLOOKUP(E1927,E$1:E1926,1,FALSE()))),"OLD",IF(AND(E1927&lt;&gt;"",E1927&lt;&gt;"!!!"),"NEW","")))</f>
        <v> </v>
      </c>
      <c r="G1927" s="24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5" t="str">
        <f>IF(J1927&lt;&gt;1,"",IF(I1927="SBJ","CB","?"))</f>
        <v> </v>
      </c>
      <c r="I1927" s="26" t="str">
        <f>IF(OR(E1927="",E1927="!!!",F1927="NEW"),"",INDEX(B1926:B$2,-1+SUMPRODUCT(MAX(ROW(E1926:E$2)*(E1927=E1926:E$2)))))</f>
        <v> </v>
      </c>
      <c r="J1927" s="26" t="str">
        <f>IF(OR(E1927="",E1927="!!!",F1927="NEW"),"",COUNTBLANK(OFFSET(A$1,,,SUMPRODUCT(MAX(ROW(E$2:E1927)*(E1927=E$2:E1927)))))-COUNTBLANK(OFFSET(A$1,,,SUMPRODUCT(MAX(ROW(E$1:E1926)*(E2=E$1:E1926))))))</f>
        <v> </v>
      </c>
      <c r="K1927" s="26" t="str">
        <f>IF(OR(E1927="",E1927="!!!",F1927="NEW"),"",INDEX(J$1:J1926,SUMPRODUCT(MAX(ROW(E$1:E1926)*(E1927=E$1:E1926)))))</f>
        <v> </v>
      </c>
      <c r="L1927" s="27"/>
    </row>
    <row r="1928" spans="1:12">
      <c r="A1928" s="20" t="s">
        <v>459</v>
      </c>
      <c r="B1928" s="21" t="s">
        <v>462</v>
      </c>
      <c r="C1928" s="21" t="s">
        <v>481</v>
      </c>
      <c r="E1928" s="22">
        <f>IF(D1928="?OLD","!!!","")</f>
        <v/>
      </c>
      <c r="F1928" s="23" t="str">
        <f>IF(OR(E1928="",E1928="!!!"),"",IF(NOT(ISNA(VLOOKUP(E1928,E$1:E1927,1,FALSE()))),"OLD",IF(AND(E1928&lt;&gt;"",E1928&lt;&gt;"!!!"),"NEW","")))</f>
        <v> </v>
      </c>
      <c r="G1928" s="24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5" t="str">
        <f>IF(J1928&lt;&gt;1,"",IF(I1928="SBJ","CB","?"))</f>
        <v> </v>
      </c>
      <c r="I1928" s="26" t="str">
        <f>IF(OR(E1928="",E1928="!!!",F1928="NEW"),"",INDEX(B1927:B$2,-1+SUMPRODUCT(MAX(ROW(E1927:E$2)*(E1928=E1927:E$2)))))</f>
        <v> </v>
      </c>
      <c r="J1928" s="26" t="str">
        <f>IF(OR(E1928="",E1928="!!!",F1928="NEW"),"",COUNTBLANK(OFFSET(A$1,,,SUMPRODUCT(MAX(ROW(E$2:E1928)*(E1928=E$2:E1928)))))-COUNTBLANK(OFFSET(A$1,,,SUMPRODUCT(MAX(ROW(E$1:E1927)*(E2=E$1:E1927))))))</f>
        <v> </v>
      </c>
      <c r="K1928" s="26" t="str">
        <f>IF(OR(E1928="",E1928="!!!",F1928="NEW"),"",INDEX(J$1:J1927,SUMPRODUCT(MAX(ROW(E$1:E1927)*(E1928=E$1:E1927)))))</f>
        <v> </v>
      </c>
      <c r="L1928" s="27"/>
    </row>
    <row r="1929" spans="1:12">
      <c r="A1929" s="20" t="s">
        <v>535</v>
      </c>
      <c r="E1929" s="22">
        <f>IF(D1929="?OLD","!!!","")</f>
        <v/>
      </c>
      <c r="F1929" s="23" t="str">
        <f>IF(OR(E1929="",E1929="!!!"),"",IF(NOT(ISNA(VLOOKUP(E1929,E$1:E1928,1,FALSE()))),"OLD",IF(AND(E1929&lt;&gt;"",E1929&lt;&gt;"!!!"),"NEW","")))</f>
        <v> </v>
      </c>
      <c r="G1929" s="24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5" t="str">
        <f>IF(J1929&lt;&gt;1,"",IF(I1929="SBJ","CB","?"))</f>
        <v> </v>
      </c>
      <c r="I1929" s="26" t="str">
        <f>IF(OR(E1929="",E1929="!!!",F1929="NEW"),"",INDEX(B1928:B$2,-1+SUMPRODUCT(MAX(ROW(E1928:E$2)*(E1929=E1928:E$2)))))</f>
        <v> </v>
      </c>
      <c r="J1929" s="26" t="str">
        <f>IF(OR(E1929="",E1929="!!!",F1929="NEW"),"",COUNTBLANK(OFFSET(A$1,,,SUMPRODUCT(MAX(ROW(E$2:E1929)*(E1929=E$2:E1929)))))-COUNTBLANK(OFFSET(A$1,,,SUMPRODUCT(MAX(ROW(E$1:E1928)*(E2=E$1:E1928))))))</f>
        <v> </v>
      </c>
      <c r="K1929" s="26" t="str">
        <f>IF(OR(E1929="",E1929="!!!",F1929="NEW"),"",INDEX(J$1:J1928,SUMPRODUCT(MAX(ROW(E$1:E1928)*(E1929=E$1:E1928)))))</f>
        <v> </v>
      </c>
      <c r="L1929" s="27"/>
    </row>
    <row r="1930" spans="1:12">
      <c r="A1930" s="20" t="s">
        <v>816</v>
      </c>
      <c r="E1930" s="22">
        <f>IF(D1930="?OLD","!!!","")</f>
        <v/>
      </c>
      <c r="F1930" s="23" t="str">
        <f>IF(OR(E1930="",E1930="!!!"),"",IF(NOT(ISNA(VLOOKUP(E1930,E$1:E1929,1,FALSE()))),"OLD",IF(AND(E1930&lt;&gt;"",E1930&lt;&gt;"!!!"),"NEW","")))</f>
        <v> </v>
      </c>
      <c r="G1930" s="24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5" t="str">
        <f>IF(J1930&lt;&gt;1,"",IF(I1930="SBJ","CB","?"))</f>
        <v> </v>
      </c>
      <c r="I1930" s="26" t="str">
        <f>IF(OR(E1930="",E1930="!!!",F1930="NEW"),"",INDEX(B1929:B$2,-1+SUMPRODUCT(MAX(ROW(E1929:E$2)*(E1930=E1929:E$2)))))</f>
        <v> </v>
      </c>
      <c r="J1930" s="26" t="str">
        <f>IF(OR(E1930="",E1930="!!!",F1930="NEW"),"",COUNTBLANK(OFFSET(A$1,,,SUMPRODUCT(MAX(ROW(E$2:E1930)*(E1930=E$2:E1930)))))-COUNTBLANK(OFFSET(A$1,,,SUMPRODUCT(MAX(ROW(E$1:E1929)*(E2=E$1:E1929))))))</f>
        <v> </v>
      </c>
      <c r="K1930" s="26" t="str">
        <f>IF(OR(E1930="",E1930="!!!",F1930="NEW"),"",INDEX(J$1:J1929,SUMPRODUCT(MAX(ROW(E$1:E1929)*(E1930=E$1:E1929)))))</f>
        <v> </v>
      </c>
      <c r="L1930" s="27"/>
    </row>
    <row r="1931" spans="1:12">
      <c r="A1931" s="20" t="s">
        <v>817</v>
      </c>
      <c r="E1931" s="22">
        <f>IF(D1931="?OLD","!!!","")</f>
        <v/>
      </c>
      <c r="F1931" s="23" t="str">
        <f>IF(OR(E1931="",E1931="!!!"),"",IF(NOT(ISNA(VLOOKUP(E1931,E$1:E1930,1,FALSE()))),"OLD",IF(AND(E1931&lt;&gt;"",E1931&lt;&gt;"!!!"),"NEW","")))</f>
        <v> </v>
      </c>
      <c r="G1931" s="24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5" t="str">
        <f>IF(J1931&lt;&gt;1,"",IF(I1931="SBJ","CB","?"))</f>
        <v> </v>
      </c>
      <c r="I1931" s="26" t="str">
        <f>IF(OR(E1931="",E1931="!!!",F1931="NEW"),"",INDEX(B1930:B$2,-1+SUMPRODUCT(MAX(ROW(E1930:E$2)*(E1931=E1930:E$2)))))</f>
        <v> </v>
      </c>
      <c r="J1931" s="26" t="str">
        <f>IF(OR(E1931="",E1931="!!!",F1931="NEW"),"",COUNTBLANK(OFFSET(A$1,,,SUMPRODUCT(MAX(ROW(E$2:E1931)*(E1931=E$2:E1931)))))-COUNTBLANK(OFFSET(A$1,,,SUMPRODUCT(MAX(ROW(E$1:E1930)*(E2=E$1:E1930))))))</f>
        <v> </v>
      </c>
      <c r="K1931" s="26" t="str">
        <f>IF(OR(E1931="",E1931="!!!",F1931="NEW"),"",INDEX(J$1:J1930,SUMPRODUCT(MAX(ROW(E$1:E1930)*(E1931=E$1:E1930)))))</f>
        <v> </v>
      </c>
      <c r="L1931" s="27"/>
    </row>
    <row r="1932" spans="1:12">
      <c r="A1932" s="20" t="s">
        <v>453</v>
      </c>
      <c r="E1932" s="22">
        <f>IF(D1932="?OLD","!!!","")</f>
        <v/>
      </c>
      <c r="F1932" s="23" t="str">
        <f>IF(OR(E1932="",E1932="!!!"),"",IF(NOT(ISNA(VLOOKUP(E1932,E$1:E1931,1,FALSE()))),"OLD",IF(AND(E1932&lt;&gt;"",E1932&lt;&gt;"!!!"),"NEW","")))</f>
        <v> </v>
      </c>
      <c r="G1932" s="24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5" t="str">
        <f>IF(J1932&lt;&gt;1,"",IF(I1932="SBJ","CB","?"))</f>
        <v> </v>
      </c>
      <c r="I1932" s="26" t="str">
        <f>IF(OR(E1932="",E1932="!!!",F1932="NEW"),"",INDEX(B1931:B$2,-1+SUMPRODUCT(MAX(ROW(E1931:E$2)*(E1932=E1931:E$2)))))</f>
        <v> </v>
      </c>
      <c r="J1932" s="26" t="str">
        <f>IF(OR(E1932="",E1932="!!!",F1932="NEW"),"",COUNTBLANK(OFFSET(A$1,,,SUMPRODUCT(MAX(ROW(E$2:E1932)*(E1932=E$2:E1932)))))-COUNTBLANK(OFFSET(A$1,,,SUMPRODUCT(MAX(ROW(E$1:E1931)*(E2=E$1:E1931))))))</f>
        <v> </v>
      </c>
      <c r="K1932" s="26" t="str">
        <f>IF(OR(E1932="",E1932="!!!",F1932="NEW"),"",INDEX(J$1:J1931,SUMPRODUCT(MAX(ROW(E$1:E1931)*(E1932=E$1:E1931)))))</f>
        <v> </v>
      </c>
      <c r="L1932" s="27"/>
    </row>
    <row r="1933" spans="1:12">
      <c r="A1933" s="20" t="s">
        <v>1339</v>
      </c>
      <c r="E1933" s="22">
        <f>IF(D1933="?OLD","!!!","")</f>
        <v/>
      </c>
      <c r="F1933" s="23" t="str">
        <f>IF(OR(E1933="",E1933="!!!"),"",IF(NOT(ISNA(VLOOKUP(E1933,E$1:E1932,1,FALSE()))),"OLD",IF(AND(E1933&lt;&gt;"",E1933&lt;&gt;"!!!"),"NEW","")))</f>
        <v> </v>
      </c>
      <c r="G1933" s="24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5" t="str">
        <f>IF(J1933&lt;&gt;1,"",IF(I1933="SBJ","CB","?"))</f>
        <v> </v>
      </c>
      <c r="I1933" s="26" t="str">
        <f>IF(OR(E1933="",E1933="!!!",F1933="NEW"),"",INDEX(B1932:B$2,-1+SUMPRODUCT(MAX(ROW(E1932:E$2)*(E1933=E1932:E$2)))))</f>
        <v> </v>
      </c>
      <c r="J1933" s="26" t="str">
        <f>IF(OR(E1933="",E1933="!!!",F1933="NEW"),"",COUNTBLANK(OFFSET(A$1,,,SUMPRODUCT(MAX(ROW(E$2:E1933)*(E1933=E$2:E1933)))))-COUNTBLANK(OFFSET(A$1,,,SUMPRODUCT(MAX(ROW(E$1:E1932)*(E2=E$1:E1932))))))</f>
        <v> </v>
      </c>
      <c r="K1933" s="26" t="str">
        <f>IF(OR(E1933="",E1933="!!!",F1933="NEW"),"",INDEX(J$1:J1932,SUMPRODUCT(MAX(ROW(E$1:E1932)*(E1933=E$1:E1932)))))</f>
        <v> </v>
      </c>
      <c r="L1933" s="27"/>
    </row>
    <row r="1934" spans="1:12">
      <c r="A1934" s="20" t="s">
        <v>1340</v>
      </c>
      <c r="E1934" s="22">
        <f>IF(D1934="?OLD","!!!","")</f>
        <v/>
      </c>
      <c r="F1934" s="23" t="str">
        <f>IF(OR(E1934="",E1934="!!!"),"",IF(NOT(ISNA(VLOOKUP(E1934,E$1:E1933,1,FALSE()))),"OLD",IF(AND(E1934&lt;&gt;"",E1934&lt;&gt;"!!!"),"NEW","")))</f>
        <v> </v>
      </c>
      <c r="G1934" s="24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5" t="str">
        <f>IF(J1934&lt;&gt;1,"",IF(I1934="SBJ","CB","?"))</f>
        <v> </v>
      </c>
      <c r="I1934" s="26" t="str">
        <f>IF(OR(E1934="",E1934="!!!",F1934="NEW"),"",INDEX(B1933:B$2,-1+SUMPRODUCT(MAX(ROW(E1933:E$2)*(E1934=E1933:E$2)))))</f>
        <v> </v>
      </c>
      <c r="J1934" s="26" t="str">
        <f>IF(OR(E1934="",E1934="!!!",F1934="NEW"),"",COUNTBLANK(OFFSET(A$1,,,SUMPRODUCT(MAX(ROW(E$2:E1934)*(E1934=E$2:E1934)))))-COUNTBLANK(OFFSET(A$1,,,SUMPRODUCT(MAX(ROW(E$1:E1933)*(E2=E$1:E1933))))))</f>
        <v> </v>
      </c>
      <c r="K1934" s="26" t="str">
        <f>IF(OR(E1934="",E1934="!!!",F1934="NEW"),"",INDEX(J$1:J1933,SUMPRODUCT(MAX(ROW(E$1:E1933)*(E1934=E$1:E1933)))))</f>
        <v> </v>
      </c>
      <c r="L1934" s="27"/>
    </row>
    <row r="1935" spans="1:12">
      <c r="A1935" s="20" t="s">
        <v>1290</v>
      </c>
      <c r="E1935" s="22">
        <f>IF(D1935="?OLD","!!!","")</f>
        <v/>
      </c>
      <c r="F1935" s="23" t="str">
        <f>IF(OR(E1935="",E1935="!!!"),"",IF(NOT(ISNA(VLOOKUP(E1935,E$1:E1934,1,FALSE()))),"OLD",IF(AND(E1935&lt;&gt;"",E1935&lt;&gt;"!!!"),"NEW","")))</f>
        <v> </v>
      </c>
      <c r="G1935" s="24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5" t="str">
        <f>IF(J1935&lt;&gt;1,"",IF(I1935="SBJ","CB","?"))</f>
        <v> </v>
      </c>
      <c r="I1935" s="26" t="str">
        <f>IF(OR(E1935="",E1935="!!!",F1935="NEW"),"",INDEX(B1934:B$2,-1+SUMPRODUCT(MAX(ROW(E1934:E$2)*(E1935=E1934:E$2)))))</f>
        <v> </v>
      </c>
      <c r="J1935" s="26" t="str">
        <f>IF(OR(E1935="",E1935="!!!",F1935="NEW"),"",COUNTBLANK(OFFSET(A$1,,,SUMPRODUCT(MAX(ROW(E$2:E1935)*(E1935=E$2:E1935)))))-COUNTBLANK(OFFSET(A$1,,,SUMPRODUCT(MAX(ROW(E$1:E1934)*(E2=E$1:E1934))))))</f>
        <v> </v>
      </c>
      <c r="K1935" s="26" t="str">
        <f>IF(OR(E1935="",E1935="!!!",F1935="NEW"),"",INDEX(J$1:J1934,SUMPRODUCT(MAX(ROW(E$1:E1934)*(E1935=E$1:E1934)))))</f>
        <v> </v>
      </c>
      <c r="L1935" s="27"/>
    </row>
    <row r="1936" spans="1:12">
      <c r="A1936" s="20" t="s">
        <v>449</v>
      </c>
      <c r="E1936" s="22">
        <f>IF(D1936="?OLD","!!!","")</f>
        <v/>
      </c>
      <c r="F1936" s="23" t="str">
        <f>IF(OR(E1936="",E1936="!!!"),"",IF(NOT(ISNA(VLOOKUP(E1936,E$1:E1935,1,FALSE()))),"OLD",IF(AND(E1936&lt;&gt;"",E1936&lt;&gt;"!!!"),"NEW","")))</f>
        <v> </v>
      </c>
      <c r="G1936" s="24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5" t="str">
        <f>IF(J1936&lt;&gt;1,"",IF(I1936="SBJ","CB","?"))</f>
        <v> </v>
      </c>
      <c r="I1936" s="26" t="str">
        <f>IF(OR(E1936="",E1936="!!!",F1936="NEW"),"",INDEX(B1935:B$2,-1+SUMPRODUCT(MAX(ROW(E1935:E$2)*(E1936=E1935:E$2)))))</f>
        <v> </v>
      </c>
      <c r="J1936" s="26" t="str">
        <f>IF(OR(E1936="",E1936="!!!",F1936="NEW"),"",COUNTBLANK(OFFSET(A$1,,,SUMPRODUCT(MAX(ROW(E$2:E1936)*(E1936=E$2:E1936)))))-COUNTBLANK(OFFSET(A$1,,,SUMPRODUCT(MAX(ROW(E$1:E1935)*(E2=E$1:E1935))))))</f>
        <v> </v>
      </c>
      <c r="K1936" s="26" t="str">
        <f>IF(OR(E1936="",E1936="!!!",F1936="NEW"),"",INDEX(J$1:J1935,SUMPRODUCT(MAX(ROW(E$1:E1935)*(E1936=E$1:E1935)))))</f>
        <v> </v>
      </c>
      <c r="L1936" s="27"/>
    </row>
    <row r="1937" spans="1:12">
      <c r="A1937" s="20" t="s">
        <v>450</v>
      </c>
      <c r="E1937" s="22">
        <f>IF(D1937="?OLD","!!!","")</f>
        <v/>
      </c>
      <c r="F1937" s="23" t="str">
        <f>IF(OR(E1937="",E1937="!!!"),"",IF(NOT(ISNA(VLOOKUP(E1937,E$1:E1936,1,FALSE()))),"OLD",IF(AND(E1937&lt;&gt;"",E1937&lt;&gt;"!!!"),"NEW","")))</f>
        <v> </v>
      </c>
      <c r="G1937" s="24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5" t="str">
        <f>IF(J1937&lt;&gt;1,"",IF(I1937="SBJ","CB","?"))</f>
        <v> </v>
      </c>
      <c r="I1937" s="26" t="str">
        <f>IF(OR(E1937="",E1937="!!!",F1937="NEW"),"",INDEX(B1936:B$2,-1+SUMPRODUCT(MAX(ROW(E1936:E$2)*(E1937=E1936:E$2)))))</f>
        <v> </v>
      </c>
      <c r="J1937" s="26" t="str">
        <f>IF(OR(E1937="",E1937="!!!",F1937="NEW"),"",COUNTBLANK(OFFSET(A$1,,,SUMPRODUCT(MAX(ROW(E$2:E1937)*(E1937=E$2:E1937)))))-COUNTBLANK(OFFSET(A$1,,,SUMPRODUCT(MAX(ROW(E$1:E1936)*(E2=E$1:E1936))))))</f>
        <v> </v>
      </c>
      <c r="K1937" s="26" t="str">
        <f>IF(OR(E1937="",E1937="!!!",F1937="NEW"),"",INDEX(J$1:J1936,SUMPRODUCT(MAX(ROW(E$1:E1936)*(E1937=E$1:E1936)))))</f>
        <v> </v>
      </c>
      <c r="L1937" s="27"/>
    </row>
    <row r="1938" spans="1:12">
      <c r="A1938" s="20" t="s">
        <v>1341</v>
      </c>
      <c r="E1938" s="22">
        <f>IF(D1938="?OLD","!!!","")</f>
        <v/>
      </c>
      <c r="F1938" s="23" t="str">
        <f>IF(OR(E1938="",E1938="!!!"),"",IF(NOT(ISNA(VLOOKUP(E1938,E$1:E1937,1,FALSE()))),"OLD",IF(AND(E1938&lt;&gt;"",E1938&lt;&gt;"!!!"),"NEW","")))</f>
        <v> </v>
      </c>
      <c r="G1938" s="24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5" t="str">
        <f>IF(J1938&lt;&gt;1,"",IF(I1938="SBJ","CB","?"))</f>
        <v> </v>
      </c>
      <c r="I1938" s="26" t="str">
        <f>IF(OR(E1938="",E1938="!!!",F1938="NEW"),"",INDEX(B1937:B$2,-1+SUMPRODUCT(MAX(ROW(E1937:E$2)*(E1938=E1937:E$2)))))</f>
        <v> </v>
      </c>
      <c r="J1938" s="26" t="str">
        <f>IF(OR(E1938="",E1938="!!!",F1938="NEW"),"",COUNTBLANK(OFFSET(A$1,,,SUMPRODUCT(MAX(ROW(E$2:E1938)*(E1938=E$2:E1938)))))-COUNTBLANK(OFFSET(A$1,,,SUMPRODUCT(MAX(ROW(E$1:E1937)*(E2=E$1:E1937))))))</f>
        <v> </v>
      </c>
      <c r="K1938" s="26" t="str">
        <f>IF(OR(E1938="",E1938="!!!",F1938="NEW"),"",INDEX(J$1:J1937,SUMPRODUCT(MAX(ROW(E$1:E1937)*(E1938=E$1:E1937)))))</f>
        <v> </v>
      </c>
      <c r="L1938" s="27"/>
    </row>
    <row r="1939" spans="1:12">
      <c r="A1939" s="20" t="s">
        <v>964</v>
      </c>
      <c r="E1939" s="22">
        <f>IF(D1939="?OLD","!!!","")</f>
        <v/>
      </c>
      <c r="F1939" s="23" t="str">
        <f>IF(OR(E1939="",E1939="!!!"),"",IF(NOT(ISNA(VLOOKUP(E1939,E$1:E1938,1,FALSE()))),"OLD",IF(AND(E1939&lt;&gt;"",E1939&lt;&gt;"!!!"),"NEW","")))</f>
        <v> </v>
      </c>
      <c r="G1939" s="24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5" t="str">
        <f>IF(J1939&lt;&gt;1,"",IF(I1939="SBJ","CB","?"))</f>
        <v> </v>
      </c>
      <c r="I1939" s="26" t="str">
        <f>IF(OR(E1939="",E1939="!!!",F1939="NEW"),"",INDEX(B1938:B$2,-1+SUMPRODUCT(MAX(ROW(E1938:E$2)*(E1939=E1938:E$2)))))</f>
        <v> </v>
      </c>
      <c r="J1939" s="26" t="str">
        <f>IF(OR(E1939="",E1939="!!!",F1939="NEW"),"",COUNTBLANK(OFFSET(A$1,,,SUMPRODUCT(MAX(ROW(E$2:E1939)*(E1939=E$2:E1939)))))-COUNTBLANK(OFFSET(A$1,,,SUMPRODUCT(MAX(ROW(E$1:E1938)*(E2=E$1:E1938))))))</f>
        <v> </v>
      </c>
      <c r="K1939" s="26" t="str">
        <f>IF(OR(E1939="",E1939="!!!",F1939="NEW"),"",INDEX(J$1:J1938,SUMPRODUCT(MAX(ROW(E$1:E1938)*(E1939=E$1:E1938)))))</f>
        <v> </v>
      </c>
      <c r="L1939" s="27"/>
    </row>
    <row r="1940" spans="1:12">
      <c r="A1940" s="20" t="s">
        <v>1342</v>
      </c>
      <c r="E1940" s="22">
        <f>IF(D1940="?OLD","!!!","")</f>
        <v/>
      </c>
      <c r="F1940" s="23" t="str">
        <f>IF(OR(E1940="",E1940="!!!"),"",IF(NOT(ISNA(VLOOKUP(E1940,E$1:E1939,1,FALSE()))),"OLD",IF(AND(E1940&lt;&gt;"",E1940&lt;&gt;"!!!"),"NEW","")))</f>
        <v> </v>
      </c>
      <c r="G1940" s="24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5" t="str">
        <f>IF(J1940&lt;&gt;1,"",IF(I1940="SBJ","CB","?"))</f>
        <v> </v>
      </c>
      <c r="I1940" s="26" t="str">
        <f>IF(OR(E1940="",E1940="!!!",F1940="NEW"),"",INDEX(B1939:B$2,-1+SUMPRODUCT(MAX(ROW(E1939:E$2)*(E1940=E1939:E$2)))))</f>
        <v> </v>
      </c>
      <c r="J1940" s="26" t="str">
        <f>IF(OR(E1940="",E1940="!!!",F1940="NEW"),"",COUNTBLANK(OFFSET(A$1,,,SUMPRODUCT(MAX(ROW(E$2:E1940)*(E1940=E$2:E1940)))))-COUNTBLANK(OFFSET(A$1,,,SUMPRODUCT(MAX(ROW(E$1:E1939)*(E2=E$1:E1939))))))</f>
        <v> </v>
      </c>
      <c r="K1940" s="26" t="str">
        <f>IF(OR(E1940="",E1940="!!!",F1940="NEW"),"",INDEX(J$1:J1939,SUMPRODUCT(MAX(ROW(E$1:E1939)*(E1940=E$1:E1939)))))</f>
        <v> </v>
      </c>
      <c r="L1940" s="27"/>
    </row>
    <row r="1941" spans="1:12">
      <c r="A1941" s="20" t="s">
        <v>1343</v>
      </c>
      <c r="E1941" s="22">
        <f>IF(D1941="?OLD","!!!","")</f>
        <v/>
      </c>
      <c r="F1941" s="23" t="str">
        <f>IF(OR(E1941="",E1941="!!!"),"",IF(NOT(ISNA(VLOOKUP(E1941,E$1:E1940,1,FALSE()))),"OLD",IF(AND(E1941&lt;&gt;"",E1941&lt;&gt;"!!!"),"NEW","")))</f>
        <v> </v>
      </c>
      <c r="G1941" s="24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5" t="str">
        <f>IF(J1941&lt;&gt;1,"",IF(I1941="SBJ","CB","?"))</f>
        <v> </v>
      </c>
      <c r="I1941" s="26" t="str">
        <f>IF(OR(E1941="",E1941="!!!",F1941="NEW"),"",INDEX(B1940:B$2,-1+SUMPRODUCT(MAX(ROW(E1940:E$2)*(E1941=E1940:E$2)))))</f>
        <v> </v>
      </c>
      <c r="J1941" s="26" t="str">
        <f>IF(OR(E1941="",E1941="!!!",F1941="NEW"),"",COUNTBLANK(OFFSET(A$1,,,SUMPRODUCT(MAX(ROW(E$2:E1941)*(E1941=E$2:E1941)))))-COUNTBLANK(OFFSET(A$1,,,SUMPRODUCT(MAX(ROW(E$1:E1940)*(E2=E$1:E1940))))))</f>
        <v> </v>
      </c>
      <c r="K1941" s="26" t="str">
        <f>IF(OR(E1941="",E1941="!!!",F1941="NEW"),"",INDEX(J$1:J1940,SUMPRODUCT(MAX(ROW(E$1:E1940)*(E1941=E$1:E1940)))))</f>
        <v> </v>
      </c>
      <c r="L1941" s="27"/>
    </row>
    <row r="1942" spans="1:12">
      <c r="A1942" s="20" t="s">
        <v>453</v>
      </c>
      <c r="E1942" s="22">
        <f>IF(D1942="?OLD","!!!","")</f>
        <v/>
      </c>
      <c r="F1942" s="23" t="str">
        <f>IF(OR(E1942="",E1942="!!!"),"",IF(NOT(ISNA(VLOOKUP(E1942,E$1:E1941,1,FALSE()))),"OLD",IF(AND(E1942&lt;&gt;"",E1942&lt;&gt;"!!!"),"NEW","")))</f>
        <v> </v>
      </c>
      <c r="G1942" s="24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5" t="str">
        <f>IF(J1942&lt;&gt;1,"",IF(I1942="SBJ","CB","?"))</f>
        <v> </v>
      </c>
      <c r="I1942" s="26" t="str">
        <f>IF(OR(E1942="",E1942="!!!",F1942="NEW"),"",INDEX(B1941:B$2,-1+SUMPRODUCT(MAX(ROW(E1941:E$2)*(E1942=E1941:E$2)))))</f>
        <v> </v>
      </c>
      <c r="J1942" s="26" t="str">
        <f>IF(OR(E1942="",E1942="!!!",F1942="NEW"),"",COUNTBLANK(OFFSET(A$1,,,SUMPRODUCT(MAX(ROW(E$2:E1942)*(E1942=E$2:E1942)))))-COUNTBLANK(OFFSET(A$1,,,SUMPRODUCT(MAX(ROW(E$1:E1941)*(E2=E$1:E1941))))))</f>
        <v> </v>
      </c>
      <c r="K1942" s="26" t="str">
        <f>IF(OR(E1942="",E1942="!!!",F1942="NEW"),"",INDEX(J$1:J1941,SUMPRODUCT(MAX(ROW(E$1:E1941)*(E1942=E$1:E1941)))))</f>
        <v> </v>
      </c>
      <c r="L1942" s="27"/>
    </row>
    <row r="1943" spans="1:12">
      <c r="A1943" s="20" t="s">
        <v>560</v>
      </c>
      <c r="E1943" s="22">
        <f>IF(D1943="?OLD","!!!","")</f>
        <v/>
      </c>
      <c r="F1943" s="23" t="str">
        <f>IF(OR(E1943="",E1943="!!!"),"",IF(NOT(ISNA(VLOOKUP(E1943,E$1:E1942,1,FALSE()))),"OLD",IF(AND(E1943&lt;&gt;"",E1943&lt;&gt;"!!!"),"NEW","")))</f>
        <v> </v>
      </c>
      <c r="G1943" s="24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5" t="str">
        <f>IF(J1943&lt;&gt;1,"",IF(I1943="SBJ","CB","?"))</f>
        <v> </v>
      </c>
      <c r="I1943" s="26" t="str">
        <f>IF(OR(E1943="",E1943="!!!",F1943="NEW"),"",INDEX(B1942:B$2,-1+SUMPRODUCT(MAX(ROW(E1942:E$2)*(E1943=E1942:E$2)))))</f>
        <v> </v>
      </c>
      <c r="J1943" s="26" t="str">
        <f>IF(OR(E1943="",E1943="!!!",F1943="NEW"),"",COUNTBLANK(OFFSET(A$1,,,SUMPRODUCT(MAX(ROW(E$2:E1943)*(E1943=E$2:E1943)))))-COUNTBLANK(OFFSET(A$1,,,SUMPRODUCT(MAX(ROW(E$1:E1942)*(E2=E$1:E1942))))))</f>
        <v> </v>
      </c>
      <c r="K1943" s="26" t="str">
        <f>IF(OR(E1943="",E1943="!!!",F1943="NEW"),"",INDEX(J$1:J1942,SUMPRODUCT(MAX(ROW(E$1:E1942)*(E1943=E$1:E1942)))))</f>
        <v> </v>
      </c>
      <c r="L1943" s="27"/>
    </row>
    <row r="1944" spans="1:12">
      <c r="A1944" s="20" t="s">
        <v>632</v>
      </c>
      <c r="E1944" s="22">
        <f>IF(D1944="?OLD","!!!","")</f>
        <v/>
      </c>
      <c r="F1944" s="23" t="str">
        <f>IF(OR(E1944="",E1944="!!!"),"",IF(NOT(ISNA(VLOOKUP(E1944,E$1:E1943,1,FALSE()))),"OLD",IF(AND(E1944&lt;&gt;"",E1944&lt;&gt;"!!!"),"NEW","")))</f>
        <v> </v>
      </c>
      <c r="G1944" s="24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5" t="str">
        <f>IF(J1944&lt;&gt;1,"",IF(I1944="SBJ","CB","?"))</f>
        <v> </v>
      </c>
      <c r="I1944" s="26" t="str">
        <f>IF(OR(E1944="",E1944="!!!",F1944="NEW"),"",INDEX(B1943:B$2,-1+SUMPRODUCT(MAX(ROW(E1943:E$2)*(E1944=E1943:E$2)))))</f>
        <v> </v>
      </c>
      <c r="J1944" s="26" t="str">
        <f>IF(OR(E1944="",E1944="!!!",F1944="NEW"),"",COUNTBLANK(OFFSET(A$1,,,SUMPRODUCT(MAX(ROW(E$2:E1944)*(E1944=E$2:E1944)))))-COUNTBLANK(OFFSET(A$1,,,SUMPRODUCT(MAX(ROW(E$1:E1943)*(E2=E$1:E1943))))))</f>
        <v> </v>
      </c>
      <c r="K1944" s="26" t="str">
        <f>IF(OR(E1944="",E1944="!!!",F1944="NEW"),"",INDEX(J$1:J1943,SUMPRODUCT(MAX(ROW(E$1:E1943)*(E1944=E$1:E1943)))))</f>
        <v> </v>
      </c>
      <c r="L1944" s="27"/>
    </row>
    <row r="1945" spans="1:12">
      <c r="A1945" s="20" t="s">
        <v>1344</v>
      </c>
      <c r="E1945" s="22">
        <f>IF(D1945="?OLD","!!!","")</f>
        <v/>
      </c>
      <c r="F1945" s="23" t="str">
        <f>IF(OR(E1945="",E1945="!!!"),"",IF(NOT(ISNA(VLOOKUP(E1945,E$1:E1944,1,FALSE()))),"OLD",IF(AND(E1945&lt;&gt;"",E1945&lt;&gt;"!!!"),"NEW","")))</f>
        <v> </v>
      </c>
      <c r="G1945" s="24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5" t="str">
        <f>IF(J1945&lt;&gt;1,"",IF(I1945="SBJ","CB","?"))</f>
        <v> </v>
      </c>
      <c r="I1945" s="26" t="str">
        <f>IF(OR(E1945="",E1945="!!!",F1945="NEW"),"",INDEX(B1944:B$2,-1+SUMPRODUCT(MAX(ROW(E1944:E$2)*(E1945=E1944:E$2)))))</f>
        <v> </v>
      </c>
      <c r="J1945" s="26" t="str">
        <f>IF(OR(E1945="",E1945="!!!",F1945="NEW"),"",COUNTBLANK(OFFSET(A$1,,,SUMPRODUCT(MAX(ROW(E$2:E1945)*(E1945=E$2:E1945)))))-COUNTBLANK(OFFSET(A$1,,,SUMPRODUCT(MAX(ROW(E$1:E1944)*(E2=E$1:E1944))))))</f>
        <v> </v>
      </c>
      <c r="K1945" s="26" t="str">
        <f>IF(OR(E1945="",E1945="!!!",F1945="NEW"),"",INDEX(J$1:J1944,SUMPRODUCT(MAX(ROW(E$1:E1944)*(E1945=E$1:E1944)))))</f>
        <v> </v>
      </c>
      <c r="L1945" s="27"/>
    </row>
    <row r="1946" spans="1:12">
      <c r="A1946" s="20" t="s">
        <v>1345</v>
      </c>
      <c r="B1946" s="21" t="s">
        <v>659</v>
      </c>
      <c r="C1946" s="21" t="s">
        <v>471</v>
      </c>
      <c r="D1946" s="21" t="s">
        <v>424</v>
      </c>
      <c r="E1946" s="22">
        <f>IF(D1946="?OLD","!!!","")</f>
        <v/>
      </c>
      <c r="F1946" s="23" t="str">
        <f>IF(OR(E1946="",E1946="!!!"),"",IF(NOT(ISNA(VLOOKUP(E1946,E$1:E1945,1,FALSE()))),"OLD",IF(AND(E1946&lt;&gt;"",E1946&lt;&gt;"!!!"),"NEW","")))</f>
        <v> </v>
      </c>
      <c r="G1946" s="24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5" t="str">
        <f>IF(J1946&lt;&gt;1,"",IF(I1946="SBJ","CB","?"))</f>
        <v> </v>
      </c>
      <c r="I1946" s="26" t="str">
        <f>IF(OR(E1946="",E1946="!!!",F1946="NEW"),"",INDEX(B1945:B$2,-1+SUMPRODUCT(MAX(ROW(E1945:E$2)*(E1946=E1945:E$2)))))</f>
        <v> </v>
      </c>
      <c r="J1946" s="26" t="str">
        <f>IF(OR(E1946="",E1946="!!!",F1946="NEW"),"",COUNTBLANK(OFFSET(A$1,,,SUMPRODUCT(MAX(ROW(E$2:E1946)*(E1946=E$2:E1946)))))-COUNTBLANK(OFFSET(A$1,,,SUMPRODUCT(MAX(ROW(E$1:E1945)*(E2=E$1:E1945))))))</f>
        <v> </v>
      </c>
      <c r="K1946" s="26" t="str">
        <f>IF(OR(E1946="",E1946="!!!",F1946="NEW"),"",INDEX(J$1:J1945,SUMPRODUCT(MAX(ROW(E$1:E1945)*(E1946=E$1:E1945)))))</f>
        <v> </v>
      </c>
      <c r="L1946" s="27"/>
    </row>
    <row r="1947" spans="1:12">
      <c r="A1947" s="20" t="s">
        <v>453</v>
      </c>
      <c r="E1947" s="22">
        <f>IF(D1947="?OLD","!!!","")</f>
        <v/>
      </c>
      <c r="F1947" s="23" t="str">
        <f>IF(OR(E1947="",E1947="!!!"),"",IF(NOT(ISNA(VLOOKUP(E1947,E$1:E1946,1,FALSE()))),"OLD",IF(AND(E1947&lt;&gt;"",E1947&lt;&gt;"!!!"),"NEW","")))</f>
        <v> </v>
      </c>
      <c r="G1947" s="24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5" t="str">
        <f>IF(J1947&lt;&gt;1,"",IF(I1947="SBJ","CB","?"))</f>
        <v> </v>
      </c>
      <c r="I1947" s="26" t="str">
        <f>IF(OR(E1947="",E1947="!!!",F1947="NEW"),"",INDEX(B1946:B$2,-1+SUMPRODUCT(MAX(ROW(E1946:E$2)*(E1947=E1946:E$2)))))</f>
        <v> </v>
      </c>
      <c r="J1947" s="26" t="str">
        <f>IF(OR(E1947="",E1947="!!!",F1947="NEW"),"",COUNTBLANK(OFFSET(A$1,,,SUMPRODUCT(MAX(ROW(E$2:E1947)*(E1947=E$2:E1947)))))-COUNTBLANK(OFFSET(A$1,,,SUMPRODUCT(MAX(ROW(E$1:E1946)*(E2=E$1:E1946))))))</f>
        <v> </v>
      </c>
      <c r="K1947" s="26" t="str">
        <f>IF(OR(E1947="",E1947="!!!",F1947="NEW"),"",INDEX(J$1:J1946,SUMPRODUCT(MAX(ROW(E$1:E1946)*(E1947=E$1:E1946)))))</f>
        <v> </v>
      </c>
      <c r="L1947" s="27"/>
    </row>
    <row r="1948" spans="1:12">
      <c r="A1948" s="20" t="s">
        <v>676</v>
      </c>
      <c r="E1948" s="22">
        <f>IF(D1948="?OLD","!!!","")</f>
        <v/>
      </c>
      <c r="F1948" s="23" t="str">
        <f>IF(OR(E1948="",E1948="!!!"),"",IF(NOT(ISNA(VLOOKUP(E1948,E$1:E1947,1,FALSE()))),"OLD",IF(AND(E1948&lt;&gt;"",E1948&lt;&gt;"!!!"),"NEW","")))</f>
        <v> </v>
      </c>
      <c r="G1948" s="24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5" t="str">
        <f>IF(J1948&lt;&gt;1,"",IF(I1948="SBJ","CB","?"))</f>
        <v> </v>
      </c>
      <c r="I1948" s="26" t="str">
        <f>IF(OR(E1948="",E1948="!!!",F1948="NEW"),"",INDEX(B1947:B$2,-1+SUMPRODUCT(MAX(ROW(E1947:E$2)*(E1948=E1947:E$2)))))</f>
        <v> </v>
      </c>
      <c r="J1948" s="26" t="str">
        <f>IF(OR(E1948="",E1948="!!!",F1948="NEW"),"",COUNTBLANK(OFFSET(A$1,,,SUMPRODUCT(MAX(ROW(E$2:E1948)*(E1948=E$2:E1948)))))-COUNTBLANK(OFFSET(A$1,,,SUMPRODUCT(MAX(ROW(E$1:E1947)*(E2=E$1:E1947))))))</f>
        <v> </v>
      </c>
      <c r="K1948" s="26" t="str">
        <f>IF(OR(E1948="",E1948="!!!",F1948="NEW"),"",INDEX(J$1:J1947,SUMPRODUCT(MAX(ROW(E$1:E1947)*(E1948=E$1:E1947)))))</f>
        <v> </v>
      </c>
      <c r="L1948" s="27"/>
    </row>
    <row r="1949" spans="1:12">
      <c r="A1949" s="20" t="s">
        <v>1346</v>
      </c>
      <c r="E1949" s="22">
        <f>IF(D1949="?OLD","!!!","")</f>
        <v/>
      </c>
      <c r="F1949" s="23" t="str">
        <f>IF(OR(E1949="",E1949="!!!"),"",IF(NOT(ISNA(VLOOKUP(E1949,E$1:E1948,1,FALSE()))),"OLD",IF(AND(E1949&lt;&gt;"",E1949&lt;&gt;"!!!"),"NEW","")))</f>
        <v> </v>
      </c>
      <c r="G1949" s="24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5" t="str">
        <f>IF(J1949&lt;&gt;1,"",IF(I1949="SBJ","CB","?"))</f>
        <v> </v>
      </c>
      <c r="I1949" s="26" t="str">
        <f>IF(OR(E1949="",E1949="!!!",F1949="NEW"),"",INDEX(B1948:B$2,-1+SUMPRODUCT(MAX(ROW(E1948:E$2)*(E1949=E1948:E$2)))))</f>
        <v> </v>
      </c>
      <c r="J1949" s="26" t="str">
        <f>IF(OR(E1949="",E1949="!!!",F1949="NEW"),"",COUNTBLANK(OFFSET(A$1,,,SUMPRODUCT(MAX(ROW(E$2:E1949)*(E1949=E$2:E1949)))))-COUNTBLANK(OFFSET(A$1,,,SUMPRODUCT(MAX(ROW(E$1:E1948)*(E2=E$1:E1948))))))</f>
        <v> </v>
      </c>
      <c r="K1949" s="26" t="str">
        <f>IF(OR(E1949="",E1949="!!!",F1949="NEW"),"",INDEX(J$1:J1948,SUMPRODUCT(MAX(ROW(E$1:E1948)*(E1949=E$1:E1948)))))</f>
        <v> </v>
      </c>
      <c r="L1949" s="27"/>
    </row>
    <row r="1950" spans="1:12">
      <c r="A1950" s="20" t="s">
        <v>1347</v>
      </c>
      <c r="E1950" s="22">
        <f>IF(D1950="?OLD","!!!","")</f>
        <v/>
      </c>
      <c r="F1950" s="23" t="str">
        <f>IF(OR(E1950="",E1950="!!!"),"",IF(NOT(ISNA(VLOOKUP(E1950,E$1:E1949,1,FALSE()))),"OLD",IF(AND(E1950&lt;&gt;"",E1950&lt;&gt;"!!!"),"NEW","")))</f>
        <v> </v>
      </c>
      <c r="G1950" s="24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5" t="str">
        <f>IF(J1950&lt;&gt;1,"",IF(I1950="SBJ","CB","?"))</f>
        <v> </v>
      </c>
      <c r="I1950" s="26" t="str">
        <f>IF(OR(E1950="",E1950="!!!",F1950="NEW"),"",INDEX(B1949:B$2,-1+SUMPRODUCT(MAX(ROW(E1949:E$2)*(E1950=E1949:E$2)))))</f>
        <v> </v>
      </c>
      <c r="J1950" s="26" t="str">
        <f>IF(OR(E1950="",E1950="!!!",F1950="NEW"),"",COUNTBLANK(OFFSET(A$1,,,SUMPRODUCT(MAX(ROW(E$2:E1950)*(E1950=E$2:E1950)))))-COUNTBLANK(OFFSET(A$1,,,SUMPRODUCT(MAX(ROW(E$1:E1949)*(E2=E$1:E1949))))))</f>
        <v> </v>
      </c>
      <c r="K1950" s="26" t="str">
        <f>IF(OR(E1950="",E1950="!!!",F1950="NEW"),"",INDEX(J$1:J1949,SUMPRODUCT(MAX(ROW(E$1:E1949)*(E1950=E$1:E1949)))))</f>
        <v> </v>
      </c>
      <c r="L1950" s="27"/>
    </row>
    <row r="1951" spans="1:12">
      <c r="A1951" s="20" t="s">
        <v>478</v>
      </c>
      <c r="E1951" s="22">
        <f>IF(D1951="?OLD","!!!","")</f>
        <v/>
      </c>
      <c r="F1951" s="23" t="str">
        <f>IF(OR(E1951="",E1951="!!!"),"",IF(NOT(ISNA(VLOOKUP(E1951,E$1:E1950,1,FALSE()))),"OLD",IF(AND(E1951&lt;&gt;"",E1951&lt;&gt;"!!!"),"NEW","")))</f>
        <v> </v>
      </c>
      <c r="G1951" s="24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5" t="str">
        <f>IF(J1951&lt;&gt;1,"",IF(I1951="SBJ","CB","?"))</f>
        <v> </v>
      </c>
      <c r="I1951" s="26" t="str">
        <f>IF(OR(E1951="",E1951="!!!",F1951="NEW"),"",INDEX(B1950:B$2,-1+SUMPRODUCT(MAX(ROW(E1950:E$2)*(E1951=E1950:E$2)))))</f>
        <v> </v>
      </c>
      <c r="J1951" s="26" t="str">
        <f>IF(OR(E1951="",E1951="!!!",F1951="NEW"),"",COUNTBLANK(OFFSET(A$1,,,SUMPRODUCT(MAX(ROW(E$2:E1951)*(E1951=E$2:E1951)))))-COUNTBLANK(OFFSET(A$1,,,SUMPRODUCT(MAX(ROW(E$1:E1950)*(E2=E$1:E1950))))))</f>
        <v> </v>
      </c>
      <c r="K1951" s="26" t="str">
        <f>IF(OR(E1951="",E1951="!!!",F1951="NEW"),"",INDEX(J$1:J1950,SUMPRODUCT(MAX(ROW(E$1:E1950)*(E1951=E$1:E1950)))))</f>
        <v> </v>
      </c>
      <c r="L1951" s="27"/>
    </row>
    <row r="1952" spans="1:12">
      <c r="A1952" s="20" t="s">
        <v>1348</v>
      </c>
      <c r="E1952" s="22">
        <f>IF(D1952="?OLD","!!!","")</f>
        <v/>
      </c>
      <c r="F1952" s="23" t="str">
        <f>IF(OR(E1952="",E1952="!!!"),"",IF(NOT(ISNA(VLOOKUP(E1952,E$1:E1951,1,FALSE()))),"OLD",IF(AND(E1952&lt;&gt;"",E1952&lt;&gt;"!!!"),"NEW","")))</f>
        <v> </v>
      </c>
      <c r="G1952" s="24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5" t="str">
        <f>IF(J1952&lt;&gt;1,"",IF(I1952="SBJ","CB","?"))</f>
        <v> </v>
      </c>
      <c r="I1952" s="26" t="str">
        <f>IF(OR(E1952="",E1952="!!!",F1952="NEW"),"",INDEX(B1951:B$2,-1+SUMPRODUCT(MAX(ROW(E1951:E$2)*(E1952=E1951:E$2)))))</f>
        <v> </v>
      </c>
      <c r="J1952" s="26" t="str">
        <f>IF(OR(E1952="",E1952="!!!",F1952="NEW"),"",COUNTBLANK(OFFSET(A$1,,,SUMPRODUCT(MAX(ROW(E$2:E1952)*(E1952=E$2:E1952)))))-COUNTBLANK(OFFSET(A$1,,,SUMPRODUCT(MAX(ROW(E$1:E1951)*(E2=E$1:E1951))))))</f>
        <v> </v>
      </c>
      <c r="K1952" s="26" t="str">
        <f>IF(OR(E1952="",E1952="!!!",F1952="NEW"),"",INDEX(J$1:J1951,SUMPRODUCT(MAX(ROW(E$1:E1951)*(E1952=E$1:E1951)))))</f>
        <v> </v>
      </c>
      <c r="L1952" s="27"/>
    </row>
    <row r="1953" spans="1:12">
      <c r="A1953" s="20" t="s">
        <v>438</v>
      </c>
      <c r="E1953" s="22">
        <f>IF(D1953="?OLD","!!!","")</f>
        <v/>
      </c>
      <c r="F1953" s="23" t="str">
        <f>IF(OR(E1953="",E1953="!!!"),"",IF(NOT(ISNA(VLOOKUP(E1953,E$1:E1952,1,FALSE()))),"OLD",IF(AND(E1953&lt;&gt;"",E1953&lt;&gt;"!!!"),"NEW","")))</f>
        <v> </v>
      </c>
      <c r="G1953" s="24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5" t="str">
        <f>IF(J1953&lt;&gt;1,"",IF(I1953="SBJ","CB","?"))</f>
        <v> </v>
      </c>
      <c r="I1953" s="26" t="str">
        <f>IF(OR(E1953="",E1953="!!!",F1953="NEW"),"",INDEX(B1952:B$2,-1+SUMPRODUCT(MAX(ROW(E1952:E$2)*(E1953=E1952:E$2)))))</f>
        <v> </v>
      </c>
      <c r="J1953" s="26" t="str">
        <f>IF(OR(E1953="",E1953="!!!",F1953="NEW"),"",COUNTBLANK(OFFSET(A$1,,,SUMPRODUCT(MAX(ROW(E$2:E1953)*(E1953=E$2:E1953)))))-COUNTBLANK(OFFSET(A$1,,,SUMPRODUCT(MAX(ROW(E$1:E1952)*(E2=E$1:E1952))))))</f>
        <v> </v>
      </c>
      <c r="K1953" s="26" t="str">
        <f>IF(OR(E1953="",E1953="!!!",F1953="NEW"),"",INDEX(J$1:J1952,SUMPRODUCT(MAX(ROW(E$1:E1952)*(E1953=E$1:E1952)))))</f>
        <v> </v>
      </c>
      <c r="L1953" s="27"/>
    </row>
    <row r="1954" spans="1:12">
      <c r="A1954" s="20"/>
    </row>
    <row r="1955" spans="1:12">
      <c r="A1955" s="20" t="s">
        <v>1349</v>
      </c>
    </row>
    <row r="1956" spans="1:12">
      <c r="A1956" s="20" t="s">
        <v>1350</v>
      </c>
      <c r="E1956" s="22">
        <f>IF(D1956="?OLD","!!!","")</f>
        <v/>
      </c>
      <c r="F1956" s="23" t="str">
        <f>IF(OR(E1956="",E1956="!!!"),"",IF(NOT(ISNA(VLOOKUP(E1956,E$1:E1955,1,FALSE()))),"OLD",IF(AND(E1956&lt;&gt;"",E1956&lt;&gt;"!!!"),"NEW","")))</f>
        <v> </v>
      </c>
      <c r="G1956" s="24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5" t="str">
        <f>IF(J1956&lt;&gt;1,"",IF(I1956="SBJ","CB","?"))</f>
        <v> </v>
      </c>
      <c r="I1956" s="26" t="str">
        <f>IF(OR(E1956="",E1956="!!!",F1956="NEW"),"",INDEX(B1955:B$2,-1+SUMPRODUCT(MAX(ROW(E1955:E$2)*(E1956=E1955:E$2)))))</f>
        <v> </v>
      </c>
      <c r="J1956" s="26" t="str">
        <f>IF(OR(E1956="",E1956="!!!",F1956="NEW"),"",COUNTBLANK(OFFSET(A$1,,,SUMPRODUCT(MAX(ROW(E$2:E1956)*(E1956=E$2:E1956)))))-COUNTBLANK(OFFSET(A$1,,,SUMPRODUCT(MAX(ROW(E$1:E1955)*(E2=E$1:E1955))))))</f>
        <v> </v>
      </c>
      <c r="K1956" s="26" t="str">
        <f>IF(OR(E1956="",E1956="!!!",F1956="NEW"),"",INDEX(J$1:J1955,SUMPRODUCT(MAX(ROW(E$1:E1955)*(E1956=E$1:E1955)))))</f>
        <v> </v>
      </c>
      <c r="L1956" s="27"/>
    </row>
    <row r="1957" spans="1:12">
      <c r="A1957" s="20" t="s">
        <v>482</v>
      </c>
      <c r="B1957" s="21" t="s">
        <v>422</v>
      </c>
      <c r="C1957" s="21" t="s">
        <v>477</v>
      </c>
      <c r="D1957" s="21" t="s">
        <v>424</v>
      </c>
      <c r="E1957" s="22">
        <f>IF(D1957="?OLD","!!!","")</f>
        <v/>
      </c>
      <c r="F1957" s="23" t="str">
        <f>IF(OR(E1957="",E1957="!!!"),"",IF(NOT(ISNA(VLOOKUP(E1957,E$1:E1956,1,FALSE()))),"OLD",IF(AND(E1957&lt;&gt;"",E1957&lt;&gt;"!!!"),"NEW","")))</f>
        <v> </v>
      </c>
      <c r="G1957" s="24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5" t="str">
        <f>IF(J1957&lt;&gt;1,"",IF(I1957="SBJ","CB","?"))</f>
        <v> </v>
      </c>
      <c r="I1957" s="26" t="str">
        <f>IF(OR(E1957="",E1957="!!!",F1957="NEW"),"",INDEX(B1956:B$2,-1+SUMPRODUCT(MAX(ROW(E1956:E$2)*(E1957=E1956:E$2)))))</f>
        <v> </v>
      </c>
      <c r="J1957" s="26" t="str">
        <f>IF(OR(E1957="",E1957="!!!",F1957="NEW"),"",COUNTBLANK(OFFSET(A$1,,,SUMPRODUCT(MAX(ROW(E$2:E1957)*(E1957=E$2:E1957)))))-COUNTBLANK(OFFSET(A$1,,,SUMPRODUCT(MAX(ROW(E$1:E1956)*(E2=E$1:E1956))))))</f>
        <v> </v>
      </c>
      <c r="K1957" s="26" t="str">
        <f>IF(OR(E1957="",E1957="!!!",F1957="NEW"),"",INDEX(J$1:J1956,SUMPRODUCT(MAX(ROW(E$1:E1956)*(E1957=E$1:E1956)))))</f>
        <v> </v>
      </c>
      <c r="L1957" s="27"/>
    </row>
    <row r="1958" spans="1:12">
      <c r="A1958" s="20" t="s">
        <v>661</v>
      </c>
      <c r="E1958" s="22">
        <f>IF(D1958="?OLD","!!!","")</f>
        <v/>
      </c>
      <c r="F1958" s="23" t="str">
        <f>IF(OR(E1958="",E1958="!!!"),"",IF(NOT(ISNA(VLOOKUP(E1958,E$1:E1957,1,FALSE()))),"OLD",IF(AND(E1958&lt;&gt;"",E1958&lt;&gt;"!!!"),"NEW","")))</f>
        <v> </v>
      </c>
      <c r="G1958" s="24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5" t="str">
        <f>IF(J1958&lt;&gt;1,"",IF(I1958="SBJ","CB","?"))</f>
        <v> </v>
      </c>
      <c r="I1958" s="26" t="str">
        <f>IF(OR(E1958="",E1958="!!!",F1958="NEW"),"",INDEX(B1957:B$2,-1+SUMPRODUCT(MAX(ROW(E1957:E$2)*(E1958=E1957:E$2)))))</f>
        <v> </v>
      </c>
      <c r="J1958" s="26" t="str">
        <f>IF(OR(E1958="",E1958="!!!",F1958="NEW"),"",COUNTBLANK(OFFSET(A$1,,,SUMPRODUCT(MAX(ROW(E$2:E1958)*(E1958=E$2:E1958)))))-COUNTBLANK(OFFSET(A$1,,,SUMPRODUCT(MAX(ROW(E$1:E1957)*(E2=E$1:E1957))))))</f>
        <v> </v>
      </c>
      <c r="K1958" s="26" t="str">
        <f>IF(OR(E1958="",E1958="!!!",F1958="NEW"),"",INDEX(J$1:J1957,SUMPRODUCT(MAX(ROW(E$1:E1957)*(E1958=E$1:E1957)))))</f>
        <v> </v>
      </c>
      <c r="L1958" s="27"/>
    </row>
    <row r="1959" spans="1:12">
      <c r="A1959" s="20" t="s">
        <v>915</v>
      </c>
      <c r="E1959" s="22">
        <f>IF(D1959="?OLD","!!!","")</f>
        <v/>
      </c>
      <c r="F1959" s="23" t="str">
        <f>IF(OR(E1959="",E1959="!!!"),"",IF(NOT(ISNA(VLOOKUP(E1959,E$1:E1958,1,FALSE()))),"OLD",IF(AND(E1959&lt;&gt;"",E1959&lt;&gt;"!!!"),"NEW","")))</f>
        <v> </v>
      </c>
      <c r="G1959" s="24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5" t="str">
        <f>IF(J1959&lt;&gt;1,"",IF(I1959="SBJ","CB","?"))</f>
        <v> </v>
      </c>
      <c r="I1959" s="26" t="str">
        <f>IF(OR(E1959="",E1959="!!!",F1959="NEW"),"",INDEX(B1958:B$2,-1+SUMPRODUCT(MAX(ROW(E1958:E$2)*(E1959=E1958:E$2)))))</f>
        <v> </v>
      </c>
      <c r="J1959" s="26" t="str">
        <f>IF(OR(E1959="",E1959="!!!",F1959="NEW"),"",COUNTBLANK(OFFSET(A$1,,,SUMPRODUCT(MAX(ROW(E$2:E1959)*(E1959=E$2:E1959)))))-COUNTBLANK(OFFSET(A$1,,,SUMPRODUCT(MAX(ROW(E$1:E1958)*(E2=E$1:E1958))))))</f>
        <v> </v>
      </c>
      <c r="K1959" s="26" t="str">
        <f>IF(OR(E1959="",E1959="!!!",F1959="NEW"),"",INDEX(J$1:J1958,SUMPRODUCT(MAX(ROW(E$1:E1958)*(E1959=E$1:E1958)))))</f>
        <v> </v>
      </c>
      <c r="L1959" s="27"/>
    </row>
    <row r="1960" spans="1:12">
      <c r="A1960" s="20"/>
    </row>
    <row r="1961" spans="1:12">
      <c r="A1961" s="20" t="s">
        <v>1351</v>
      </c>
    </row>
    <row r="1962" spans="1:12">
      <c r="A1962" s="20" t="s">
        <v>1352</v>
      </c>
      <c r="E1962" s="22">
        <f>IF(D1962="?OLD","!!!","")</f>
        <v/>
      </c>
      <c r="F1962" s="23" t="str">
        <f>IF(OR(E1962="",E1962="!!!"),"",IF(NOT(ISNA(VLOOKUP(E1962,E$1:E1961,1,FALSE()))),"OLD",IF(AND(E1962&lt;&gt;"",E1962&lt;&gt;"!!!"),"NEW","")))</f>
        <v> </v>
      </c>
      <c r="G1962" s="24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5" t="str">
        <f>IF(J1962&lt;&gt;1,"",IF(I1962="SBJ","CB","?"))</f>
        <v> </v>
      </c>
      <c r="I1962" s="26" t="str">
        <f>IF(OR(E1962="",E1962="!!!",F1962="NEW"),"",INDEX(B1961:B$2,-1+SUMPRODUCT(MAX(ROW(E1961:E$2)*(E1962=E1961:E$2)))))</f>
        <v> </v>
      </c>
      <c r="J1962" s="26" t="str">
        <f>IF(OR(E1962="",E1962="!!!",F1962="NEW"),"",COUNTBLANK(OFFSET(A$1,,,SUMPRODUCT(MAX(ROW(E$2:E1962)*(E1962=E$2:E1962)))))-COUNTBLANK(OFFSET(A$1,,,SUMPRODUCT(MAX(ROW(E$1:E1961)*(E2=E$1:E1961))))))</f>
        <v> </v>
      </c>
      <c r="K1962" s="26" t="str">
        <f>IF(OR(E1962="",E1962="!!!",F1962="NEW"),"",INDEX(J$1:J1961,SUMPRODUCT(MAX(ROW(E$1:E1961)*(E1962=E$1:E1961)))))</f>
        <v> </v>
      </c>
      <c r="L1962" s="27"/>
    </row>
    <row r="1963" spans="1:12">
      <c r="A1963" s="20" t="s">
        <v>459</v>
      </c>
      <c r="E1963" s="22">
        <f>IF(D1963="?OLD","!!!","")</f>
        <v/>
      </c>
      <c r="F1963" s="23" t="str">
        <f>IF(OR(E1963="",E1963="!!!"),"",IF(NOT(ISNA(VLOOKUP(E1963,E$1:E1962,1,FALSE()))),"OLD",IF(AND(E1963&lt;&gt;"",E1963&lt;&gt;"!!!"),"NEW","")))</f>
        <v> </v>
      </c>
      <c r="G1963" s="24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5" t="str">
        <f>IF(J1963&lt;&gt;1,"",IF(I1963="SBJ","CB","?"))</f>
        <v> </v>
      </c>
      <c r="I1963" s="26" t="str">
        <f>IF(OR(E1963="",E1963="!!!",F1963="NEW"),"",INDEX(B1962:B$2,-1+SUMPRODUCT(MAX(ROW(E1962:E$2)*(E1963=E1962:E$2)))))</f>
        <v> </v>
      </c>
      <c r="J1963" s="26" t="str">
        <f>IF(OR(E1963="",E1963="!!!",F1963="NEW"),"",COUNTBLANK(OFFSET(A$1,,,SUMPRODUCT(MAX(ROW(E$2:E1963)*(E1963=E$2:E1963)))))-COUNTBLANK(OFFSET(A$1,,,SUMPRODUCT(MAX(ROW(E$1:E1962)*(E2=E$1:E1962))))))</f>
        <v> </v>
      </c>
      <c r="K1963" s="26" t="str">
        <f>IF(OR(E1963="",E1963="!!!",F1963="NEW"),"",INDEX(J$1:J1962,SUMPRODUCT(MAX(ROW(E$1:E1962)*(E1963=E$1:E1962)))))</f>
        <v> </v>
      </c>
      <c r="L1963" s="27"/>
    </row>
    <row r="1964" spans="1:12">
      <c r="A1964" s="20" t="s">
        <v>688</v>
      </c>
      <c r="E1964" s="22">
        <f>IF(D1964="?OLD","!!!","")</f>
        <v/>
      </c>
      <c r="F1964" s="23" t="str">
        <f>IF(OR(E1964="",E1964="!!!"),"",IF(NOT(ISNA(VLOOKUP(E1964,E$1:E1963,1,FALSE()))),"OLD",IF(AND(E1964&lt;&gt;"",E1964&lt;&gt;"!!!"),"NEW","")))</f>
        <v> </v>
      </c>
      <c r="G1964" s="24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5" t="str">
        <f>IF(J1964&lt;&gt;1,"",IF(I1964="SBJ","CB","?"))</f>
        <v> </v>
      </c>
      <c r="I1964" s="26" t="str">
        <f>IF(OR(E1964="",E1964="!!!",F1964="NEW"),"",INDEX(B1963:B$2,-1+SUMPRODUCT(MAX(ROW(E1963:E$2)*(E1964=E1963:E$2)))))</f>
        <v> </v>
      </c>
      <c r="J1964" s="26" t="str">
        <f>IF(OR(E1964="",E1964="!!!",F1964="NEW"),"",COUNTBLANK(OFFSET(A$1,,,SUMPRODUCT(MAX(ROW(E$2:E1964)*(E1964=E$2:E1964)))))-COUNTBLANK(OFFSET(A$1,,,SUMPRODUCT(MAX(ROW(E$1:E1963)*(E2=E$1:E1963))))))</f>
        <v> </v>
      </c>
      <c r="K1964" s="26" t="str">
        <f>IF(OR(E1964="",E1964="!!!",F1964="NEW"),"",INDEX(J$1:J1963,SUMPRODUCT(MAX(ROW(E$1:E1963)*(E1964=E$1:E1963)))))</f>
        <v> </v>
      </c>
      <c r="L1964" s="27"/>
    </row>
    <row r="1965" spans="1:12">
      <c r="A1965" s="20" t="s">
        <v>689</v>
      </c>
      <c r="B1965" s="21" t="s">
        <v>422</v>
      </c>
      <c r="E1965" s="22">
        <f>IF(D1965="?OLD","!!!","")</f>
        <v/>
      </c>
      <c r="F1965" s="23" t="str">
        <f>IF(OR(E1965="",E1965="!!!"),"",IF(NOT(ISNA(VLOOKUP(E1965,E$1:E1964,1,FALSE()))),"OLD",IF(AND(E1965&lt;&gt;"",E1965&lt;&gt;"!!!"),"NEW","")))</f>
        <v> </v>
      </c>
      <c r="G1965" s="24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5" t="str">
        <f>IF(J1965&lt;&gt;1,"",IF(I1965="SBJ","CB","?"))</f>
        <v> </v>
      </c>
      <c r="I1965" s="26" t="str">
        <f>IF(OR(E1965="",E1965="!!!",F1965="NEW"),"",INDEX(B1964:B$2,-1+SUMPRODUCT(MAX(ROW(E1964:E$2)*(E1965=E1964:E$2)))))</f>
        <v> </v>
      </c>
      <c r="J1965" s="26" t="str">
        <f>IF(OR(E1965="",E1965="!!!",F1965="NEW"),"",COUNTBLANK(OFFSET(A$1,,,SUMPRODUCT(MAX(ROW(E$2:E1965)*(E1965=E$2:E1965)))))-COUNTBLANK(OFFSET(A$1,,,SUMPRODUCT(MAX(ROW(E$1:E1964)*(E2=E$1:E1964))))))</f>
        <v> </v>
      </c>
      <c r="K1965" s="26" t="str">
        <f>IF(OR(E1965="",E1965="!!!",F1965="NEW"),"",INDEX(J$1:J1964,SUMPRODUCT(MAX(ROW(E$1:E1964)*(E1965=E$1:E1964)))))</f>
        <v> </v>
      </c>
      <c r="L1965" s="27"/>
    </row>
    <row r="1966" spans="1:12">
      <c r="A1966" s="20" t="s">
        <v>1353</v>
      </c>
      <c r="E1966" s="22">
        <f>IF(D1966="?OLD","!!!","")</f>
        <v/>
      </c>
      <c r="F1966" s="23" t="str">
        <f>IF(OR(E1966="",E1966="!!!"),"",IF(NOT(ISNA(VLOOKUP(E1966,E$1:E1965,1,FALSE()))),"OLD",IF(AND(E1966&lt;&gt;"",E1966&lt;&gt;"!!!"),"NEW","")))</f>
        <v> </v>
      </c>
      <c r="G1966" s="24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5" t="str">
        <f>IF(J1966&lt;&gt;1,"",IF(I1966="SBJ","CB","?"))</f>
        <v> </v>
      </c>
      <c r="I1966" s="26" t="str">
        <f>IF(OR(E1966="",E1966="!!!",F1966="NEW"),"",INDEX(B1965:B$2,-1+SUMPRODUCT(MAX(ROW(E1965:E$2)*(E1966=E1965:E$2)))))</f>
        <v> </v>
      </c>
      <c r="J1966" s="26" t="str">
        <f>IF(OR(E1966="",E1966="!!!",F1966="NEW"),"",COUNTBLANK(OFFSET(A$1,,,SUMPRODUCT(MAX(ROW(E$2:E1966)*(E1966=E$2:E1966)))))-COUNTBLANK(OFFSET(A$1,,,SUMPRODUCT(MAX(ROW(E$1:E1965)*(E2=E$1:E1965))))))</f>
        <v> </v>
      </c>
      <c r="K1966" s="26" t="str">
        <f>IF(OR(E1966="",E1966="!!!",F1966="NEW"),"",INDEX(J$1:J1965,SUMPRODUCT(MAX(ROW(E$1:E1965)*(E1966=E$1:E1965)))))</f>
        <v> </v>
      </c>
      <c r="L1966" s="27"/>
    </row>
    <row r="1967" spans="1:12">
      <c r="A1967" s="20" t="s">
        <v>789</v>
      </c>
      <c r="E1967" s="22">
        <f>IF(D1967="?OLD","!!!","")</f>
        <v/>
      </c>
      <c r="F1967" s="23" t="str">
        <f>IF(OR(E1967="",E1967="!!!"),"",IF(NOT(ISNA(VLOOKUP(E1967,E$1:E1966,1,FALSE()))),"OLD",IF(AND(E1967&lt;&gt;"",E1967&lt;&gt;"!!!"),"NEW","")))</f>
        <v> </v>
      </c>
      <c r="G1967" s="24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5" t="str">
        <f>IF(J1967&lt;&gt;1,"",IF(I1967="SBJ","CB","?"))</f>
        <v> </v>
      </c>
      <c r="I1967" s="26" t="str">
        <f>IF(OR(E1967="",E1967="!!!",F1967="NEW"),"",INDEX(B1966:B$2,-1+SUMPRODUCT(MAX(ROW(E1966:E$2)*(E1967=E1966:E$2)))))</f>
        <v> </v>
      </c>
      <c r="J1967" s="26" t="str">
        <f>IF(OR(E1967="",E1967="!!!",F1967="NEW"),"",COUNTBLANK(OFFSET(A$1,,,SUMPRODUCT(MAX(ROW(E$2:E1967)*(E1967=E$2:E1967)))))-COUNTBLANK(OFFSET(A$1,,,SUMPRODUCT(MAX(ROW(E$1:E1966)*(E2=E$1:E1966))))))</f>
        <v> </v>
      </c>
      <c r="K1967" s="26" t="str">
        <f>IF(OR(E1967="",E1967="!!!",F1967="NEW"),"",INDEX(J$1:J1966,SUMPRODUCT(MAX(ROW(E$1:E1966)*(E1967=E$1:E1966)))))</f>
        <v> </v>
      </c>
      <c r="L1967" s="27"/>
    </row>
    <row r="1968" spans="1:12">
      <c r="A1968" s="20" t="s">
        <v>430</v>
      </c>
      <c r="E1968" s="22">
        <f>IF(D1968="?OLD","!!!","")</f>
        <v/>
      </c>
      <c r="F1968" s="23" t="str">
        <f>IF(OR(E1968="",E1968="!!!"),"",IF(NOT(ISNA(VLOOKUP(E1968,E$1:E1967,1,FALSE()))),"OLD",IF(AND(E1968&lt;&gt;"",E1968&lt;&gt;"!!!"),"NEW","")))</f>
        <v> </v>
      </c>
      <c r="G1968" s="24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5" t="str">
        <f>IF(J1968&lt;&gt;1,"",IF(I1968="SBJ","CB","?"))</f>
        <v> </v>
      </c>
      <c r="I1968" s="26" t="str">
        <f>IF(OR(E1968="",E1968="!!!",F1968="NEW"),"",INDEX(B1967:B$2,-1+SUMPRODUCT(MAX(ROW(E1967:E$2)*(E1968=E1967:E$2)))))</f>
        <v> </v>
      </c>
      <c r="J1968" s="26" t="str">
        <f>IF(OR(E1968="",E1968="!!!",F1968="NEW"),"",COUNTBLANK(OFFSET(A$1,,,SUMPRODUCT(MAX(ROW(E$2:E1968)*(E1968=E$2:E1968)))))-COUNTBLANK(OFFSET(A$1,,,SUMPRODUCT(MAX(ROW(E$1:E1967)*(E2=E$1:E1967))))))</f>
        <v> </v>
      </c>
      <c r="K1968" s="26" t="str">
        <f>IF(OR(E1968="",E1968="!!!",F1968="NEW"),"",INDEX(J$1:J1967,SUMPRODUCT(MAX(ROW(E$1:E1967)*(E1968=E$1:E1967)))))</f>
        <v> </v>
      </c>
      <c r="L1968" s="27"/>
    </row>
    <row r="1969" spans="1:12">
      <c r="A1969" s="20" t="s">
        <v>1354</v>
      </c>
      <c r="E1969" s="22">
        <f>IF(D1969="?OLD","!!!","")</f>
        <v/>
      </c>
      <c r="F1969" s="23" t="str">
        <f>IF(OR(E1969="",E1969="!!!"),"",IF(NOT(ISNA(VLOOKUP(E1969,E$1:E1968,1,FALSE()))),"OLD",IF(AND(E1969&lt;&gt;"",E1969&lt;&gt;"!!!"),"NEW","")))</f>
        <v> </v>
      </c>
      <c r="G1969" s="24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5" t="str">
        <f>IF(J1969&lt;&gt;1,"",IF(I1969="SBJ","CB","?"))</f>
        <v> </v>
      </c>
      <c r="I1969" s="26" t="str">
        <f>IF(OR(E1969="",E1969="!!!",F1969="NEW"),"",INDEX(B1968:B$2,-1+SUMPRODUCT(MAX(ROW(E1968:E$2)*(E1969=E1968:E$2)))))</f>
        <v> </v>
      </c>
      <c r="J1969" s="26" t="str">
        <f>IF(OR(E1969="",E1969="!!!",F1969="NEW"),"",COUNTBLANK(OFFSET(A$1,,,SUMPRODUCT(MAX(ROW(E$2:E1969)*(E1969=E$2:E1969)))))-COUNTBLANK(OFFSET(A$1,,,SUMPRODUCT(MAX(ROW(E$1:E1968)*(E2=E$1:E1968))))))</f>
        <v> </v>
      </c>
      <c r="K1969" s="26" t="str">
        <f>IF(OR(E1969="",E1969="!!!",F1969="NEW"),"",INDEX(J$1:J1968,SUMPRODUCT(MAX(ROW(E$1:E1968)*(E1969=E$1:E1968)))))</f>
        <v> </v>
      </c>
      <c r="L1969" s="27"/>
    </row>
    <row r="1970" spans="1:12">
      <c r="A1970" s="20" t="s">
        <v>459</v>
      </c>
      <c r="E1970" s="22">
        <f>IF(D1970="?OLD","!!!","")</f>
        <v/>
      </c>
      <c r="F1970" s="23" t="str">
        <f>IF(OR(E1970="",E1970="!!!"),"",IF(NOT(ISNA(VLOOKUP(E1970,E$1:E1969,1,FALSE()))),"OLD",IF(AND(E1970&lt;&gt;"",E1970&lt;&gt;"!!!"),"NEW","")))</f>
        <v> </v>
      </c>
      <c r="G1970" s="24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5" t="str">
        <f>IF(J1970&lt;&gt;1,"",IF(I1970="SBJ","CB","?"))</f>
        <v> </v>
      </c>
      <c r="I1970" s="26" t="str">
        <f>IF(OR(E1970="",E1970="!!!",F1970="NEW"),"",INDEX(B1969:B$2,-1+SUMPRODUCT(MAX(ROW(E1969:E$2)*(E1970=E1969:E$2)))))</f>
        <v> </v>
      </c>
      <c r="J1970" s="26" t="str">
        <f>IF(OR(E1970="",E1970="!!!",F1970="NEW"),"",COUNTBLANK(OFFSET(A$1,,,SUMPRODUCT(MAX(ROW(E$2:E1970)*(E1970=E$2:E1970)))))-COUNTBLANK(OFFSET(A$1,,,SUMPRODUCT(MAX(ROW(E$1:E1969)*(E2=E$1:E1969))))))</f>
        <v> </v>
      </c>
      <c r="K1970" s="26" t="str">
        <f>IF(OR(E1970="",E1970="!!!",F1970="NEW"),"",INDEX(J$1:J1969,SUMPRODUCT(MAX(ROW(E$1:E1969)*(E1970=E$1:E1969)))))</f>
        <v> </v>
      </c>
      <c r="L1970" s="27"/>
    </row>
    <row r="1971" spans="1:12">
      <c r="A1971" s="20" t="s">
        <v>567</v>
      </c>
      <c r="B1971" s="21" t="s">
        <v>556</v>
      </c>
      <c r="E1971" s="22">
        <f>IF(D1971="?OLD","!!!","")</f>
        <v/>
      </c>
      <c r="F1971" s="23" t="str">
        <f>IF(OR(E1971="",E1971="!!!"),"",IF(NOT(ISNA(VLOOKUP(E1971,E$1:E1970,1,FALSE()))),"OLD",IF(AND(E1971&lt;&gt;"",E1971&lt;&gt;"!!!"),"NEW","")))</f>
        <v> </v>
      </c>
      <c r="G1971" s="24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5" t="str">
        <f>IF(J1971&lt;&gt;1,"",IF(I1971="SBJ","CB","?"))</f>
        <v> </v>
      </c>
      <c r="I1971" s="26" t="str">
        <f>IF(OR(E1971="",E1971="!!!",F1971="NEW"),"",INDEX(B1970:B$2,-1+SUMPRODUCT(MAX(ROW(E1970:E$2)*(E1971=E1970:E$2)))))</f>
        <v> </v>
      </c>
      <c r="J1971" s="26" t="str">
        <f>IF(OR(E1971="",E1971="!!!",F1971="NEW"),"",COUNTBLANK(OFFSET(A$1,,,SUMPRODUCT(MAX(ROW(E$2:E1971)*(E1971=E$2:E1971)))))-COUNTBLANK(OFFSET(A$1,,,SUMPRODUCT(MAX(ROW(E$1:E1970)*(E2=E$1:E1970))))))</f>
        <v> </v>
      </c>
      <c r="K1971" s="26" t="str">
        <f>IF(OR(E1971="",E1971="!!!",F1971="NEW"),"",INDEX(J$1:J1970,SUMPRODUCT(MAX(ROW(E$1:E1970)*(E1971=E$1:E1970)))))</f>
        <v> </v>
      </c>
      <c r="L1971" s="27"/>
    </row>
    <row r="1972" spans="1:12">
      <c r="A1972" s="20" t="s">
        <v>1355</v>
      </c>
      <c r="E1972" s="22">
        <f>IF(D1972="?OLD","!!!","")</f>
        <v/>
      </c>
      <c r="F1972" s="23" t="str">
        <f>IF(OR(E1972="",E1972="!!!"),"",IF(NOT(ISNA(VLOOKUP(E1972,E$1:E1971,1,FALSE()))),"OLD",IF(AND(E1972&lt;&gt;"",E1972&lt;&gt;"!!!"),"NEW","")))</f>
        <v> </v>
      </c>
      <c r="G1972" s="24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5" t="str">
        <f>IF(J1972&lt;&gt;1,"",IF(I1972="SBJ","CB","?"))</f>
        <v> </v>
      </c>
      <c r="I1972" s="26" t="str">
        <f>IF(OR(E1972="",E1972="!!!",F1972="NEW"),"",INDEX(B1971:B$2,-1+SUMPRODUCT(MAX(ROW(E1971:E$2)*(E1972=E1971:E$2)))))</f>
        <v> </v>
      </c>
      <c r="J1972" s="26" t="str">
        <f>IF(OR(E1972="",E1972="!!!",F1972="NEW"),"",COUNTBLANK(OFFSET(A$1,,,SUMPRODUCT(MAX(ROW(E$2:E1972)*(E1972=E$2:E1972)))))-COUNTBLANK(OFFSET(A$1,,,SUMPRODUCT(MAX(ROW(E$1:E1971)*(E2=E$1:E1971))))))</f>
        <v> </v>
      </c>
      <c r="K1972" s="26" t="str">
        <f>IF(OR(E1972="",E1972="!!!",F1972="NEW"),"",INDEX(J$1:J1971,SUMPRODUCT(MAX(ROW(E$1:E1971)*(E1972=E$1:E1971)))))</f>
        <v> </v>
      </c>
      <c r="L1972" s="27"/>
    </row>
    <row r="1973" spans="1:12">
      <c r="A1973" s="20" t="s">
        <v>438</v>
      </c>
      <c r="E1973" s="22">
        <f>IF(D1973="?OLD","!!!","")</f>
        <v/>
      </c>
      <c r="F1973" s="23" t="str">
        <f>IF(OR(E1973="",E1973="!!!"),"",IF(NOT(ISNA(VLOOKUP(E1973,E$1:E1972,1,FALSE()))),"OLD",IF(AND(E1973&lt;&gt;"",E1973&lt;&gt;"!!!"),"NEW","")))</f>
        <v> </v>
      </c>
      <c r="G1973" s="24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5" t="str">
        <f>IF(J1973&lt;&gt;1,"",IF(I1973="SBJ","CB","?"))</f>
        <v> </v>
      </c>
      <c r="I1973" s="26" t="str">
        <f>IF(OR(E1973="",E1973="!!!",F1973="NEW"),"",INDEX(B1972:B$2,-1+SUMPRODUCT(MAX(ROW(E1972:E$2)*(E1973=E1972:E$2)))))</f>
        <v> </v>
      </c>
      <c r="J1973" s="26" t="str">
        <f>IF(OR(E1973="",E1973="!!!",F1973="NEW"),"",COUNTBLANK(OFFSET(A$1,,,SUMPRODUCT(MAX(ROW(E$2:E1973)*(E1973=E$2:E1973)))))-COUNTBLANK(OFFSET(A$1,,,SUMPRODUCT(MAX(ROW(E$1:E1972)*(E2=E$1:E1972))))))</f>
        <v> </v>
      </c>
      <c r="K1973" s="26" t="str">
        <f>IF(OR(E1973="",E1973="!!!",F1973="NEW"),"",INDEX(J$1:J1972,SUMPRODUCT(MAX(ROW(E$1:E1972)*(E1973=E$1:E1972)))))</f>
        <v> </v>
      </c>
      <c r="L1973" s="27"/>
    </row>
    <row r="1974" spans="1:12">
      <c r="A1974" s="20"/>
    </row>
    <row r="1975" spans="1:12">
      <c r="A1975" s="20" t="s">
        <v>1356</v>
      </c>
    </row>
    <row r="1976" spans="1:12">
      <c r="A1976" s="20" t="s">
        <v>1357</v>
      </c>
      <c r="E1976" s="22">
        <f>IF(D1976="?OLD","!!!","")</f>
        <v/>
      </c>
      <c r="F1976" s="23" t="str">
        <f>IF(OR(E1976="",E1976="!!!"),"",IF(NOT(ISNA(VLOOKUP(E1976,E$1:E1975,1,FALSE()))),"OLD",IF(AND(E1976&lt;&gt;"",E1976&lt;&gt;"!!!"),"NEW","")))</f>
        <v> </v>
      </c>
      <c r="G1976" s="24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5" t="str">
        <f>IF(J1976&lt;&gt;1,"",IF(I1976="SBJ","CB","?"))</f>
        <v> </v>
      </c>
      <c r="I1976" s="26" t="str">
        <f>IF(OR(E1976="",E1976="!!!",F1976="NEW"),"",INDEX(B1975:B$2,-1+SUMPRODUCT(MAX(ROW(E1975:E$2)*(E1976=E1975:E$2)))))</f>
        <v> </v>
      </c>
      <c r="J1976" s="26" t="str">
        <f>IF(OR(E1976="",E1976="!!!",F1976="NEW"),"",COUNTBLANK(OFFSET(A$1,,,SUMPRODUCT(MAX(ROW(E$2:E1976)*(E1976=E$2:E1976)))))-COUNTBLANK(OFFSET(A$1,,,SUMPRODUCT(MAX(ROW(E$1:E1975)*(E2=E$1:E1975))))))</f>
        <v> </v>
      </c>
      <c r="K1976" s="26" t="str">
        <f>IF(OR(E1976="",E1976="!!!",F1976="NEW"),"",INDEX(J$1:J1975,SUMPRODUCT(MAX(ROW(E$1:E1975)*(E1976=E$1:E1975)))))</f>
        <v> </v>
      </c>
      <c r="L1976" s="27"/>
    </row>
    <row r="1977" spans="1:12">
      <c r="A1977" s="20" t="s">
        <v>1358</v>
      </c>
      <c r="B1977" s="21" t="s">
        <v>422</v>
      </c>
      <c r="E1977" s="22">
        <f>IF(D1977="?OLD","!!!","")</f>
        <v/>
      </c>
      <c r="F1977" s="23" t="str">
        <f>IF(OR(E1977="",E1977="!!!"),"",IF(NOT(ISNA(VLOOKUP(E1977,E$1:E1976,1,FALSE()))),"OLD",IF(AND(E1977&lt;&gt;"",E1977&lt;&gt;"!!!"),"NEW","")))</f>
        <v> </v>
      </c>
      <c r="G1977" s="24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5" t="str">
        <f>IF(J1977&lt;&gt;1,"",IF(I1977="SBJ","CB","?"))</f>
        <v> </v>
      </c>
      <c r="I1977" s="26" t="str">
        <f>IF(OR(E1977="",E1977="!!!",F1977="NEW"),"",INDEX(B1976:B$2,-1+SUMPRODUCT(MAX(ROW(E1976:E$2)*(E1977=E1976:E$2)))))</f>
        <v> </v>
      </c>
      <c r="J1977" s="26" t="str">
        <f>IF(OR(E1977="",E1977="!!!",F1977="NEW"),"",COUNTBLANK(OFFSET(A$1,,,SUMPRODUCT(MAX(ROW(E$2:E1977)*(E1977=E$2:E1977)))))-COUNTBLANK(OFFSET(A$1,,,SUMPRODUCT(MAX(ROW(E$1:E1976)*(E2=E$1:E1976))))))</f>
        <v> </v>
      </c>
      <c r="K1977" s="26" t="str">
        <f>IF(OR(E1977="",E1977="!!!",F1977="NEW"),"",INDEX(J$1:J1976,SUMPRODUCT(MAX(ROW(E$1:E1976)*(E1977=E$1:E1976)))))</f>
        <v> </v>
      </c>
      <c r="L1977" s="27"/>
    </row>
    <row r="1978" spans="1:12">
      <c r="A1978" s="20" t="s">
        <v>896</v>
      </c>
      <c r="E1978" s="22">
        <f>IF(D1978="?OLD","!!!","")</f>
        <v/>
      </c>
      <c r="F1978" s="23" t="str">
        <f>IF(OR(E1978="",E1978="!!!"),"",IF(NOT(ISNA(VLOOKUP(E1978,E$1:E1977,1,FALSE()))),"OLD",IF(AND(E1978&lt;&gt;"",E1978&lt;&gt;"!!!"),"NEW","")))</f>
        <v> </v>
      </c>
      <c r="G1978" s="24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5" t="str">
        <f>IF(J1978&lt;&gt;1,"",IF(I1978="SBJ","CB","?"))</f>
        <v> </v>
      </c>
      <c r="I1978" s="26" t="str">
        <f>IF(OR(E1978="",E1978="!!!",F1978="NEW"),"",INDEX(B1977:B$2,-1+SUMPRODUCT(MAX(ROW(E1977:E$2)*(E1978=E1977:E$2)))))</f>
        <v> </v>
      </c>
      <c r="J1978" s="26" t="str">
        <f>IF(OR(E1978="",E1978="!!!",F1978="NEW"),"",COUNTBLANK(OFFSET(A$1,,,SUMPRODUCT(MAX(ROW(E$2:E1978)*(E1978=E$2:E1978)))))-COUNTBLANK(OFFSET(A$1,,,SUMPRODUCT(MAX(ROW(E$1:E1977)*(E2=E$1:E1977))))))</f>
        <v> </v>
      </c>
      <c r="K1978" s="26" t="str">
        <f>IF(OR(E1978="",E1978="!!!",F1978="NEW"),"",INDEX(J$1:J1977,SUMPRODUCT(MAX(ROW(E$1:E1977)*(E1978=E$1:E1977)))))</f>
        <v> </v>
      </c>
      <c r="L1978" s="27"/>
    </row>
    <row r="1979" spans="1:12">
      <c r="A1979" s="20" t="s">
        <v>1359</v>
      </c>
      <c r="E1979" s="22">
        <f>IF(D1979="?OLD","!!!","")</f>
        <v/>
      </c>
      <c r="F1979" s="23" t="str">
        <f>IF(OR(E1979="",E1979="!!!"),"",IF(NOT(ISNA(VLOOKUP(E1979,E$1:E1978,1,FALSE()))),"OLD",IF(AND(E1979&lt;&gt;"",E1979&lt;&gt;"!!!"),"NEW","")))</f>
        <v> </v>
      </c>
      <c r="G1979" s="24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5" t="str">
        <f>IF(J1979&lt;&gt;1,"",IF(I1979="SBJ","CB","?"))</f>
        <v> </v>
      </c>
      <c r="I1979" s="26" t="str">
        <f>IF(OR(E1979="",E1979="!!!",F1979="NEW"),"",INDEX(B1978:B$2,-1+SUMPRODUCT(MAX(ROW(E1978:E$2)*(E1979=E1978:E$2)))))</f>
        <v> </v>
      </c>
      <c r="J1979" s="26" t="str">
        <f>IF(OR(E1979="",E1979="!!!",F1979="NEW"),"",COUNTBLANK(OFFSET(A$1,,,SUMPRODUCT(MAX(ROW(E$2:E1979)*(E1979=E$2:E1979)))))-COUNTBLANK(OFFSET(A$1,,,SUMPRODUCT(MAX(ROW(E$1:E1978)*(E2=E$1:E1978))))))</f>
        <v> </v>
      </c>
      <c r="K1979" s="26" t="str">
        <f>IF(OR(E1979="",E1979="!!!",F1979="NEW"),"",INDEX(J$1:J1978,SUMPRODUCT(MAX(ROW(E$1:E1978)*(E1979=E$1:E1978)))))</f>
        <v> </v>
      </c>
      <c r="L1979" s="27"/>
    </row>
    <row r="1980" spans="1:12">
      <c r="A1980" s="20" t="s">
        <v>1360</v>
      </c>
      <c r="E1980" s="22">
        <f>IF(D1980="?OLD","!!!","")</f>
        <v/>
      </c>
      <c r="F1980" s="23" t="str">
        <f>IF(OR(E1980="",E1980="!!!"),"",IF(NOT(ISNA(VLOOKUP(E1980,E$1:E1979,1,FALSE()))),"OLD",IF(AND(E1980&lt;&gt;"",E1980&lt;&gt;"!!!"),"NEW","")))</f>
        <v> </v>
      </c>
      <c r="G1980" s="24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5" t="str">
        <f>IF(J1980&lt;&gt;1,"",IF(I1980="SBJ","CB","?"))</f>
        <v> </v>
      </c>
      <c r="I1980" s="26" t="str">
        <f>IF(OR(E1980="",E1980="!!!",F1980="NEW"),"",INDEX(B1979:B$2,-1+SUMPRODUCT(MAX(ROW(E1979:E$2)*(E1980=E1979:E$2)))))</f>
        <v> </v>
      </c>
      <c r="J1980" s="26" t="str">
        <f>IF(OR(E1980="",E1980="!!!",F1980="NEW"),"",COUNTBLANK(OFFSET(A$1,,,SUMPRODUCT(MAX(ROW(E$2:E1980)*(E1980=E$2:E1980)))))-COUNTBLANK(OFFSET(A$1,,,SUMPRODUCT(MAX(ROW(E$1:E1979)*(E2=E$1:E1979))))))</f>
        <v> </v>
      </c>
      <c r="K1980" s="26" t="str">
        <f>IF(OR(E1980="",E1980="!!!",F1980="NEW"),"",INDEX(J$1:J1979,SUMPRODUCT(MAX(ROW(E$1:E1979)*(E1980=E$1:E1979)))))</f>
        <v> </v>
      </c>
      <c r="L1980" s="27"/>
    </row>
    <row r="1981" spans="1:12">
      <c r="A1981" s="20" t="s">
        <v>1361</v>
      </c>
      <c r="B1981" s="21" t="s">
        <v>500</v>
      </c>
      <c r="E1981" s="22">
        <f>IF(D1981="?OLD","!!!","")</f>
        <v/>
      </c>
      <c r="F1981" s="23" t="str">
        <f>IF(OR(E1981="",E1981="!!!"),"",IF(NOT(ISNA(VLOOKUP(E1981,E$1:E1980,1,FALSE()))),"OLD",IF(AND(E1981&lt;&gt;"",E1981&lt;&gt;"!!!"),"NEW","")))</f>
        <v> </v>
      </c>
      <c r="G1981" s="24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5" t="str">
        <f>IF(J1981&lt;&gt;1,"",IF(I1981="SBJ","CB","?"))</f>
        <v> </v>
      </c>
      <c r="I1981" s="26" t="str">
        <f>IF(OR(E1981="",E1981="!!!",F1981="NEW"),"",INDEX(B1980:B$2,-1+SUMPRODUCT(MAX(ROW(E1980:E$2)*(E1981=E1980:E$2)))))</f>
        <v> </v>
      </c>
      <c r="J1981" s="26" t="str">
        <f>IF(OR(E1981="",E1981="!!!",F1981="NEW"),"",COUNTBLANK(OFFSET(A$1,,,SUMPRODUCT(MAX(ROW(E$2:E1981)*(E1981=E$2:E1981)))))-COUNTBLANK(OFFSET(A$1,,,SUMPRODUCT(MAX(ROW(E$1:E1980)*(E2=E$1:E1980))))))</f>
        <v> </v>
      </c>
      <c r="K1981" s="26" t="str">
        <f>IF(OR(E1981="",E1981="!!!",F1981="NEW"),"",INDEX(J$1:J1980,SUMPRODUCT(MAX(ROW(E$1:E1980)*(E1981=E$1:E1980)))))</f>
        <v> </v>
      </c>
      <c r="L1981" s="27"/>
    </row>
    <row r="1982" spans="1:12">
      <c r="A1982" s="20" t="s">
        <v>453</v>
      </c>
      <c r="E1982" s="22">
        <f>IF(D1982="?OLD","!!!","")</f>
        <v/>
      </c>
      <c r="F1982" s="23" t="str">
        <f>IF(OR(E1982="",E1982="!!!"),"",IF(NOT(ISNA(VLOOKUP(E1982,E$1:E1981,1,FALSE()))),"OLD",IF(AND(E1982&lt;&gt;"",E1982&lt;&gt;"!!!"),"NEW","")))</f>
        <v> </v>
      </c>
      <c r="G1982" s="24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5" t="str">
        <f>IF(J1982&lt;&gt;1,"",IF(I1982="SBJ","CB","?"))</f>
        <v> </v>
      </c>
      <c r="I1982" s="26" t="str">
        <f>IF(OR(E1982="",E1982="!!!",F1982="NEW"),"",INDEX(B1981:B$2,-1+SUMPRODUCT(MAX(ROW(E1981:E$2)*(E1982=E1981:E$2)))))</f>
        <v> </v>
      </c>
      <c r="J1982" s="26" t="str">
        <f>IF(OR(E1982="",E1982="!!!",F1982="NEW"),"",COUNTBLANK(OFFSET(A$1,,,SUMPRODUCT(MAX(ROW(E$2:E1982)*(E1982=E$2:E1982)))))-COUNTBLANK(OFFSET(A$1,,,SUMPRODUCT(MAX(ROW(E$1:E1981)*(E2=E$1:E1981))))))</f>
        <v> </v>
      </c>
      <c r="K1982" s="26" t="str">
        <f>IF(OR(E1982="",E1982="!!!",F1982="NEW"),"",INDEX(J$1:J1981,SUMPRODUCT(MAX(ROW(E$1:E1981)*(E1982=E$1:E1981)))))</f>
        <v> </v>
      </c>
      <c r="L1982" s="27"/>
    </row>
    <row r="1983" spans="1:12">
      <c r="A1983" s="20" t="s">
        <v>807</v>
      </c>
      <c r="B1983" s="21" t="s">
        <v>462</v>
      </c>
      <c r="C1983" s="21" t="s">
        <v>481</v>
      </c>
      <c r="E1983" s="22">
        <f>IF(D1983="?OLD","!!!","")</f>
        <v/>
      </c>
      <c r="F1983" s="23" t="str">
        <f>IF(OR(E1983="",E1983="!!!"),"",IF(NOT(ISNA(VLOOKUP(E1983,E$1:E1982,1,FALSE()))),"OLD",IF(AND(E1983&lt;&gt;"",E1983&lt;&gt;"!!!"),"NEW","")))</f>
        <v> </v>
      </c>
      <c r="G1983" s="24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5" t="str">
        <f>IF(J1983&lt;&gt;1,"",IF(I1983="SBJ","CB","?"))</f>
        <v> </v>
      </c>
      <c r="I1983" s="26" t="str">
        <f>IF(OR(E1983="",E1983="!!!",F1983="NEW"),"",INDEX(B1982:B$2,-1+SUMPRODUCT(MAX(ROW(E1982:E$2)*(E1983=E1982:E$2)))))</f>
        <v> </v>
      </c>
      <c r="J1983" s="26" t="str">
        <f>IF(OR(E1983="",E1983="!!!",F1983="NEW"),"",COUNTBLANK(OFFSET(A$1,,,SUMPRODUCT(MAX(ROW(E$2:E1983)*(E1983=E$2:E1983)))))-COUNTBLANK(OFFSET(A$1,,,SUMPRODUCT(MAX(ROW(E$1:E1982)*(E2=E$1:E1982))))))</f>
        <v> </v>
      </c>
      <c r="K1983" s="26" t="str">
        <f>IF(OR(E1983="",E1983="!!!",F1983="NEW"),"",INDEX(J$1:J1982,SUMPRODUCT(MAX(ROW(E$1:E1982)*(E1983=E$1:E1982)))))</f>
        <v> </v>
      </c>
      <c r="L1983" s="27"/>
    </row>
    <row r="1984" spans="1:12">
      <c r="A1984" s="20" t="s">
        <v>808</v>
      </c>
      <c r="E1984" s="22">
        <f>IF(D1984="?OLD","!!!","")</f>
        <v/>
      </c>
      <c r="F1984" s="23" t="str">
        <f>IF(OR(E1984="",E1984="!!!"),"",IF(NOT(ISNA(VLOOKUP(E1984,E$1:E1983,1,FALSE()))),"OLD",IF(AND(E1984&lt;&gt;"",E1984&lt;&gt;"!!!"),"NEW","")))</f>
        <v> </v>
      </c>
      <c r="G1984" s="24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5" t="str">
        <f>IF(J1984&lt;&gt;1,"",IF(I1984="SBJ","CB","?"))</f>
        <v> </v>
      </c>
      <c r="I1984" s="26" t="str">
        <f>IF(OR(E1984="",E1984="!!!",F1984="NEW"),"",INDEX(B1983:B$2,-1+SUMPRODUCT(MAX(ROW(E1983:E$2)*(E1984=E1983:E$2)))))</f>
        <v> </v>
      </c>
      <c r="J1984" s="26" t="str">
        <f>IF(OR(E1984="",E1984="!!!",F1984="NEW"),"",COUNTBLANK(OFFSET(A$1,,,SUMPRODUCT(MAX(ROW(E$2:E1984)*(E1984=E$2:E1984)))))-COUNTBLANK(OFFSET(A$1,,,SUMPRODUCT(MAX(ROW(E$1:E1983)*(E2=E$1:E1983))))))</f>
        <v> </v>
      </c>
      <c r="K1984" s="26" t="str">
        <f>IF(OR(E1984="",E1984="!!!",F1984="NEW"),"",INDEX(J$1:J1983,SUMPRODUCT(MAX(ROW(E$1:E1983)*(E1984=E$1:E1983)))))</f>
        <v> </v>
      </c>
      <c r="L1984" s="27"/>
    </row>
    <row r="1985" spans="1:12">
      <c r="A1985" s="20" t="s">
        <v>641</v>
      </c>
      <c r="B1985" s="21" t="s">
        <v>781</v>
      </c>
      <c r="E1985" s="22">
        <f>IF(D1985="?OLD","!!!","")</f>
        <v/>
      </c>
      <c r="F1985" s="23" t="str">
        <f>IF(OR(E1985="",E1985="!!!"),"",IF(NOT(ISNA(VLOOKUP(E1985,E$1:E1984,1,FALSE()))),"OLD",IF(AND(E1985&lt;&gt;"",E1985&lt;&gt;"!!!"),"NEW","")))</f>
        <v> </v>
      </c>
      <c r="G1985" s="24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5" t="str">
        <f>IF(J1985&lt;&gt;1,"",IF(I1985="SBJ","CB","?"))</f>
        <v> </v>
      </c>
      <c r="I1985" s="26" t="str">
        <f>IF(OR(E1985="",E1985="!!!",F1985="NEW"),"",INDEX(B1984:B$2,-1+SUMPRODUCT(MAX(ROW(E1984:E$2)*(E1985=E1984:E$2)))))</f>
        <v> </v>
      </c>
      <c r="J1985" s="26" t="str">
        <f>IF(OR(E1985="",E1985="!!!",F1985="NEW"),"",COUNTBLANK(OFFSET(A$1,,,SUMPRODUCT(MAX(ROW(E$2:E1985)*(E1985=E$2:E1985)))))-COUNTBLANK(OFFSET(A$1,,,SUMPRODUCT(MAX(ROW(E$1:E1984)*(E2=E$1:E1984))))))</f>
        <v> </v>
      </c>
      <c r="K1985" s="26" t="str">
        <f>IF(OR(E1985="",E1985="!!!",F1985="NEW"),"",INDEX(J$1:J1984,SUMPRODUCT(MAX(ROW(E$1:E1984)*(E1985=E$1:E1984)))))</f>
        <v> </v>
      </c>
      <c r="L1985" s="27"/>
    </row>
    <row r="1986" spans="1:12">
      <c r="A1986" s="20" t="s">
        <v>642</v>
      </c>
      <c r="E1986" s="22">
        <f>IF(D1986="?OLD","!!!","")</f>
        <v/>
      </c>
      <c r="F1986" s="23" t="str">
        <f>IF(OR(E1986="",E1986="!!!"),"",IF(NOT(ISNA(VLOOKUP(E1986,E$1:E1985,1,FALSE()))),"OLD",IF(AND(E1986&lt;&gt;"",E1986&lt;&gt;"!!!"),"NEW","")))</f>
        <v> </v>
      </c>
      <c r="G1986" s="24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5" t="str">
        <f>IF(J1986&lt;&gt;1,"",IF(I1986="SBJ","CB","?"))</f>
        <v> </v>
      </c>
      <c r="I1986" s="26" t="str">
        <f>IF(OR(E1986="",E1986="!!!",F1986="NEW"),"",INDEX(B1985:B$2,-1+SUMPRODUCT(MAX(ROW(E1985:E$2)*(E1986=E1985:E$2)))))</f>
        <v> </v>
      </c>
      <c r="J1986" s="26" t="str">
        <f>IF(OR(E1986="",E1986="!!!",F1986="NEW"),"",COUNTBLANK(OFFSET(A$1,,,SUMPRODUCT(MAX(ROW(E$2:E1986)*(E1986=E$2:E1986)))))-COUNTBLANK(OFFSET(A$1,,,SUMPRODUCT(MAX(ROW(E$1:E1985)*(E2=E$1:E1985))))))</f>
        <v> </v>
      </c>
      <c r="K1986" s="26" t="str">
        <f>IF(OR(E1986="",E1986="!!!",F1986="NEW"),"",INDEX(J$1:J1985,SUMPRODUCT(MAX(ROW(E$1:E1985)*(E1986=E$1:E1985)))))</f>
        <v> </v>
      </c>
      <c r="L1986" s="27"/>
    </row>
    <row r="1987" spans="1:12">
      <c r="A1987" s="20" t="s">
        <v>643</v>
      </c>
      <c r="E1987" s="22">
        <f>IF(D1987="?OLD","!!!","")</f>
        <v/>
      </c>
      <c r="F1987" s="23" t="str">
        <f>IF(OR(E1987="",E1987="!!!"),"",IF(NOT(ISNA(VLOOKUP(E1987,E$1:E1986,1,FALSE()))),"OLD",IF(AND(E1987&lt;&gt;"",E1987&lt;&gt;"!!!"),"NEW","")))</f>
        <v> </v>
      </c>
      <c r="G1987" s="24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5" t="str">
        <f>IF(J1987&lt;&gt;1,"",IF(I1987="SBJ","CB","?"))</f>
        <v> </v>
      </c>
      <c r="I1987" s="26" t="str">
        <f>IF(OR(E1987="",E1987="!!!",F1987="NEW"),"",INDEX(B1986:B$2,-1+SUMPRODUCT(MAX(ROW(E1986:E$2)*(E1987=E1986:E$2)))))</f>
        <v> </v>
      </c>
      <c r="J1987" s="26" t="str">
        <f>IF(OR(E1987="",E1987="!!!",F1987="NEW"),"",COUNTBLANK(OFFSET(A$1,,,SUMPRODUCT(MAX(ROW(E$2:E1987)*(E1987=E$2:E1987)))))-COUNTBLANK(OFFSET(A$1,,,SUMPRODUCT(MAX(ROW(E$1:E1986)*(E2=E$1:E1986))))))</f>
        <v> </v>
      </c>
      <c r="K1987" s="26" t="str">
        <f>IF(OR(E1987="",E1987="!!!",F1987="NEW"),"",INDEX(J$1:J1986,SUMPRODUCT(MAX(ROW(E$1:E1986)*(E1987=E$1:E1986)))))</f>
        <v> </v>
      </c>
      <c r="L1987" s="27"/>
    </row>
    <row r="1988" spans="1:12">
      <c r="A1988" s="20" t="s">
        <v>430</v>
      </c>
      <c r="E1988" s="22">
        <f>IF(D1988="?OLD","!!!","")</f>
        <v/>
      </c>
      <c r="F1988" s="23" t="str">
        <f>IF(OR(E1988="",E1988="!!!"),"",IF(NOT(ISNA(VLOOKUP(E1988,E$1:E1987,1,FALSE()))),"OLD",IF(AND(E1988&lt;&gt;"",E1988&lt;&gt;"!!!"),"NEW","")))</f>
        <v> </v>
      </c>
      <c r="G1988" s="24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5" t="str">
        <f>IF(J1988&lt;&gt;1,"",IF(I1988="SBJ","CB","?"))</f>
        <v> </v>
      </c>
      <c r="I1988" s="26" t="str">
        <f>IF(OR(E1988="",E1988="!!!",F1988="NEW"),"",INDEX(B1987:B$2,-1+SUMPRODUCT(MAX(ROW(E1987:E$2)*(E1988=E1987:E$2)))))</f>
        <v> </v>
      </c>
      <c r="J1988" s="26" t="str">
        <f>IF(OR(E1988="",E1988="!!!",F1988="NEW"),"",COUNTBLANK(OFFSET(A$1,,,SUMPRODUCT(MAX(ROW(E$2:E1988)*(E1988=E$2:E1988)))))-COUNTBLANK(OFFSET(A$1,,,SUMPRODUCT(MAX(ROW(E$1:E1987)*(E2=E$1:E1987))))))</f>
        <v> </v>
      </c>
      <c r="K1988" s="26" t="str">
        <f>IF(OR(E1988="",E1988="!!!",F1988="NEW"),"",INDEX(J$1:J1987,SUMPRODUCT(MAX(ROW(E$1:E1987)*(E1988=E$1:E1987)))))</f>
        <v> </v>
      </c>
      <c r="L1988" s="27"/>
    </row>
    <row r="1989" spans="1:12">
      <c r="A1989" s="20" t="s">
        <v>1362</v>
      </c>
      <c r="E1989" s="22">
        <f>IF(D1989="?OLD","!!!","")</f>
        <v/>
      </c>
      <c r="F1989" s="23" t="str">
        <f>IF(OR(E1989="",E1989="!!!"),"",IF(NOT(ISNA(VLOOKUP(E1989,E$1:E1988,1,FALSE()))),"OLD",IF(AND(E1989&lt;&gt;"",E1989&lt;&gt;"!!!"),"NEW","")))</f>
        <v> </v>
      </c>
      <c r="G1989" s="24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5" t="str">
        <f>IF(J1989&lt;&gt;1,"",IF(I1989="SBJ","CB","?"))</f>
        <v> </v>
      </c>
      <c r="I1989" s="26" t="str">
        <f>IF(OR(E1989="",E1989="!!!",F1989="NEW"),"",INDEX(B1988:B$2,-1+SUMPRODUCT(MAX(ROW(E1988:E$2)*(E1989=E1988:E$2)))))</f>
        <v> </v>
      </c>
      <c r="J1989" s="26" t="str">
        <f>IF(OR(E1989="",E1989="!!!",F1989="NEW"),"",COUNTBLANK(OFFSET(A$1,,,SUMPRODUCT(MAX(ROW(E$2:E1989)*(E1989=E$2:E1989)))))-COUNTBLANK(OFFSET(A$1,,,SUMPRODUCT(MAX(ROW(E$1:E1988)*(E2=E$1:E1988))))))</f>
        <v> </v>
      </c>
      <c r="K1989" s="26" t="str">
        <f>IF(OR(E1989="",E1989="!!!",F1989="NEW"),"",INDEX(J$1:J1988,SUMPRODUCT(MAX(ROW(E$1:E1988)*(E1989=E$1:E1988)))))</f>
        <v> </v>
      </c>
      <c r="L1989" s="27"/>
    </row>
    <row r="1990" spans="1:12">
      <c r="A1990" s="20" t="s">
        <v>1363</v>
      </c>
      <c r="B1990" s="21" t="s">
        <v>536</v>
      </c>
      <c r="C1990" s="21" t="s">
        <v>423</v>
      </c>
      <c r="D1990" s="21" t="s">
        <v>424</v>
      </c>
      <c r="E1990" s="22">
        <f>IF(D1990="?OLD","!!!","")</f>
        <v/>
      </c>
      <c r="F1990" s="23" t="str">
        <f>IF(OR(E1990="",E1990="!!!"),"",IF(NOT(ISNA(VLOOKUP(E1990,E$1:E1989,1,FALSE()))),"OLD",IF(AND(E1990&lt;&gt;"",E1990&lt;&gt;"!!!"),"NEW","")))</f>
        <v> </v>
      </c>
      <c r="G1990" s="24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5" t="str">
        <f>IF(J1990&lt;&gt;1,"",IF(I1990="SBJ","CB","?"))</f>
        <v> </v>
      </c>
      <c r="I1990" s="26" t="str">
        <f>IF(OR(E1990="",E1990="!!!",F1990="NEW"),"",INDEX(B1989:B$2,-1+SUMPRODUCT(MAX(ROW(E1989:E$2)*(E1990=E1989:E$2)))))</f>
        <v> </v>
      </c>
      <c r="J1990" s="26" t="str">
        <f>IF(OR(E1990="",E1990="!!!",F1990="NEW"),"",COUNTBLANK(OFFSET(A$1,,,SUMPRODUCT(MAX(ROW(E$2:E1990)*(E1990=E$2:E1990)))))-COUNTBLANK(OFFSET(A$1,,,SUMPRODUCT(MAX(ROW(E$1:E1989)*(E2=E$1:E1989))))))</f>
        <v> </v>
      </c>
      <c r="K1990" s="26" t="str">
        <f>IF(OR(E1990="",E1990="!!!",F1990="NEW"),"",INDEX(J$1:J1989,SUMPRODUCT(MAX(ROW(E$1:E1989)*(E1990=E$1:E1989)))))</f>
        <v> </v>
      </c>
      <c r="L1990" s="27"/>
    </row>
    <row r="1991" spans="1:12">
      <c r="A1991" s="20" t="s">
        <v>1364</v>
      </c>
      <c r="E1991" s="22">
        <f>IF(D1991="?OLD","!!!","")</f>
        <v/>
      </c>
      <c r="F1991" s="23" t="str">
        <f>IF(OR(E1991="",E1991="!!!"),"",IF(NOT(ISNA(VLOOKUP(E1991,E$1:E1990,1,FALSE()))),"OLD",IF(AND(E1991&lt;&gt;"",E1991&lt;&gt;"!!!"),"NEW","")))</f>
        <v> </v>
      </c>
      <c r="G1991" s="24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5" t="str">
        <f>IF(J1991&lt;&gt;1,"",IF(I1991="SBJ","CB","?"))</f>
        <v> </v>
      </c>
      <c r="I1991" s="26" t="str">
        <f>IF(OR(E1991="",E1991="!!!",F1991="NEW"),"",INDEX(B1990:B$2,-1+SUMPRODUCT(MAX(ROW(E1990:E$2)*(E1991=E1990:E$2)))))</f>
        <v> </v>
      </c>
      <c r="J1991" s="26" t="str">
        <f>IF(OR(E1991="",E1991="!!!",F1991="NEW"),"",COUNTBLANK(OFFSET(A$1,,,SUMPRODUCT(MAX(ROW(E$2:E1991)*(E1991=E$2:E1991)))))-COUNTBLANK(OFFSET(A$1,,,SUMPRODUCT(MAX(ROW(E$1:E1990)*(E2=E$1:E1990))))))</f>
        <v> </v>
      </c>
      <c r="K1991" s="26" t="str">
        <f>IF(OR(E1991="",E1991="!!!",F1991="NEW"),"",INDEX(J$1:J1990,SUMPRODUCT(MAX(ROW(E$1:E1990)*(E1991=E$1:E1990)))))</f>
        <v> </v>
      </c>
      <c r="L1991" s="27"/>
    </row>
    <row r="1992" spans="1:12">
      <c r="A1992" s="20" t="s">
        <v>438</v>
      </c>
      <c r="E1992" s="22">
        <f>IF(D1992="?OLD","!!!","")</f>
        <v/>
      </c>
      <c r="F1992" s="23" t="str">
        <f>IF(OR(E1992="",E1992="!!!"),"",IF(NOT(ISNA(VLOOKUP(E1992,E$1:E1991,1,FALSE()))),"OLD",IF(AND(E1992&lt;&gt;"",E1992&lt;&gt;"!!!"),"NEW","")))</f>
        <v> </v>
      </c>
      <c r="G1992" s="24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5" t="str">
        <f>IF(J1992&lt;&gt;1,"",IF(I1992="SBJ","CB","?"))</f>
        <v> </v>
      </c>
      <c r="I1992" s="26" t="str">
        <f>IF(OR(E1992="",E1992="!!!",F1992="NEW"),"",INDEX(B1991:B$2,-1+SUMPRODUCT(MAX(ROW(E1991:E$2)*(E1992=E1991:E$2)))))</f>
        <v> </v>
      </c>
      <c r="J1992" s="26" t="str">
        <f>IF(OR(E1992="",E1992="!!!",F1992="NEW"),"",COUNTBLANK(OFFSET(A$1,,,SUMPRODUCT(MAX(ROW(E$2:E1992)*(E1992=E$2:E1992)))))-COUNTBLANK(OFFSET(A$1,,,SUMPRODUCT(MAX(ROW(E$1:E1991)*(E2=E$1:E1991))))))</f>
        <v> </v>
      </c>
      <c r="K1992" s="26" t="str">
        <f>IF(OR(E1992="",E1992="!!!",F1992="NEW"),"",INDEX(J$1:J1991,SUMPRODUCT(MAX(ROW(E$1:E1991)*(E1992=E$1:E1991)))))</f>
        <v> </v>
      </c>
      <c r="L1992" s="27"/>
    </row>
    <row r="1993" spans="1:12">
      <c r="A1993" s="20"/>
    </row>
    <row r="1994" spans="1:12">
      <c r="A1994" s="20" t="s">
        <v>1365</v>
      </c>
    </row>
    <row r="1995" spans="1:12">
      <c r="A1995" s="20" t="s">
        <v>1366</v>
      </c>
      <c r="B1995" s="21" t="s">
        <v>422</v>
      </c>
      <c r="E1995" s="22">
        <f>IF(D1995="?OLD","!!!","")</f>
        <v/>
      </c>
      <c r="F1995" s="23" t="str">
        <f>IF(OR(E1995="",E1995="!!!"),"",IF(NOT(ISNA(VLOOKUP(E1995,E$1:E1994,1,FALSE()))),"OLD",IF(AND(E1995&lt;&gt;"",E1995&lt;&gt;"!!!"),"NEW","")))</f>
        <v> </v>
      </c>
      <c r="G1995" s="24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5" t="str">
        <f>IF(J1995&lt;&gt;1,"",IF(I1995="SBJ","CB","?"))</f>
        <v> </v>
      </c>
      <c r="I1995" s="26" t="str">
        <f>IF(OR(E1995="",E1995="!!!",F1995="NEW"),"",INDEX(B1994:B$2,-1+SUMPRODUCT(MAX(ROW(E1994:E$2)*(E1995=E1994:E$2)))))</f>
        <v> </v>
      </c>
      <c r="J1995" s="26" t="str">
        <f>IF(OR(E1995="",E1995="!!!",F1995="NEW"),"",COUNTBLANK(OFFSET(A$1,,,SUMPRODUCT(MAX(ROW(E$2:E1995)*(E1995=E$2:E1995)))))-COUNTBLANK(OFFSET(A$1,,,SUMPRODUCT(MAX(ROW(E$1:E1994)*(E2=E$1:E1994))))))</f>
        <v> </v>
      </c>
      <c r="K1995" s="26" t="str">
        <f>IF(OR(E1995="",E1995="!!!",F1995="NEW"),"",INDEX(J$1:J1994,SUMPRODUCT(MAX(ROW(E$1:E1994)*(E1995=E$1:E1994)))))</f>
        <v> </v>
      </c>
      <c r="L1995" s="27"/>
    </row>
    <row r="1996" spans="1:12">
      <c r="A1996" s="20" t="s">
        <v>965</v>
      </c>
      <c r="E1996" s="22">
        <f>IF(D1996="?OLD","!!!","")</f>
        <v/>
      </c>
      <c r="F1996" s="23" t="str">
        <f>IF(OR(E1996="",E1996="!!!"),"",IF(NOT(ISNA(VLOOKUP(E1996,E$1:E1995,1,FALSE()))),"OLD",IF(AND(E1996&lt;&gt;"",E1996&lt;&gt;"!!!"),"NEW","")))</f>
        <v> </v>
      </c>
      <c r="G1996" s="24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5" t="str">
        <f>IF(J1996&lt;&gt;1,"",IF(I1996="SBJ","CB","?"))</f>
        <v> </v>
      </c>
      <c r="I1996" s="26" t="str">
        <f>IF(OR(E1996="",E1996="!!!",F1996="NEW"),"",INDEX(B1995:B$2,-1+SUMPRODUCT(MAX(ROW(E1995:E$2)*(E1996=E1995:E$2)))))</f>
        <v> </v>
      </c>
      <c r="J1996" s="26" t="str">
        <f>IF(OR(E1996="",E1996="!!!",F1996="NEW"),"",COUNTBLANK(OFFSET(A$1,,,SUMPRODUCT(MAX(ROW(E$2:E1996)*(E1996=E$2:E1996)))))-COUNTBLANK(OFFSET(A$1,,,SUMPRODUCT(MAX(ROW(E$1:E1995)*(E2=E$1:E1995))))))</f>
        <v> </v>
      </c>
      <c r="K1996" s="26" t="str">
        <f>IF(OR(E1996="",E1996="!!!",F1996="NEW"),"",INDEX(J$1:J1995,SUMPRODUCT(MAX(ROW(E$1:E1995)*(E1996=E$1:E1995)))))</f>
        <v> </v>
      </c>
      <c r="L1996" s="27"/>
    </row>
    <row r="1997" spans="1:12">
      <c r="A1997" s="20" t="s">
        <v>715</v>
      </c>
      <c r="E1997" s="22">
        <f>IF(D1997="?OLD","!!!","")</f>
        <v/>
      </c>
      <c r="F1997" s="23" t="str">
        <f>IF(OR(E1997="",E1997="!!!"),"",IF(NOT(ISNA(VLOOKUP(E1997,E$1:E1996,1,FALSE()))),"OLD",IF(AND(E1997&lt;&gt;"",E1997&lt;&gt;"!!!"),"NEW","")))</f>
        <v> </v>
      </c>
      <c r="G1997" s="24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5" t="str">
        <f>IF(J1997&lt;&gt;1,"",IF(I1997="SBJ","CB","?"))</f>
        <v> </v>
      </c>
      <c r="I1997" s="26" t="str">
        <f>IF(OR(E1997="",E1997="!!!",F1997="NEW"),"",INDEX(B1996:B$2,-1+SUMPRODUCT(MAX(ROW(E1996:E$2)*(E1997=E1996:E$2)))))</f>
        <v> </v>
      </c>
      <c r="J1997" s="26" t="str">
        <f>IF(OR(E1997="",E1997="!!!",F1997="NEW"),"",COUNTBLANK(OFFSET(A$1,,,SUMPRODUCT(MAX(ROW(E$2:E1997)*(E1997=E$2:E1997)))))-COUNTBLANK(OFFSET(A$1,,,SUMPRODUCT(MAX(ROW(E$1:E1996)*(E2=E$1:E1996))))))</f>
        <v> </v>
      </c>
      <c r="K1997" s="26" t="str">
        <f>IF(OR(E1997="",E1997="!!!",F1997="NEW"),"",INDEX(J$1:J1996,SUMPRODUCT(MAX(ROW(E$1:E1996)*(E1997=E$1:E1996)))))</f>
        <v> </v>
      </c>
      <c r="L1997" s="27"/>
    </row>
    <row r="1998" spans="1:12">
      <c r="A1998" s="20" t="s">
        <v>506</v>
      </c>
      <c r="E1998" s="22">
        <f>IF(D1998="?OLD","!!!","")</f>
        <v/>
      </c>
      <c r="F1998" s="23" t="str">
        <f>IF(OR(E1998="",E1998="!!!"),"",IF(NOT(ISNA(VLOOKUP(E1998,E$1:E1997,1,FALSE()))),"OLD",IF(AND(E1998&lt;&gt;"",E1998&lt;&gt;"!!!"),"NEW","")))</f>
        <v> </v>
      </c>
      <c r="G1998" s="24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5" t="str">
        <f>IF(J1998&lt;&gt;1,"",IF(I1998="SBJ","CB","?"))</f>
        <v> </v>
      </c>
      <c r="I1998" s="26" t="str">
        <f>IF(OR(E1998="",E1998="!!!",F1998="NEW"),"",INDEX(B1997:B$2,-1+SUMPRODUCT(MAX(ROW(E1997:E$2)*(E1998=E1997:E$2)))))</f>
        <v> </v>
      </c>
      <c r="J1998" s="26" t="str">
        <f>IF(OR(E1998="",E1998="!!!",F1998="NEW"),"",COUNTBLANK(OFFSET(A$1,,,SUMPRODUCT(MAX(ROW(E$2:E1998)*(E1998=E$2:E1998)))))-COUNTBLANK(OFFSET(A$1,,,SUMPRODUCT(MAX(ROW(E$1:E1997)*(E2=E$1:E1997))))))</f>
        <v> </v>
      </c>
      <c r="K1998" s="26" t="str">
        <f>IF(OR(E1998="",E1998="!!!",F1998="NEW"),"",INDEX(J$1:J1997,SUMPRODUCT(MAX(ROW(E$1:E1997)*(E1998=E$1:E1997)))))</f>
        <v> </v>
      </c>
      <c r="L1998" s="27"/>
    </row>
    <row r="1999" spans="1:12">
      <c r="A1999" s="20" t="s">
        <v>1367</v>
      </c>
      <c r="E1999" s="22">
        <f>IF(D1999="?OLD","!!!","")</f>
        <v/>
      </c>
      <c r="F1999" s="23" t="str">
        <f>IF(OR(E1999="",E1999="!!!"),"",IF(NOT(ISNA(VLOOKUP(E1999,E$1:E1998,1,FALSE()))),"OLD",IF(AND(E1999&lt;&gt;"",E1999&lt;&gt;"!!!"),"NEW","")))</f>
        <v> </v>
      </c>
      <c r="G1999" s="24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5" t="str">
        <f>IF(J1999&lt;&gt;1,"",IF(I1999="SBJ","CB","?"))</f>
        <v> </v>
      </c>
      <c r="I1999" s="26" t="str">
        <f>IF(OR(E1999="",E1999="!!!",F1999="NEW"),"",INDEX(B1998:B$2,-1+SUMPRODUCT(MAX(ROW(E1998:E$2)*(E1999=E1998:E$2)))))</f>
        <v> </v>
      </c>
      <c r="J1999" s="26" t="str">
        <f>IF(OR(E1999="",E1999="!!!",F1999="NEW"),"",COUNTBLANK(OFFSET(A$1,,,SUMPRODUCT(MAX(ROW(E$2:E1999)*(E1999=E$2:E1999)))))-COUNTBLANK(OFFSET(A$1,,,SUMPRODUCT(MAX(ROW(E$1:E1998)*(E2=E$1:E1998))))))</f>
        <v> </v>
      </c>
      <c r="K1999" s="26" t="str">
        <f>IF(OR(E1999="",E1999="!!!",F1999="NEW"),"",INDEX(J$1:J1998,SUMPRODUCT(MAX(ROW(E$1:E1998)*(E1999=E$1:E1998)))))</f>
        <v> </v>
      </c>
      <c r="L1999" s="27"/>
    </row>
    <row r="2000" spans="1:12">
      <c r="A2000" s="20" t="s">
        <v>609</v>
      </c>
      <c r="E2000" s="22">
        <f>IF(D2000="?OLD","!!!","")</f>
        <v/>
      </c>
      <c r="F2000" s="23" t="str">
        <f>IF(OR(E2000="",E2000="!!!"),"",IF(NOT(ISNA(VLOOKUP(E2000,E$1:E1999,1,FALSE()))),"OLD",IF(AND(E2000&lt;&gt;"",E2000&lt;&gt;"!!!"),"NEW","")))</f>
        <v> </v>
      </c>
      <c r="G2000" s="24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5" t="str">
        <f>IF(J2000&lt;&gt;1,"",IF(I2000="SBJ","CB","?"))</f>
        <v> </v>
      </c>
      <c r="I2000" s="26" t="str">
        <f>IF(OR(E2000="",E2000="!!!",F2000="NEW"),"",INDEX(B1999:B$2,-1+SUMPRODUCT(MAX(ROW(E1999:E$2)*(E2000=E1999:E$2)))))</f>
        <v> </v>
      </c>
      <c r="J2000" s="26" t="str">
        <f>IF(OR(E2000="",E2000="!!!",F2000="NEW"),"",COUNTBLANK(OFFSET(A$1,,,SUMPRODUCT(MAX(ROW(E$2:E2000)*(E2000=E$2:E2000)))))-COUNTBLANK(OFFSET(A$1,,,SUMPRODUCT(MAX(ROW(E$1:E1999)*(E2=E$1:E1999))))))</f>
        <v> </v>
      </c>
      <c r="K2000" s="26" t="str">
        <f>IF(OR(E2000="",E2000="!!!",F2000="NEW"),"",INDEX(J$1:J1999,SUMPRODUCT(MAX(ROW(E$1:E1999)*(E2000=E$1:E1999)))))</f>
        <v> </v>
      </c>
      <c r="L2000" s="27"/>
    </row>
    <row r="2001" spans="1:12">
      <c r="A2001" s="20" t="s">
        <v>1368</v>
      </c>
      <c r="E2001" s="22">
        <f>IF(D2001="?OLD","!!!","")</f>
        <v/>
      </c>
      <c r="F2001" s="23" t="str">
        <f>IF(OR(E2001="",E2001="!!!"),"",IF(NOT(ISNA(VLOOKUP(E2001,E$1:E2000,1,FALSE()))),"OLD",IF(AND(E2001&lt;&gt;"",E2001&lt;&gt;"!!!"),"NEW","")))</f>
        <v> </v>
      </c>
      <c r="G2001" s="24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5" t="str">
        <f>IF(J2001&lt;&gt;1,"",IF(I2001="SBJ","CB","?"))</f>
        <v> </v>
      </c>
      <c r="I2001" s="26" t="str">
        <f>IF(OR(E2001="",E2001="!!!",F2001="NEW"),"",INDEX(B2000:B$2,-1+SUMPRODUCT(MAX(ROW(E2000:E$2)*(E2001=E2000:E$2)))))</f>
        <v> </v>
      </c>
      <c r="J2001" s="26" t="str">
        <f>IF(OR(E2001="",E2001="!!!",F2001="NEW"),"",COUNTBLANK(OFFSET(A$1,,,SUMPRODUCT(MAX(ROW(E$2:E2001)*(E2001=E$2:E2001)))))-COUNTBLANK(OFFSET(A$1,,,SUMPRODUCT(MAX(ROW(E$1:E2000)*(E2=E$1:E2000))))))</f>
        <v> </v>
      </c>
      <c r="K2001" s="26" t="str">
        <f>IF(OR(E2001="",E2001="!!!",F2001="NEW"),"",INDEX(J$1:J2000,SUMPRODUCT(MAX(ROW(E$1:E2000)*(E2001=E$1:E2000)))))</f>
        <v> </v>
      </c>
      <c r="L2001" s="27"/>
    </row>
    <row r="2002" spans="1:12">
      <c r="A2002" s="20" t="s">
        <v>566</v>
      </c>
      <c r="E2002" s="22">
        <f>IF(D2002="?OLD","!!!","")</f>
        <v/>
      </c>
      <c r="F2002" s="23" t="str">
        <f>IF(OR(E2002="",E2002="!!!"),"",IF(NOT(ISNA(VLOOKUP(E2002,E$1:E2001,1,FALSE()))),"OLD",IF(AND(E2002&lt;&gt;"",E2002&lt;&gt;"!!!"),"NEW","")))</f>
        <v> </v>
      </c>
      <c r="G2002" s="24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5" t="str">
        <f>IF(J2002&lt;&gt;1,"",IF(I2002="SBJ","CB","?"))</f>
        <v> </v>
      </c>
      <c r="I2002" s="26" t="str">
        <f>IF(OR(E2002="",E2002="!!!",F2002="NEW"),"",INDEX(B2001:B$2,-1+SUMPRODUCT(MAX(ROW(E2001:E$2)*(E2002=E2001:E$2)))))</f>
        <v> </v>
      </c>
      <c r="J2002" s="26" t="str">
        <f>IF(OR(E2002="",E2002="!!!",F2002="NEW"),"",COUNTBLANK(OFFSET(A$1,,,SUMPRODUCT(MAX(ROW(E$2:E2002)*(E2002=E$2:E2002)))))-COUNTBLANK(OFFSET(A$1,,,SUMPRODUCT(MAX(ROW(E$1:E2001)*(E2=E$1:E2001))))))</f>
        <v> </v>
      </c>
      <c r="K2002" s="26" t="str">
        <f>IF(OR(E2002="",E2002="!!!",F2002="NEW"),"",INDEX(J$1:J2001,SUMPRODUCT(MAX(ROW(E$1:E2001)*(E2002=E$1:E2001)))))</f>
        <v> </v>
      </c>
      <c r="L2002" s="27"/>
    </row>
    <row r="2003" spans="1:12">
      <c r="A2003" s="20" t="s">
        <v>1369</v>
      </c>
      <c r="E2003" s="22">
        <f>IF(D2003="?OLD","!!!","")</f>
        <v/>
      </c>
      <c r="F2003" s="23" t="str">
        <f>IF(OR(E2003="",E2003="!!!"),"",IF(NOT(ISNA(VLOOKUP(E2003,E$1:E2002,1,FALSE()))),"OLD",IF(AND(E2003&lt;&gt;"",E2003&lt;&gt;"!!!"),"NEW","")))</f>
        <v> </v>
      </c>
      <c r="G2003" s="24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5" t="str">
        <f>IF(J2003&lt;&gt;1,"",IF(I2003="SBJ","CB","?"))</f>
        <v> </v>
      </c>
      <c r="I2003" s="26" t="str">
        <f>IF(OR(E2003="",E2003="!!!",F2003="NEW"),"",INDEX(B2002:B$2,-1+SUMPRODUCT(MAX(ROW(E2002:E$2)*(E2003=E2002:E$2)))))</f>
        <v> </v>
      </c>
      <c r="J2003" s="26" t="str">
        <f>IF(OR(E2003="",E2003="!!!",F2003="NEW"),"",COUNTBLANK(OFFSET(A$1,,,SUMPRODUCT(MAX(ROW(E$2:E2003)*(E2003=E$2:E2003)))))-COUNTBLANK(OFFSET(A$1,,,SUMPRODUCT(MAX(ROW(E$1:E2002)*(E2=E$1:E2002))))))</f>
        <v> </v>
      </c>
      <c r="K2003" s="26" t="str">
        <f>IF(OR(E2003="",E2003="!!!",F2003="NEW"),"",INDEX(J$1:J2002,SUMPRODUCT(MAX(ROW(E$1:E2002)*(E2003=E$1:E2002)))))</f>
        <v> </v>
      </c>
      <c r="L2003" s="27"/>
    </row>
    <row r="2004" spans="1:12">
      <c r="A2004" s="20" t="s">
        <v>1370</v>
      </c>
      <c r="B2004" s="21" t="s">
        <v>422</v>
      </c>
      <c r="E2004" s="22">
        <f>IF(D2004="?OLD","!!!","")</f>
        <v/>
      </c>
      <c r="F2004" s="23" t="str">
        <f>IF(OR(E2004="",E2004="!!!"),"",IF(NOT(ISNA(VLOOKUP(E2004,E$1:E2003,1,FALSE()))),"OLD",IF(AND(E2004&lt;&gt;"",E2004&lt;&gt;"!!!"),"NEW","")))</f>
        <v> </v>
      </c>
      <c r="G2004" s="24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5" t="str">
        <f>IF(J2004&lt;&gt;1,"",IF(I2004="SBJ","CB","?"))</f>
        <v> </v>
      </c>
      <c r="I2004" s="26" t="str">
        <f>IF(OR(E2004="",E2004="!!!",F2004="NEW"),"",INDEX(B2003:B$2,-1+SUMPRODUCT(MAX(ROW(E2003:E$2)*(E2004=E2003:E$2)))))</f>
        <v> </v>
      </c>
      <c r="J2004" s="26" t="str">
        <f>IF(OR(E2004="",E2004="!!!",F2004="NEW"),"",COUNTBLANK(OFFSET(A$1,,,SUMPRODUCT(MAX(ROW(E$2:E2004)*(E2004=E$2:E2004)))))-COUNTBLANK(OFFSET(A$1,,,SUMPRODUCT(MAX(ROW(E$1:E2003)*(E2=E$1:E2003))))))</f>
        <v> </v>
      </c>
      <c r="K2004" s="26" t="str">
        <f>IF(OR(E2004="",E2004="!!!",F2004="NEW"),"",INDEX(J$1:J2003,SUMPRODUCT(MAX(ROW(E$1:E2003)*(E2004=E$1:E2003)))))</f>
        <v> </v>
      </c>
      <c r="L2004" s="27"/>
    </row>
    <row r="2005" spans="1:12">
      <c r="A2005" s="20" t="s">
        <v>566</v>
      </c>
      <c r="E2005" s="22">
        <f>IF(D2005="?OLD","!!!","")</f>
        <v/>
      </c>
      <c r="F2005" s="23" t="str">
        <f>IF(OR(E2005="",E2005="!!!"),"",IF(NOT(ISNA(VLOOKUP(E2005,E$1:E2004,1,FALSE()))),"OLD",IF(AND(E2005&lt;&gt;"",E2005&lt;&gt;"!!!"),"NEW","")))</f>
        <v> </v>
      </c>
      <c r="G2005" s="24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5" t="str">
        <f>IF(J2005&lt;&gt;1,"",IF(I2005="SBJ","CB","?"))</f>
        <v> </v>
      </c>
      <c r="I2005" s="26" t="str">
        <f>IF(OR(E2005="",E2005="!!!",F2005="NEW"),"",INDEX(B2004:B$2,-1+SUMPRODUCT(MAX(ROW(E2004:E$2)*(E2005=E2004:E$2)))))</f>
        <v> </v>
      </c>
      <c r="J2005" s="26" t="str">
        <f>IF(OR(E2005="",E2005="!!!",F2005="NEW"),"",COUNTBLANK(OFFSET(A$1,,,SUMPRODUCT(MAX(ROW(E$2:E2005)*(E2005=E$2:E2005)))))-COUNTBLANK(OFFSET(A$1,,,SUMPRODUCT(MAX(ROW(E$1:E2004)*(E2=E$1:E2004))))))</f>
        <v> </v>
      </c>
      <c r="K2005" s="26" t="str">
        <f>IF(OR(E2005="",E2005="!!!",F2005="NEW"),"",INDEX(J$1:J2004,SUMPRODUCT(MAX(ROW(E$1:E2004)*(E2005=E$1:E2004)))))</f>
        <v> </v>
      </c>
      <c r="L2005" s="27"/>
    </row>
    <row r="2006" spans="1:12">
      <c r="A2006" s="20" t="s">
        <v>1362</v>
      </c>
      <c r="E2006" s="22">
        <f>IF(D2006="?OLD","!!!","")</f>
        <v/>
      </c>
      <c r="F2006" s="23" t="str">
        <f>IF(OR(E2006="",E2006="!!!"),"",IF(NOT(ISNA(VLOOKUP(E2006,E$1:E2005,1,FALSE()))),"OLD",IF(AND(E2006&lt;&gt;"",E2006&lt;&gt;"!!!"),"NEW","")))</f>
        <v> </v>
      </c>
      <c r="G2006" s="24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5" t="str">
        <f>IF(J2006&lt;&gt;1,"",IF(I2006="SBJ","CB","?"))</f>
        <v> </v>
      </c>
      <c r="I2006" s="26" t="str">
        <f>IF(OR(E2006="",E2006="!!!",F2006="NEW"),"",INDEX(B2005:B$2,-1+SUMPRODUCT(MAX(ROW(E2005:E$2)*(E2006=E2005:E$2)))))</f>
        <v> </v>
      </c>
      <c r="J2006" s="26" t="str">
        <f>IF(OR(E2006="",E2006="!!!",F2006="NEW"),"",COUNTBLANK(OFFSET(A$1,,,SUMPRODUCT(MAX(ROW(E$2:E2006)*(E2006=E$2:E2006)))))-COUNTBLANK(OFFSET(A$1,,,SUMPRODUCT(MAX(ROW(E$1:E2005)*(E2=E$1:E2005))))))</f>
        <v> </v>
      </c>
      <c r="K2006" s="26" t="str">
        <f>IF(OR(E2006="",E2006="!!!",F2006="NEW"),"",INDEX(J$1:J2005,SUMPRODUCT(MAX(ROW(E$1:E2005)*(E2006=E$1:E2005)))))</f>
        <v> </v>
      </c>
      <c r="L2006" s="27"/>
    </row>
    <row r="2007" spans="1:12">
      <c r="A2007" s="20" t="s">
        <v>1371</v>
      </c>
      <c r="E2007" s="22">
        <f>IF(D2007="?OLD","!!!","")</f>
        <v/>
      </c>
      <c r="F2007" s="23" t="str">
        <f>IF(OR(E2007="",E2007="!!!"),"",IF(NOT(ISNA(VLOOKUP(E2007,E$1:E2006,1,FALSE()))),"OLD",IF(AND(E2007&lt;&gt;"",E2007&lt;&gt;"!!!"),"NEW","")))</f>
        <v> </v>
      </c>
      <c r="G2007" s="24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5" t="str">
        <f>IF(J2007&lt;&gt;1,"",IF(I2007="SBJ","CB","?"))</f>
        <v> </v>
      </c>
      <c r="I2007" s="26" t="str">
        <f>IF(OR(E2007="",E2007="!!!",F2007="NEW"),"",INDEX(B2006:B$2,-1+SUMPRODUCT(MAX(ROW(E2006:E$2)*(E2007=E2006:E$2)))))</f>
        <v> </v>
      </c>
      <c r="J2007" s="26" t="str">
        <f>IF(OR(E2007="",E2007="!!!",F2007="NEW"),"",COUNTBLANK(OFFSET(A$1,,,SUMPRODUCT(MAX(ROW(E$2:E2007)*(E2007=E$2:E2007)))))-COUNTBLANK(OFFSET(A$1,,,SUMPRODUCT(MAX(ROW(E$1:E2006)*(E2=E$1:E2006))))))</f>
        <v> </v>
      </c>
      <c r="K2007" s="26" t="str">
        <f>IF(OR(E2007="",E2007="!!!",F2007="NEW"),"",INDEX(J$1:J2006,SUMPRODUCT(MAX(ROW(E$1:E2006)*(E2007=E$1:E2006)))))</f>
        <v> </v>
      </c>
      <c r="L2007" s="27"/>
    </row>
    <row r="2008" spans="1:12">
      <c r="A2008" s="20" t="s">
        <v>1372</v>
      </c>
      <c r="B2008" s="21" t="s">
        <v>500</v>
      </c>
      <c r="E2008" s="22">
        <f>IF(D2008="?OLD","!!!","")</f>
        <v/>
      </c>
      <c r="F2008" s="23" t="str">
        <f>IF(OR(E2008="",E2008="!!!"),"",IF(NOT(ISNA(VLOOKUP(E2008,E$1:E2007,1,FALSE()))),"OLD",IF(AND(E2008&lt;&gt;"",E2008&lt;&gt;"!!!"),"NEW","")))</f>
        <v> </v>
      </c>
      <c r="G2008" s="24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5" t="str">
        <f>IF(J2008&lt;&gt;1,"",IF(I2008="SBJ","CB","?"))</f>
        <v> </v>
      </c>
      <c r="I2008" s="26" t="str">
        <f>IF(OR(E2008="",E2008="!!!",F2008="NEW"),"",INDEX(B2007:B$2,-1+SUMPRODUCT(MAX(ROW(E2007:E$2)*(E2008=E2007:E$2)))))</f>
        <v> </v>
      </c>
      <c r="J2008" s="26" t="str">
        <f>IF(OR(E2008="",E2008="!!!",F2008="NEW"),"",COUNTBLANK(OFFSET(A$1,,,SUMPRODUCT(MAX(ROW(E$2:E2008)*(E2008=E$2:E2008)))))-COUNTBLANK(OFFSET(A$1,,,SUMPRODUCT(MAX(ROW(E$1:E2007)*(E2=E$1:E2007))))))</f>
        <v> </v>
      </c>
      <c r="K2008" s="26" t="str">
        <f>IF(OR(E2008="",E2008="!!!",F2008="NEW"),"",INDEX(J$1:J2007,SUMPRODUCT(MAX(ROW(E$1:E2007)*(E2008=E$1:E2007)))))</f>
        <v> </v>
      </c>
      <c r="L2008" s="27"/>
    </row>
    <row r="2009" spans="1:12">
      <c r="A2009" s="20" t="s">
        <v>1373</v>
      </c>
      <c r="E2009" s="22">
        <f>IF(D2009="?OLD","!!!","")</f>
        <v/>
      </c>
      <c r="F2009" s="23" t="str">
        <f>IF(OR(E2009="",E2009="!!!"),"",IF(NOT(ISNA(VLOOKUP(E2009,E$1:E2008,1,FALSE()))),"OLD",IF(AND(E2009&lt;&gt;"",E2009&lt;&gt;"!!!"),"NEW","")))</f>
        <v> </v>
      </c>
      <c r="G2009" s="24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5" t="str">
        <f>IF(J2009&lt;&gt;1,"",IF(I2009="SBJ","CB","?"))</f>
        <v> </v>
      </c>
      <c r="I2009" s="26" t="str">
        <f>IF(OR(E2009="",E2009="!!!",F2009="NEW"),"",INDEX(B2008:B$2,-1+SUMPRODUCT(MAX(ROW(E2008:E$2)*(E2009=E2008:E$2)))))</f>
        <v> </v>
      </c>
      <c r="J2009" s="26" t="str">
        <f>IF(OR(E2009="",E2009="!!!",F2009="NEW"),"",COUNTBLANK(OFFSET(A$1,,,SUMPRODUCT(MAX(ROW(E$2:E2009)*(E2009=E$2:E2009)))))-COUNTBLANK(OFFSET(A$1,,,SUMPRODUCT(MAX(ROW(E$1:E2008)*(E2=E$1:E2008))))))</f>
        <v> </v>
      </c>
      <c r="K2009" s="26" t="str">
        <f>IF(OR(E2009="",E2009="!!!",F2009="NEW"),"",INDEX(J$1:J2008,SUMPRODUCT(MAX(ROW(E$1:E2008)*(E2009=E$1:E2008)))))</f>
        <v> </v>
      </c>
      <c r="L2009" s="27"/>
    </row>
    <row r="2010" spans="1:12">
      <c r="A2010" s="20" t="s">
        <v>1374</v>
      </c>
      <c r="E2010" s="22">
        <f>IF(D2010="?OLD","!!!","")</f>
        <v/>
      </c>
      <c r="F2010" s="23" t="str">
        <f>IF(OR(E2010="",E2010="!!!"),"",IF(NOT(ISNA(VLOOKUP(E2010,E$1:E2009,1,FALSE()))),"OLD",IF(AND(E2010&lt;&gt;"",E2010&lt;&gt;"!!!"),"NEW","")))</f>
        <v> </v>
      </c>
      <c r="G2010" s="24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5" t="str">
        <f>IF(J2010&lt;&gt;1,"",IF(I2010="SBJ","CB","?"))</f>
        <v> </v>
      </c>
      <c r="I2010" s="26" t="str">
        <f>IF(OR(E2010="",E2010="!!!",F2010="NEW"),"",INDEX(B2009:B$2,-1+SUMPRODUCT(MAX(ROW(E2009:E$2)*(E2010=E2009:E$2)))))</f>
        <v> </v>
      </c>
      <c r="J2010" s="26" t="str">
        <f>IF(OR(E2010="",E2010="!!!",F2010="NEW"),"",COUNTBLANK(OFFSET(A$1,,,SUMPRODUCT(MAX(ROW(E$2:E2010)*(E2010=E$2:E2010)))))-COUNTBLANK(OFFSET(A$1,,,SUMPRODUCT(MAX(ROW(E$1:E2009)*(E2=E$1:E2009))))))</f>
        <v> </v>
      </c>
      <c r="K2010" s="26" t="str">
        <f>IF(OR(E2010="",E2010="!!!",F2010="NEW"),"",INDEX(J$1:J2009,SUMPRODUCT(MAX(ROW(E$1:E2009)*(E2010=E$1:E2009)))))</f>
        <v> </v>
      </c>
      <c r="L2010" s="27"/>
    </row>
    <row r="2011" spans="1:12">
      <c r="A2011" s="20" t="s">
        <v>1375</v>
      </c>
      <c r="E2011" s="22">
        <f>IF(D2011="?OLD","!!!","")</f>
        <v/>
      </c>
      <c r="F2011" s="23" t="str">
        <f>IF(OR(E2011="",E2011="!!!"),"",IF(NOT(ISNA(VLOOKUP(E2011,E$1:E2010,1,FALSE()))),"OLD",IF(AND(E2011&lt;&gt;"",E2011&lt;&gt;"!!!"),"NEW","")))</f>
        <v> </v>
      </c>
      <c r="G2011" s="24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5" t="str">
        <f>IF(J2011&lt;&gt;1,"",IF(I2011="SBJ","CB","?"))</f>
        <v> </v>
      </c>
      <c r="I2011" s="26" t="str">
        <f>IF(OR(E2011="",E2011="!!!",F2011="NEW"),"",INDEX(B2010:B$2,-1+SUMPRODUCT(MAX(ROW(E2010:E$2)*(E2011=E2010:E$2)))))</f>
        <v> </v>
      </c>
      <c r="J2011" s="26" t="str">
        <f>IF(OR(E2011="",E2011="!!!",F2011="NEW"),"",COUNTBLANK(OFFSET(A$1,,,SUMPRODUCT(MAX(ROW(E$2:E2011)*(E2011=E$2:E2011)))))-COUNTBLANK(OFFSET(A$1,,,SUMPRODUCT(MAX(ROW(E$1:E2010)*(E2=E$1:E2010))))))</f>
        <v> </v>
      </c>
      <c r="K2011" s="26" t="str">
        <f>IF(OR(E2011="",E2011="!!!",F2011="NEW"),"",INDEX(J$1:J2010,SUMPRODUCT(MAX(ROW(E$1:E2010)*(E2011=E$1:E2010)))))</f>
        <v> </v>
      </c>
      <c r="L2011" s="27"/>
    </row>
    <row r="2012" spans="1:12">
      <c r="A2012" s="20" t="s">
        <v>1376</v>
      </c>
      <c r="B2012" s="21" t="s">
        <v>444</v>
      </c>
      <c r="E2012" s="22">
        <f>IF(D2012="?OLD","!!!","")</f>
        <v/>
      </c>
      <c r="F2012" s="23" t="str">
        <f>IF(OR(E2012="",E2012="!!!"),"",IF(NOT(ISNA(VLOOKUP(E2012,E$1:E2011,1,FALSE()))),"OLD",IF(AND(E2012&lt;&gt;"",E2012&lt;&gt;"!!!"),"NEW","")))</f>
        <v> </v>
      </c>
      <c r="G2012" s="24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5" t="str">
        <f>IF(J2012&lt;&gt;1,"",IF(I2012="SBJ","CB","?"))</f>
        <v> </v>
      </c>
      <c r="I2012" s="26" t="str">
        <f>IF(OR(E2012="",E2012="!!!",F2012="NEW"),"",INDEX(B2011:B$2,-1+SUMPRODUCT(MAX(ROW(E2011:E$2)*(E2012=E2011:E$2)))))</f>
        <v> </v>
      </c>
      <c r="J2012" s="26" t="str">
        <f>IF(OR(E2012="",E2012="!!!",F2012="NEW"),"",COUNTBLANK(OFFSET(A$1,,,SUMPRODUCT(MAX(ROW(E$2:E2012)*(E2012=E$2:E2012)))))-COUNTBLANK(OFFSET(A$1,,,SUMPRODUCT(MAX(ROW(E$1:E2011)*(E2=E$1:E2011))))))</f>
        <v> </v>
      </c>
      <c r="K2012" s="26" t="str">
        <f>IF(OR(E2012="",E2012="!!!",F2012="NEW"),"",INDEX(J$1:J2011,SUMPRODUCT(MAX(ROW(E$1:E2011)*(E2012=E$1:E2011)))))</f>
        <v> </v>
      </c>
      <c r="L2012" s="27"/>
    </row>
    <row r="2013" spans="1:12">
      <c r="A2013" s="20" t="s">
        <v>438</v>
      </c>
      <c r="E2013" s="22">
        <f>IF(D2013="?OLD","!!!","")</f>
        <v/>
      </c>
      <c r="F2013" s="23" t="str">
        <f>IF(OR(E2013="",E2013="!!!"),"",IF(NOT(ISNA(VLOOKUP(E2013,E$1:E2012,1,FALSE()))),"OLD",IF(AND(E2013&lt;&gt;"",E2013&lt;&gt;"!!!"),"NEW","")))</f>
        <v> </v>
      </c>
      <c r="G2013" s="24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5" t="str">
        <f>IF(J2013&lt;&gt;1,"",IF(I2013="SBJ","CB","?"))</f>
        <v> </v>
      </c>
      <c r="I2013" s="26" t="str">
        <f>IF(OR(E2013="",E2013="!!!",F2013="NEW"),"",INDEX(B2012:B$2,-1+SUMPRODUCT(MAX(ROW(E2012:E$2)*(E2013=E2012:E$2)))))</f>
        <v> </v>
      </c>
      <c r="J2013" s="26" t="str">
        <f>IF(OR(E2013="",E2013="!!!",F2013="NEW"),"",COUNTBLANK(OFFSET(A$1,,,SUMPRODUCT(MAX(ROW(E$2:E2013)*(E2013=E$2:E2013)))))-COUNTBLANK(OFFSET(A$1,,,SUMPRODUCT(MAX(ROW(E$1:E2012)*(E2=E$1:E2012))))))</f>
        <v> </v>
      </c>
      <c r="K2013" s="26" t="str">
        <f>IF(OR(E2013="",E2013="!!!",F2013="NEW"),"",INDEX(J$1:J2012,SUMPRODUCT(MAX(ROW(E$1:E2012)*(E2013=E$1:E2012)))))</f>
        <v> </v>
      </c>
      <c r="L2013" s="27"/>
    </row>
    <row r="2014" spans="1:12">
      <c r="A2014" s="20"/>
    </row>
    <row r="2015" spans="1:12">
      <c r="A2015" s="20" t="s">
        <v>1377</v>
      </c>
    </row>
    <row r="2016" spans="1:12">
      <c r="A2016" s="20" t="s">
        <v>1378</v>
      </c>
      <c r="B2016" s="21" t="s">
        <v>422</v>
      </c>
      <c r="E2016" s="22">
        <f>IF(D2016="?OLD","!!!","")</f>
        <v/>
      </c>
      <c r="F2016" s="23" t="str">
        <f>IF(OR(E2016="",E2016="!!!"),"",IF(NOT(ISNA(VLOOKUP(E2016,E$1:E2015,1,FALSE()))),"OLD",IF(AND(E2016&lt;&gt;"",E2016&lt;&gt;"!!!"),"NEW","")))</f>
        <v> </v>
      </c>
      <c r="G2016" s="24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5" t="str">
        <f>IF(J2016&lt;&gt;1,"",IF(I2016="SBJ","CB","?"))</f>
        <v> </v>
      </c>
      <c r="I2016" s="26" t="str">
        <f>IF(OR(E2016="",E2016="!!!",F2016="NEW"),"",INDEX(B2015:B$2,-1+SUMPRODUCT(MAX(ROW(E2015:E$2)*(E2016=E2015:E$2)))))</f>
        <v> </v>
      </c>
      <c r="J2016" s="26" t="str">
        <f>IF(OR(E2016="",E2016="!!!",F2016="NEW"),"",COUNTBLANK(OFFSET(A$1,,,SUMPRODUCT(MAX(ROW(E$2:E2016)*(E2016=E$2:E2016)))))-COUNTBLANK(OFFSET(A$1,,,SUMPRODUCT(MAX(ROW(E$1:E2015)*(E2=E$1:E2015))))))</f>
        <v> </v>
      </c>
      <c r="K2016" s="26" t="str">
        <f>IF(OR(E2016="",E2016="!!!",F2016="NEW"),"",INDEX(J$1:J2015,SUMPRODUCT(MAX(ROW(E$1:E2015)*(E2016=E$1:E2015)))))</f>
        <v> </v>
      </c>
      <c r="L2016" s="27"/>
    </row>
    <row r="2017" spans="1:12">
      <c r="A2017" s="20" t="s">
        <v>506</v>
      </c>
      <c r="E2017" s="22">
        <f>IF(D2017="?OLD","!!!","")</f>
        <v/>
      </c>
      <c r="F2017" s="23" t="str">
        <f>IF(OR(E2017="",E2017="!!!"),"",IF(NOT(ISNA(VLOOKUP(E2017,E$1:E2016,1,FALSE()))),"OLD",IF(AND(E2017&lt;&gt;"",E2017&lt;&gt;"!!!"),"NEW","")))</f>
        <v> </v>
      </c>
      <c r="G2017" s="24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5" t="str">
        <f>IF(J2017&lt;&gt;1,"",IF(I2017="SBJ","CB","?"))</f>
        <v> </v>
      </c>
      <c r="I2017" s="26" t="str">
        <f>IF(OR(E2017="",E2017="!!!",F2017="NEW"),"",INDEX(B2016:B$2,-1+SUMPRODUCT(MAX(ROW(E2016:E$2)*(E2017=E2016:E$2)))))</f>
        <v> </v>
      </c>
      <c r="J2017" s="26" t="str">
        <f>IF(OR(E2017="",E2017="!!!",F2017="NEW"),"",COUNTBLANK(OFFSET(A$1,,,SUMPRODUCT(MAX(ROW(E$2:E2017)*(E2017=E$2:E2017)))))-COUNTBLANK(OFFSET(A$1,,,SUMPRODUCT(MAX(ROW(E$1:E2016)*(E2=E$1:E2016))))))</f>
        <v> </v>
      </c>
      <c r="K2017" s="26" t="str">
        <f>IF(OR(E2017="",E2017="!!!",F2017="NEW"),"",INDEX(J$1:J2016,SUMPRODUCT(MAX(ROW(E$1:E2016)*(E2017=E$1:E2016)))))</f>
        <v> </v>
      </c>
      <c r="L2017" s="27"/>
    </row>
    <row r="2018" spans="1:12">
      <c r="A2018" s="20" t="s">
        <v>1379</v>
      </c>
      <c r="E2018" s="22">
        <f>IF(D2018="?OLD","!!!","")</f>
        <v/>
      </c>
      <c r="F2018" s="23" t="str">
        <f>IF(OR(E2018="",E2018="!!!"),"",IF(NOT(ISNA(VLOOKUP(E2018,E$1:E2017,1,FALSE()))),"OLD",IF(AND(E2018&lt;&gt;"",E2018&lt;&gt;"!!!"),"NEW","")))</f>
        <v> </v>
      </c>
      <c r="G2018" s="24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5" t="str">
        <f>IF(J2018&lt;&gt;1,"",IF(I2018="SBJ","CB","?"))</f>
        <v> </v>
      </c>
      <c r="I2018" s="26" t="str">
        <f>IF(OR(E2018="",E2018="!!!",F2018="NEW"),"",INDEX(B2017:B$2,-1+SUMPRODUCT(MAX(ROW(E2017:E$2)*(E2018=E2017:E$2)))))</f>
        <v> </v>
      </c>
      <c r="J2018" s="26" t="str">
        <f>IF(OR(E2018="",E2018="!!!",F2018="NEW"),"",COUNTBLANK(OFFSET(A$1,,,SUMPRODUCT(MAX(ROW(E$2:E2018)*(E2018=E$2:E2018)))))-COUNTBLANK(OFFSET(A$1,,,SUMPRODUCT(MAX(ROW(E$1:E2017)*(E2=E$1:E2017))))))</f>
        <v> </v>
      </c>
      <c r="K2018" s="26" t="str">
        <f>IF(OR(E2018="",E2018="!!!",F2018="NEW"),"",INDEX(J$1:J2017,SUMPRODUCT(MAX(ROW(E$1:E2017)*(E2018=E$1:E2017)))))</f>
        <v> </v>
      </c>
      <c r="L2018" s="27"/>
    </row>
    <row r="2019" spans="1:12">
      <c r="A2019" s="20" t="s">
        <v>1380</v>
      </c>
      <c r="E2019" s="22">
        <f>IF(D2019="?OLD","!!!","")</f>
        <v/>
      </c>
      <c r="F2019" s="23" t="str">
        <f>IF(OR(E2019="",E2019="!!!"),"",IF(NOT(ISNA(VLOOKUP(E2019,E$1:E2018,1,FALSE()))),"OLD",IF(AND(E2019&lt;&gt;"",E2019&lt;&gt;"!!!"),"NEW","")))</f>
        <v> </v>
      </c>
      <c r="G2019" s="24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5" t="str">
        <f>IF(J2019&lt;&gt;1,"",IF(I2019="SBJ","CB","?"))</f>
        <v> </v>
      </c>
      <c r="I2019" s="26" t="str">
        <f>IF(OR(E2019="",E2019="!!!",F2019="NEW"),"",INDEX(B2018:B$2,-1+SUMPRODUCT(MAX(ROW(E2018:E$2)*(E2019=E2018:E$2)))))</f>
        <v> </v>
      </c>
      <c r="J2019" s="26" t="str">
        <f>IF(OR(E2019="",E2019="!!!",F2019="NEW"),"",COUNTBLANK(OFFSET(A$1,,,SUMPRODUCT(MAX(ROW(E$2:E2019)*(E2019=E$2:E2019)))))-COUNTBLANK(OFFSET(A$1,,,SUMPRODUCT(MAX(ROW(E$1:E2018)*(E2=E$1:E2018))))))</f>
        <v> </v>
      </c>
      <c r="K2019" s="26" t="str">
        <f>IF(OR(E2019="",E2019="!!!",F2019="NEW"),"",INDEX(J$1:J2018,SUMPRODUCT(MAX(ROW(E$1:E2018)*(E2019=E$1:E2018)))))</f>
        <v> </v>
      </c>
      <c r="L2019" s="27"/>
    </row>
    <row r="2020" spans="1:12">
      <c r="A2020" s="20" t="s">
        <v>453</v>
      </c>
      <c r="E2020" s="22">
        <f>IF(D2020="?OLD","!!!","")</f>
        <v/>
      </c>
      <c r="F2020" s="23" t="str">
        <f>IF(OR(E2020="",E2020="!!!"),"",IF(NOT(ISNA(VLOOKUP(E2020,E$1:E2019,1,FALSE()))),"OLD",IF(AND(E2020&lt;&gt;"",E2020&lt;&gt;"!!!"),"NEW","")))</f>
        <v> </v>
      </c>
      <c r="G2020" s="24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5" t="str">
        <f>IF(J2020&lt;&gt;1,"",IF(I2020="SBJ","CB","?"))</f>
        <v> </v>
      </c>
      <c r="I2020" s="26" t="str">
        <f>IF(OR(E2020="",E2020="!!!",F2020="NEW"),"",INDEX(B2019:B$2,-1+SUMPRODUCT(MAX(ROW(E2019:E$2)*(E2020=E2019:E$2)))))</f>
        <v> </v>
      </c>
      <c r="J2020" s="26" t="str">
        <f>IF(OR(E2020="",E2020="!!!",F2020="NEW"),"",COUNTBLANK(OFFSET(A$1,,,SUMPRODUCT(MAX(ROW(E$2:E2020)*(E2020=E$2:E2020)))))-COUNTBLANK(OFFSET(A$1,,,SUMPRODUCT(MAX(ROW(E$1:E2019)*(E2=E$1:E2019))))))</f>
        <v> </v>
      </c>
      <c r="K2020" s="26" t="str">
        <f>IF(OR(E2020="",E2020="!!!",F2020="NEW"),"",INDEX(J$1:J2019,SUMPRODUCT(MAX(ROW(E$1:E2019)*(E2020=E$1:E2019)))))</f>
        <v> </v>
      </c>
      <c r="L2020" s="27"/>
    </row>
    <row r="2021" spans="1:12">
      <c r="A2021" s="20" t="s">
        <v>506</v>
      </c>
      <c r="E2021" s="22">
        <f>IF(D2021="?OLD","!!!","")</f>
        <v/>
      </c>
      <c r="F2021" s="23" t="str">
        <f>IF(OR(E2021="",E2021="!!!"),"",IF(NOT(ISNA(VLOOKUP(E2021,E$1:E2020,1,FALSE()))),"OLD",IF(AND(E2021&lt;&gt;"",E2021&lt;&gt;"!!!"),"NEW","")))</f>
        <v> </v>
      </c>
      <c r="G2021" s="24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5" t="str">
        <f>IF(J2021&lt;&gt;1,"",IF(I2021="SBJ","CB","?"))</f>
        <v> </v>
      </c>
      <c r="I2021" s="26" t="str">
        <f>IF(OR(E2021="",E2021="!!!",F2021="NEW"),"",INDEX(B2020:B$2,-1+SUMPRODUCT(MAX(ROW(E2020:E$2)*(E2021=E2020:E$2)))))</f>
        <v> </v>
      </c>
      <c r="J2021" s="26" t="str">
        <f>IF(OR(E2021="",E2021="!!!",F2021="NEW"),"",COUNTBLANK(OFFSET(A$1,,,SUMPRODUCT(MAX(ROW(E$2:E2021)*(E2021=E$2:E2021)))))-COUNTBLANK(OFFSET(A$1,,,SUMPRODUCT(MAX(ROW(E$1:E2020)*(E2=E$1:E2020))))))</f>
        <v> </v>
      </c>
      <c r="K2021" s="26" t="str">
        <f>IF(OR(E2021="",E2021="!!!",F2021="NEW"),"",INDEX(J$1:J2020,SUMPRODUCT(MAX(ROW(E$1:E2020)*(E2021=E$1:E2020)))))</f>
        <v> </v>
      </c>
      <c r="L2021" s="27"/>
    </row>
    <row r="2022" spans="1:12">
      <c r="A2022" s="20" t="s">
        <v>1380</v>
      </c>
      <c r="E2022" s="22">
        <f>IF(D2022="?OLD","!!!","")</f>
        <v/>
      </c>
      <c r="F2022" s="23" t="str">
        <f>IF(OR(E2022="",E2022="!!!"),"",IF(NOT(ISNA(VLOOKUP(E2022,E$1:E2021,1,FALSE()))),"OLD",IF(AND(E2022&lt;&gt;"",E2022&lt;&gt;"!!!"),"NEW","")))</f>
        <v> </v>
      </c>
      <c r="G2022" s="24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5" t="str">
        <f>IF(J2022&lt;&gt;1,"",IF(I2022="SBJ","CB","?"))</f>
        <v> </v>
      </c>
      <c r="I2022" s="26" t="str">
        <f>IF(OR(E2022="",E2022="!!!",F2022="NEW"),"",INDEX(B2021:B$2,-1+SUMPRODUCT(MAX(ROW(E2021:E$2)*(E2022=E2021:E$2)))))</f>
        <v> </v>
      </c>
      <c r="J2022" s="26" t="str">
        <f>IF(OR(E2022="",E2022="!!!",F2022="NEW"),"",COUNTBLANK(OFFSET(A$1,,,SUMPRODUCT(MAX(ROW(E$2:E2022)*(E2022=E$2:E2022)))))-COUNTBLANK(OFFSET(A$1,,,SUMPRODUCT(MAX(ROW(E$1:E2021)*(E2=E$1:E2021))))))</f>
        <v> </v>
      </c>
      <c r="K2022" s="26" t="str">
        <f>IF(OR(E2022="",E2022="!!!",F2022="NEW"),"",INDEX(J$1:J2021,SUMPRODUCT(MAX(ROW(E$1:E2021)*(E2022=E$1:E2021)))))</f>
        <v> </v>
      </c>
      <c r="L2022" s="27"/>
    </row>
    <row r="2023" spans="1:12">
      <c r="A2023" s="20" t="s">
        <v>1381</v>
      </c>
      <c r="E2023" s="22">
        <f>IF(D2023="?OLD","!!!","")</f>
        <v/>
      </c>
      <c r="F2023" s="23" t="str">
        <f>IF(OR(E2023="",E2023="!!!"),"",IF(NOT(ISNA(VLOOKUP(E2023,E$1:E2022,1,FALSE()))),"OLD",IF(AND(E2023&lt;&gt;"",E2023&lt;&gt;"!!!"),"NEW","")))</f>
        <v> </v>
      </c>
      <c r="G2023" s="24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5" t="str">
        <f>IF(J2023&lt;&gt;1,"",IF(I2023="SBJ","CB","?"))</f>
        <v> </v>
      </c>
      <c r="I2023" s="26" t="str">
        <f>IF(OR(E2023="",E2023="!!!",F2023="NEW"),"",INDEX(B2022:B$2,-1+SUMPRODUCT(MAX(ROW(E2022:E$2)*(E2023=E2022:E$2)))))</f>
        <v> </v>
      </c>
      <c r="J2023" s="26" t="str">
        <f>IF(OR(E2023="",E2023="!!!",F2023="NEW"),"",COUNTBLANK(OFFSET(A$1,,,SUMPRODUCT(MAX(ROW(E$2:E2023)*(E2023=E$2:E2023)))))-COUNTBLANK(OFFSET(A$1,,,SUMPRODUCT(MAX(ROW(E$1:E2022)*(E2=E$1:E2022))))))</f>
        <v> </v>
      </c>
      <c r="K2023" s="26" t="str">
        <f>IF(OR(E2023="",E2023="!!!",F2023="NEW"),"",INDEX(J$1:J2022,SUMPRODUCT(MAX(ROW(E$1:E2022)*(E2023=E$1:E2022)))))</f>
        <v> </v>
      </c>
      <c r="L2023" s="27"/>
    </row>
    <row r="2024" spans="1:12">
      <c r="A2024" s="20" t="s">
        <v>1382</v>
      </c>
      <c r="E2024" s="22">
        <f>IF(D2024="?OLD","!!!","")</f>
        <v/>
      </c>
      <c r="F2024" s="23" t="str">
        <f>IF(OR(E2024="",E2024="!!!"),"",IF(NOT(ISNA(VLOOKUP(E2024,E$1:E2023,1,FALSE()))),"OLD",IF(AND(E2024&lt;&gt;"",E2024&lt;&gt;"!!!"),"NEW","")))</f>
        <v> </v>
      </c>
      <c r="G2024" s="24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5" t="str">
        <f>IF(J2024&lt;&gt;1,"",IF(I2024="SBJ","CB","?"))</f>
        <v> </v>
      </c>
      <c r="I2024" s="26" t="str">
        <f>IF(OR(E2024="",E2024="!!!",F2024="NEW"),"",INDEX(B2023:B$2,-1+SUMPRODUCT(MAX(ROW(E2023:E$2)*(E2024=E2023:E$2)))))</f>
        <v> </v>
      </c>
      <c r="J2024" s="26" t="str">
        <f>IF(OR(E2024="",E2024="!!!",F2024="NEW"),"",COUNTBLANK(OFFSET(A$1,,,SUMPRODUCT(MAX(ROW(E$2:E2024)*(E2024=E$2:E2024)))))-COUNTBLANK(OFFSET(A$1,,,SUMPRODUCT(MAX(ROW(E$1:E2023)*(E2=E$1:E2023))))))</f>
        <v> </v>
      </c>
      <c r="K2024" s="26" t="str">
        <f>IF(OR(E2024="",E2024="!!!",F2024="NEW"),"",INDEX(J$1:J2023,SUMPRODUCT(MAX(ROW(E$1:E2023)*(E2024=E$1:E2023)))))</f>
        <v> </v>
      </c>
      <c r="L2024" s="27"/>
    </row>
    <row r="2025" spans="1:12">
      <c r="A2025" s="20" t="s">
        <v>453</v>
      </c>
      <c r="E2025" s="22">
        <f>IF(D2025="?OLD","!!!","")</f>
        <v/>
      </c>
      <c r="F2025" s="23" t="str">
        <f>IF(OR(E2025="",E2025="!!!"),"",IF(NOT(ISNA(VLOOKUP(E2025,E$1:E2024,1,FALSE()))),"OLD",IF(AND(E2025&lt;&gt;"",E2025&lt;&gt;"!!!"),"NEW","")))</f>
        <v> </v>
      </c>
      <c r="G2025" s="24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5" t="str">
        <f>IF(J2025&lt;&gt;1,"",IF(I2025="SBJ","CB","?"))</f>
        <v> </v>
      </c>
      <c r="I2025" s="26" t="str">
        <f>IF(OR(E2025="",E2025="!!!",F2025="NEW"),"",INDEX(B2024:B$2,-1+SUMPRODUCT(MAX(ROW(E2024:E$2)*(E2025=E2024:E$2)))))</f>
        <v> </v>
      </c>
      <c r="J2025" s="26" t="str">
        <f>IF(OR(E2025="",E2025="!!!",F2025="NEW"),"",COUNTBLANK(OFFSET(A$1,,,SUMPRODUCT(MAX(ROW(E$2:E2025)*(E2025=E$2:E2025)))))-COUNTBLANK(OFFSET(A$1,,,SUMPRODUCT(MAX(ROW(E$1:E2024)*(E2=E$1:E2024))))))</f>
        <v> </v>
      </c>
      <c r="K2025" s="26" t="str">
        <f>IF(OR(E2025="",E2025="!!!",F2025="NEW"),"",INDEX(J$1:J2024,SUMPRODUCT(MAX(ROW(E$1:E2024)*(E2025=E$1:E2024)))))</f>
        <v> </v>
      </c>
      <c r="L2025" s="27"/>
    </row>
    <row r="2026" spans="1:12">
      <c r="A2026" s="20" t="s">
        <v>313</v>
      </c>
      <c r="E2026" s="22">
        <f>IF(D2026="?OLD","!!!","")</f>
        <v/>
      </c>
      <c r="F2026" s="23" t="str">
        <f>IF(OR(E2026="",E2026="!!!"),"",IF(NOT(ISNA(VLOOKUP(E2026,E$1:E2025,1,FALSE()))),"OLD",IF(AND(E2026&lt;&gt;"",E2026&lt;&gt;"!!!"),"NEW","")))</f>
        <v> </v>
      </c>
      <c r="G2026" s="24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5" t="str">
        <f>IF(J2026&lt;&gt;1,"",IF(I2026="SBJ","CB","?"))</f>
        <v> </v>
      </c>
      <c r="I2026" s="26" t="str">
        <f>IF(OR(E2026="",E2026="!!!",F2026="NEW"),"",INDEX(B2025:B$2,-1+SUMPRODUCT(MAX(ROW(E2025:E$2)*(E2026=E2025:E$2)))))</f>
        <v> </v>
      </c>
      <c r="J2026" s="26" t="str">
        <f>IF(OR(E2026="",E2026="!!!",F2026="NEW"),"",COUNTBLANK(OFFSET(A$1,,,SUMPRODUCT(MAX(ROW(E$2:E2026)*(E2026=E$2:E2026)))))-COUNTBLANK(OFFSET(A$1,,,SUMPRODUCT(MAX(ROW(E$1:E2025)*(E2=E$1:E2025))))))</f>
        <v> </v>
      </c>
      <c r="K2026" s="26" t="str">
        <f>IF(OR(E2026="",E2026="!!!",F2026="NEW"),"",INDEX(J$1:J2025,SUMPRODUCT(MAX(ROW(E$1:E2025)*(E2026=E$1:E2025)))))</f>
        <v> </v>
      </c>
      <c r="L2026" s="27"/>
    </row>
    <row r="2027" spans="1:12">
      <c r="A2027" s="20" t="s">
        <v>1383</v>
      </c>
      <c r="E2027" s="22">
        <f>IF(D2027="?OLD","!!!","")</f>
        <v/>
      </c>
      <c r="F2027" s="23" t="str">
        <f>IF(OR(E2027="",E2027="!!!"),"",IF(NOT(ISNA(VLOOKUP(E2027,E$1:E2026,1,FALSE()))),"OLD",IF(AND(E2027&lt;&gt;"",E2027&lt;&gt;"!!!"),"NEW","")))</f>
        <v> </v>
      </c>
      <c r="G2027" s="24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5" t="str">
        <f>IF(J2027&lt;&gt;1,"",IF(I2027="SBJ","CB","?"))</f>
        <v> </v>
      </c>
      <c r="I2027" s="26" t="str">
        <f>IF(OR(E2027="",E2027="!!!",F2027="NEW"),"",INDEX(B2026:B$2,-1+SUMPRODUCT(MAX(ROW(E2026:E$2)*(E2027=E2026:E$2)))))</f>
        <v> </v>
      </c>
      <c r="J2027" s="26" t="str">
        <f>IF(OR(E2027="",E2027="!!!",F2027="NEW"),"",COUNTBLANK(OFFSET(A$1,,,SUMPRODUCT(MAX(ROW(E$2:E2027)*(E2027=E$2:E2027)))))-COUNTBLANK(OFFSET(A$1,,,SUMPRODUCT(MAX(ROW(E$1:E2026)*(E2=E$1:E2026))))))</f>
        <v> </v>
      </c>
      <c r="K2027" s="26" t="str">
        <f>IF(OR(E2027="",E2027="!!!",F2027="NEW"),"",INDEX(J$1:J2026,SUMPRODUCT(MAX(ROW(E$1:E2026)*(E2027=E$1:E2026)))))</f>
        <v> </v>
      </c>
      <c r="L2027" s="27"/>
    </row>
    <row r="2028" spans="1:12">
      <c r="A2028" s="20" t="s">
        <v>355</v>
      </c>
      <c r="B2028" s="21" t="s">
        <v>470</v>
      </c>
      <c r="C2028" s="21" t="s">
        <v>477</v>
      </c>
      <c r="E2028" s="22">
        <f>IF(D2028="?OLD","!!!","")</f>
        <v/>
      </c>
      <c r="F2028" s="23" t="str">
        <f>IF(OR(E2028="",E2028="!!!"),"",IF(NOT(ISNA(VLOOKUP(E2028,E$1:E2027,1,FALSE()))),"OLD",IF(AND(E2028&lt;&gt;"",E2028&lt;&gt;"!!!"),"NEW","")))</f>
        <v> </v>
      </c>
      <c r="G2028" s="24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5" t="str">
        <f>IF(J2028&lt;&gt;1,"",IF(I2028="SBJ","CB","?"))</f>
        <v> </v>
      </c>
      <c r="I2028" s="26" t="str">
        <f>IF(OR(E2028="",E2028="!!!",F2028="NEW"),"",INDEX(B2027:B$2,-1+SUMPRODUCT(MAX(ROW(E2027:E$2)*(E2028=E2027:E$2)))))</f>
        <v> </v>
      </c>
      <c r="J2028" s="26" t="str">
        <f>IF(OR(E2028="",E2028="!!!",F2028="NEW"),"",COUNTBLANK(OFFSET(A$1,,,SUMPRODUCT(MAX(ROW(E$2:E2028)*(E2028=E$2:E2028)))))-COUNTBLANK(OFFSET(A$1,,,SUMPRODUCT(MAX(ROW(E$1:E2027)*(E2=E$1:E2027))))))</f>
        <v> </v>
      </c>
      <c r="K2028" s="26" t="str">
        <f>IF(OR(E2028="",E2028="!!!",F2028="NEW"),"",INDEX(J$1:J2027,SUMPRODUCT(MAX(ROW(E$1:E2027)*(E2028=E$1:E2027)))))</f>
        <v> </v>
      </c>
      <c r="L2028" s="27"/>
    </row>
    <row r="2029" spans="1:12">
      <c r="A2029" s="20" t="s">
        <v>453</v>
      </c>
      <c r="E2029" s="22">
        <f>IF(D2029="?OLD","!!!","")</f>
        <v/>
      </c>
      <c r="F2029" s="23" t="str">
        <f>IF(OR(E2029="",E2029="!!!"),"",IF(NOT(ISNA(VLOOKUP(E2029,E$1:E2028,1,FALSE()))),"OLD",IF(AND(E2029&lt;&gt;"",E2029&lt;&gt;"!!!"),"NEW","")))</f>
        <v> </v>
      </c>
      <c r="G2029" s="24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5" t="str">
        <f>IF(J2029&lt;&gt;1,"",IF(I2029="SBJ","CB","?"))</f>
        <v> </v>
      </c>
      <c r="I2029" s="26" t="str">
        <f>IF(OR(E2029="",E2029="!!!",F2029="NEW"),"",INDEX(B2028:B$2,-1+SUMPRODUCT(MAX(ROW(E2028:E$2)*(E2029=E2028:E$2)))))</f>
        <v> </v>
      </c>
      <c r="J2029" s="26" t="str">
        <f>IF(OR(E2029="",E2029="!!!",F2029="NEW"),"",COUNTBLANK(OFFSET(A$1,,,SUMPRODUCT(MAX(ROW(E$2:E2029)*(E2029=E$2:E2029)))))-COUNTBLANK(OFFSET(A$1,,,SUMPRODUCT(MAX(ROW(E$1:E2028)*(E2=E$1:E2028))))))</f>
        <v> </v>
      </c>
      <c r="K2029" s="26" t="str">
        <f>IF(OR(E2029="",E2029="!!!",F2029="NEW"),"",INDEX(J$1:J2028,SUMPRODUCT(MAX(ROW(E$1:E2028)*(E2029=E$1:E2028)))))</f>
        <v> </v>
      </c>
      <c r="L2029" s="27"/>
    </row>
    <row r="2030" spans="1:12">
      <c r="A2030" s="20" t="s">
        <v>1384</v>
      </c>
      <c r="E2030" s="22">
        <f>IF(D2030="?OLD","!!!","")</f>
        <v/>
      </c>
      <c r="F2030" s="23" t="str">
        <f>IF(OR(E2030="",E2030="!!!"),"",IF(NOT(ISNA(VLOOKUP(E2030,E$1:E2029,1,FALSE()))),"OLD",IF(AND(E2030&lt;&gt;"",E2030&lt;&gt;"!!!"),"NEW","")))</f>
        <v> </v>
      </c>
      <c r="G2030" s="24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5" t="str">
        <f>IF(J2030&lt;&gt;1,"",IF(I2030="SBJ","CB","?"))</f>
        <v> </v>
      </c>
      <c r="I2030" s="26" t="str">
        <f>IF(OR(E2030="",E2030="!!!",F2030="NEW"),"",INDEX(B2029:B$2,-1+SUMPRODUCT(MAX(ROW(E2029:E$2)*(E2030=E2029:E$2)))))</f>
        <v> </v>
      </c>
      <c r="J2030" s="26" t="str">
        <f>IF(OR(E2030="",E2030="!!!",F2030="NEW"),"",COUNTBLANK(OFFSET(A$1,,,SUMPRODUCT(MAX(ROW(E$2:E2030)*(E2030=E$2:E2030)))))-COUNTBLANK(OFFSET(A$1,,,SUMPRODUCT(MAX(ROW(E$1:E2029)*(E2=E$1:E2029))))))</f>
        <v> </v>
      </c>
      <c r="K2030" s="26" t="str">
        <f>IF(OR(E2030="",E2030="!!!",F2030="NEW"),"",INDEX(J$1:J2029,SUMPRODUCT(MAX(ROW(E$1:E2029)*(E2030=E$1:E2029)))))</f>
        <v> </v>
      </c>
      <c r="L2030" s="27"/>
    </row>
    <row r="2031" spans="1:12">
      <c r="A2031" s="20" t="s">
        <v>1385</v>
      </c>
      <c r="B2031" s="21" t="s">
        <v>500</v>
      </c>
      <c r="E2031" s="22">
        <f>IF(D2031="?OLD","!!!","")</f>
        <v/>
      </c>
      <c r="F2031" s="23" t="str">
        <f>IF(OR(E2031="",E2031="!!!"),"",IF(NOT(ISNA(VLOOKUP(E2031,E$1:E2030,1,FALSE()))),"OLD",IF(AND(E2031&lt;&gt;"",E2031&lt;&gt;"!!!"),"NEW","")))</f>
        <v> </v>
      </c>
      <c r="G2031" s="24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5" t="str">
        <f>IF(J2031&lt;&gt;1,"",IF(I2031="SBJ","CB","?"))</f>
        <v> </v>
      </c>
      <c r="I2031" s="26" t="str">
        <f>IF(OR(E2031="",E2031="!!!",F2031="NEW"),"",INDEX(B2030:B$2,-1+SUMPRODUCT(MAX(ROW(E2030:E$2)*(E2031=E2030:E$2)))))</f>
        <v> </v>
      </c>
      <c r="J2031" s="26" t="str">
        <f>IF(OR(E2031="",E2031="!!!",F2031="NEW"),"",COUNTBLANK(OFFSET(A$1,,,SUMPRODUCT(MAX(ROW(E$2:E2031)*(E2031=E$2:E2031)))))-COUNTBLANK(OFFSET(A$1,,,SUMPRODUCT(MAX(ROW(E$1:E2030)*(E2=E$1:E2030))))))</f>
        <v> </v>
      </c>
      <c r="K2031" s="26" t="str">
        <f>IF(OR(E2031="",E2031="!!!",F2031="NEW"),"",INDEX(J$1:J2030,SUMPRODUCT(MAX(ROW(E$1:E2030)*(E2031=E$1:E2030)))))</f>
        <v> </v>
      </c>
      <c r="L2031" s="27"/>
    </row>
    <row r="2032" spans="1:12">
      <c r="A2032" s="20" t="s">
        <v>553</v>
      </c>
      <c r="E2032" s="22">
        <f>IF(D2032="?OLD","!!!","")</f>
        <v/>
      </c>
      <c r="F2032" s="23" t="str">
        <f>IF(OR(E2032="",E2032="!!!"),"",IF(NOT(ISNA(VLOOKUP(E2032,E$1:E2031,1,FALSE()))),"OLD",IF(AND(E2032&lt;&gt;"",E2032&lt;&gt;"!!!"),"NEW","")))</f>
        <v> </v>
      </c>
      <c r="G2032" s="24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5" t="str">
        <f>IF(J2032&lt;&gt;1,"",IF(I2032="SBJ","CB","?"))</f>
        <v> </v>
      </c>
      <c r="I2032" s="26" t="str">
        <f>IF(OR(E2032="",E2032="!!!",F2032="NEW"),"",INDEX(B2031:B$2,-1+SUMPRODUCT(MAX(ROW(E2031:E$2)*(E2032=E2031:E$2)))))</f>
        <v> </v>
      </c>
      <c r="J2032" s="26" t="str">
        <f>IF(OR(E2032="",E2032="!!!",F2032="NEW"),"",COUNTBLANK(OFFSET(A$1,,,SUMPRODUCT(MAX(ROW(E$2:E2032)*(E2032=E$2:E2032)))))-COUNTBLANK(OFFSET(A$1,,,SUMPRODUCT(MAX(ROW(E$1:E2031)*(E2=E$1:E2031))))))</f>
        <v> </v>
      </c>
      <c r="K2032" s="26" t="str">
        <f>IF(OR(E2032="",E2032="!!!",F2032="NEW"),"",INDEX(J$1:J2031,SUMPRODUCT(MAX(ROW(E$1:E2031)*(E2032=E$1:E2031)))))</f>
        <v> </v>
      </c>
      <c r="L2032" s="27"/>
    </row>
    <row r="2033" spans="1:12">
      <c r="A2033" s="20" t="s">
        <v>506</v>
      </c>
      <c r="E2033" s="22">
        <f>IF(D2033="?OLD","!!!","")</f>
        <v/>
      </c>
      <c r="F2033" s="23" t="str">
        <f>IF(OR(E2033="",E2033="!!!"),"",IF(NOT(ISNA(VLOOKUP(E2033,E$1:E2032,1,FALSE()))),"OLD",IF(AND(E2033&lt;&gt;"",E2033&lt;&gt;"!!!"),"NEW","")))</f>
        <v> </v>
      </c>
      <c r="G2033" s="24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5" t="str">
        <f>IF(J2033&lt;&gt;1,"",IF(I2033="SBJ","CB","?"))</f>
        <v> </v>
      </c>
      <c r="I2033" s="26" t="str">
        <f>IF(OR(E2033="",E2033="!!!",F2033="NEW"),"",INDEX(B2032:B$2,-1+SUMPRODUCT(MAX(ROW(E2032:E$2)*(E2033=E2032:E$2)))))</f>
        <v> </v>
      </c>
      <c r="J2033" s="26" t="str">
        <f>IF(OR(E2033="",E2033="!!!",F2033="NEW"),"",COUNTBLANK(OFFSET(A$1,,,SUMPRODUCT(MAX(ROW(E$2:E2033)*(E2033=E$2:E2033)))))-COUNTBLANK(OFFSET(A$1,,,SUMPRODUCT(MAX(ROW(E$1:E2032)*(E2=E$1:E2032))))))</f>
        <v> </v>
      </c>
      <c r="K2033" s="26" t="str">
        <f>IF(OR(E2033="",E2033="!!!",F2033="NEW"),"",INDEX(J$1:J2032,SUMPRODUCT(MAX(ROW(E$1:E2032)*(E2033=E$1:E2032)))))</f>
        <v> </v>
      </c>
      <c r="L2033" s="27"/>
    </row>
    <row r="2034" spans="1:12">
      <c r="A2034" s="20" t="s">
        <v>1367</v>
      </c>
      <c r="E2034" s="22">
        <f>IF(D2034="?OLD","!!!","")</f>
        <v/>
      </c>
      <c r="F2034" s="23" t="str">
        <f>IF(OR(E2034="",E2034="!!!"),"",IF(NOT(ISNA(VLOOKUP(E2034,E$1:E2033,1,FALSE()))),"OLD",IF(AND(E2034&lt;&gt;"",E2034&lt;&gt;"!!!"),"NEW","")))</f>
        <v> </v>
      </c>
      <c r="G2034" s="24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5" t="str">
        <f>IF(J2034&lt;&gt;1,"",IF(I2034="SBJ","CB","?"))</f>
        <v> </v>
      </c>
      <c r="I2034" s="26" t="str">
        <f>IF(OR(E2034="",E2034="!!!",F2034="NEW"),"",INDEX(B2033:B$2,-1+SUMPRODUCT(MAX(ROW(E2033:E$2)*(E2034=E2033:E$2)))))</f>
        <v> </v>
      </c>
      <c r="J2034" s="26" t="str">
        <f>IF(OR(E2034="",E2034="!!!",F2034="NEW"),"",COUNTBLANK(OFFSET(A$1,,,SUMPRODUCT(MAX(ROW(E$2:E2034)*(E2034=E$2:E2034)))))-COUNTBLANK(OFFSET(A$1,,,SUMPRODUCT(MAX(ROW(E$1:E2033)*(E2=E$1:E2033))))))</f>
        <v> </v>
      </c>
      <c r="K2034" s="26" t="str">
        <f>IF(OR(E2034="",E2034="!!!",F2034="NEW"),"",INDEX(J$1:J2033,SUMPRODUCT(MAX(ROW(E$1:E2033)*(E2034=E$1:E2033)))))</f>
        <v> </v>
      </c>
      <c r="L2034" s="27"/>
    </row>
    <row r="2035" spans="1:12">
      <c r="A2035" s="20" t="s">
        <v>642</v>
      </c>
      <c r="E2035" s="22">
        <f>IF(D2035="?OLD","!!!","")</f>
        <v/>
      </c>
      <c r="F2035" s="23" t="str">
        <f>IF(OR(E2035="",E2035="!!!"),"",IF(NOT(ISNA(VLOOKUP(E2035,E$1:E2034,1,FALSE()))),"OLD",IF(AND(E2035&lt;&gt;"",E2035&lt;&gt;"!!!"),"NEW","")))</f>
        <v> </v>
      </c>
      <c r="G2035" s="24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5" t="str">
        <f>IF(J2035&lt;&gt;1,"",IF(I2035="SBJ","CB","?"))</f>
        <v> </v>
      </c>
      <c r="I2035" s="26" t="str">
        <f>IF(OR(E2035="",E2035="!!!",F2035="NEW"),"",INDEX(B2034:B$2,-1+SUMPRODUCT(MAX(ROW(E2034:E$2)*(E2035=E2034:E$2)))))</f>
        <v> </v>
      </c>
      <c r="J2035" s="26" t="str">
        <f>IF(OR(E2035="",E2035="!!!",F2035="NEW"),"",COUNTBLANK(OFFSET(A$1,,,SUMPRODUCT(MAX(ROW(E$2:E2035)*(E2035=E$2:E2035)))))-COUNTBLANK(OFFSET(A$1,,,SUMPRODUCT(MAX(ROW(E$1:E2034)*(E2=E$1:E2034))))))</f>
        <v> </v>
      </c>
      <c r="K2035" s="26" t="str">
        <f>IF(OR(E2035="",E2035="!!!",F2035="NEW"),"",INDEX(J$1:J2034,SUMPRODUCT(MAX(ROW(E$1:E2034)*(E2035=E$1:E2034)))))</f>
        <v> </v>
      </c>
      <c r="L2035" s="27"/>
    </row>
    <row r="2036" spans="1:12">
      <c r="A2036" s="20" t="s">
        <v>1386</v>
      </c>
      <c r="E2036" s="22">
        <f>IF(D2036="?OLD","!!!","")</f>
        <v/>
      </c>
      <c r="F2036" s="23" t="str">
        <f>IF(OR(E2036="",E2036="!!!"),"",IF(NOT(ISNA(VLOOKUP(E2036,E$1:E2035,1,FALSE()))),"OLD",IF(AND(E2036&lt;&gt;"",E2036&lt;&gt;"!!!"),"NEW","")))</f>
        <v> </v>
      </c>
      <c r="G2036" s="24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5" t="str">
        <f>IF(J2036&lt;&gt;1,"",IF(I2036="SBJ","CB","?"))</f>
        <v> </v>
      </c>
      <c r="I2036" s="26" t="str">
        <f>IF(OR(E2036="",E2036="!!!",F2036="NEW"),"",INDEX(B2035:B$2,-1+SUMPRODUCT(MAX(ROW(E2035:E$2)*(E2036=E2035:E$2)))))</f>
        <v> </v>
      </c>
      <c r="J2036" s="26" t="str">
        <f>IF(OR(E2036="",E2036="!!!",F2036="NEW"),"",COUNTBLANK(OFFSET(A$1,,,SUMPRODUCT(MAX(ROW(E$2:E2036)*(E2036=E$2:E2036)))))-COUNTBLANK(OFFSET(A$1,,,SUMPRODUCT(MAX(ROW(E$1:E2035)*(E2=E$1:E2035))))))</f>
        <v> </v>
      </c>
      <c r="K2036" s="26" t="str">
        <f>IF(OR(E2036="",E2036="!!!",F2036="NEW"),"",INDEX(J$1:J2035,SUMPRODUCT(MAX(ROW(E$1:E2035)*(E2036=E$1:E2035)))))</f>
        <v> </v>
      </c>
      <c r="L2036" s="27"/>
    </row>
    <row r="2037" spans="1:12">
      <c r="A2037" s="20" t="s">
        <v>964</v>
      </c>
      <c r="E2037" s="22">
        <f>IF(D2037="?OLD","!!!","")</f>
        <v/>
      </c>
      <c r="F2037" s="23" t="str">
        <f>IF(OR(E2037="",E2037="!!!"),"",IF(NOT(ISNA(VLOOKUP(E2037,E$1:E2036,1,FALSE()))),"OLD",IF(AND(E2037&lt;&gt;"",E2037&lt;&gt;"!!!"),"NEW","")))</f>
        <v> </v>
      </c>
      <c r="G2037" s="24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5" t="str">
        <f>IF(J2037&lt;&gt;1,"",IF(I2037="SBJ","CB","?"))</f>
        <v> </v>
      </c>
      <c r="I2037" s="26" t="str">
        <f>IF(OR(E2037="",E2037="!!!",F2037="NEW"),"",INDEX(B2036:B$2,-1+SUMPRODUCT(MAX(ROW(E2036:E$2)*(E2037=E2036:E$2)))))</f>
        <v> </v>
      </c>
      <c r="J2037" s="26" t="str">
        <f>IF(OR(E2037="",E2037="!!!",F2037="NEW"),"",COUNTBLANK(OFFSET(A$1,,,SUMPRODUCT(MAX(ROW(E$2:E2037)*(E2037=E$2:E2037)))))-COUNTBLANK(OFFSET(A$1,,,SUMPRODUCT(MAX(ROW(E$1:E2036)*(E2=E$1:E2036))))))</f>
        <v> </v>
      </c>
      <c r="K2037" s="26" t="str">
        <f>IF(OR(E2037="",E2037="!!!",F2037="NEW"),"",INDEX(J$1:J2036,SUMPRODUCT(MAX(ROW(E$1:E2036)*(E2037=E$1:E2036)))))</f>
        <v> </v>
      </c>
      <c r="L2037" s="27"/>
    </row>
    <row r="2038" spans="1:12">
      <c r="A2038" s="20" t="s">
        <v>1296</v>
      </c>
      <c r="E2038" s="22">
        <f>IF(D2038="?OLD","!!!","")</f>
        <v/>
      </c>
      <c r="F2038" s="23" t="str">
        <f>IF(OR(E2038="",E2038="!!!"),"",IF(NOT(ISNA(VLOOKUP(E2038,E$1:E2037,1,FALSE()))),"OLD",IF(AND(E2038&lt;&gt;"",E2038&lt;&gt;"!!!"),"NEW","")))</f>
        <v> </v>
      </c>
      <c r="G2038" s="24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5" t="str">
        <f>IF(J2038&lt;&gt;1,"",IF(I2038="SBJ","CB","?"))</f>
        <v> </v>
      </c>
      <c r="I2038" s="26" t="str">
        <f>IF(OR(E2038="",E2038="!!!",F2038="NEW"),"",INDEX(B2037:B$2,-1+SUMPRODUCT(MAX(ROW(E2037:E$2)*(E2038=E2037:E$2)))))</f>
        <v> </v>
      </c>
      <c r="J2038" s="26" t="str">
        <f>IF(OR(E2038="",E2038="!!!",F2038="NEW"),"",COUNTBLANK(OFFSET(A$1,,,SUMPRODUCT(MAX(ROW(E$2:E2038)*(E2038=E$2:E2038)))))-COUNTBLANK(OFFSET(A$1,,,SUMPRODUCT(MAX(ROW(E$1:E2037)*(E2=E$1:E2037))))))</f>
        <v> </v>
      </c>
      <c r="K2038" s="26" t="str">
        <f>IF(OR(E2038="",E2038="!!!",F2038="NEW"),"",INDEX(J$1:J2037,SUMPRODUCT(MAX(ROW(E$1:E2037)*(E2038=E$1:E2037)))))</f>
        <v> </v>
      </c>
      <c r="L2038" s="27"/>
    </row>
    <row r="2039" spans="1:12">
      <c r="A2039" s="20" t="s">
        <v>453</v>
      </c>
      <c r="E2039" s="22">
        <f>IF(D2039="?OLD","!!!","")</f>
        <v/>
      </c>
      <c r="F2039" s="23" t="str">
        <f>IF(OR(E2039="",E2039="!!!"),"",IF(NOT(ISNA(VLOOKUP(E2039,E$1:E2038,1,FALSE()))),"OLD",IF(AND(E2039&lt;&gt;"",E2039&lt;&gt;"!!!"),"NEW","")))</f>
        <v> </v>
      </c>
      <c r="G2039" s="24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5" t="str">
        <f>IF(J2039&lt;&gt;1,"",IF(I2039="SBJ","CB","?"))</f>
        <v> </v>
      </c>
      <c r="I2039" s="26" t="str">
        <f>IF(OR(E2039="",E2039="!!!",F2039="NEW"),"",INDEX(B2038:B$2,-1+SUMPRODUCT(MAX(ROW(E2038:E$2)*(E2039=E2038:E$2)))))</f>
        <v> </v>
      </c>
      <c r="J2039" s="26" t="str">
        <f>IF(OR(E2039="",E2039="!!!",F2039="NEW"),"",COUNTBLANK(OFFSET(A$1,,,SUMPRODUCT(MAX(ROW(E$2:E2039)*(E2039=E$2:E2039)))))-COUNTBLANK(OFFSET(A$1,,,SUMPRODUCT(MAX(ROW(E$1:E2038)*(E2=E$1:E2038))))))</f>
        <v> </v>
      </c>
      <c r="K2039" s="26" t="str">
        <f>IF(OR(E2039="",E2039="!!!",F2039="NEW"),"",INDEX(J$1:J2038,SUMPRODUCT(MAX(ROW(E$1:E2038)*(E2039=E$1:E2038)))))</f>
        <v> </v>
      </c>
      <c r="L2039" s="27"/>
    </row>
    <row r="2040" spans="1:12">
      <c r="A2040" s="20" t="s">
        <v>558</v>
      </c>
      <c r="B2040" s="21" t="s">
        <v>562</v>
      </c>
      <c r="C2040" s="21" t="s">
        <v>481</v>
      </c>
      <c r="E2040" s="22">
        <f>IF(D2040="?OLD","!!!","")</f>
        <v/>
      </c>
      <c r="F2040" s="23" t="str">
        <f>IF(OR(E2040="",E2040="!!!"),"",IF(NOT(ISNA(VLOOKUP(E2040,E$1:E2039,1,FALSE()))),"OLD",IF(AND(E2040&lt;&gt;"",E2040&lt;&gt;"!!!"),"NEW","")))</f>
        <v> </v>
      </c>
      <c r="G2040" s="24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5" t="str">
        <f>IF(J2040&lt;&gt;1,"",IF(I2040="SBJ","CB","?"))</f>
        <v> </v>
      </c>
      <c r="I2040" s="26" t="str">
        <f>IF(OR(E2040="",E2040="!!!",F2040="NEW"),"",INDEX(B2039:B$2,-1+SUMPRODUCT(MAX(ROW(E2039:E$2)*(E2040=E2039:E$2)))))</f>
        <v> </v>
      </c>
      <c r="J2040" s="26" t="str">
        <f>IF(OR(E2040="",E2040="!!!",F2040="NEW"),"",COUNTBLANK(OFFSET(A$1,,,SUMPRODUCT(MAX(ROW(E$2:E2040)*(E2040=E$2:E2040)))))-COUNTBLANK(OFFSET(A$1,,,SUMPRODUCT(MAX(ROW(E$1:E2039)*(E2=E$1:E2039))))))</f>
        <v> </v>
      </c>
      <c r="K2040" s="26" t="str">
        <f>IF(OR(E2040="",E2040="!!!",F2040="NEW"),"",INDEX(J$1:J2039,SUMPRODUCT(MAX(ROW(E$1:E2039)*(E2040=E$1:E2039)))))</f>
        <v> </v>
      </c>
      <c r="L2040" s="27"/>
    </row>
    <row r="2041" spans="1:12">
      <c r="A2041" s="20" t="s">
        <v>819</v>
      </c>
      <c r="E2041" s="22">
        <f>IF(D2041="?OLD","!!!","")</f>
        <v/>
      </c>
      <c r="F2041" s="23" t="str">
        <f>IF(OR(E2041="",E2041="!!!"),"",IF(NOT(ISNA(VLOOKUP(E2041,E$1:E2040,1,FALSE()))),"OLD",IF(AND(E2041&lt;&gt;"",E2041&lt;&gt;"!!!"),"NEW","")))</f>
        <v> </v>
      </c>
      <c r="G2041" s="24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5" t="str">
        <f>IF(J2041&lt;&gt;1,"",IF(I2041="SBJ","CB","?"))</f>
        <v> </v>
      </c>
      <c r="I2041" s="26" t="str">
        <f>IF(OR(E2041="",E2041="!!!",F2041="NEW"),"",INDEX(B2040:B$2,-1+SUMPRODUCT(MAX(ROW(E2040:E$2)*(E2041=E2040:E$2)))))</f>
        <v> </v>
      </c>
      <c r="J2041" s="26" t="str">
        <f>IF(OR(E2041="",E2041="!!!",F2041="NEW"),"",COUNTBLANK(OFFSET(A$1,,,SUMPRODUCT(MAX(ROW(E$2:E2041)*(E2041=E$2:E2041)))))-COUNTBLANK(OFFSET(A$1,,,SUMPRODUCT(MAX(ROW(E$1:E2040)*(E2=E$1:E2040))))))</f>
        <v> </v>
      </c>
      <c r="K2041" s="26" t="str">
        <f>IF(OR(E2041="",E2041="!!!",F2041="NEW"),"",INDEX(J$1:J2040,SUMPRODUCT(MAX(ROW(E$1:E2040)*(E2041=E$1:E2040)))))</f>
        <v> </v>
      </c>
      <c r="L2041" s="27"/>
    </row>
    <row r="2042" spans="1:12">
      <c r="A2042" s="20" t="s">
        <v>1387</v>
      </c>
      <c r="E2042" s="22">
        <f>IF(D2042="?OLD","!!!","")</f>
        <v/>
      </c>
      <c r="F2042" s="23" t="str">
        <f>IF(OR(E2042="",E2042="!!!"),"",IF(NOT(ISNA(VLOOKUP(E2042,E$1:E2041,1,FALSE()))),"OLD",IF(AND(E2042&lt;&gt;"",E2042&lt;&gt;"!!!"),"NEW","")))</f>
        <v> </v>
      </c>
      <c r="G2042" s="24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5" t="str">
        <f>IF(J2042&lt;&gt;1,"",IF(I2042="SBJ","CB","?"))</f>
        <v> </v>
      </c>
      <c r="I2042" s="26" t="str">
        <f>IF(OR(E2042="",E2042="!!!",F2042="NEW"),"",INDEX(B2041:B$2,-1+SUMPRODUCT(MAX(ROW(E2041:E$2)*(E2042=E2041:E$2)))))</f>
        <v> </v>
      </c>
      <c r="J2042" s="26" t="str">
        <f>IF(OR(E2042="",E2042="!!!",F2042="NEW"),"",COUNTBLANK(OFFSET(A$1,,,SUMPRODUCT(MAX(ROW(E$2:E2042)*(E2042=E$2:E2042)))))-COUNTBLANK(OFFSET(A$1,,,SUMPRODUCT(MAX(ROW(E$1:E2041)*(E2=E$1:E2041))))))</f>
        <v> </v>
      </c>
      <c r="K2042" s="26" t="str">
        <f>IF(OR(E2042="",E2042="!!!",F2042="NEW"),"",INDEX(J$1:J2041,SUMPRODUCT(MAX(ROW(E$1:E2041)*(E2042=E$1:E2041)))))</f>
        <v> </v>
      </c>
      <c r="L2042" s="27"/>
    </row>
    <row r="2043" spans="1:12">
      <c r="A2043" s="20" t="s">
        <v>998</v>
      </c>
      <c r="E2043" s="22">
        <f>IF(D2043="?OLD","!!!","")</f>
        <v/>
      </c>
      <c r="F2043" s="23" t="str">
        <f>IF(OR(E2043="",E2043="!!!"),"",IF(NOT(ISNA(VLOOKUP(E2043,E$1:E2042,1,FALSE()))),"OLD",IF(AND(E2043&lt;&gt;"",E2043&lt;&gt;"!!!"),"NEW","")))</f>
        <v> </v>
      </c>
      <c r="G2043" s="24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5" t="str">
        <f>IF(J2043&lt;&gt;1,"",IF(I2043="SBJ","CB","?"))</f>
        <v> </v>
      </c>
      <c r="I2043" s="26" t="str">
        <f>IF(OR(E2043="",E2043="!!!",F2043="NEW"),"",INDEX(B2042:B$2,-1+SUMPRODUCT(MAX(ROW(E2042:E$2)*(E2043=E2042:E$2)))))</f>
        <v> </v>
      </c>
      <c r="J2043" s="26" t="str">
        <f>IF(OR(E2043="",E2043="!!!",F2043="NEW"),"",COUNTBLANK(OFFSET(A$1,,,SUMPRODUCT(MAX(ROW(E$2:E2043)*(E2043=E$2:E2043)))))-COUNTBLANK(OFFSET(A$1,,,SUMPRODUCT(MAX(ROW(E$1:E2042)*(E2=E$1:E2042))))))</f>
        <v> </v>
      </c>
      <c r="K2043" s="26" t="str">
        <f>IF(OR(E2043="",E2043="!!!",F2043="NEW"),"",INDEX(J$1:J2042,SUMPRODUCT(MAX(ROW(E$1:E2042)*(E2043=E$1:E2042)))))</f>
        <v> </v>
      </c>
      <c r="L2043" s="27"/>
    </row>
    <row r="2044" spans="1:12">
      <c r="A2044" s="20" t="s">
        <v>715</v>
      </c>
      <c r="B2044" s="21" t="s">
        <v>669</v>
      </c>
      <c r="C2044" s="21" t="s">
        <v>471</v>
      </c>
      <c r="D2044" s="21" t="s">
        <v>424</v>
      </c>
      <c r="E2044" s="22">
        <f>IF(D2044="?OLD","!!!","")</f>
        <v/>
      </c>
      <c r="F2044" s="23" t="str">
        <f>IF(OR(E2044="",E2044="!!!"),"",IF(NOT(ISNA(VLOOKUP(E2044,E$1:E2043,1,FALSE()))),"OLD",IF(AND(E2044&lt;&gt;"",E2044&lt;&gt;"!!!"),"NEW","")))</f>
        <v> </v>
      </c>
      <c r="G2044" s="24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5" t="str">
        <f>IF(J2044&lt;&gt;1,"",IF(I2044="SBJ","CB","?"))</f>
        <v> </v>
      </c>
      <c r="I2044" s="26" t="str">
        <f>IF(OR(E2044="",E2044="!!!",F2044="NEW"),"",INDEX(B2043:B$2,-1+SUMPRODUCT(MAX(ROW(E2043:E$2)*(E2044=E2043:E$2)))))</f>
        <v> </v>
      </c>
      <c r="J2044" s="26" t="str">
        <f>IF(OR(E2044="",E2044="!!!",F2044="NEW"),"",COUNTBLANK(OFFSET(A$1,,,SUMPRODUCT(MAX(ROW(E$2:E2044)*(E2044=E$2:E2044)))))-COUNTBLANK(OFFSET(A$1,,,SUMPRODUCT(MAX(ROW(E$1:E2043)*(E2=E$1:E2043))))))</f>
        <v> </v>
      </c>
      <c r="K2044" s="26" t="str">
        <f>IF(OR(E2044="",E2044="!!!",F2044="NEW"),"",INDEX(J$1:J2043,SUMPRODUCT(MAX(ROW(E$1:E2043)*(E2044=E$1:E2043)))))</f>
        <v> </v>
      </c>
      <c r="L2044" s="27"/>
    </row>
    <row r="2045" spans="1:12">
      <c r="A2045" s="20" t="s">
        <v>438</v>
      </c>
      <c r="E2045" s="22">
        <f>IF(D2045="?OLD","!!!","")</f>
        <v/>
      </c>
      <c r="F2045" s="23" t="str">
        <f>IF(OR(E2045="",E2045="!!!"),"",IF(NOT(ISNA(VLOOKUP(E2045,E$1:E2044,1,FALSE()))),"OLD",IF(AND(E2045&lt;&gt;"",E2045&lt;&gt;"!!!"),"NEW","")))</f>
        <v> </v>
      </c>
      <c r="G2045" s="24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5" t="str">
        <f>IF(J2045&lt;&gt;1,"",IF(I2045="SBJ","CB","?"))</f>
        <v> </v>
      </c>
      <c r="I2045" s="26" t="str">
        <f>IF(OR(E2045="",E2045="!!!",F2045="NEW"),"",INDEX(B2044:B$2,-1+SUMPRODUCT(MAX(ROW(E2044:E$2)*(E2045=E2044:E$2)))))</f>
        <v> </v>
      </c>
      <c r="J2045" s="26" t="str">
        <f>IF(OR(E2045="",E2045="!!!",F2045="NEW"),"",COUNTBLANK(OFFSET(A$1,,,SUMPRODUCT(MAX(ROW(E$2:E2045)*(E2045=E$2:E2045)))))-COUNTBLANK(OFFSET(A$1,,,SUMPRODUCT(MAX(ROW(E$1:E2044)*(E2=E$1:E2044))))))</f>
        <v> </v>
      </c>
      <c r="K2045" s="26" t="str">
        <f>IF(OR(E2045="",E2045="!!!",F2045="NEW"),"",INDEX(J$1:J2044,SUMPRODUCT(MAX(ROW(E$1:E2044)*(E2045=E$1:E2044)))))</f>
        <v> </v>
      </c>
      <c r="L2045" s="27"/>
    </row>
    <row r="2046" spans="1:12">
      <c r="A2046" s="20"/>
    </row>
    <row r="2047" spans="1:12">
      <c r="A2047" s="20" t="s">
        <v>1388</v>
      </c>
    </row>
    <row r="2048" spans="1:12">
      <c r="A2048" s="20" t="s">
        <v>1072</v>
      </c>
      <c r="E2048" s="22">
        <f>IF(D2048="?OLD","!!!","")</f>
        <v/>
      </c>
      <c r="F2048" s="23" t="str">
        <f>IF(OR(E2048="",E2048="!!!"),"",IF(NOT(ISNA(VLOOKUP(E2048,E$1:E2047,1,FALSE()))),"OLD",IF(AND(E2048&lt;&gt;"",E2048&lt;&gt;"!!!"),"NEW","")))</f>
        <v> </v>
      </c>
      <c r="G2048" s="24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5" t="str">
        <f>IF(J2048&lt;&gt;1,"",IF(I2048="SBJ","CB","?"))</f>
        <v> </v>
      </c>
      <c r="I2048" s="26" t="str">
        <f>IF(OR(E2048="",E2048="!!!",F2048="NEW"),"",INDEX(B2047:B$2,-1+SUMPRODUCT(MAX(ROW(E2047:E$2)*(E2048=E2047:E$2)))))</f>
        <v> </v>
      </c>
      <c r="J2048" s="26" t="str">
        <f>IF(OR(E2048="",E2048="!!!",F2048="NEW"),"",COUNTBLANK(OFFSET(A$1,,,SUMPRODUCT(MAX(ROW(E$2:E2048)*(E2048=E$2:E2048)))))-COUNTBLANK(OFFSET(A$1,,,SUMPRODUCT(MAX(ROW(E$1:E2047)*(E2=E$1:E2047))))))</f>
        <v> </v>
      </c>
      <c r="K2048" s="26" t="str">
        <f>IF(OR(E2048="",E2048="!!!",F2048="NEW"),"",INDEX(J$1:J2047,SUMPRODUCT(MAX(ROW(E$1:E2047)*(E2048=E$1:E2047)))))</f>
        <v> </v>
      </c>
      <c r="L2048" s="27"/>
    </row>
    <row r="2049" spans="1:12">
      <c r="A2049" s="20" t="s">
        <v>506</v>
      </c>
      <c r="E2049" s="22">
        <f>IF(D2049="?OLD","!!!","")</f>
        <v/>
      </c>
      <c r="F2049" s="23" t="str">
        <f>IF(OR(E2049="",E2049="!!!"),"",IF(NOT(ISNA(VLOOKUP(E2049,E$1:E2048,1,FALSE()))),"OLD",IF(AND(E2049&lt;&gt;"",E2049&lt;&gt;"!!!"),"NEW","")))</f>
        <v> </v>
      </c>
      <c r="G2049" s="24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5" t="str">
        <f>IF(J2049&lt;&gt;1,"",IF(I2049="SBJ","CB","?"))</f>
        <v> </v>
      </c>
      <c r="I2049" s="26" t="str">
        <f>IF(OR(E2049="",E2049="!!!",F2049="NEW"),"",INDEX(B2048:B$2,-1+SUMPRODUCT(MAX(ROW(E2048:E$2)*(E2049=E2048:E$2)))))</f>
        <v> </v>
      </c>
      <c r="J2049" s="26" t="str">
        <f>IF(OR(E2049="",E2049="!!!",F2049="NEW"),"",COUNTBLANK(OFFSET(A$1,,,SUMPRODUCT(MAX(ROW(E$2:E2049)*(E2049=E$2:E2049)))))-COUNTBLANK(OFFSET(A$1,,,SUMPRODUCT(MAX(ROW(E$1:E2048)*(E2=E$1:E2048))))))</f>
        <v> </v>
      </c>
      <c r="K2049" s="26" t="str">
        <f>IF(OR(E2049="",E2049="!!!",F2049="NEW"),"",INDEX(J$1:J2048,SUMPRODUCT(MAX(ROW(E$1:E2048)*(E2049=E$1:E2048)))))</f>
        <v> </v>
      </c>
      <c r="L2049" s="27"/>
    </row>
    <row r="2050" spans="1:12">
      <c r="A2050" s="20" t="s">
        <v>1389</v>
      </c>
      <c r="E2050" s="22">
        <f>IF(D2050="?OLD","!!!","")</f>
        <v/>
      </c>
      <c r="F2050" s="23" t="str">
        <f>IF(OR(E2050="",E2050="!!!"),"",IF(NOT(ISNA(VLOOKUP(E2050,E$1:E2049,1,FALSE()))),"OLD",IF(AND(E2050&lt;&gt;"",E2050&lt;&gt;"!!!"),"NEW","")))</f>
        <v> </v>
      </c>
      <c r="G2050" s="24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5" t="str">
        <f>IF(J2050&lt;&gt;1,"",IF(I2050="SBJ","CB","?"))</f>
        <v> </v>
      </c>
      <c r="I2050" s="26" t="str">
        <f>IF(OR(E2050="",E2050="!!!",F2050="NEW"),"",INDEX(B2049:B$2,-1+SUMPRODUCT(MAX(ROW(E2049:E$2)*(E2050=E2049:E$2)))))</f>
        <v> </v>
      </c>
      <c r="J2050" s="26" t="str">
        <f>IF(OR(E2050="",E2050="!!!",F2050="NEW"),"",COUNTBLANK(OFFSET(A$1,,,SUMPRODUCT(MAX(ROW(E$2:E2050)*(E2050=E$2:E2050)))))-COUNTBLANK(OFFSET(A$1,,,SUMPRODUCT(MAX(ROW(E$1:E2049)*(E2=E$1:E2049))))))</f>
        <v> </v>
      </c>
      <c r="K2050" s="26" t="str">
        <f>IF(OR(E2050="",E2050="!!!",F2050="NEW"),"",INDEX(J$1:J2049,SUMPRODUCT(MAX(ROW(E$1:E2049)*(E2050=E$1:E2049)))))</f>
        <v> </v>
      </c>
      <c r="L2050" s="27"/>
    </row>
    <row r="2051" spans="1:12">
      <c r="A2051" s="20" t="s">
        <v>1390</v>
      </c>
      <c r="E2051" s="22">
        <f>IF(D2051="?OLD","!!!","")</f>
        <v/>
      </c>
      <c r="F2051" s="23" t="str">
        <f>IF(OR(E2051="",E2051="!!!"),"",IF(NOT(ISNA(VLOOKUP(E2051,E$1:E2050,1,FALSE()))),"OLD",IF(AND(E2051&lt;&gt;"",E2051&lt;&gt;"!!!"),"NEW","")))</f>
        <v> </v>
      </c>
      <c r="G2051" s="24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5" t="str">
        <f>IF(J2051&lt;&gt;1,"",IF(I2051="SBJ","CB","?"))</f>
        <v> </v>
      </c>
      <c r="I2051" s="26" t="str">
        <f>IF(OR(E2051="",E2051="!!!",F2051="NEW"),"",INDEX(B2050:B$2,-1+SUMPRODUCT(MAX(ROW(E2050:E$2)*(E2051=E2050:E$2)))))</f>
        <v> </v>
      </c>
      <c r="J2051" s="26" t="str">
        <f>IF(OR(E2051="",E2051="!!!",F2051="NEW"),"",COUNTBLANK(OFFSET(A$1,,,SUMPRODUCT(MAX(ROW(E$2:E2051)*(E2051=E$2:E2051)))))-COUNTBLANK(OFFSET(A$1,,,SUMPRODUCT(MAX(ROW(E$1:E2050)*(E2=E$1:E2050))))))</f>
        <v> </v>
      </c>
      <c r="K2051" s="26" t="str">
        <f>IF(OR(E2051="",E2051="!!!",F2051="NEW"),"",INDEX(J$1:J2050,SUMPRODUCT(MAX(ROW(E$1:E2050)*(E2051=E$1:E2050)))))</f>
        <v> </v>
      </c>
      <c r="L2051" s="27"/>
    </row>
    <row r="2052" spans="1:12">
      <c r="A2052" s="20" t="s">
        <v>453</v>
      </c>
      <c r="E2052" s="22">
        <f>IF(D2052="?OLD","!!!","")</f>
        <v/>
      </c>
      <c r="F2052" s="23" t="str">
        <f>IF(OR(E2052="",E2052="!!!"),"",IF(NOT(ISNA(VLOOKUP(E2052,E$1:E2051,1,FALSE()))),"OLD",IF(AND(E2052&lt;&gt;"",E2052&lt;&gt;"!!!"),"NEW","")))</f>
        <v> </v>
      </c>
      <c r="G2052" s="24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5" t="str">
        <f>IF(J2052&lt;&gt;1,"",IF(I2052="SBJ","CB","?"))</f>
        <v> </v>
      </c>
      <c r="I2052" s="26" t="str">
        <f>IF(OR(E2052="",E2052="!!!",F2052="NEW"),"",INDEX(B2051:B$2,-1+SUMPRODUCT(MAX(ROW(E2051:E$2)*(E2052=E2051:E$2)))))</f>
        <v> </v>
      </c>
      <c r="J2052" s="26" t="str">
        <f>IF(OR(E2052="",E2052="!!!",F2052="NEW"),"",COUNTBLANK(OFFSET(A$1,,,SUMPRODUCT(MAX(ROW(E$2:E2052)*(E2052=E$2:E2052)))))-COUNTBLANK(OFFSET(A$1,,,SUMPRODUCT(MAX(ROW(E$1:E2051)*(E2=E$1:E2051))))))</f>
        <v> </v>
      </c>
      <c r="K2052" s="26" t="str">
        <f>IF(OR(E2052="",E2052="!!!",F2052="NEW"),"",INDEX(J$1:J2051,SUMPRODUCT(MAX(ROW(E$1:E2051)*(E2052=E$1:E2051)))))</f>
        <v> </v>
      </c>
      <c r="L2052" s="27"/>
    </row>
    <row r="2053" spans="1:12">
      <c r="A2053" s="20" t="s">
        <v>1391</v>
      </c>
      <c r="E2053" s="22">
        <f>IF(D2053="?OLD","!!!","")</f>
        <v/>
      </c>
      <c r="F2053" s="23" t="str">
        <f>IF(OR(E2053="",E2053="!!!"),"",IF(NOT(ISNA(VLOOKUP(E2053,E$1:E2052,1,FALSE()))),"OLD",IF(AND(E2053&lt;&gt;"",E2053&lt;&gt;"!!!"),"NEW","")))</f>
        <v> </v>
      </c>
      <c r="G2053" s="24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5" t="str">
        <f>IF(J2053&lt;&gt;1,"",IF(I2053="SBJ","CB","?"))</f>
        <v> </v>
      </c>
      <c r="I2053" s="26" t="str">
        <f>IF(OR(E2053="",E2053="!!!",F2053="NEW"),"",INDEX(B2052:B$2,-1+SUMPRODUCT(MAX(ROW(E2052:E$2)*(E2053=E2052:E$2)))))</f>
        <v> </v>
      </c>
      <c r="J2053" s="26" t="str">
        <f>IF(OR(E2053="",E2053="!!!",F2053="NEW"),"",COUNTBLANK(OFFSET(A$1,,,SUMPRODUCT(MAX(ROW(E$2:E2053)*(E2053=E$2:E2053)))))-COUNTBLANK(OFFSET(A$1,,,SUMPRODUCT(MAX(ROW(E$1:E2052)*(E2=E$1:E2052))))))</f>
        <v> </v>
      </c>
      <c r="K2053" s="26" t="str">
        <f>IF(OR(E2053="",E2053="!!!",F2053="NEW"),"",INDEX(J$1:J2052,SUMPRODUCT(MAX(ROW(E$1:E2052)*(E2053=E$1:E2052)))))</f>
        <v> </v>
      </c>
      <c r="L2053" s="27"/>
    </row>
    <row r="2054" spans="1:12">
      <c r="A2054" s="20" t="s">
        <v>1392</v>
      </c>
      <c r="E2054" s="22">
        <f>IF(D2054="?OLD","!!!","")</f>
        <v/>
      </c>
      <c r="F2054" s="23" t="str">
        <f>IF(OR(E2054="",E2054="!!!"),"",IF(NOT(ISNA(VLOOKUP(E2054,E$1:E2053,1,FALSE()))),"OLD",IF(AND(E2054&lt;&gt;"",E2054&lt;&gt;"!!!"),"NEW","")))</f>
        <v> </v>
      </c>
      <c r="G2054" s="24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5" t="str">
        <f>IF(J2054&lt;&gt;1,"",IF(I2054="SBJ","CB","?"))</f>
        <v> </v>
      </c>
      <c r="I2054" s="26" t="str">
        <f>IF(OR(E2054="",E2054="!!!",F2054="NEW"),"",INDEX(B2053:B$2,-1+SUMPRODUCT(MAX(ROW(E2053:E$2)*(E2054=E2053:E$2)))))</f>
        <v> </v>
      </c>
      <c r="J2054" s="26" t="str">
        <f>IF(OR(E2054="",E2054="!!!",F2054="NEW"),"",COUNTBLANK(OFFSET(A$1,,,SUMPRODUCT(MAX(ROW(E$2:E2054)*(E2054=E$2:E2054)))))-COUNTBLANK(OFFSET(A$1,,,SUMPRODUCT(MAX(ROW(E$1:E2053)*(E2=E$1:E2053))))))</f>
        <v> </v>
      </c>
      <c r="K2054" s="26" t="str">
        <f>IF(OR(E2054="",E2054="!!!",F2054="NEW"),"",INDEX(J$1:J2053,SUMPRODUCT(MAX(ROW(E$1:E2053)*(E2054=E$1:E2053)))))</f>
        <v> </v>
      </c>
      <c r="L2054" s="27"/>
    </row>
    <row r="2055" spans="1:12">
      <c r="A2055" s="20" t="s">
        <v>1393</v>
      </c>
      <c r="B2055" s="21" t="s">
        <v>422</v>
      </c>
      <c r="E2055" s="22">
        <f>IF(D2055="?OLD","!!!","")</f>
        <v/>
      </c>
      <c r="F2055" s="23" t="str">
        <f>IF(OR(E2055="",E2055="!!!"),"",IF(NOT(ISNA(VLOOKUP(E2055,E$1:E2054,1,FALSE()))),"OLD",IF(AND(E2055&lt;&gt;"",E2055&lt;&gt;"!!!"),"NEW","")))</f>
        <v> </v>
      </c>
      <c r="G2055" s="24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5" t="str">
        <f>IF(J2055&lt;&gt;1,"",IF(I2055="SBJ","CB","?"))</f>
        <v> </v>
      </c>
      <c r="I2055" s="26" t="str">
        <f>IF(OR(E2055="",E2055="!!!",F2055="NEW"),"",INDEX(B2054:B$2,-1+SUMPRODUCT(MAX(ROW(E2054:E$2)*(E2055=E2054:E$2)))))</f>
        <v> </v>
      </c>
      <c r="J2055" s="26" t="str">
        <f>IF(OR(E2055="",E2055="!!!",F2055="NEW"),"",COUNTBLANK(OFFSET(A$1,,,SUMPRODUCT(MAX(ROW(E$2:E2055)*(E2055=E$2:E2055)))))-COUNTBLANK(OFFSET(A$1,,,SUMPRODUCT(MAX(ROW(E$1:E2054)*(E2=E$1:E2054))))))</f>
        <v> </v>
      </c>
      <c r="K2055" s="26" t="str">
        <f>IF(OR(E2055="",E2055="!!!",F2055="NEW"),"",INDEX(J$1:J2054,SUMPRODUCT(MAX(ROW(E$1:E2054)*(E2055=E$1:E2054)))))</f>
        <v> </v>
      </c>
      <c r="L2055" s="27"/>
    </row>
    <row r="2056" spans="1:12">
      <c r="A2056" s="20" t="s">
        <v>651</v>
      </c>
      <c r="E2056" s="22">
        <f>IF(D2056="?OLD","!!!","")</f>
        <v/>
      </c>
      <c r="F2056" s="23" t="str">
        <f>IF(OR(E2056="",E2056="!!!"),"",IF(NOT(ISNA(VLOOKUP(E2056,E$1:E2055,1,FALSE()))),"OLD",IF(AND(E2056&lt;&gt;"",E2056&lt;&gt;"!!!"),"NEW","")))</f>
        <v> </v>
      </c>
      <c r="G2056" s="24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5" t="str">
        <f>IF(J2056&lt;&gt;1,"",IF(I2056="SBJ","CB","?"))</f>
        <v> </v>
      </c>
      <c r="I2056" s="26" t="str">
        <f>IF(OR(E2056="",E2056="!!!",F2056="NEW"),"",INDEX(B2055:B$2,-1+SUMPRODUCT(MAX(ROW(E2055:E$2)*(E2056=E2055:E$2)))))</f>
        <v> </v>
      </c>
      <c r="J2056" s="26" t="str">
        <f>IF(OR(E2056="",E2056="!!!",F2056="NEW"),"",COUNTBLANK(OFFSET(A$1,,,SUMPRODUCT(MAX(ROW(E$2:E2056)*(E2056=E$2:E2056)))))-COUNTBLANK(OFFSET(A$1,,,SUMPRODUCT(MAX(ROW(E$1:E2055)*(E2=E$1:E2055))))))</f>
        <v> </v>
      </c>
      <c r="K2056" s="26" t="str">
        <f>IF(OR(E2056="",E2056="!!!",F2056="NEW"),"",INDEX(J$1:J2055,SUMPRODUCT(MAX(ROW(E$1:E2055)*(E2056=E$1:E2055)))))</f>
        <v> </v>
      </c>
      <c r="L2056" s="27"/>
    </row>
    <row r="2057" spans="1:12">
      <c r="A2057" s="20" t="s">
        <v>696</v>
      </c>
      <c r="E2057" s="22">
        <f>IF(D2057="?OLD","!!!","")</f>
        <v/>
      </c>
      <c r="F2057" s="23" t="str">
        <f>IF(OR(E2057="",E2057="!!!"),"",IF(NOT(ISNA(VLOOKUP(E2057,E$1:E2056,1,FALSE()))),"OLD",IF(AND(E2057&lt;&gt;"",E2057&lt;&gt;"!!!"),"NEW","")))</f>
        <v> </v>
      </c>
      <c r="G2057" s="24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5" t="str">
        <f>IF(J2057&lt;&gt;1,"",IF(I2057="SBJ","CB","?"))</f>
        <v> </v>
      </c>
      <c r="I2057" s="26" t="str">
        <f>IF(OR(E2057="",E2057="!!!",F2057="NEW"),"",INDEX(B2056:B$2,-1+SUMPRODUCT(MAX(ROW(E2056:E$2)*(E2057=E2056:E$2)))))</f>
        <v> </v>
      </c>
      <c r="J2057" s="26" t="str">
        <f>IF(OR(E2057="",E2057="!!!",F2057="NEW"),"",COUNTBLANK(OFFSET(A$1,,,SUMPRODUCT(MAX(ROW(E$2:E2057)*(E2057=E$2:E2057)))))-COUNTBLANK(OFFSET(A$1,,,SUMPRODUCT(MAX(ROW(E$1:E2056)*(E2=E$1:E2056))))))</f>
        <v> </v>
      </c>
      <c r="K2057" s="26" t="str">
        <f>IF(OR(E2057="",E2057="!!!",F2057="NEW"),"",INDEX(J$1:J2056,SUMPRODUCT(MAX(ROW(E$1:E2056)*(E2057=E$1:E2056)))))</f>
        <v> </v>
      </c>
      <c r="L2057" s="27"/>
    </row>
    <row r="2058" spans="1:12">
      <c r="A2058" s="20" t="s">
        <v>1348</v>
      </c>
      <c r="E2058" s="22">
        <f>IF(D2058="?OLD","!!!","")</f>
        <v/>
      </c>
      <c r="F2058" s="23" t="str">
        <f>IF(OR(E2058="",E2058="!!!"),"",IF(NOT(ISNA(VLOOKUP(E2058,E$1:E2057,1,FALSE()))),"OLD",IF(AND(E2058&lt;&gt;"",E2058&lt;&gt;"!!!"),"NEW","")))</f>
        <v> </v>
      </c>
      <c r="G2058" s="24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5" t="str">
        <f>IF(J2058&lt;&gt;1,"",IF(I2058="SBJ","CB","?"))</f>
        <v> </v>
      </c>
      <c r="I2058" s="26" t="str">
        <f>IF(OR(E2058="",E2058="!!!",F2058="NEW"),"",INDEX(B2057:B$2,-1+SUMPRODUCT(MAX(ROW(E2057:E$2)*(E2058=E2057:E$2)))))</f>
        <v> </v>
      </c>
      <c r="J2058" s="26" t="str">
        <f>IF(OR(E2058="",E2058="!!!",F2058="NEW"),"",COUNTBLANK(OFFSET(A$1,,,SUMPRODUCT(MAX(ROW(E$2:E2058)*(E2058=E$2:E2058)))))-COUNTBLANK(OFFSET(A$1,,,SUMPRODUCT(MAX(ROW(E$1:E2057)*(E2=E$1:E2057))))))</f>
        <v> </v>
      </c>
      <c r="K2058" s="26" t="str">
        <f>IF(OR(E2058="",E2058="!!!",F2058="NEW"),"",INDEX(J$1:J2057,SUMPRODUCT(MAX(ROW(E$1:E2057)*(E2058=E$1:E2057)))))</f>
        <v> </v>
      </c>
      <c r="L2058" s="27"/>
    </row>
    <row r="2059" spans="1:12">
      <c r="A2059" s="20" t="s">
        <v>438</v>
      </c>
      <c r="E2059" s="22">
        <f>IF(D2059="?OLD","!!!","")</f>
        <v/>
      </c>
      <c r="F2059" s="23" t="str">
        <f>IF(OR(E2059="",E2059="!!!"),"",IF(NOT(ISNA(VLOOKUP(E2059,E$1:E2058,1,FALSE()))),"OLD",IF(AND(E2059&lt;&gt;"",E2059&lt;&gt;"!!!"),"NEW","")))</f>
        <v> </v>
      </c>
      <c r="G2059" s="24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5" t="str">
        <f>IF(J2059&lt;&gt;1,"",IF(I2059="SBJ","CB","?"))</f>
        <v> </v>
      </c>
      <c r="I2059" s="26" t="str">
        <f>IF(OR(E2059="",E2059="!!!",F2059="NEW"),"",INDEX(B2058:B$2,-1+SUMPRODUCT(MAX(ROW(E2058:E$2)*(E2059=E2058:E$2)))))</f>
        <v> </v>
      </c>
      <c r="J2059" s="26" t="str">
        <f>IF(OR(E2059="",E2059="!!!",F2059="NEW"),"",COUNTBLANK(OFFSET(A$1,,,SUMPRODUCT(MAX(ROW(E$2:E2059)*(E2059=E$2:E2059)))))-COUNTBLANK(OFFSET(A$1,,,SUMPRODUCT(MAX(ROW(E$1:E2058)*(E2=E$1:E2058))))))</f>
        <v> </v>
      </c>
      <c r="K2059" s="26" t="str">
        <f>IF(OR(E2059="",E2059="!!!",F2059="NEW"),"",INDEX(J$1:J2058,SUMPRODUCT(MAX(ROW(E$1:E2058)*(E2059=E$1:E2058)))))</f>
        <v> </v>
      </c>
      <c r="L2059" s="27"/>
    </row>
    <row r="2060" spans="1:12">
      <c r="A2060" s="20"/>
    </row>
    <row r="2061" spans="1:12">
      <c r="A2061" s="20" t="s">
        <v>1394</v>
      </c>
    </row>
    <row r="2062" spans="1:12">
      <c r="A2062" s="20" t="s">
        <v>1395</v>
      </c>
      <c r="B2062" s="21" t="s">
        <v>422</v>
      </c>
      <c r="E2062" s="22">
        <f>IF(D2062="?OLD","!!!","")</f>
        <v/>
      </c>
      <c r="F2062" s="23" t="str">
        <f>IF(OR(E2062="",E2062="!!!"),"",IF(NOT(ISNA(VLOOKUP(E2062,E$1:E2061,1,FALSE()))),"OLD",IF(AND(E2062&lt;&gt;"",E2062&lt;&gt;"!!!"),"NEW","")))</f>
        <v> </v>
      </c>
      <c r="G2062" s="24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5" t="str">
        <f>IF(J2062&lt;&gt;1,"",IF(I2062="SBJ","CB","?"))</f>
        <v> </v>
      </c>
      <c r="I2062" s="26" t="str">
        <f>IF(OR(E2062="",E2062="!!!",F2062="NEW"),"",INDEX(B2061:B$2,-1+SUMPRODUCT(MAX(ROW(E2061:E$2)*(E2062=E2061:E$2)))))</f>
        <v> </v>
      </c>
      <c r="J2062" s="26" t="str">
        <f>IF(OR(E2062="",E2062="!!!",F2062="NEW"),"",COUNTBLANK(OFFSET(A$1,,,SUMPRODUCT(MAX(ROW(E$2:E2062)*(E2062=E$2:E2062)))))-COUNTBLANK(OFFSET(A$1,,,SUMPRODUCT(MAX(ROW(E$1:E2061)*(E2=E$1:E2061))))))</f>
        <v> </v>
      </c>
      <c r="K2062" s="26" t="str">
        <f>IF(OR(E2062="",E2062="!!!",F2062="NEW"),"",INDEX(J$1:J2061,SUMPRODUCT(MAX(ROW(E$1:E2061)*(E2062=E$1:E2061)))))</f>
        <v> </v>
      </c>
      <c r="L2062" s="27"/>
    </row>
    <row r="2063" spans="1:12">
      <c r="A2063" s="20" t="s">
        <v>636</v>
      </c>
      <c r="E2063" s="22">
        <f>IF(D2063="?OLD","!!!","")</f>
        <v/>
      </c>
      <c r="F2063" s="23" t="str">
        <f>IF(OR(E2063="",E2063="!!!"),"",IF(NOT(ISNA(VLOOKUP(E2063,E$1:E2062,1,FALSE()))),"OLD",IF(AND(E2063&lt;&gt;"",E2063&lt;&gt;"!!!"),"NEW","")))</f>
        <v> </v>
      </c>
      <c r="G2063" s="24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5" t="str">
        <f>IF(J2063&lt;&gt;1,"",IF(I2063="SBJ","CB","?"))</f>
        <v> </v>
      </c>
      <c r="I2063" s="26" t="str">
        <f>IF(OR(E2063="",E2063="!!!",F2063="NEW"),"",INDEX(B2062:B$2,-1+SUMPRODUCT(MAX(ROW(E2062:E$2)*(E2063=E2062:E$2)))))</f>
        <v> </v>
      </c>
      <c r="J2063" s="26" t="str">
        <f>IF(OR(E2063="",E2063="!!!",F2063="NEW"),"",COUNTBLANK(OFFSET(A$1,,,SUMPRODUCT(MAX(ROW(E$2:E2063)*(E2063=E$2:E2063)))))-COUNTBLANK(OFFSET(A$1,,,SUMPRODUCT(MAX(ROW(E$1:E2062)*(E2=E$1:E2062))))))</f>
        <v> </v>
      </c>
      <c r="K2063" s="26" t="str">
        <f>IF(OR(E2063="",E2063="!!!",F2063="NEW"),"",INDEX(J$1:J2062,SUMPRODUCT(MAX(ROW(E$1:E2062)*(E2063=E$1:E2062)))))</f>
        <v> </v>
      </c>
      <c r="L2063" s="27"/>
    </row>
    <row r="2064" spans="1:12">
      <c r="A2064" s="20" t="s">
        <v>1044</v>
      </c>
      <c r="E2064" s="22">
        <f>IF(D2064="?OLD","!!!","")</f>
        <v/>
      </c>
      <c r="F2064" s="23" t="str">
        <f>IF(OR(E2064="",E2064="!!!"),"",IF(NOT(ISNA(VLOOKUP(E2064,E$1:E2063,1,FALSE()))),"OLD",IF(AND(E2064&lt;&gt;"",E2064&lt;&gt;"!!!"),"NEW","")))</f>
        <v> </v>
      </c>
      <c r="G2064" s="24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5" t="str">
        <f>IF(J2064&lt;&gt;1,"",IF(I2064="SBJ","CB","?"))</f>
        <v> </v>
      </c>
      <c r="I2064" s="26" t="str">
        <f>IF(OR(E2064="",E2064="!!!",F2064="NEW"),"",INDEX(B2063:B$2,-1+SUMPRODUCT(MAX(ROW(E2063:E$2)*(E2064=E2063:E$2)))))</f>
        <v> </v>
      </c>
      <c r="J2064" s="26" t="str">
        <f>IF(OR(E2064="",E2064="!!!",F2064="NEW"),"",COUNTBLANK(OFFSET(A$1,,,SUMPRODUCT(MAX(ROW(E$2:E2064)*(E2064=E$2:E2064)))))-COUNTBLANK(OFFSET(A$1,,,SUMPRODUCT(MAX(ROW(E$1:E2063)*(E2=E$1:E2063))))))</f>
        <v> </v>
      </c>
      <c r="K2064" s="26" t="str">
        <f>IF(OR(E2064="",E2064="!!!",F2064="NEW"),"",INDEX(J$1:J2063,SUMPRODUCT(MAX(ROW(E$1:E2063)*(E2064=E$1:E2063)))))</f>
        <v> </v>
      </c>
      <c r="L2064" s="27"/>
    </row>
    <row r="2065" spans="1:12">
      <c r="A2065" s="20" t="s">
        <v>1204</v>
      </c>
      <c r="E2065" s="22">
        <f>IF(D2065="?OLD","!!!","")</f>
        <v/>
      </c>
      <c r="F2065" s="23" t="str">
        <f>IF(OR(E2065="",E2065="!!!"),"",IF(NOT(ISNA(VLOOKUP(E2065,E$1:E2064,1,FALSE()))),"OLD",IF(AND(E2065&lt;&gt;"",E2065&lt;&gt;"!!!"),"NEW","")))</f>
        <v> </v>
      </c>
      <c r="G2065" s="24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5" t="str">
        <f>IF(J2065&lt;&gt;1,"",IF(I2065="SBJ","CB","?"))</f>
        <v> </v>
      </c>
      <c r="I2065" s="26" t="str">
        <f>IF(OR(E2065="",E2065="!!!",F2065="NEW"),"",INDEX(B2064:B$2,-1+SUMPRODUCT(MAX(ROW(E2064:E$2)*(E2065=E2064:E$2)))))</f>
        <v> </v>
      </c>
      <c r="J2065" s="26" t="str">
        <f>IF(OR(E2065="",E2065="!!!",F2065="NEW"),"",COUNTBLANK(OFFSET(A$1,,,SUMPRODUCT(MAX(ROW(E$2:E2065)*(E2065=E$2:E2065)))))-COUNTBLANK(OFFSET(A$1,,,SUMPRODUCT(MAX(ROW(E$1:E2064)*(E2=E$1:E2064))))))</f>
        <v> </v>
      </c>
      <c r="K2065" s="26" t="str">
        <f>IF(OR(E2065="",E2065="!!!",F2065="NEW"),"",INDEX(J$1:J2064,SUMPRODUCT(MAX(ROW(E$1:E2064)*(E2065=E$1:E2064)))))</f>
        <v> </v>
      </c>
      <c r="L2065" s="27"/>
    </row>
    <row r="2066" spans="1:12">
      <c r="A2066" s="20" t="s">
        <v>1396</v>
      </c>
      <c r="E2066" s="22">
        <f>IF(D2066="?OLD","!!!","")</f>
        <v/>
      </c>
      <c r="F2066" s="23" t="str">
        <f>IF(OR(E2066="",E2066="!!!"),"",IF(NOT(ISNA(VLOOKUP(E2066,E$1:E2065,1,FALSE()))),"OLD",IF(AND(E2066&lt;&gt;"",E2066&lt;&gt;"!!!"),"NEW","")))</f>
        <v> </v>
      </c>
      <c r="G2066" s="24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5" t="str">
        <f>IF(J2066&lt;&gt;1,"",IF(I2066="SBJ","CB","?"))</f>
        <v> </v>
      </c>
      <c r="I2066" s="26" t="str">
        <f>IF(OR(E2066="",E2066="!!!",F2066="NEW"),"",INDEX(B2065:B$2,-1+SUMPRODUCT(MAX(ROW(E2065:E$2)*(E2066=E2065:E$2)))))</f>
        <v> </v>
      </c>
      <c r="J2066" s="26" t="str">
        <f>IF(OR(E2066="",E2066="!!!",F2066="NEW"),"",COUNTBLANK(OFFSET(A$1,,,SUMPRODUCT(MAX(ROW(E$2:E2066)*(E2066=E$2:E2066)))))-COUNTBLANK(OFFSET(A$1,,,SUMPRODUCT(MAX(ROW(E$1:E2065)*(E2=E$1:E2065))))))</f>
        <v> </v>
      </c>
      <c r="K2066" s="26" t="str">
        <f>IF(OR(E2066="",E2066="!!!",F2066="NEW"),"",INDEX(J$1:J2065,SUMPRODUCT(MAX(ROW(E$1:E2065)*(E2066=E$1:E2065)))))</f>
        <v> </v>
      </c>
      <c r="L2066" s="27"/>
    </row>
    <row r="2067" spans="1:12">
      <c r="A2067" s="20" t="s">
        <v>1079</v>
      </c>
      <c r="E2067" s="22">
        <f>IF(D2067="?OLD","!!!","")</f>
        <v/>
      </c>
      <c r="F2067" s="23" t="str">
        <f>IF(OR(E2067="",E2067="!!!"),"",IF(NOT(ISNA(VLOOKUP(E2067,E$1:E2066,1,FALSE()))),"OLD",IF(AND(E2067&lt;&gt;"",E2067&lt;&gt;"!!!"),"NEW","")))</f>
        <v> </v>
      </c>
      <c r="G2067" s="24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5" t="str">
        <f>IF(J2067&lt;&gt;1,"",IF(I2067="SBJ","CB","?"))</f>
        <v> </v>
      </c>
      <c r="I2067" s="26" t="str">
        <f>IF(OR(E2067="",E2067="!!!",F2067="NEW"),"",INDEX(B2066:B$2,-1+SUMPRODUCT(MAX(ROW(E2066:E$2)*(E2067=E2066:E$2)))))</f>
        <v> </v>
      </c>
      <c r="J2067" s="26" t="str">
        <f>IF(OR(E2067="",E2067="!!!",F2067="NEW"),"",COUNTBLANK(OFFSET(A$1,,,SUMPRODUCT(MAX(ROW(E$2:E2067)*(E2067=E$2:E2067)))))-COUNTBLANK(OFFSET(A$1,,,SUMPRODUCT(MAX(ROW(E$1:E2066)*(E2=E$1:E2066))))))</f>
        <v> </v>
      </c>
      <c r="K2067" s="26" t="str">
        <f>IF(OR(E2067="",E2067="!!!",F2067="NEW"),"",INDEX(J$1:J2066,SUMPRODUCT(MAX(ROW(E$1:E2066)*(E2067=E$1:E2066)))))</f>
        <v> </v>
      </c>
      <c r="L2067" s="27"/>
    </row>
    <row r="2068" spans="1:12">
      <c r="A2068" s="20" t="s">
        <v>438</v>
      </c>
      <c r="E2068" s="22">
        <f>IF(D2068="?OLD","!!!","")</f>
        <v/>
      </c>
      <c r="F2068" s="23" t="str">
        <f>IF(OR(E2068="",E2068="!!!"),"",IF(NOT(ISNA(VLOOKUP(E2068,E$1:E2067,1,FALSE()))),"OLD",IF(AND(E2068&lt;&gt;"",E2068&lt;&gt;"!!!"),"NEW","")))</f>
        <v> </v>
      </c>
      <c r="G2068" s="24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5" t="str">
        <f>IF(J2068&lt;&gt;1,"",IF(I2068="SBJ","CB","?"))</f>
        <v> </v>
      </c>
      <c r="I2068" s="26" t="str">
        <f>IF(OR(E2068="",E2068="!!!",F2068="NEW"),"",INDEX(B2067:B$2,-1+SUMPRODUCT(MAX(ROW(E2067:E$2)*(E2068=E2067:E$2)))))</f>
        <v> </v>
      </c>
      <c r="J2068" s="26" t="str">
        <f>IF(OR(E2068="",E2068="!!!",F2068="NEW"),"",COUNTBLANK(OFFSET(A$1,,,SUMPRODUCT(MAX(ROW(E$2:E2068)*(E2068=E$2:E2068)))))-COUNTBLANK(OFFSET(A$1,,,SUMPRODUCT(MAX(ROW(E$1:E2067)*(E2=E$1:E2067))))))</f>
        <v> </v>
      </c>
      <c r="K2068" s="26" t="str">
        <f>IF(OR(E2068="",E2068="!!!",F2068="NEW"),"",INDEX(J$1:J2067,SUMPRODUCT(MAX(ROW(E$1:E2067)*(E2068=E$1:E2067)))))</f>
        <v> </v>
      </c>
      <c r="L2068" s="27"/>
    </row>
    <row r="2069" spans="1:12">
      <c r="A2069" s="20"/>
    </row>
    <row r="2070" spans="1:12">
      <c r="A2070" s="20" t="s">
        <v>1397</v>
      </c>
    </row>
    <row r="2071" spans="1:12">
      <c r="A2071" s="20" t="s">
        <v>1021</v>
      </c>
      <c r="E2071" s="22">
        <f>IF(D2071="?OLD","!!!","")</f>
        <v/>
      </c>
      <c r="F2071" s="23" t="str">
        <f>IF(OR(E2071="",E2071="!!!"),"",IF(NOT(ISNA(VLOOKUP(E2071,E$1:E2070,1,FALSE()))),"OLD",IF(AND(E2071&lt;&gt;"",E2071&lt;&gt;"!!!"),"NEW","")))</f>
        <v> </v>
      </c>
      <c r="G2071" s="24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5" t="str">
        <f>IF(J2071&lt;&gt;1,"",IF(I2071="SBJ","CB","?"))</f>
        <v> </v>
      </c>
      <c r="I2071" s="26" t="str">
        <f>IF(OR(E2071="",E2071="!!!",F2071="NEW"),"",INDEX(B2070:B$2,-1+SUMPRODUCT(MAX(ROW(E2070:E$2)*(E2071=E2070:E$2)))))</f>
        <v> </v>
      </c>
      <c r="J2071" s="26" t="str">
        <f>IF(OR(E2071="",E2071="!!!",F2071="NEW"),"",COUNTBLANK(OFFSET(A$1,,,SUMPRODUCT(MAX(ROW(E$2:E2071)*(E2071=E$2:E2071)))))-COUNTBLANK(OFFSET(A$1,,,SUMPRODUCT(MAX(ROW(E$1:E2070)*(E2=E$1:E2070))))))</f>
        <v> </v>
      </c>
      <c r="K2071" s="26" t="str">
        <f>IF(OR(E2071="",E2071="!!!",F2071="NEW"),"",INDEX(J$1:J2070,SUMPRODUCT(MAX(ROW(E$1:E2070)*(E2071=E$1:E2070)))))</f>
        <v> </v>
      </c>
      <c r="L2071" s="27"/>
    </row>
    <row r="2072" spans="1:12">
      <c r="A2072" s="20" t="s">
        <v>538</v>
      </c>
      <c r="E2072" s="22">
        <f>IF(D2072="?OLD","!!!","")</f>
        <v/>
      </c>
      <c r="F2072" s="23" t="str">
        <f>IF(OR(E2072="",E2072="!!!"),"",IF(NOT(ISNA(VLOOKUP(E2072,E$1:E2071,1,FALSE()))),"OLD",IF(AND(E2072&lt;&gt;"",E2072&lt;&gt;"!!!"),"NEW","")))</f>
        <v> </v>
      </c>
      <c r="G2072" s="24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5" t="str">
        <f>IF(J2072&lt;&gt;1,"",IF(I2072="SBJ","CB","?"))</f>
        <v> </v>
      </c>
      <c r="I2072" s="26" t="str">
        <f>IF(OR(E2072="",E2072="!!!",F2072="NEW"),"",INDEX(B2071:B$2,-1+SUMPRODUCT(MAX(ROW(E2071:E$2)*(E2072=E2071:E$2)))))</f>
        <v> </v>
      </c>
      <c r="J2072" s="26" t="str">
        <f>IF(OR(E2072="",E2072="!!!",F2072="NEW"),"",COUNTBLANK(OFFSET(A$1,,,SUMPRODUCT(MAX(ROW(E$2:E2072)*(E2072=E$2:E2072)))))-COUNTBLANK(OFFSET(A$1,,,SUMPRODUCT(MAX(ROW(E$1:E2071)*(E2=E$1:E2071))))))</f>
        <v> </v>
      </c>
      <c r="K2072" s="26" t="str">
        <f>IF(OR(E2072="",E2072="!!!",F2072="NEW"),"",INDEX(J$1:J2071,SUMPRODUCT(MAX(ROW(E$1:E2071)*(E2072=E$1:E2071)))))</f>
        <v> </v>
      </c>
      <c r="L2072" s="27"/>
    </row>
    <row r="2073" spans="1:12">
      <c r="A2073" s="20" t="s">
        <v>492</v>
      </c>
      <c r="B2073" s="21" t="s">
        <v>556</v>
      </c>
      <c r="C2073" s="21" t="s">
        <v>423</v>
      </c>
      <c r="D2073" s="21" t="s">
        <v>424</v>
      </c>
      <c r="E2073" s="22">
        <f>IF(D2073="?OLD","!!!","")</f>
        <v/>
      </c>
      <c r="F2073" s="23" t="str">
        <f>IF(OR(E2073="",E2073="!!!"),"",IF(NOT(ISNA(VLOOKUP(E2073,E$1:E2072,1,FALSE()))),"OLD",IF(AND(E2073&lt;&gt;"",E2073&lt;&gt;"!!!"),"NEW","")))</f>
        <v> </v>
      </c>
      <c r="G2073" s="24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5" t="str">
        <f>IF(J2073&lt;&gt;1,"",IF(I2073="SBJ","CB","?"))</f>
        <v> </v>
      </c>
      <c r="I2073" s="26" t="str">
        <f>IF(OR(E2073="",E2073="!!!",F2073="NEW"),"",INDEX(B2072:B$2,-1+SUMPRODUCT(MAX(ROW(E2072:E$2)*(E2073=E2072:E$2)))))</f>
        <v> </v>
      </c>
      <c r="J2073" s="26" t="str">
        <f>IF(OR(E2073="",E2073="!!!",F2073="NEW"),"",COUNTBLANK(OFFSET(A$1,,,SUMPRODUCT(MAX(ROW(E$2:E2073)*(E2073=E$2:E2073)))))-COUNTBLANK(OFFSET(A$1,,,SUMPRODUCT(MAX(ROW(E$1:E2072)*(E2=E$1:E2072))))))</f>
        <v> </v>
      </c>
      <c r="K2073" s="26" t="str">
        <f>IF(OR(E2073="",E2073="!!!",F2073="NEW"),"",INDEX(J$1:J2072,SUMPRODUCT(MAX(ROW(E$1:E2072)*(E2073=E$1:E2072)))))</f>
        <v> </v>
      </c>
      <c r="L2073" s="27"/>
    </row>
    <row r="2074" spans="1:12">
      <c r="A2074" s="20" t="s">
        <v>1398</v>
      </c>
      <c r="E2074" s="22">
        <f>IF(D2074="?OLD","!!!","")</f>
        <v/>
      </c>
      <c r="F2074" s="23" t="str">
        <f>IF(OR(E2074="",E2074="!!!"),"",IF(NOT(ISNA(VLOOKUP(E2074,E$1:E2073,1,FALSE()))),"OLD",IF(AND(E2074&lt;&gt;"",E2074&lt;&gt;"!!!"),"NEW","")))</f>
        <v> </v>
      </c>
      <c r="G2074" s="24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5" t="str">
        <f>IF(J2074&lt;&gt;1,"",IF(I2074="SBJ","CB","?"))</f>
        <v> </v>
      </c>
      <c r="I2074" s="26" t="str">
        <f>IF(OR(E2074="",E2074="!!!",F2074="NEW"),"",INDEX(B2073:B$2,-1+SUMPRODUCT(MAX(ROW(E2073:E$2)*(E2074=E2073:E$2)))))</f>
        <v> </v>
      </c>
      <c r="J2074" s="26" t="str">
        <f>IF(OR(E2074="",E2074="!!!",F2074="NEW"),"",COUNTBLANK(OFFSET(A$1,,,SUMPRODUCT(MAX(ROW(E$2:E2074)*(E2074=E$2:E2074)))))-COUNTBLANK(OFFSET(A$1,,,SUMPRODUCT(MAX(ROW(E$1:E2073)*(E2=E$1:E2073))))))</f>
        <v> </v>
      </c>
      <c r="K2074" s="26" t="str">
        <f>IF(OR(E2074="",E2074="!!!",F2074="NEW"),"",INDEX(J$1:J2073,SUMPRODUCT(MAX(ROW(E$1:E2073)*(E2074=E$1:E2073)))))</f>
        <v> </v>
      </c>
      <c r="L2074" s="27"/>
    </row>
    <row r="2075" spans="1:12">
      <c r="A2075" s="20" t="s">
        <v>453</v>
      </c>
      <c r="E2075" s="22">
        <f>IF(D2075="?OLD","!!!","")</f>
        <v/>
      </c>
      <c r="F2075" s="23" t="str">
        <f>IF(OR(E2075="",E2075="!!!"),"",IF(NOT(ISNA(VLOOKUP(E2075,E$1:E2074,1,FALSE()))),"OLD",IF(AND(E2075&lt;&gt;"",E2075&lt;&gt;"!!!"),"NEW","")))</f>
        <v> </v>
      </c>
      <c r="G2075" s="24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5" t="str">
        <f>IF(J2075&lt;&gt;1,"",IF(I2075="SBJ","CB","?"))</f>
        <v> </v>
      </c>
      <c r="I2075" s="26" t="str">
        <f>IF(OR(E2075="",E2075="!!!",F2075="NEW"),"",INDEX(B2074:B$2,-1+SUMPRODUCT(MAX(ROW(E2074:E$2)*(E2075=E2074:E$2)))))</f>
        <v> </v>
      </c>
      <c r="J2075" s="26" t="str">
        <f>IF(OR(E2075="",E2075="!!!",F2075="NEW"),"",COUNTBLANK(OFFSET(A$1,,,SUMPRODUCT(MAX(ROW(E$2:E2075)*(E2075=E$2:E2075)))))-COUNTBLANK(OFFSET(A$1,,,SUMPRODUCT(MAX(ROW(E$1:E2074)*(E2=E$1:E2074))))))</f>
        <v> </v>
      </c>
      <c r="K2075" s="26" t="str">
        <f>IF(OR(E2075="",E2075="!!!",F2075="NEW"),"",INDEX(J$1:J2074,SUMPRODUCT(MAX(ROW(E$1:E2074)*(E2075=E$1:E2074)))))</f>
        <v> </v>
      </c>
      <c r="L2075" s="27"/>
    </row>
    <row r="2076" spans="1:12">
      <c r="A2076" s="20" t="s">
        <v>660</v>
      </c>
      <c r="E2076" s="22">
        <f>IF(D2076="?OLD","!!!","")</f>
        <v/>
      </c>
      <c r="F2076" s="23" t="str">
        <f>IF(OR(E2076="",E2076="!!!"),"",IF(NOT(ISNA(VLOOKUP(E2076,E$1:E2075,1,FALSE()))),"OLD",IF(AND(E2076&lt;&gt;"",E2076&lt;&gt;"!!!"),"NEW","")))</f>
        <v> </v>
      </c>
      <c r="G2076" s="24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5" t="str">
        <f>IF(J2076&lt;&gt;1,"",IF(I2076="SBJ","CB","?"))</f>
        <v> </v>
      </c>
      <c r="I2076" s="26" t="str">
        <f>IF(OR(E2076="",E2076="!!!",F2076="NEW"),"",INDEX(B2075:B$2,-1+SUMPRODUCT(MAX(ROW(E2075:E$2)*(E2076=E2075:E$2)))))</f>
        <v> </v>
      </c>
      <c r="J2076" s="26" t="str">
        <f>IF(OR(E2076="",E2076="!!!",F2076="NEW"),"",COUNTBLANK(OFFSET(A$1,,,SUMPRODUCT(MAX(ROW(E$2:E2076)*(E2076=E$2:E2076)))))-COUNTBLANK(OFFSET(A$1,,,SUMPRODUCT(MAX(ROW(E$1:E2075)*(E2=E$1:E2075))))))</f>
        <v> </v>
      </c>
      <c r="K2076" s="26" t="str">
        <f>IF(OR(E2076="",E2076="!!!",F2076="NEW"),"",INDEX(J$1:J2075,SUMPRODUCT(MAX(ROW(E$1:E2075)*(E2076=E$1:E2075)))))</f>
        <v> </v>
      </c>
      <c r="L2076" s="27"/>
    </row>
    <row r="2077" spans="1:12">
      <c r="A2077" s="20" t="s">
        <v>453</v>
      </c>
      <c r="E2077" s="22">
        <f>IF(D2077="?OLD","!!!","")</f>
        <v/>
      </c>
      <c r="F2077" s="23" t="str">
        <f>IF(OR(E2077="",E2077="!!!"),"",IF(NOT(ISNA(VLOOKUP(E2077,E$1:E2076,1,FALSE()))),"OLD",IF(AND(E2077&lt;&gt;"",E2077&lt;&gt;"!!!"),"NEW","")))</f>
        <v> </v>
      </c>
      <c r="G2077" s="24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5" t="str">
        <f>IF(J2077&lt;&gt;1,"",IF(I2077="SBJ","CB","?"))</f>
        <v> </v>
      </c>
      <c r="I2077" s="26" t="str">
        <f>IF(OR(E2077="",E2077="!!!",F2077="NEW"),"",INDEX(B2076:B$2,-1+SUMPRODUCT(MAX(ROW(E2076:E$2)*(E2077=E2076:E$2)))))</f>
        <v> </v>
      </c>
      <c r="J2077" s="26" t="str">
        <f>IF(OR(E2077="",E2077="!!!",F2077="NEW"),"",COUNTBLANK(OFFSET(A$1,,,SUMPRODUCT(MAX(ROW(E$2:E2077)*(E2077=E$2:E2077)))))-COUNTBLANK(OFFSET(A$1,,,SUMPRODUCT(MAX(ROW(E$1:E2076)*(E2=E$1:E2076))))))</f>
        <v> </v>
      </c>
      <c r="K2077" s="26" t="str">
        <f>IF(OR(E2077="",E2077="!!!",F2077="NEW"),"",INDEX(J$1:J2076,SUMPRODUCT(MAX(ROW(E$1:E2076)*(E2077=E$1:E2076)))))</f>
        <v> </v>
      </c>
      <c r="L2077" s="27"/>
    </row>
    <row r="2078" spans="1:12">
      <c r="A2078" s="20" t="s">
        <v>465</v>
      </c>
      <c r="E2078" s="22">
        <f>IF(D2078="?OLD","!!!","")</f>
        <v/>
      </c>
      <c r="F2078" s="23" t="str">
        <f>IF(OR(E2078="",E2078="!!!"),"",IF(NOT(ISNA(VLOOKUP(E2078,E$1:E2077,1,FALSE()))),"OLD",IF(AND(E2078&lt;&gt;"",E2078&lt;&gt;"!!!"),"NEW","")))</f>
        <v> </v>
      </c>
      <c r="G2078" s="24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5" t="str">
        <f>IF(J2078&lt;&gt;1,"",IF(I2078="SBJ","CB","?"))</f>
        <v> </v>
      </c>
      <c r="I2078" s="26" t="str">
        <f>IF(OR(E2078="",E2078="!!!",F2078="NEW"),"",INDEX(B2077:B$2,-1+SUMPRODUCT(MAX(ROW(E2077:E$2)*(E2078=E2077:E$2)))))</f>
        <v> </v>
      </c>
      <c r="J2078" s="26" t="str">
        <f>IF(OR(E2078="",E2078="!!!",F2078="NEW"),"",COUNTBLANK(OFFSET(A$1,,,SUMPRODUCT(MAX(ROW(E$2:E2078)*(E2078=E$2:E2078)))))-COUNTBLANK(OFFSET(A$1,,,SUMPRODUCT(MAX(ROW(E$1:E2077)*(E2=E$1:E2077))))))</f>
        <v> </v>
      </c>
      <c r="K2078" s="26" t="str">
        <f>IF(OR(E2078="",E2078="!!!",F2078="NEW"),"",INDEX(J$1:J2077,SUMPRODUCT(MAX(ROW(E$1:E2077)*(E2078=E$1:E2077)))))</f>
        <v> </v>
      </c>
      <c r="L2078" s="27"/>
    </row>
    <row r="2079" spans="1:12">
      <c r="A2079" s="20" t="s">
        <v>1399</v>
      </c>
      <c r="E2079" s="22">
        <f>IF(D2079="?OLD","!!!","")</f>
        <v/>
      </c>
      <c r="F2079" s="23" t="str">
        <f>IF(OR(E2079="",E2079="!!!"),"",IF(NOT(ISNA(VLOOKUP(E2079,E$1:E2078,1,FALSE()))),"OLD",IF(AND(E2079&lt;&gt;"",E2079&lt;&gt;"!!!"),"NEW","")))</f>
        <v> </v>
      </c>
      <c r="G2079" s="24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5" t="str">
        <f>IF(J2079&lt;&gt;1,"",IF(I2079="SBJ","CB","?"))</f>
        <v> </v>
      </c>
      <c r="I2079" s="26" t="str">
        <f>IF(OR(E2079="",E2079="!!!",F2079="NEW"),"",INDEX(B2078:B$2,-1+SUMPRODUCT(MAX(ROW(E2078:E$2)*(E2079=E2078:E$2)))))</f>
        <v> </v>
      </c>
      <c r="J2079" s="26" t="str">
        <f>IF(OR(E2079="",E2079="!!!",F2079="NEW"),"",COUNTBLANK(OFFSET(A$1,,,SUMPRODUCT(MAX(ROW(E$2:E2079)*(E2079=E$2:E2079)))))-COUNTBLANK(OFFSET(A$1,,,SUMPRODUCT(MAX(ROW(E$1:E2078)*(E2=E$1:E2078))))))</f>
        <v> </v>
      </c>
      <c r="K2079" s="26" t="str">
        <f>IF(OR(E2079="",E2079="!!!",F2079="NEW"),"",INDEX(J$1:J2078,SUMPRODUCT(MAX(ROW(E$1:E2078)*(E2079=E$1:E2078)))))</f>
        <v> </v>
      </c>
      <c r="L2079" s="27"/>
    </row>
    <row r="2080" spans="1:12">
      <c r="A2080" s="20" t="s">
        <v>881</v>
      </c>
      <c r="E2080" s="22">
        <f>IF(D2080="?OLD","!!!","")</f>
        <v/>
      </c>
      <c r="F2080" s="23" t="str">
        <f>IF(OR(E2080="",E2080="!!!"),"",IF(NOT(ISNA(VLOOKUP(E2080,E$1:E2079,1,FALSE()))),"OLD",IF(AND(E2080&lt;&gt;"",E2080&lt;&gt;"!!!"),"NEW","")))</f>
        <v> </v>
      </c>
      <c r="G2080" s="24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5" t="str">
        <f>IF(J2080&lt;&gt;1,"",IF(I2080="SBJ","CB","?"))</f>
        <v> </v>
      </c>
      <c r="I2080" s="26" t="str">
        <f>IF(OR(E2080="",E2080="!!!",F2080="NEW"),"",INDEX(B2079:B$2,-1+SUMPRODUCT(MAX(ROW(E2079:E$2)*(E2080=E2079:E$2)))))</f>
        <v> </v>
      </c>
      <c r="J2080" s="26" t="str">
        <f>IF(OR(E2080="",E2080="!!!",F2080="NEW"),"",COUNTBLANK(OFFSET(A$1,,,SUMPRODUCT(MAX(ROW(E$2:E2080)*(E2080=E$2:E2080)))))-COUNTBLANK(OFFSET(A$1,,,SUMPRODUCT(MAX(ROW(E$1:E2079)*(E2=E$1:E2079))))))</f>
        <v> </v>
      </c>
      <c r="K2080" s="26" t="str">
        <f>IF(OR(E2080="",E2080="!!!",F2080="NEW"),"",INDEX(J$1:J2079,SUMPRODUCT(MAX(ROW(E$1:E2079)*(E2080=E$1:E2079)))))</f>
        <v> </v>
      </c>
      <c r="L2080" s="27"/>
    </row>
    <row r="2081" spans="1:12">
      <c r="A2081" s="20" t="s">
        <v>453</v>
      </c>
      <c r="E2081" s="22">
        <f>IF(D2081="?OLD","!!!","")</f>
        <v/>
      </c>
      <c r="F2081" s="23" t="str">
        <f>IF(OR(E2081="",E2081="!!!"),"",IF(NOT(ISNA(VLOOKUP(E2081,E$1:E2080,1,FALSE()))),"OLD",IF(AND(E2081&lt;&gt;"",E2081&lt;&gt;"!!!"),"NEW","")))</f>
        <v> </v>
      </c>
      <c r="G2081" s="24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5" t="str">
        <f>IF(J2081&lt;&gt;1,"",IF(I2081="SBJ","CB","?"))</f>
        <v> </v>
      </c>
      <c r="I2081" s="26" t="str">
        <f>IF(OR(E2081="",E2081="!!!",F2081="NEW"),"",INDEX(B2080:B$2,-1+SUMPRODUCT(MAX(ROW(E2080:E$2)*(E2081=E2080:E$2)))))</f>
        <v> </v>
      </c>
      <c r="J2081" s="26" t="str">
        <f>IF(OR(E2081="",E2081="!!!",F2081="NEW"),"",COUNTBLANK(OFFSET(A$1,,,SUMPRODUCT(MAX(ROW(E$2:E2081)*(E2081=E$2:E2081)))))-COUNTBLANK(OFFSET(A$1,,,SUMPRODUCT(MAX(ROW(E$1:E2080)*(E2=E$1:E2080))))))</f>
        <v> </v>
      </c>
      <c r="K2081" s="26" t="str">
        <f>IF(OR(E2081="",E2081="!!!",F2081="NEW"),"",INDEX(J$1:J2080,SUMPRODUCT(MAX(ROW(E$1:E2080)*(E2081=E$1:E2080)))))</f>
        <v> </v>
      </c>
      <c r="L2081" s="27"/>
    </row>
    <row r="2082" spans="1:12">
      <c r="A2082" s="20" t="s">
        <v>572</v>
      </c>
      <c r="B2082" s="21" t="s">
        <v>422</v>
      </c>
      <c r="C2082" s="21" t="s">
        <v>423</v>
      </c>
      <c r="D2082" s="21" t="s">
        <v>424</v>
      </c>
      <c r="E2082" s="22">
        <f>IF(D2082="?OLD","!!!","")</f>
        <v/>
      </c>
      <c r="F2082" s="23" t="str">
        <f>IF(OR(E2082="",E2082="!!!"),"",IF(NOT(ISNA(VLOOKUP(E2082,E$1:E2081,1,FALSE()))),"OLD",IF(AND(E2082&lt;&gt;"",E2082&lt;&gt;"!!!"),"NEW","")))</f>
        <v> </v>
      </c>
      <c r="G2082" s="24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5" t="str">
        <f>IF(J2082&lt;&gt;1,"",IF(I2082="SBJ","CB","?"))</f>
        <v> </v>
      </c>
      <c r="I2082" s="26" t="str">
        <f>IF(OR(E2082="",E2082="!!!",F2082="NEW"),"",INDEX(B2081:B$2,-1+SUMPRODUCT(MAX(ROW(E2081:E$2)*(E2082=E2081:E$2)))))</f>
        <v> </v>
      </c>
      <c r="J2082" s="26" t="str">
        <f>IF(OR(E2082="",E2082="!!!",F2082="NEW"),"",COUNTBLANK(OFFSET(A$1,,,SUMPRODUCT(MAX(ROW(E$2:E2082)*(E2082=E$2:E2082)))))-COUNTBLANK(OFFSET(A$1,,,SUMPRODUCT(MAX(ROW(E$1:E2081)*(E2=E$1:E2081))))))</f>
        <v> </v>
      </c>
      <c r="K2082" s="26" t="str">
        <f>IF(OR(E2082="",E2082="!!!",F2082="NEW"),"",INDEX(J$1:J2081,SUMPRODUCT(MAX(ROW(E$1:E2081)*(E2082=E$1:E2081)))))</f>
        <v> </v>
      </c>
      <c r="L2082" s="27"/>
    </row>
    <row r="2083" spans="1:12">
      <c r="A2083" s="20" t="s">
        <v>1192</v>
      </c>
      <c r="E2083" s="22">
        <f>IF(D2083="?OLD","!!!","")</f>
        <v/>
      </c>
      <c r="F2083" s="23" t="str">
        <f>IF(OR(E2083="",E2083="!!!"),"",IF(NOT(ISNA(VLOOKUP(E2083,E$1:E2082,1,FALSE()))),"OLD",IF(AND(E2083&lt;&gt;"",E2083&lt;&gt;"!!!"),"NEW","")))</f>
        <v> </v>
      </c>
      <c r="G2083" s="24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5" t="str">
        <f>IF(J2083&lt;&gt;1,"",IF(I2083="SBJ","CB","?"))</f>
        <v> </v>
      </c>
      <c r="I2083" s="26" t="str">
        <f>IF(OR(E2083="",E2083="!!!",F2083="NEW"),"",INDEX(B2082:B$2,-1+SUMPRODUCT(MAX(ROW(E2082:E$2)*(E2083=E2082:E$2)))))</f>
        <v> </v>
      </c>
      <c r="J2083" s="26" t="str">
        <f>IF(OR(E2083="",E2083="!!!",F2083="NEW"),"",COUNTBLANK(OFFSET(A$1,,,SUMPRODUCT(MAX(ROW(E$2:E2083)*(E2083=E$2:E2083)))))-COUNTBLANK(OFFSET(A$1,,,SUMPRODUCT(MAX(ROW(E$1:E2082)*(E2=E$1:E2082))))))</f>
        <v> </v>
      </c>
      <c r="K2083" s="26" t="str">
        <f>IF(OR(E2083="",E2083="!!!",F2083="NEW"),"",INDEX(J$1:J2082,SUMPRODUCT(MAX(ROW(E$1:E2082)*(E2083=E$1:E2082)))))</f>
        <v> </v>
      </c>
      <c r="L2083" s="27"/>
    </row>
    <row r="2084" spans="1:12">
      <c r="A2084" s="20" t="s">
        <v>538</v>
      </c>
      <c r="E2084" s="22">
        <f>IF(D2084="?OLD","!!!","")</f>
        <v/>
      </c>
      <c r="F2084" s="23" t="str">
        <f>IF(OR(E2084="",E2084="!!!"),"",IF(NOT(ISNA(VLOOKUP(E2084,E$1:E2083,1,FALSE()))),"OLD",IF(AND(E2084&lt;&gt;"",E2084&lt;&gt;"!!!"),"NEW","")))</f>
        <v> </v>
      </c>
      <c r="G2084" s="24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5" t="str">
        <f>IF(J2084&lt;&gt;1,"",IF(I2084="SBJ","CB","?"))</f>
        <v> </v>
      </c>
      <c r="I2084" s="26" t="str">
        <f>IF(OR(E2084="",E2084="!!!",F2084="NEW"),"",INDEX(B2083:B$2,-1+SUMPRODUCT(MAX(ROW(E2083:E$2)*(E2084=E2083:E$2)))))</f>
        <v> </v>
      </c>
      <c r="J2084" s="26" t="str">
        <f>IF(OR(E2084="",E2084="!!!",F2084="NEW"),"",COUNTBLANK(OFFSET(A$1,,,SUMPRODUCT(MAX(ROW(E$2:E2084)*(E2084=E$2:E2084)))))-COUNTBLANK(OFFSET(A$1,,,SUMPRODUCT(MAX(ROW(E$1:E2083)*(E2=E$1:E2083))))))</f>
        <v> </v>
      </c>
      <c r="K2084" s="26" t="str">
        <f>IF(OR(E2084="",E2084="!!!",F2084="NEW"),"",INDEX(J$1:J2083,SUMPRODUCT(MAX(ROW(E$1:E2083)*(E2084=E$1:E2083)))))</f>
        <v> </v>
      </c>
      <c r="L2084" s="27"/>
    </row>
    <row r="2085" spans="1:12">
      <c r="A2085" s="20" t="s">
        <v>1400</v>
      </c>
      <c r="E2085" s="22">
        <f>IF(D2085="?OLD","!!!","")</f>
        <v/>
      </c>
      <c r="F2085" s="23" t="str">
        <f>IF(OR(E2085="",E2085="!!!"),"",IF(NOT(ISNA(VLOOKUP(E2085,E$1:E2084,1,FALSE()))),"OLD",IF(AND(E2085&lt;&gt;"",E2085&lt;&gt;"!!!"),"NEW","")))</f>
        <v> </v>
      </c>
      <c r="G2085" s="24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5" t="str">
        <f>IF(J2085&lt;&gt;1,"",IF(I2085="SBJ","CB","?"))</f>
        <v> </v>
      </c>
      <c r="I2085" s="26" t="str">
        <f>IF(OR(E2085="",E2085="!!!",F2085="NEW"),"",INDEX(B2084:B$2,-1+SUMPRODUCT(MAX(ROW(E2084:E$2)*(E2085=E2084:E$2)))))</f>
        <v> </v>
      </c>
      <c r="J2085" s="26" t="str">
        <f>IF(OR(E2085="",E2085="!!!",F2085="NEW"),"",COUNTBLANK(OFFSET(A$1,,,SUMPRODUCT(MAX(ROW(E$2:E2085)*(E2085=E$2:E2085)))))-COUNTBLANK(OFFSET(A$1,,,SUMPRODUCT(MAX(ROW(E$1:E2084)*(E2=E$1:E2084))))))</f>
        <v> </v>
      </c>
      <c r="K2085" s="26" t="str">
        <f>IF(OR(E2085="",E2085="!!!",F2085="NEW"),"",INDEX(J$1:J2084,SUMPRODUCT(MAX(ROW(E$1:E2084)*(E2085=E$1:E2084)))))</f>
        <v> </v>
      </c>
      <c r="L2085" s="27"/>
    </row>
    <row r="2086" spans="1:12">
      <c r="A2086" s="20" t="s">
        <v>329</v>
      </c>
      <c r="B2086" s="21" t="s">
        <v>444</v>
      </c>
      <c r="C2086" s="21" t="s">
        <v>477</v>
      </c>
      <c r="D2086" s="21" t="s">
        <v>424</v>
      </c>
      <c r="E2086" s="22">
        <f>IF(D2086="?OLD","!!!","")</f>
        <v/>
      </c>
      <c r="F2086" s="23" t="str">
        <f>IF(OR(E2086="",E2086="!!!"),"",IF(NOT(ISNA(VLOOKUP(E2086,E$1:E2085,1,FALSE()))),"OLD",IF(AND(E2086&lt;&gt;"",E2086&lt;&gt;"!!!"),"NEW","")))</f>
        <v> </v>
      </c>
      <c r="G2086" s="24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5" t="str">
        <f>IF(J2086&lt;&gt;1,"",IF(I2086="SBJ","CB","?"))</f>
        <v> </v>
      </c>
      <c r="I2086" s="26" t="str">
        <f>IF(OR(E2086="",E2086="!!!",F2086="NEW"),"",INDEX(B2085:B$2,-1+SUMPRODUCT(MAX(ROW(E2085:E$2)*(E2086=E2085:E$2)))))</f>
        <v> </v>
      </c>
      <c r="J2086" s="26" t="str">
        <f>IF(OR(E2086="",E2086="!!!",F2086="NEW"),"",COUNTBLANK(OFFSET(A$1,,,SUMPRODUCT(MAX(ROW(E$2:E2086)*(E2086=E$2:E2086)))))-COUNTBLANK(OFFSET(A$1,,,SUMPRODUCT(MAX(ROW(E$1:E2085)*(E2=E$1:E2085))))))</f>
        <v> </v>
      </c>
      <c r="K2086" s="26" t="str">
        <f>IF(OR(E2086="",E2086="!!!",F2086="NEW"),"",INDEX(J$1:J2085,SUMPRODUCT(MAX(ROW(E$1:E2085)*(E2086=E$1:E2085)))))</f>
        <v> </v>
      </c>
      <c r="L2086" s="27"/>
    </row>
    <row r="2087" spans="1:12">
      <c r="A2087" s="20" t="s">
        <v>976</v>
      </c>
      <c r="E2087" s="22">
        <f>IF(D2087="?OLD","!!!","")</f>
        <v/>
      </c>
      <c r="F2087" s="23" t="str">
        <f>IF(OR(E2087="",E2087="!!!"),"",IF(NOT(ISNA(VLOOKUP(E2087,E$1:E2086,1,FALSE()))),"OLD",IF(AND(E2087&lt;&gt;"",E2087&lt;&gt;"!!!"),"NEW","")))</f>
        <v> </v>
      </c>
      <c r="G2087" s="24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5" t="str">
        <f>IF(J2087&lt;&gt;1,"",IF(I2087="SBJ","CB","?"))</f>
        <v> </v>
      </c>
      <c r="I2087" s="26" t="str">
        <f>IF(OR(E2087="",E2087="!!!",F2087="NEW"),"",INDEX(B2086:B$2,-1+SUMPRODUCT(MAX(ROW(E2086:E$2)*(E2087=E2086:E$2)))))</f>
        <v> </v>
      </c>
      <c r="J2087" s="26" t="str">
        <f>IF(OR(E2087="",E2087="!!!",F2087="NEW"),"",COUNTBLANK(OFFSET(A$1,,,SUMPRODUCT(MAX(ROW(E$2:E2087)*(E2087=E$2:E2087)))))-COUNTBLANK(OFFSET(A$1,,,SUMPRODUCT(MAX(ROW(E$1:E2086)*(E2=E$1:E2086))))))</f>
        <v> </v>
      </c>
      <c r="K2087" s="26" t="str">
        <f>IF(OR(E2087="",E2087="!!!",F2087="NEW"),"",INDEX(J$1:J2086,SUMPRODUCT(MAX(ROW(E$1:E2086)*(E2087=E$1:E2086)))))</f>
        <v> </v>
      </c>
      <c r="L2087" s="27"/>
    </row>
    <row r="2088" spans="1:12">
      <c r="A2088" s="20" t="s">
        <v>1401</v>
      </c>
      <c r="E2088" s="22">
        <f>IF(D2088="?OLD","!!!","")</f>
        <v/>
      </c>
      <c r="F2088" s="23" t="str">
        <f>IF(OR(E2088="",E2088="!!!"),"",IF(NOT(ISNA(VLOOKUP(E2088,E$1:E2087,1,FALSE()))),"OLD",IF(AND(E2088&lt;&gt;"",E2088&lt;&gt;"!!!"),"NEW","")))</f>
        <v> </v>
      </c>
      <c r="G2088" s="24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5" t="str">
        <f>IF(J2088&lt;&gt;1,"",IF(I2088="SBJ","CB","?"))</f>
        <v> </v>
      </c>
      <c r="I2088" s="26" t="str">
        <f>IF(OR(E2088="",E2088="!!!",F2088="NEW"),"",INDEX(B2087:B$2,-1+SUMPRODUCT(MAX(ROW(E2087:E$2)*(E2088=E2087:E$2)))))</f>
        <v> </v>
      </c>
      <c r="J2088" s="26" t="str">
        <f>IF(OR(E2088="",E2088="!!!",F2088="NEW"),"",COUNTBLANK(OFFSET(A$1,,,SUMPRODUCT(MAX(ROW(E$2:E2088)*(E2088=E$2:E2088)))))-COUNTBLANK(OFFSET(A$1,,,SUMPRODUCT(MAX(ROW(E$1:E2087)*(E2=E$1:E2087))))))</f>
        <v> </v>
      </c>
      <c r="K2088" s="26" t="str">
        <f>IF(OR(E2088="",E2088="!!!",F2088="NEW"),"",INDEX(J$1:J2087,SUMPRODUCT(MAX(ROW(E$1:E2087)*(E2088=E$1:E2087)))))</f>
        <v> </v>
      </c>
      <c r="L2088" s="27"/>
    </row>
    <row r="2089" spans="1:12">
      <c r="A2089" s="20" t="s">
        <v>1402</v>
      </c>
      <c r="E2089" s="22">
        <f>IF(D2089="?OLD","!!!","")</f>
        <v/>
      </c>
      <c r="F2089" s="23" t="str">
        <f>IF(OR(E2089="",E2089="!!!"),"",IF(NOT(ISNA(VLOOKUP(E2089,E$1:E2088,1,FALSE()))),"OLD",IF(AND(E2089&lt;&gt;"",E2089&lt;&gt;"!!!"),"NEW","")))</f>
        <v> </v>
      </c>
      <c r="G2089" s="24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5" t="str">
        <f>IF(J2089&lt;&gt;1,"",IF(I2089="SBJ","CB","?"))</f>
        <v> </v>
      </c>
      <c r="I2089" s="26" t="str">
        <f>IF(OR(E2089="",E2089="!!!",F2089="NEW"),"",INDEX(B2088:B$2,-1+SUMPRODUCT(MAX(ROW(E2088:E$2)*(E2089=E2088:E$2)))))</f>
        <v> </v>
      </c>
      <c r="J2089" s="26" t="str">
        <f>IF(OR(E2089="",E2089="!!!",F2089="NEW"),"",COUNTBLANK(OFFSET(A$1,,,SUMPRODUCT(MAX(ROW(E$2:E2089)*(E2089=E$2:E2089)))))-COUNTBLANK(OFFSET(A$1,,,SUMPRODUCT(MAX(ROW(E$1:E2088)*(E2=E$1:E2088))))))</f>
        <v> </v>
      </c>
      <c r="K2089" s="26" t="str">
        <f>IF(OR(E2089="",E2089="!!!",F2089="NEW"),"",INDEX(J$1:J2088,SUMPRODUCT(MAX(ROW(E$1:E2088)*(E2089=E$1:E2088)))))</f>
        <v> </v>
      </c>
      <c r="L2089" s="27"/>
    </row>
    <row r="2090" spans="1:12">
      <c r="A2090" s="20" t="s">
        <v>1403</v>
      </c>
      <c r="E2090" s="22">
        <f>IF(D2090="?OLD","!!!","")</f>
        <v/>
      </c>
      <c r="F2090" s="23" t="str">
        <f>IF(OR(E2090="",E2090="!!!"),"",IF(NOT(ISNA(VLOOKUP(E2090,E$1:E2089,1,FALSE()))),"OLD",IF(AND(E2090&lt;&gt;"",E2090&lt;&gt;"!!!"),"NEW","")))</f>
        <v> </v>
      </c>
      <c r="G2090" s="24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5" t="str">
        <f>IF(J2090&lt;&gt;1,"",IF(I2090="SBJ","CB","?"))</f>
        <v> </v>
      </c>
      <c r="I2090" s="26" t="str">
        <f>IF(OR(E2090="",E2090="!!!",F2090="NEW"),"",INDEX(B2089:B$2,-1+SUMPRODUCT(MAX(ROW(E2089:E$2)*(E2090=E2089:E$2)))))</f>
        <v> </v>
      </c>
      <c r="J2090" s="26" t="str">
        <f>IF(OR(E2090="",E2090="!!!",F2090="NEW"),"",COUNTBLANK(OFFSET(A$1,,,SUMPRODUCT(MAX(ROW(E$2:E2090)*(E2090=E$2:E2090)))))-COUNTBLANK(OFFSET(A$1,,,SUMPRODUCT(MAX(ROW(E$1:E2089)*(E2=E$1:E2089))))))</f>
        <v> </v>
      </c>
      <c r="K2090" s="26" t="str">
        <f>IF(OR(E2090="",E2090="!!!",F2090="NEW"),"",INDEX(J$1:J2089,SUMPRODUCT(MAX(ROW(E$1:E2089)*(E2090=E$1:E2089)))))</f>
        <v> </v>
      </c>
      <c r="L2090" s="27"/>
    </row>
    <row r="2091" spans="1:12">
      <c r="A2091" s="20" t="s">
        <v>438</v>
      </c>
      <c r="E2091" s="22">
        <f>IF(D2091="?OLD","!!!","")</f>
        <v/>
      </c>
      <c r="F2091" s="23" t="str">
        <f>IF(OR(E2091="",E2091="!!!"),"",IF(NOT(ISNA(VLOOKUP(E2091,E$1:E2090,1,FALSE()))),"OLD",IF(AND(E2091&lt;&gt;"",E2091&lt;&gt;"!!!"),"NEW","")))</f>
        <v> </v>
      </c>
      <c r="G2091" s="24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5" t="str">
        <f>IF(J2091&lt;&gt;1,"",IF(I2091="SBJ","CB","?"))</f>
        <v> </v>
      </c>
      <c r="I2091" s="26" t="str">
        <f>IF(OR(E2091="",E2091="!!!",F2091="NEW"),"",INDEX(B2090:B$2,-1+SUMPRODUCT(MAX(ROW(E2090:E$2)*(E2091=E2090:E$2)))))</f>
        <v> </v>
      </c>
      <c r="J2091" s="26" t="str">
        <f>IF(OR(E2091="",E2091="!!!",F2091="NEW"),"",COUNTBLANK(OFFSET(A$1,,,SUMPRODUCT(MAX(ROW(E$2:E2091)*(E2091=E$2:E2091)))))-COUNTBLANK(OFFSET(A$1,,,SUMPRODUCT(MAX(ROW(E$1:E2090)*(E2=E$1:E2090))))))</f>
        <v> </v>
      </c>
      <c r="K2091" s="26" t="str">
        <f>IF(OR(E2091="",E2091="!!!",F2091="NEW"),"",INDEX(J$1:J2090,SUMPRODUCT(MAX(ROW(E$1:E2090)*(E2091=E$1:E2090)))))</f>
        <v> </v>
      </c>
      <c r="L2091" s="27"/>
    </row>
    <row r="2092" spans="1:12">
      <c r="A2092" s="20"/>
    </row>
    <row r="2093" spans="1:12">
      <c r="A2093" s="20" t="s">
        <v>1404</v>
      </c>
    </row>
    <row r="2094" spans="1:12">
      <c r="A2094" s="20" t="s">
        <v>1021</v>
      </c>
      <c r="E2094" s="22">
        <f>IF(D2094="?OLD","!!!","")</f>
        <v/>
      </c>
      <c r="F2094" s="23" t="str">
        <f>IF(OR(E2094="",E2094="!!!"),"",IF(NOT(ISNA(VLOOKUP(E2094,E$1:E2093,1,FALSE()))),"OLD",IF(AND(E2094&lt;&gt;"",E2094&lt;&gt;"!!!"),"NEW","")))</f>
        <v> </v>
      </c>
      <c r="G2094" s="24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5" t="str">
        <f>IF(J2094&lt;&gt;1,"",IF(I2094="SBJ","CB","?"))</f>
        <v> </v>
      </c>
      <c r="I2094" s="26" t="str">
        <f>IF(OR(E2094="",E2094="!!!",F2094="NEW"),"",INDEX(B2093:B$2,-1+SUMPRODUCT(MAX(ROW(E2093:E$2)*(E2094=E2093:E$2)))))</f>
        <v> </v>
      </c>
      <c r="J2094" s="26" t="str">
        <f>IF(OR(E2094="",E2094="!!!",F2094="NEW"),"",COUNTBLANK(OFFSET(A$1,,,SUMPRODUCT(MAX(ROW(E$2:E2094)*(E2094=E$2:E2094)))))-COUNTBLANK(OFFSET(A$1,,,SUMPRODUCT(MAX(ROW(E$1:E2093)*(E2=E$1:E2093))))))</f>
        <v> </v>
      </c>
      <c r="K2094" s="26" t="str">
        <f>IF(OR(E2094="",E2094="!!!",F2094="NEW"),"",INDEX(J$1:J2093,SUMPRODUCT(MAX(ROW(E$1:E2093)*(E2094=E$1:E2093)))))</f>
        <v> </v>
      </c>
      <c r="L2094" s="27"/>
    </row>
    <row r="2095" spans="1:12">
      <c r="A2095" s="20" t="s">
        <v>492</v>
      </c>
      <c r="B2095" s="21" t="s">
        <v>556</v>
      </c>
      <c r="C2095" s="21" t="s">
        <v>423</v>
      </c>
      <c r="D2095" s="21" t="s">
        <v>424</v>
      </c>
      <c r="E2095" s="22">
        <f>IF(D2095="?OLD","!!!","")</f>
        <v/>
      </c>
      <c r="F2095" s="23" t="str">
        <f>IF(OR(E2095="",E2095="!!!"),"",IF(NOT(ISNA(VLOOKUP(E2095,E$1:E2094,1,FALSE()))),"OLD",IF(AND(E2095&lt;&gt;"",E2095&lt;&gt;"!!!"),"NEW","")))</f>
        <v> </v>
      </c>
      <c r="G2095" s="24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5" t="str">
        <f>IF(J2095&lt;&gt;1,"",IF(I2095="SBJ","CB","?"))</f>
        <v> </v>
      </c>
      <c r="I2095" s="26" t="str">
        <f>IF(OR(E2095="",E2095="!!!",F2095="NEW"),"",INDEX(B2094:B$2,-1+SUMPRODUCT(MAX(ROW(E2094:E$2)*(E2095=E2094:E$2)))))</f>
        <v> </v>
      </c>
      <c r="J2095" s="26" t="str">
        <f>IF(OR(E2095="",E2095="!!!",F2095="NEW"),"",COUNTBLANK(OFFSET(A$1,,,SUMPRODUCT(MAX(ROW(E$2:E2095)*(E2095=E$2:E2095)))))-COUNTBLANK(OFFSET(A$1,,,SUMPRODUCT(MAX(ROW(E$1:E2094)*(E2=E$1:E2094))))))</f>
        <v> </v>
      </c>
      <c r="K2095" s="26" t="str">
        <f>IF(OR(E2095="",E2095="!!!",F2095="NEW"),"",INDEX(J$1:J2094,SUMPRODUCT(MAX(ROW(E$1:E2094)*(E2095=E$1:E2094)))))</f>
        <v> </v>
      </c>
      <c r="L2095" s="27"/>
    </row>
    <row r="2096" spans="1:12">
      <c r="A2096" s="20" t="s">
        <v>739</v>
      </c>
      <c r="E2096" s="22">
        <f>IF(D2096="?OLD","!!!","")</f>
        <v/>
      </c>
      <c r="F2096" s="23" t="str">
        <f>IF(OR(E2096="",E2096="!!!"),"",IF(NOT(ISNA(VLOOKUP(E2096,E$1:E2095,1,FALSE()))),"OLD",IF(AND(E2096&lt;&gt;"",E2096&lt;&gt;"!!!"),"NEW","")))</f>
        <v> </v>
      </c>
      <c r="G2096" s="24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5" t="str">
        <f>IF(J2096&lt;&gt;1,"",IF(I2096="SBJ","CB","?"))</f>
        <v> </v>
      </c>
      <c r="I2096" s="26" t="str">
        <f>IF(OR(E2096="",E2096="!!!",F2096="NEW"),"",INDEX(B2095:B$2,-1+SUMPRODUCT(MAX(ROW(E2095:E$2)*(E2096=E2095:E$2)))))</f>
        <v> </v>
      </c>
      <c r="J2096" s="26" t="str">
        <f>IF(OR(E2096="",E2096="!!!",F2096="NEW"),"",COUNTBLANK(OFFSET(A$1,,,SUMPRODUCT(MAX(ROW(E$2:E2096)*(E2096=E$2:E2096)))))-COUNTBLANK(OFFSET(A$1,,,SUMPRODUCT(MAX(ROW(E$1:E2095)*(E2=E$1:E2095))))))</f>
        <v> </v>
      </c>
      <c r="K2096" s="26" t="str">
        <f>IF(OR(E2096="",E2096="!!!",F2096="NEW"),"",INDEX(J$1:J2095,SUMPRODUCT(MAX(ROW(E$1:E2095)*(E2096=E$1:E2095)))))</f>
        <v> </v>
      </c>
      <c r="L2096" s="27"/>
    </row>
    <row r="2097" spans="1:12">
      <c r="A2097" s="20" t="s">
        <v>465</v>
      </c>
      <c r="E2097" s="22">
        <f>IF(D2097="?OLD","!!!","")</f>
        <v/>
      </c>
      <c r="F2097" s="23" t="str">
        <f>IF(OR(E2097="",E2097="!!!"),"",IF(NOT(ISNA(VLOOKUP(E2097,E$1:E2096,1,FALSE()))),"OLD",IF(AND(E2097&lt;&gt;"",E2097&lt;&gt;"!!!"),"NEW","")))</f>
        <v> </v>
      </c>
      <c r="G2097" s="24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5" t="str">
        <f>IF(J2097&lt;&gt;1,"",IF(I2097="SBJ","CB","?"))</f>
        <v> </v>
      </c>
      <c r="I2097" s="26" t="str">
        <f>IF(OR(E2097="",E2097="!!!",F2097="NEW"),"",INDEX(B2096:B$2,-1+SUMPRODUCT(MAX(ROW(E2096:E$2)*(E2097=E2096:E$2)))))</f>
        <v> </v>
      </c>
      <c r="J2097" s="26" t="str">
        <f>IF(OR(E2097="",E2097="!!!",F2097="NEW"),"",COUNTBLANK(OFFSET(A$1,,,SUMPRODUCT(MAX(ROW(E$2:E2097)*(E2097=E$2:E2097)))))-COUNTBLANK(OFFSET(A$1,,,SUMPRODUCT(MAX(ROW(E$1:E2096)*(E2=E$1:E2096))))))</f>
        <v> </v>
      </c>
      <c r="K2097" s="26" t="str">
        <f>IF(OR(E2097="",E2097="!!!",F2097="NEW"),"",INDEX(J$1:J2096,SUMPRODUCT(MAX(ROW(E$1:E2096)*(E2097=E$1:E2096)))))</f>
        <v> </v>
      </c>
      <c r="L2097" s="27"/>
    </row>
    <row r="2098" spans="1:12">
      <c r="A2098" s="20" t="s">
        <v>1405</v>
      </c>
      <c r="E2098" s="22">
        <f>IF(D2098="?OLD","!!!","")</f>
        <v/>
      </c>
      <c r="F2098" s="23" t="str">
        <f>IF(OR(E2098="",E2098="!!!"),"",IF(NOT(ISNA(VLOOKUP(E2098,E$1:E2097,1,FALSE()))),"OLD",IF(AND(E2098&lt;&gt;"",E2098&lt;&gt;"!!!"),"NEW","")))</f>
        <v> </v>
      </c>
      <c r="G2098" s="24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5" t="str">
        <f>IF(J2098&lt;&gt;1,"",IF(I2098="SBJ","CB","?"))</f>
        <v> </v>
      </c>
      <c r="I2098" s="26" t="str">
        <f>IF(OR(E2098="",E2098="!!!",F2098="NEW"),"",INDEX(B2097:B$2,-1+SUMPRODUCT(MAX(ROW(E2097:E$2)*(E2098=E2097:E$2)))))</f>
        <v> </v>
      </c>
      <c r="J2098" s="26" t="str">
        <f>IF(OR(E2098="",E2098="!!!",F2098="NEW"),"",COUNTBLANK(OFFSET(A$1,,,SUMPRODUCT(MAX(ROW(E$2:E2098)*(E2098=E$2:E2098)))))-COUNTBLANK(OFFSET(A$1,,,SUMPRODUCT(MAX(ROW(E$1:E2097)*(E2=E$1:E2097))))))</f>
        <v> </v>
      </c>
      <c r="K2098" s="26" t="str">
        <f>IF(OR(E2098="",E2098="!!!",F2098="NEW"),"",INDEX(J$1:J2097,SUMPRODUCT(MAX(ROW(E$1:E2097)*(E2098=E$1:E2097)))))</f>
        <v> </v>
      </c>
      <c r="L2098" s="27"/>
    </row>
    <row r="2099" spans="1:12">
      <c r="A2099" s="20" t="s">
        <v>453</v>
      </c>
      <c r="E2099" s="22">
        <f>IF(D2099="?OLD","!!!","")</f>
        <v/>
      </c>
      <c r="F2099" s="23" t="str">
        <f>IF(OR(E2099="",E2099="!!!"),"",IF(NOT(ISNA(VLOOKUP(E2099,E$1:E2098,1,FALSE()))),"OLD",IF(AND(E2099&lt;&gt;"",E2099&lt;&gt;"!!!"),"NEW","")))</f>
        <v> </v>
      </c>
      <c r="G2099" s="24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5" t="str">
        <f>IF(J2099&lt;&gt;1,"",IF(I2099="SBJ","CB","?"))</f>
        <v> </v>
      </c>
      <c r="I2099" s="26" t="str">
        <f>IF(OR(E2099="",E2099="!!!",F2099="NEW"),"",INDEX(B2098:B$2,-1+SUMPRODUCT(MAX(ROW(E2098:E$2)*(E2099=E2098:E$2)))))</f>
        <v> </v>
      </c>
      <c r="J2099" s="26" t="str">
        <f>IF(OR(E2099="",E2099="!!!",F2099="NEW"),"",COUNTBLANK(OFFSET(A$1,,,SUMPRODUCT(MAX(ROW(E$2:E2099)*(E2099=E$2:E2099)))))-COUNTBLANK(OFFSET(A$1,,,SUMPRODUCT(MAX(ROW(E$1:E2098)*(E2=E$1:E2098))))))</f>
        <v> </v>
      </c>
      <c r="K2099" s="26" t="str">
        <f>IF(OR(E2099="",E2099="!!!",F2099="NEW"),"",INDEX(J$1:J2098,SUMPRODUCT(MAX(ROW(E$1:E2098)*(E2099=E$1:E2098)))))</f>
        <v> </v>
      </c>
      <c r="L2099" s="27"/>
    </row>
    <row r="2100" spans="1:12">
      <c r="A2100" s="20" t="s">
        <v>632</v>
      </c>
      <c r="E2100" s="22">
        <f>IF(D2100="?OLD","!!!","")</f>
        <v/>
      </c>
      <c r="F2100" s="23" t="str">
        <f>IF(OR(E2100="",E2100="!!!"),"",IF(NOT(ISNA(VLOOKUP(E2100,E$1:E2099,1,FALSE()))),"OLD",IF(AND(E2100&lt;&gt;"",E2100&lt;&gt;"!!!"),"NEW","")))</f>
        <v> </v>
      </c>
      <c r="G2100" s="24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5" t="str">
        <f>IF(J2100&lt;&gt;1,"",IF(I2100="SBJ","CB","?"))</f>
        <v> </v>
      </c>
      <c r="I2100" s="26" t="str">
        <f>IF(OR(E2100="",E2100="!!!",F2100="NEW"),"",INDEX(B2099:B$2,-1+SUMPRODUCT(MAX(ROW(E2099:E$2)*(E2100=E2099:E$2)))))</f>
        <v> </v>
      </c>
      <c r="J2100" s="26" t="str">
        <f>IF(OR(E2100="",E2100="!!!",F2100="NEW"),"",COUNTBLANK(OFFSET(A$1,,,SUMPRODUCT(MAX(ROW(E$2:E2100)*(E2100=E$2:E2100)))))-COUNTBLANK(OFFSET(A$1,,,SUMPRODUCT(MAX(ROW(E$1:E2099)*(E2=E$1:E2099))))))</f>
        <v> </v>
      </c>
      <c r="K2100" s="26" t="str">
        <f>IF(OR(E2100="",E2100="!!!",F2100="NEW"),"",INDEX(J$1:J2099,SUMPRODUCT(MAX(ROW(E$1:E2099)*(E2100=E$1:E2099)))))</f>
        <v> </v>
      </c>
      <c r="L2100" s="27"/>
    </row>
    <row r="2101" spans="1:12">
      <c r="A2101" s="20" t="s">
        <v>1406</v>
      </c>
      <c r="E2101" s="22">
        <f>IF(D2101="?OLD","!!!","")</f>
        <v/>
      </c>
      <c r="F2101" s="23" t="str">
        <f>IF(OR(E2101="",E2101="!!!"),"",IF(NOT(ISNA(VLOOKUP(E2101,E$1:E2100,1,FALSE()))),"OLD",IF(AND(E2101&lt;&gt;"",E2101&lt;&gt;"!!!"),"NEW","")))</f>
        <v> </v>
      </c>
      <c r="G2101" s="24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5" t="str">
        <f>IF(J2101&lt;&gt;1,"",IF(I2101="SBJ","CB","?"))</f>
        <v> </v>
      </c>
      <c r="I2101" s="26" t="str">
        <f>IF(OR(E2101="",E2101="!!!",F2101="NEW"),"",INDEX(B2100:B$2,-1+SUMPRODUCT(MAX(ROW(E2100:E$2)*(E2101=E2100:E$2)))))</f>
        <v> </v>
      </c>
      <c r="J2101" s="26" t="str">
        <f>IF(OR(E2101="",E2101="!!!",F2101="NEW"),"",COUNTBLANK(OFFSET(A$1,,,SUMPRODUCT(MAX(ROW(E$2:E2101)*(E2101=E$2:E2101)))))-COUNTBLANK(OFFSET(A$1,,,SUMPRODUCT(MAX(ROW(E$1:E2100)*(E2=E$1:E2100))))))</f>
        <v> </v>
      </c>
      <c r="K2101" s="26" t="str">
        <f>IF(OR(E2101="",E2101="!!!",F2101="NEW"),"",INDEX(J$1:J2100,SUMPRODUCT(MAX(ROW(E$1:E2100)*(E2101=E$1:E2100)))))</f>
        <v> </v>
      </c>
      <c r="L2101" s="27"/>
    </row>
    <row r="2102" spans="1:12">
      <c r="A2102" s="20" t="s">
        <v>1407</v>
      </c>
      <c r="E2102" s="22">
        <f>IF(D2102="?OLD","!!!","")</f>
        <v/>
      </c>
      <c r="F2102" s="23" t="str">
        <f>IF(OR(E2102="",E2102="!!!"),"",IF(NOT(ISNA(VLOOKUP(E2102,E$1:E2101,1,FALSE()))),"OLD",IF(AND(E2102&lt;&gt;"",E2102&lt;&gt;"!!!"),"NEW","")))</f>
        <v> </v>
      </c>
      <c r="G2102" s="24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5" t="str">
        <f>IF(J2102&lt;&gt;1,"",IF(I2102="SBJ","CB","?"))</f>
        <v> </v>
      </c>
      <c r="I2102" s="26" t="str">
        <f>IF(OR(E2102="",E2102="!!!",F2102="NEW"),"",INDEX(B2101:B$2,-1+SUMPRODUCT(MAX(ROW(E2101:E$2)*(E2102=E2101:E$2)))))</f>
        <v> </v>
      </c>
      <c r="J2102" s="26" t="str">
        <f>IF(OR(E2102="",E2102="!!!",F2102="NEW"),"",COUNTBLANK(OFFSET(A$1,,,SUMPRODUCT(MAX(ROW(E$2:E2102)*(E2102=E$2:E2102)))))-COUNTBLANK(OFFSET(A$1,,,SUMPRODUCT(MAX(ROW(E$1:E2101)*(E2=E$1:E2101))))))</f>
        <v> </v>
      </c>
      <c r="K2102" s="26" t="str">
        <f>IF(OR(E2102="",E2102="!!!",F2102="NEW"),"",INDEX(J$1:J2101,SUMPRODUCT(MAX(ROW(E$1:E2101)*(E2102=E$1:E2101)))))</f>
        <v> </v>
      </c>
      <c r="L2102" s="27"/>
    </row>
    <row r="2103" spans="1:12">
      <c r="A2103" s="20" t="s">
        <v>453</v>
      </c>
      <c r="E2103" s="22">
        <f>IF(D2103="?OLD","!!!","")</f>
        <v/>
      </c>
      <c r="F2103" s="23" t="str">
        <f>IF(OR(E2103="",E2103="!!!"),"",IF(NOT(ISNA(VLOOKUP(E2103,E$1:E2102,1,FALSE()))),"OLD",IF(AND(E2103&lt;&gt;"",E2103&lt;&gt;"!!!"),"NEW","")))</f>
        <v> </v>
      </c>
      <c r="G2103" s="24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5" t="str">
        <f>IF(J2103&lt;&gt;1,"",IF(I2103="SBJ","CB","?"))</f>
        <v> </v>
      </c>
      <c r="I2103" s="26" t="str">
        <f>IF(OR(E2103="",E2103="!!!",F2103="NEW"),"",INDEX(B2102:B$2,-1+SUMPRODUCT(MAX(ROW(E2102:E$2)*(E2103=E2102:E$2)))))</f>
        <v> </v>
      </c>
      <c r="J2103" s="26" t="str">
        <f>IF(OR(E2103="",E2103="!!!",F2103="NEW"),"",COUNTBLANK(OFFSET(A$1,,,SUMPRODUCT(MAX(ROW(E$2:E2103)*(E2103=E$2:E2103)))))-COUNTBLANK(OFFSET(A$1,,,SUMPRODUCT(MAX(ROW(E$1:E2102)*(E2=E$1:E2102))))))</f>
        <v> </v>
      </c>
      <c r="K2103" s="26" t="str">
        <f>IF(OR(E2103="",E2103="!!!",F2103="NEW"),"",INDEX(J$1:J2102,SUMPRODUCT(MAX(ROW(E$1:E2102)*(E2103=E$1:E2102)))))</f>
        <v> </v>
      </c>
      <c r="L2103" s="27"/>
    </row>
    <row r="2104" spans="1:12">
      <c r="A2104" s="20" t="s">
        <v>572</v>
      </c>
      <c r="B2104" s="21" t="s">
        <v>422</v>
      </c>
      <c r="C2104" s="21" t="s">
        <v>423</v>
      </c>
      <c r="D2104" s="21" t="s">
        <v>424</v>
      </c>
      <c r="E2104" s="22">
        <f>IF(D2104="?OLD","!!!","")</f>
        <v/>
      </c>
      <c r="F2104" s="23" t="str">
        <f>IF(OR(E2104="",E2104="!!!"),"",IF(NOT(ISNA(VLOOKUP(E2104,E$1:E2103,1,FALSE()))),"OLD",IF(AND(E2104&lt;&gt;"",E2104&lt;&gt;"!!!"),"NEW","")))</f>
        <v> </v>
      </c>
      <c r="G2104" s="24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5" t="str">
        <f>IF(J2104&lt;&gt;1,"",IF(I2104="SBJ","CB","?"))</f>
        <v> </v>
      </c>
      <c r="I2104" s="26" t="str">
        <f>IF(OR(E2104="",E2104="!!!",F2104="NEW"),"",INDEX(B2103:B$2,-1+SUMPRODUCT(MAX(ROW(E2103:E$2)*(E2104=E2103:E$2)))))</f>
        <v> </v>
      </c>
      <c r="J2104" s="26" t="str">
        <f>IF(OR(E2104="",E2104="!!!",F2104="NEW"),"",COUNTBLANK(OFFSET(A$1,,,SUMPRODUCT(MAX(ROW(E$2:E2104)*(E2104=E$2:E2104)))))-COUNTBLANK(OFFSET(A$1,,,SUMPRODUCT(MAX(ROW(E$1:E2103)*(E2=E$1:E2103))))))</f>
        <v> </v>
      </c>
      <c r="K2104" s="26" t="str">
        <f>IF(OR(E2104="",E2104="!!!",F2104="NEW"),"",INDEX(J$1:J2103,SUMPRODUCT(MAX(ROW(E$1:E2103)*(E2104=E$1:E2103)))))</f>
        <v> </v>
      </c>
      <c r="L2104" s="27"/>
    </row>
    <row r="2105" spans="1:12">
      <c r="A2105" s="20" t="s">
        <v>1408</v>
      </c>
      <c r="E2105" s="22">
        <f>IF(D2105="?OLD","!!!","")</f>
        <v/>
      </c>
      <c r="F2105" s="23" t="str">
        <f>IF(OR(E2105="",E2105="!!!"),"",IF(NOT(ISNA(VLOOKUP(E2105,E$1:E2104,1,FALSE()))),"OLD",IF(AND(E2105&lt;&gt;"",E2105&lt;&gt;"!!!"),"NEW","")))</f>
        <v> </v>
      </c>
      <c r="G2105" s="24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5" t="str">
        <f>IF(J2105&lt;&gt;1,"",IF(I2105="SBJ","CB","?"))</f>
        <v> </v>
      </c>
      <c r="I2105" s="26" t="str">
        <f>IF(OR(E2105="",E2105="!!!",F2105="NEW"),"",INDEX(B2104:B$2,-1+SUMPRODUCT(MAX(ROW(E2104:E$2)*(E2105=E2104:E$2)))))</f>
        <v> </v>
      </c>
      <c r="J2105" s="26" t="str">
        <f>IF(OR(E2105="",E2105="!!!",F2105="NEW"),"",COUNTBLANK(OFFSET(A$1,,,SUMPRODUCT(MAX(ROW(E$2:E2105)*(E2105=E$2:E2105)))))-COUNTBLANK(OFFSET(A$1,,,SUMPRODUCT(MAX(ROW(E$1:E2104)*(E2=E$1:E2104))))))</f>
        <v> </v>
      </c>
      <c r="K2105" s="26" t="str">
        <f>IF(OR(E2105="",E2105="!!!",F2105="NEW"),"",INDEX(J$1:J2104,SUMPRODUCT(MAX(ROW(E$1:E2104)*(E2105=E$1:E2104)))))</f>
        <v> </v>
      </c>
      <c r="L2105" s="27"/>
    </row>
    <row r="2106" spans="1:12">
      <c r="A2106" s="20" t="s">
        <v>1400</v>
      </c>
      <c r="E2106" s="22">
        <f>IF(D2106="?OLD","!!!","")</f>
        <v/>
      </c>
      <c r="F2106" s="23" t="str">
        <f>IF(OR(E2106="",E2106="!!!"),"",IF(NOT(ISNA(VLOOKUP(E2106,E$1:E2105,1,FALSE()))),"OLD",IF(AND(E2106&lt;&gt;"",E2106&lt;&gt;"!!!"),"NEW","")))</f>
        <v> </v>
      </c>
      <c r="G2106" s="24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5" t="str">
        <f>IF(J2106&lt;&gt;1,"",IF(I2106="SBJ","CB","?"))</f>
        <v> </v>
      </c>
      <c r="I2106" s="26" t="str">
        <f>IF(OR(E2106="",E2106="!!!",F2106="NEW"),"",INDEX(B2105:B$2,-1+SUMPRODUCT(MAX(ROW(E2105:E$2)*(E2106=E2105:E$2)))))</f>
        <v> </v>
      </c>
      <c r="J2106" s="26" t="str">
        <f>IF(OR(E2106="",E2106="!!!",F2106="NEW"),"",COUNTBLANK(OFFSET(A$1,,,SUMPRODUCT(MAX(ROW(E$2:E2106)*(E2106=E$2:E2106)))))-COUNTBLANK(OFFSET(A$1,,,SUMPRODUCT(MAX(ROW(E$1:E2105)*(E2=E$1:E2105))))))</f>
        <v> </v>
      </c>
      <c r="K2106" s="26" t="str">
        <f>IF(OR(E2106="",E2106="!!!",F2106="NEW"),"",INDEX(J$1:J2105,SUMPRODUCT(MAX(ROW(E$1:E2105)*(E2106=E$1:E2105)))))</f>
        <v> </v>
      </c>
      <c r="L2106" s="27"/>
    </row>
    <row r="2107" spans="1:12">
      <c r="A2107" s="20" t="s">
        <v>329</v>
      </c>
      <c r="B2107" s="21" t="s">
        <v>444</v>
      </c>
      <c r="C2107" s="21" t="s">
        <v>477</v>
      </c>
      <c r="D2107" s="21" t="s">
        <v>424</v>
      </c>
      <c r="E2107" s="22">
        <f>IF(D2107="?OLD","!!!","")</f>
        <v/>
      </c>
      <c r="F2107" s="23" t="str">
        <f>IF(OR(E2107="",E2107="!!!"),"",IF(NOT(ISNA(VLOOKUP(E2107,E$1:E2106,1,FALSE()))),"OLD",IF(AND(E2107&lt;&gt;"",E2107&lt;&gt;"!!!"),"NEW","")))</f>
        <v> </v>
      </c>
      <c r="G2107" s="24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5" t="str">
        <f>IF(J2107&lt;&gt;1,"",IF(I2107="SBJ","CB","?"))</f>
        <v> </v>
      </c>
      <c r="I2107" s="26" t="str">
        <f>IF(OR(E2107="",E2107="!!!",F2107="NEW"),"",INDEX(B2106:B$2,-1+SUMPRODUCT(MAX(ROW(E2106:E$2)*(E2107=E2106:E$2)))))</f>
        <v> </v>
      </c>
      <c r="J2107" s="26" t="str">
        <f>IF(OR(E2107="",E2107="!!!",F2107="NEW"),"",COUNTBLANK(OFFSET(A$1,,,SUMPRODUCT(MAX(ROW(E$2:E2107)*(E2107=E$2:E2107)))))-COUNTBLANK(OFFSET(A$1,,,SUMPRODUCT(MAX(ROW(E$1:E2106)*(E2=E$1:E2106))))))</f>
        <v> </v>
      </c>
      <c r="K2107" s="26" t="str">
        <f>IF(OR(E2107="",E2107="!!!",F2107="NEW"),"",INDEX(J$1:J2106,SUMPRODUCT(MAX(ROW(E$1:E2106)*(E2107=E$1:E2106)))))</f>
        <v> </v>
      </c>
      <c r="L2107" s="27"/>
    </row>
    <row r="2108" spans="1:12">
      <c r="A2108" s="20" t="s">
        <v>976</v>
      </c>
      <c r="E2108" s="22">
        <f>IF(D2108="?OLD","!!!","")</f>
        <v/>
      </c>
      <c r="F2108" s="23" t="str">
        <f>IF(OR(E2108="",E2108="!!!"),"",IF(NOT(ISNA(VLOOKUP(E2108,E$1:E2107,1,FALSE()))),"OLD",IF(AND(E2108&lt;&gt;"",E2108&lt;&gt;"!!!"),"NEW","")))</f>
        <v> </v>
      </c>
      <c r="G2108" s="24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5" t="str">
        <f>IF(J2108&lt;&gt;1,"",IF(I2108="SBJ","CB","?"))</f>
        <v> </v>
      </c>
      <c r="I2108" s="26" t="str">
        <f>IF(OR(E2108="",E2108="!!!",F2108="NEW"),"",INDEX(B2107:B$2,-1+SUMPRODUCT(MAX(ROW(E2107:E$2)*(E2108=E2107:E$2)))))</f>
        <v> </v>
      </c>
      <c r="J2108" s="26" t="str">
        <f>IF(OR(E2108="",E2108="!!!",F2108="NEW"),"",COUNTBLANK(OFFSET(A$1,,,SUMPRODUCT(MAX(ROW(E$2:E2108)*(E2108=E$2:E2108)))))-COUNTBLANK(OFFSET(A$1,,,SUMPRODUCT(MAX(ROW(E$1:E2107)*(E2=E$1:E2107))))))</f>
        <v> </v>
      </c>
      <c r="K2108" s="26" t="str">
        <f>IF(OR(E2108="",E2108="!!!",F2108="NEW"),"",INDEX(J$1:J2107,SUMPRODUCT(MAX(ROW(E$1:E2107)*(E2108=E$1:E2107)))))</f>
        <v> </v>
      </c>
      <c r="L2108" s="27"/>
    </row>
    <row r="2109" spans="1:12">
      <c r="A2109" s="20" t="s">
        <v>1401</v>
      </c>
      <c r="E2109" s="22">
        <f>IF(D2109="?OLD","!!!","")</f>
        <v/>
      </c>
      <c r="F2109" s="23" t="str">
        <f>IF(OR(E2109="",E2109="!!!"),"",IF(NOT(ISNA(VLOOKUP(E2109,E$1:E2108,1,FALSE()))),"OLD",IF(AND(E2109&lt;&gt;"",E2109&lt;&gt;"!!!"),"NEW","")))</f>
        <v> </v>
      </c>
      <c r="G2109" s="24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5" t="str">
        <f>IF(J2109&lt;&gt;1,"",IF(I2109="SBJ","CB","?"))</f>
        <v> </v>
      </c>
      <c r="I2109" s="26" t="str">
        <f>IF(OR(E2109="",E2109="!!!",F2109="NEW"),"",INDEX(B2108:B$2,-1+SUMPRODUCT(MAX(ROW(E2108:E$2)*(E2109=E2108:E$2)))))</f>
        <v> </v>
      </c>
      <c r="J2109" s="26" t="str">
        <f>IF(OR(E2109="",E2109="!!!",F2109="NEW"),"",COUNTBLANK(OFFSET(A$1,,,SUMPRODUCT(MAX(ROW(E$2:E2109)*(E2109=E$2:E2109)))))-COUNTBLANK(OFFSET(A$1,,,SUMPRODUCT(MAX(ROW(E$1:E2108)*(E2=E$1:E2108))))))</f>
        <v> </v>
      </c>
      <c r="K2109" s="26" t="str">
        <f>IF(OR(E2109="",E2109="!!!",F2109="NEW"),"",INDEX(J$1:J2108,SUMPRODUCT(MAX(ROW(E$1:E2108)*(E2109=E$1:E2108)))))</f>
        <v> </v>
      </c>
      <c r="L2109" s="27"/>
    </row>
    <row r="2110" spans="1:12">
      <c r="A2110" s="20" t="s">
        <v>428</v>
      </c>
      <c r="E2110" s="22">
        <f>IF(D2110="?OLD","!!!","")</f>
        <v/>
      </c>
      <c r="F2110" s="23" t="str">
        <f>IF(OR(E2110="",E2110="!!!"),"",IF(NOT(ISNA(VLOOKUP(E2110,E$1:E2109,1,FALSE()))),"OLD",IF(AND(E2110&lt;&gt;"",E2110&lt;&gt;"!!!"),"NEW","")))</f>
        <v> </v>
      </c>
      <c r="G2110" s="24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5" t="str">
        <f>IF(J2110&lt;&gt;1,"",IF(I2110="SBJ","CB","?"))</f>
        <v> </v>
      </c>
      <c r="I2110" s="26" t="str">
        <f>IF(OR(E2110="",E2110="!!!",F2110="NEW"),"",INDEX(B2109:B$2,-1+SUMPRODUCT(MAX(ROW(E2109:E$2)*(E2110=E2109:E$2)))))</f>
        <v> </v>
      </c>
      <c r="J2110" s="26" t="str">
        <f>IF(OR(E2110="",E2110="!!!",F2110="NEW"),"",COUNTBLANK(OFFSET(A$1,,,SUMPRODUCT(MAX(ROW(E$2:E2110)*(E2110=E$2:E2110)))))-COUNTBLANK(OFFSET(A$1,,,SUMPRODUCT(MAX(ROW(E$1:E2109)*(E2=E$1:E2109))))))</f>
        <v> </v>
      </c>
      <c r="K2110" s="26" t="str">
        <f>IF(OR(E2110="",E2110="!!!",F2110="NEW"),"",INDEX(J$1:J2109,SUMPRODUCT(MAX(ROW(E$1:E2109)*(E2110=E$1:E2109)))))</f>
        <v> </v>
      </c>
      <c r="L2110" s="27"/>
    </row>
    <row r="2111" spans="1:12">
      <c r="A2111" s="20" t="s">
        <v>962</v>
      </c>
      <c r="E2111" s="22">
        <f>IF(D2111="?OLD","!!!","")</f>
        <v/>
      </c>
      <c r="F2111" s="23" t="str">
        <f>IF(OR(E2111="",E2111="!!!"),"",IF(NOT(ISNA(VLOOKUP(E2111,E$1:E2110,1,FALSE()))),"OLD",IF(AND(E2111&lt;&gt;"",E2111&lt;&gt;"!!!"),"NEW","")))</f>
        <v> </v>
      </c>
      <c r="G2111" s="24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5" t="str">
        <f>IF(J2111&lt;&gt;1,"",IF(I2111="SBJ","CB","?"))</f>
        <v> </v>
      </c>
      <c r="I2111" s="26" t="str">
        <f>IF(OR(E2111="",E2111="!!!",F2111="NEW"),"",INDEX(B2110:B$2,-1+SUMPRODUCT(MAX(ROW(E2110:E$2)*(E2111=E2110:E$2)))))</f>
        <v> </v>
      </c>
      <c r="J2111" s="26" t="str">
        <f>IF(OR(E2111="",E2111="!!!",F2111="NEW"),"",COUNTBLANK(OFFSET(A$1,,,SUMPRODUCT(MAX(ROW(E$2:E2111)*(E2111=E$2:E2111)))))-COUNTBLANK(OFFSET(A$1,,,SUMPRODUCT(MAX(ROW(E$1:E2110)*(E2=E$1:E2110))))))</f>
        <v> </v>
      </c>
      <c r="K2111" s="26" t="str">
        <f>IF(OR(E2111="",E2111="!!!",F2111="NEW"),"",INDEX(J$1:J2110,SUMPRODUCT(MAX(ROW(E$1:E2110)*(E2111=E$1:E2110)))))</f>
        <v> </v>
      </c>
      <c r="L2111" s="27"/>
    </row>
    <row r="2112" spans="1:12">
      <c r="A2112" s="20" t="s">
        <v>1409</v>
      </c>
      <c r="E2112" s="22">
        <f>IF(D2112="?OLD","!!!","")</f>
        <v/>
      </c>
      <c r="F2112" s="23" t="str">
        <f>IF(OR(E2112="",E2112="!!!"),"",IF(NOT(ISNA(VLOOKUP(E2112,E$1:E2111,1,FALSE()))),"OLD",IF(AND(E2112&lt;&gt;"",E2112&lt;&gt;"!!!"),"NEW","")))</f>
        <v> </v>
      </c>
      <c r="G2112" s="24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5" t="str">
        <f>IF(J2112&lt;&gt;1,"",IF(I2112="SBJ","CB","?"))</f>
        <v> </v>
      </c>
      <c r="I2112" s="26" t="str">
        <f>IF(OR(E2112="",E2112="!!!",F2112="NEW"),"",INDEX(B2111:B$2,-1+SUMPRODUCT(MAX(ROW(E2111:E$2)*(E2112=E2111:E$2)))))</f>
        <v> </v>
      </c>
      <c r="J2112" s="26" t="str">
        <f>IF(OR(E2112="",E2112="!!!",F2112="NEW"),"",COUNTBLANK(OFFSET(A$1,,,SUMPRODUCT(MAX(ROW(E$2:E2112)*(E2112=E$2:E2112)))))-COUNTBLANK(OFFSET(A$1,,,SUMPRODUCT(MAX(ROW(E$1:E2111)*(E2=E$1:E2111))))))</f>
        <v> </v>
      </c>
      <c r="K2112" s="26" t="str">
        <f>IF(OR(E2112="",E2112="!!!",F2112="NEW"),"",INDEX(J$1:J2111,SUMPRODUCT(MAX(ROW(E$1:E2111)*(E2112=E$1:E2111)))))</f>
        <v> </v>
      </c>
      <c r="L2112" s="27"/>
    </row>
    <row r="2113" spans="1:12">
      <c r="A2113" s="20" t="s">
        <v>1410</v>
      </c>
      <c r="E2113" s="22">
        <f>IF(D2113="?OLD","!!!","")</f>
        <v/>
      </c>
      <c r="F2113" s="23" t="str">
        <f>IF(OR(E2113="",E2113="!!!"),"",IF(NOT(ISNA(VLOOKUP(E2113,E$1:E2112,1,FALSE()))),"OLD",IF(AND(E2113&lt;&gt;"",E2113&lt;&gt;"!!!"),"NEW","")))</f>
        <v> </v>
      </c>
      <c r="G2113" s="24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5" t="str">
        <f>IF(J2113&lt;&gt;1,"",IF(I2113="SBJ","CB","?"))</f>
        <v> </v>
      </c>
      <c r="I2113" s="26" t="str">
        <f>IF(OR(E2113="",E2113="!!!",F2113="NEW"),"",INDEX(B2112:B$2,-1+SUMPRODUCT(MAX(ROW(E2112:E$2)*(E2113=E2112:E$2)))))</f>
        <v> </v>
      </c>
      <c r="J2113" s="26" t="str">
        <f>IF(OR(E2113="",E2113="!!!",F2113="NEW"),"",COUNTBLANK(OFFSET(A$1,,,SUMPRODUCT(MAX(ROW(E$2:E2113)*(E2113=E$2:E2113)))))-COUNTBLANK(OFFSET(A$1,,,SUMPRODUCT(MAX(ROW(E$1:E2112)*(E2=E$1:E2112))))))</f>
        <v> </v>
      </c>
      <c r="K2113" s="26" t="str">
        <f>IF(OR(E2113="",E2113="!!!",F2113="NEW"),"",INDEX(J$1:J2112,SUMPRODUCT(MAX(ROW(E$1:E2112)*(E2113=E$1:E2112)))))</f>
        <v> </v>
      </c>
      <c r="L2113" s="27"/>
    </row>
    <row r="2114" spans="1:12">
      <c r="A2114" s="20" t="s">
        <v>1411</v>
      </c>
      <c r="E2114" s="22">
        <f>IF(D2114="?OLD","!!!","")</f>
        <v/>
      </c>
      <c r="F2114" s="23" t="str">
        <f>IF(OR(E2114="",E2114="!!!"),"",IF(NOT(ISNA(VLOOKUP(E2114,E$1:E2113,1,FALSE()))),"OLD",IF(AND(E2114&lt;&gt;"",E2114&lt;&gt;"!!!"),"NEW","")))</f>
        <v> </v>
      </c>
      <c r="G2114" s="24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5" t="str">
        <f>IF(J2114&lt;&gt;1,"",IF(I2114="SBJ","CB","?"))</f>
        <v> </v>
      </c>
      <c r="I2114" s="26" t="str">
        <f>IF(OR(E2114="",E2114="!!!",F2114="NEW"),"",INDEX(B2113:B$2,-1+SUMPRODUCT(MAX(ROW(E2113:E$2)*(E2114=E2113:E$2)))))</f>
        <v> </v>
      </c>
      <c r="J2114" s="26" t="str">
        <f>IF(OR(E2114="",E2114="!!!",F2114="NEW"),"",COUNTBLANK(OFFSET(A$1,,,SUMPRODUCT(MAX(ROW(E$2:E2114)*(E2114=E$2:E2114)))))-COUNTBLANK(OFFSET(A$1,,,SUMPRODUCT(MAX(ROW(E$1:E2113)*(E2=E$1:E2113))))))</f>
        <v> </v>
      </c>
      <c r="K2114" s="26" t="str">
        <f>IF(OR(E2114="",E2114="!!!",F2114="NEW"),"",INDEX(J$1:J2113,SUMPRODUCT(MAX(ROW(E$1:E2113)*(E2114=E$1:E2113)))))</f>
        <v> </v>
      </c>
      <c r="L2114" s="27"/>
    </row>
    <row r="2115" spans="1:12">
      <c r="A2115" s="20" t="s">
        <v>438</v>
      </c>
      <c r="E2115" s="22">
        <f>IF(D2115="?OLD","!!!","")</f>
        <v/>
      </c>
      <c r="F2115" s="23" t="str">
        <f>IF(OR(E2115="",E2115="!!!"),"",IF(NOT(ISNA(VLOOKUP(E2115,E$1:E2114,1,FALSE()))),"OLD",IF(AND(E2115&lt;&gt;"",E2115&lt;&gt;"!!!"),"NEW","")))</f>
        <v> </v>
      </c>
      <c r="G2115" s="24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5" t="str">
        <f>IF(J2115&lt;&gt;1,"",IF(I2115="SBJ","CB","?"))</f>
        <v> </v>
      </c>
      <c r="I2115" s="26" t="str">
        <f>IF(OR(E2115="",E2115="!!!",F2115="NEW"),"",INDEX(B2114:B$2,-1+SUMPRODUCT(MAX(ROW(E2114:E$2)*(E2115=E2114:E$2)))))</f>
        <v> </v>
      </c>
      <c r="J2115" s="26" t="str">
        <f>IF(OR(E2115="",E2115="!!!",F2115="NEW"),"",COUNTBLANK(OFFSET(A$1,,,SUMPRODUCT(MAX(ROW(E$2:E2115)*(E2115=E$2:E2115)))))-COUNTBLANK(OFFSET(A$1,,,SUMPRODUCT(MAX(ROW(E$1:E2114)*(E2=E$1:E2114))))))</f>
        <v> </v>
      </c>
      <c r="K2115" s="26" t="str">
        <f>IF(OR(E2115="",E2115="!!!",F2115="NEW"),"",INDEX(J$1:J2114,SUMPRODUCT(MAX(ROW(E$1:E2114)*(E2115=E$1:E2114)))))</f>
        <v> </v>
      </c>
      <c r="L2115" s="27"/>
    </row>
    <row r="2116" spans="1:12">
      <c r="A2116" s="20"/>
    </row>
    <row r="2117" spans="1:12">
      <c r="A2117" s="20" t="s">
        <v>1412</v>
      </c>
    </row>
    <row r="2118" spans="1:12">
      <c r="A2118" s="20" t="s">
        <v>579</v>
      </c>
      <c r="E2118" s="22">
        <f>IF(D2118="?OLD","!!!","")</f>
        <v/>
      </c>
      <c r="F2118" s="23" t="str">
        <f>IF(OR(E2118="",E2118="!!!"),"",IF(NOT(ISNA(VLOOKUP(E2118,E$1:E2117,1,FALSE()))),"OLD",IF(AND(E2118&lt;&gt;"",E2118&lt;&gt;"!!!"),"NEW","")))</f>
        <v> </v>
      </c>
      <c r="G2118" s="24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5" t="str">
        <f>IF(J2118&lt;&gt;1,"",IF(I2118="SBJ","CB","?"))</f>
        <v> </v>
      </c>
      <c r="I2118" s="26" t="str">
        <f>IF(OR(E2118="",E2118="!!!",F2118="NEW"),"",INDEX(B2117:B$2,-1+SUMPRODUCT(MAX(ROW(E2117:E$2)*(E2118=E2117:E$2)))))</f>
        <v> </v>
      </c>
      <c r="J2118" s="26" t="str">
        <f>IF(OR(E2118="",E2118="!!!",F2118="NEW"),"",COUNTBLANK(OFFSET(A$1,,,SUMPRODUCT(MAX(ROW(E$2:E2118)*(E2118=E$2:E2118)))))-COUNTBLANK(OFFSET(A$1,,,SUMPRODUCT(MAX(ROW(E$1:E2117)*(E2=E$1:E2117))))))</f>
        <v> </v>
      </c>
      <c r="K2118" s="26" t="str">
        <f>IF(OR(E2118="",E2118="!!!",F2118="NEW"),"",INDEX(J$1:J2117,SUMPRODUCT(MAX(ROW(E$1:E2117)*(E2118=E$1:E2117)))))</f>
        <v> </v>
      </c>
      <c r="L2118" s="27"/>
    </row>
    <row r="2119" spans="1:12">
      <c r="A2119" s="20" t="s">
        <v>506</v>
      </c>
      <c r="E2119" s="22">
        <f>IF(D2119="?OLD","!!!","")</f>
        <v/>
      </c>
      <c r="F2119" s="23" t="str">
        <f>IF(OR(E2119="",E2119="!!!"),"",IF(NOT(ISNA(VLOOKUP(E2119,E$1:E2118,1,FALSE()))),"OLD",IF(AND(E2119&lt;&gt;"",E2119&lt;&gt;"!!!"),"NEW","")))</f>
        <v> </v>
      </c>
      <c r="G2119" s="24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5" t="str">
        <f>IF(J2119&lt;&gt;1,"",IF(I2119="SBJ","CB","?"))</f>
        <v> </v>
      </c>
      <c r="I2119" s="26" t="str">
        <f>IF(OR(E2119="",E2119="!!!",F2119="NEW"),"",INDEX(B2118:B$2,-1+SUMPRODUCT(MAX(ROW(E2118:E$2)*(E2119=E2118:E$2)))))</f>
        <v> </v>
      </c>
      <c r="J2119" s="26" t="str">
        <f>IF(OR(E2119="",E2119="!!!",F2119="NEW"),"",COUNTBLANK(OFFSET(A$1,,,SUMPRODUCT(MAX(ROW(E$2:E2119)*(E2119=E$2:E2119)))))-COUNTBLANK(OFFSET(A$1,,,SUMPRODUCT(MAX(ROW(E$1:E2118)*(E2=E$1:E2118))))))</f>
        <v> </v>
      </c>
      <c r="K2119" s="26" t="str">
        <f>IF(OR(E2119="",E2119="!!!",F2119="NEW"),"",INDEX(J$1:J2118,SUMPRODUCT(MAX(ROW(E$1:E2118)*(E2119=E$1:E2118)))))</f>
        <v> </v>
      </c>
      <c r="L2119" s="27"/>
    </row>
    <row r="2120" spans="1:12">
      <c r="A2120" s="20" t="s">
        <v>1379</v>
      </c>
      <c r="E2120" s="22">
        <f>IF(D2120="?OLD","!!!","")</f>
        <v/>
      </c>
      <c r="F2120" s="23" t="str">
        <f>IF(OR(E2120="",E2120="!!!"),"",IF(NOT(ISNA(VLOOKUP(E2120,E$1:E2119,1,FALSE()))),"OLD",IF(AND(E2120&lt;&gt;"",E2120&lt;&gt;"!!!"),"NEW","")))</f>
        <v> </v>
      </c>
      <c r="G2120" s="24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5" t="str">
        <f>IF(J2120&lt;&gt;1,"",IF(I2120="SBJ","CB","?"))</f>
        <v> </v>
      </c>
      <c r="I2120" s="26" t="str">
        <f>IF(OR(E2120="",E2120="!!!",F2120="NEW"),"",INDEX(B2119:B$2,-1+SUMPRODUCT(MAX(ROW(E2119:E$2)*(E2120=E2119:E$2)))))</f>
        <v> </v>
      </c>
      <c r="J2120" s="26" t="str">
        <f>IF(OR(E2120="",E2120="!!!",F2120="NEW"),"",COUNTBLANK(OFFSET(A$1,,,SUMPRODUCT(MAX(ROW(E$2:E2120)*(E2120=E$2:E2120)))))-COUNTBLANK(OFFSET(A$1,,,SUMPRODUCT(MAX(ROW(E$1:E2119)*(E2=E$1:E2119))))))</f>
        <v> </v>
      </c>
      <c r="K2120" s="26" t="str">
        <f>IF(OR(E2120="",E2120="!!!",F2120="NEW"),"",INDEX(J$1:J2119,SUMPRODUCT(MAX(ROW(E$1:E2119)*(E2120=E$1:E2119)))))</f>
        <v> </v>
      </c>
      <c r="L2120" s="27"/>
    </row>
    <row r="2121" spans="1:12">
      <c r="A2121" s="20" t="s">
        <v>1380</v>
      </c>
      <c r="E2121" s="22">
        <f>IF(D2121="?OLD","!!!","")</f>
        <v/>
      </c>
      <c r="F2121" s="23" t="str">
        <f>IF(OR(E2121="",E2121="!!!"),"",IF(NOT(ISNA(VLOOKUP(E2121,E$1:E2120,1,FALSE()))),"OLD",IF(AND(E2121&lt;&gt;"",E2121&lt;&gt;"!!!"),"NEW","")))</f>
        <v> </v>
      </c>
      <c r="G2121" s="24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5" t="str">
        <f>IF(J2121&lt;&gt;1,"",IF(I2121="SBJ","CB","?"))</f>
        <v> </v>
      </c>
      <c r="I2121" s="26" t="str">
        <f>IF(OR(E2121="",E2121="!!!",F2121="NEW"),"",INDEX(B2120:B$2,-1+SUMPRODUCT(MAX(ROW(E2120:E$2)*(E2121=E2120:E$2)))))</f>
        <v> </v>
      </c>
      <c r="J2121" s="26" t="str">
        <f>IF(OR(E2121="",E2121="!!!",F2121="NEW"),"",COUNTBLANK(OFFSET(A$1,,,SUMPRODUCT(MAX(ROW(E$2:E2121)*(E2121=E$2:E2121)))))-COUNTBLANK(OFFSET(A$1,,,SUMPRODUCT(MAX(ROW(E$1:E2120)*(E2=E$1:E2120))))))</f>
        <v> </v>
      </c>
      <c r="K2121" s="26" t="str">
        <f>IF(OR(E2121="",E2121="!!!",F2121="NEW"),"",INDEX(J$1:J2120,SUMPRODUCT(MAX(ROW(E$1:E2120)*(E2121=E$1:E2120)))))</f>
        <v> </v>
      </c>
      <c r="L2121" s="27"/>
    </row>
    <row r="2122" spans="1:12">
      <c r="A2122" s="20" t="s">
        <v>453</v>
      </c>
      <c r="E2122" s="22">
        <f>IF(D2122="?OLD","!!!","")</f>
        <v/>
      </c>
      <c r="F2122" s="23" t="str">
        <f>IF(OR(E2122="",E2122="!!!"),"",IF(NOT(ISNA(VLOOKUP(E2122,E$1:E2121,1,FALSE()))),"OLD",IF(AND(E2122&lt;&gt;"",E2122&lt;&gt;"!!!"),"NEW","")))</f>
        <v> </v>
      </c>
      <c r="G2122" s="24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5" t="str">
        <f>IF(J2122&lt;&gt;1,"",IF(I2122="SBJ","CB","?"))</f>
        <v> </v>
      </c>
      <c r="I2122" s="26" t="str">
        <f>IF(OR(E2122="",E2122="!!!",F2122="NEW"),"",INDEX(B2121:B$2,-1+SUMPRODUCT(MAX(ROW(E2121:E$2)*(E2122=E2121:E$2)))))</f>
        <v> </v>
      </c>
      <c r="J2122" s="26" t="str">
        <f>IF(OR(E2122="",E2122="!!!",F2122="NEW"),"",COUNTBLANK(OFFSET(A$1,,,SUMPRODUCT(MAX(ROW(E$2:E2122)*(E2122=E$2:E2122)))))-COUNTBLANK(OFFSET(A$1,,,SUMPRODUCT(MAX(ROW(E$1:E2121)*(E2=E$1:E2121))))))</f>
        <v> </v>
      </c>
      <c r="K2122" s="26" t="str">
        <f>IF(OR(E2122="",E2122="!!!",F2122="NEW"),"",INDEX(J$1:J2121,SUMPRODUCT(MAX(ROW(E$1:E2121)*(E2122=E$1:E2121)))))</f>
        <v> </v>
      </c>
      <c r="L2122" s="27"/>
    </row>
    <row r="2123" spans="1:12">
      <c r="A2123" s="20" t="s">
        <v>502</v>
      </c>
      <c r="E2123" s="22">
        <f>IF(D2123="?OLD","!!!","")</f>
        <v/>
      </c>
      <c r="F2123" s="23" t="str">
        <f>IF(OR(E2123="",E2123="!!!"),"",IF(NOT(ISNA(VLOOKUP(E2123,E$1:E2122,1,FALSE()))),"OLD",IF(AND(E2123&lt;&gt;"",E2123&lt;&gt;"!!!"),"NEW","")))</f>
        <v> </v>
      </c>
      <c r="G2123" s="24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5" t="str">
        <f>IF(J2123&lt;&gt;1,"",IF(I2123="SBJ","CB","?"))</f>
        <v> </v>
      </c>
      <c r="I2123" s="26" t="str">
        <f>IF(OR(E2123="",E2123="!!!",F2123="NEW"),"",INDEX(B2122:B$2,-1+SUMPRODUCT(MAX(ROW(E2122:E$2)*(E2123=E2122:E$2)))))</f>
        <v> </v>
      </c>
      <c r="J2123" s="26" t="str">
        <f>IF(OR(E2123="",E2123="!!!",F2123="NEW"),"",COUNTBLANK(OFFSET(A$1,,,SUMPRODUCT(MAX(ROW(E$2:E2123)*(E2123=E$2:E2123)))))-COUNTBLANK(OFFSET(A$1,,,SUMPRODUCT(MAX(ROW(E$1:E2122)*(E2=E$1:E2122))))))</f>
        <v> </v>
      </c>
      <c r="K2123" s="26" t="str">
        <f>IF(OR(E2123="",E2123="!!!",F2123="NEW"),"",INDEX(J$1:J2122,SUMPRODUCT(MAX(ROW(E$1:E2122)*(E2123=E$1:E2122)))))</f>
        <v> </v>
      </c>
      <c r="L2123" s="27"/>
    </row>
    <row r="2124" spans="1:12">
      <c r="A2124" s="20" t="s">
        <v>492</v>
      </c>
      <c r="B2124" s="21" t="s">
        <v>556</v>
      </c>
      <c r="C2124" s="21" t="s">
        <v>423</v>
      </c>
      <c r="D2124" s="21" t="s">
        <v>424</v>
      </c>
      <c r="E2124" s="22">
        <f>IF(D2124="?OLD","!!!","")</f>
        <v/>
      </c>
      <c r="F2124" s="23" t="str">
        <f>IF(OR(E2124="",E2124="!!!"),"",IF(NOT(ISNA(VLOOKUP(E2124,E$1:E2123,1,FALSE()))),"OLD",IF(AND(E2124&lt;&gt;"",E2124&lt;&gt;"!!!"),"NEW","")))</f>
        <v> </v>
      </c>
      <c r="G2124" s="24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5" t="str">
        <f>IF(J2124&lt;&gt;1,"",IF(I2124="SBJ","CB","?"))</f>
        <v> </v>
      </c>
      <c r="I2124" s="26" t="str">
        <f>IF(OR(E2124="",E2124="!!!",F2124="NEW"),"",INDEX(B2123:B$2,-1+SUMPRODUCT(MAX(ROW(E2123:E$2)*(E2124=E2123:E$2)))))</f>
        <v> </v>
      </c>
      <c r="J2124" s="26" t="str">
        <f>IF(OR(E2124="",E2124="!!!",F2124="NEW"),"",COUNTBLANK(OFFSET(A$1,,,SUMPRODUCT(MAX(ROW(E$2:E2124)*(E2124=E$2:E2124)))))-COUNTBLANK(OFFSET(A$1,,,SUMPRODUCT(MAX(ROW(E$1:E2123)*(E2=E$1:E2123))))))</f>
        <v> </v>
      </c>
      <c r="K2124" s="26" t="str">
        <f>IF(OR(E2124="",E2124="!!!",F2124="NEW"),"",INDEX(J$1:J2123,SUMPRODUCT(MAX(ROW(E$1:E2123)*(E2124=E$1:E2123)))))</f>
        <v> </v>
      </c>
      <c r="L2124" s="27"/>
    </row>
    <row r="2125" spans="1:12">
      <c r="A2125" s="20" t="s">
        <v>739</v>
      </c>
      <c r="E2125" s="22">
        <f>IF(D2125="?OLD","!!!","")</f>
        <v/>
      </c>
      <c r="F2125" s="23" t="str">
        <f>IF(OR(E2125="",E2125="!!!"),"",IF(NOT(ISNA(VLOOKUP(E2125,E$1:E2124,1,FALSE()))),"OLD",IF(AND(E2125&lt;&gt;"",E2125&lt;&gt;"!!!"),"NEW","")))</f>
        <v> </v>
      </c>
      <c r="G2125" s="24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5" t="str">
        <f>IF(J2125&lt;&gt;1,"",IF(I2125="SBJ","CB","?"))</f>
        <v> </v>
      </c>
      <c r="I2125" s="26" t="str">
        <f>IF(OR(E2125="",E2125="!!!",F2125="NEW"),"",INDEX(B2124:B$2,-1+SUMPRODUCT(MAX(ROW(E2124:E$2)*(E2125=E2124:E$2)))))</f>
        <v> </v>
      </c>
      <c r="J2125" s="26" t="str">
        <f>IF(OR(E2125="",E2125="!!!",F2125="NEW"),"",COUNTBLANK(OFFSET(A$1,,,SUMPRODUCT(MAX(ROW(E$2:E2125)*(E2125=E$2:E2125)))))-COUNTBLANK(OFFSET(A$1,,,SUMPRODUCT(MAX(ROW(E$1:E2124)*(E2=E$1:E2124))))))</f>
        <v> </v>
      </c>
      <c r="K2125" s="26" t="str">
        <f>IF(OR(E2125="",E2125="!!!",F2125="NEW"),"",INDEX(J$1:J2124,SUMPRODUCT(MAX(ROW(E$1:E2124)*(E2125=E$1:E2124)))))</f>
        <v> </v>
      </c>
      <c r="L2125" s="27"/>
    </row>
    <row r="2126" spans="1:12">
      <c r="A2126" s="20" t="s">
        <v>453</v>
      </c>
      <c r="E2126" s="22">
        <f>IF(D2126="?OLD","!!!","")</f>
        <v/>
      </c>
      <c r="F2126" s="23" t="str">
        <f>IF(OR(E2126="",E2126="!!!"),"",IF(NOT(ISNA(VLOOKUP(E2126,E$1:E2125,1,FALSE()))),"OLD",IF(AND(E2126&lt;&gt;"",E2126&lt;&gt;"!!!"),"NEW","")))</f>
        <v> </v>
      </c>
      <c r="G2126" s="24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5" t="str">
        <f>IF(J2126&lt;&gt;1,"",IF(I2126="SBJ","CB","?"))</f>
        <v> </v>
      </c>
      <c r="I2126" s="26" t="str">
        <f>IF(OR(E2126="",E2126="!!!",F2126="NEW"),"",INDEX(B2125:B$2,-1+SUMPRODUCT(MAX(ROW(E2125:E$2)*(E2126=E2125:E$2)))))</f>
        <v> </v>
      </c>
      <c r="J2126" s="26" t="str">
        <f>IF(OR(E2126="",E2126="!!!",F2126="NEW"),"",COUNTBLANK(OFFSET(A$1,,,SUMPRODUCT(MAX(ROW(E$2:E2126)*(E2126=E$2:E2126)))))-COUNTBLANK(OFFSET(A$1,,,SUMPRODUCT(MAX(ROW(E$1:E2125)*(E2=E$1:E2125))))))</f>
        <v> </v>
      </c>
      <c r="K2126" s="26" t="str">
        <f>IF(OR(E2126="",E2126="!!!",F2126="NEW"),"",INDEX(J$1:J2125,SUMPRODUCT(MAX(ROW(E$1:E2125)*(E2126=E$1:E2125)))))</f>
        <v> </v>
      </c>
      <c r="L2126" s="27"/>
    </row>
    <row r="2127" spans="1:12">
      <c r="A2127" s="20" t="s">
        <v>660</v>
      </c>
      <c r="E2127" s="22">
        <f>IF(D2127="?OLD","!!!","")</f>
        <v/>
      </c>
      <c r="F2127" s="23" t="str">
        <f>IF(OR(E2127="",E2127="!!!"),"",IF(NOT(ISNA(VLOOKUP(E2127,E$1:E2126,1,FALSE()))),"OLD",IF(AND(E2127&lt;&gt;"",E2127&lt;&gt;"!!!"),"NEW","")))</f>
        <v> </v>
      </c>
      <c r="G2127" s="24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5" t="str">
        <f>IF(J2127&lt;&gt;1,"",IF(I2127="SBJ","CB","?"))</f>
        <v> </v>
      </c>
      <c r="I2127" s="26" t="str">
        <f>IF(OR(E2127="",E2127="!!!",F2127="NEW"),"",INDEX(B2126:B$2,-1+SUMPRODUCT(MAX(ROW(E2126:E$2)*(E2127=E2126:E$2)))))</f>
        <v> </v>
      </c>
      <c r="J2127" s="26" t="str">
        <f>IF(OR(E2127="",E2127="!!!",F2127="NEW"),"",COUNTBLANK(OFFSET(A$1,,,SUMPRODUCT(MAX(ROW(E$2:E2127)*(E2127=E$2:E2127)))))-COUNTBLANK(OFFSET(A$1,,,SUMPRODUCT(MAX(ROW(E$1:E2126)*(E2=E$1:E2126))))))</f>
        <v> </v>
      </c>
      <c r="K2127" s="26" t="str">
        <f>IF(OR(E2127="",E2127="!!!",F2127="NEW"),"",INDEX(J$1:J2126,SUMPRODUCT(MAX(ROW(E$1:E2126)*(E2127=E$1:E2126)))))</f>
        <v> </v>
      </c>
      <c r="L2127" s="27"/>
    </row>
    <row r="2128" spans="1:12">
      <c r="A2128" s="20" t="s">
        <v>453</v>
      </c>
      <c r="E2128" s="22">
        <f>IF(D2128="?OLD","!!!","")</f>
        <v/>
      </c>
      <c r="F2128" s="23" t="str">
        <f>IF(OR(E2128="",E2128="!!!"),"",IF(NOT(ISNA(VLOOKUP(E2128,E$1:E2127,1,FALSE()))),"OLD",IF(AND(E2128&lt;&gt;"",E2128&lt;&gt;"!!!"),"NEW","")))</f>
        <v> </v>
      </c>
      <c r="G2128" s="24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5" t="str">
        <f>IF(J2128&lt;&gt;1,"",IF(I2128="SBJ","CB","?"))</f>
        <v> </v>
      </c>
      <c r="I2128" s="26" t="str">
        <f>IF(OR(E2128="",E2128="!!!",F2128="NEW"),"",INDEX(B2127:B$2,-1+SUMPRODUCT(MAX(ROW(E2127:E$2)*(E2128=E2127:E$2)))))</f>
        <v> </v>
      </c>
      <c r="J2128" s="26" t="str">
        <f>IF(OR(E2128="",E2128="!!!",F2128="NEW"),"",COUNTBLANK(OFFSET(A$1,,,SUMPRODUCT(MAX(ROW(E$2:E2128)*(E2128=E$2:E2128)))))-COUNTBLANK(OFFSET(A$1,,,SUMPRODUCT(MAX(ROW(E$1:E2127)*(E2=E$1:E2127))))))</f>
        <v> </v>
      </c>
      <c r="K2128" s="26" t="str">
        <f>IF(OR(E2128="",E2128="!!!",F2128="NEW"),"",INDEX(J$1:J2127,SUMPRODUCT(MAX(ROW(E$1:E2127)*(E2128=E$1:E2127)))))</f>
        <v> </v>
      </c>
      <c r="L2128" s="27"/>
    </row>
    <row r="2129" spans="1:12">
      <c r="A2129" s="20" t="s">
        <v>465</v>
      </c>
      <c r="E2129" s="22">
        <f>IF(D2129="?OLD","!!!","")</f>
        <v/>
      </c>
      <c r="F2129" s="23" t="str">
        <f>IF(OR(E2129="",E2129="!!!"),"",IF(NOT(ISNA(VLOOKUP(E2129,E$1:E2128,1,FALSE()))),"OLD",IF(AND(E2129&lt;&gt;"",E2129&lt;&gt;"!!!"),"NEW","")))</f>
        <v> </v>
      </c>
      <c r="G2129" s="24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5" t="str">
        <f>IF(J2129&lt;&gt;1,"",IF(I2129="SBJ","CB","?"))</f>
        <v> </v>
      </c>
      <c r="I2129" s="26" t="str">
        <f>IF(OR(E2129="",E2129="!!!",F2129="NEW"),"",INDEX(B2128:B$2,-1+SUMPRODUCT(MAX(ROW(E2128:E$2)*(E2129=E2128:E$2)))))</f>
        <v> </v>
      </c>
      <c r="J2129" s="26" t="str">
        <f>IF(OR(E2129="",E2129="!!!",F2129="NEW"),"",COUNTBLANK(OFFSET(A$1,,,SUMPRODUCT(MAX(ROW(E$2:E2129)*(E2129=E$2:E2129)))))-COUNTBLANK(OFFSET(A$1,,,SUMPRODUCT(MAX(ROW(E$1:E2128)*(E2=E$1:E2128))))))</f>
        <v> </v>
      </c>
      <c r="K2129" s="26" t="str">
        <f>IF(OR(E2129="",E2129="!!!",F2129="NEW"),"",INDEX(J$1:J2128,SUMPRODUCT(MAX(ROW(E$1:E2128)*(E2129=E$1:E2128)))))</f>
        <v> </v>
      </c>
      <c r="L2129" s="27"/>
    </row>
    <row r="2130" spans="1:12">
      <c r="A2130" s="20" t="s">
        <v>1413</v>
      </c>
      <c r="E2130" s="22">
        <f>IF(D2130="?OLD","!!!","")</f>
        <v/>
      </c>
      <c r="F2130" s="23" t="str">
        <f>IF(OR(E2130="",E2130="!!!"),"",IF(NOT(ISNA(VLOOKUP(E2130,E$1:E2129,1,FALSE()))),"OLD",IF(AND(E2130&lt;&gt;"",E2130&lt;&gt;"!!!"),"NEW","")))</f>
        <v> </v>
      </c>
      <c r="G2130" s="24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5" t="str">
        <f>IF(J2130&lt;&gt;1,"",IF(I2130="SBJ","CB","?"))</f>
        <v> </v>
      </c>
      <c r="I2130" s="26" t="str">
        <f>IF(OR(E2130="",E2130="!!!",F2130="NEW"),"",INDEX(B2129:B$2,-1+SUMPRODUCT(MAX(ROW(E2129:E$2)*(E2130=E2129:E$2)))))</f>
        <v> </v>
      </c>
      <c r="J2130" s="26" t="str">
        <f>IF(OR(E2130="",E2130="!!!",F2130="NEW"),"",COUNTBLANK(OFFSET(A$1,,,SUMPRODUCT(MAX(ROW(E$2:E2130)*(E2130=E$2:E2130)))))-COUNTBLANK(OFFSET(A$1,,,SUMPRODUCT(MAX(ROW(E$1:E2129)*(E2=E$1:E2129))))))</f>
        <v> </v>
      </c>
      <c r="K2130" s="26" t="str">
        <f>IF(OR(E2130="",E2130="!!!",F2130="NEW"),"",INDEX(J$1:J2129,SUMPRODUCT(MAX(ROW(E$1:E2129)*(E2130=E$1:E2129)))))</f>
        <v> </v>
      </c>
      <c r="L2130" s="27"/>
    </row>
    <row r="2131" spans="1:12">
      <c r="A2131" s="20" t="s">
        <v>1414</v>
      </c>
      <c r="E2131" s="22">
        <f>IF(D2131="?OLD","!!!","")</f>
        <v/>
      </c>
      <c r="F2131" s="23" t="str">
        <f>IF(OR(E2131="",E2131="!!!"),"",IF(NOT(ISNA(VLOOKUP(E2131,E$1:E2130,1,FALSE()))),"OLD",IF(AND(E2131&lt;&gt;"",E2131&lt;&gt;"!!!"),"NEW","")))</f>
        <v> </v>
      </c>
      <c r="G2131" s="24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5" t="str">
        <f>IF(J2131&lt;&gt;1,"",IF(I2131="SBJ","CB","?"))</f>
        <v> </v>
      </c>
      <c r="I2131" s="26" t="str">
        <f>IF(OR(E2131="",E2131="!!!",F2131="NEW"),"",INDEX(B2130:B$2,-1+SUMPRODUCT(MAX(ROW(E2130:E$2)*(E2131=E2130:E$2)))))</f>
        <v> </v>
      </c>
      <c r="J2131" s="26" t="str">
        <f>IF(OR(E2131="",E2131="!!!",F2131="NEW"),"",COUNTBLANK(OFFSET(A$1,,,SUMPRODUCT(MAX(ROW(E$2:E2131)*(E2131=E$2:E2131)))))-COUNTBLANK(OFFSET(A$1,,,SUMPRODUCT(MAX(ROW(E$1:E2130)*(E2=E$1:E2130))))))</f>
        <v> </v>
      </c>
      <c r="K2131" s="26" t="str">
        <f>IF(OR(E2131="",E2131="!!!",F2131="NEW"),"",INDEX(J$1:J2130,SUMPRODUCT(MAX(ROW(E$1:E2130)*(E2131=E$1:E2130)))))</f>
        <v> </v>
      </c>
      <c r="L2131" s="27"/>
    </row>
    <row r="2132" spans="1:12">
      <c r="A2132" s="20" t="s">
        <v>453</v>
      </c>
      <c r="E2132" s="22">
        <f>IF(D2132="?OLD","!!!","")</f>
        <v/>
      </c>
      <c r="F2132" s="23" t="str">
        <f>IF(OR(E2132="",E2132="!!!"),"",IF(NOT(ISNA(VLOOKUP(E2132,E$1:E2131,1,FALSE()))),"OLD",IF(AND(E2132&lt;&gt;"",E2132&lt;&gt;"!!!"),"NEW","")))</f>
        <v> </v>
      </c>
      <c r="G2132" s="24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5" t="str">
        <f>IF(J2132&lt;&gt;1,"",IF(I2132="SBJ","CB","?"))</f>
        <v> </v>
      </c>
      <c r="I2132" s="26" t="str">
        <f>IF(OR(E2132="",E2132="!!!",F2132="NEW"),"",INDEX(B2131:B$2,-1+SUMPRODUCT(MAX(ROW(E2131:E$2)*(E2132=E2131:E$2)))))</f>
        <v> </v>
      </c>
      <c r="J2132" s="26" t="str">
        <f>IF(OR(E2132="",E2132="!!!",F2132="NEW"),"",COUNTBLANK(OFFSET(A$1,,,SUMPRODUCT(MAX(ROW(E$2:E2132)*(E2132=E$2:E2132)))))-COUNTBLANK(OFFSET(A$1,,,SUMPRODUCT(MAX(ROW(E$1:E2131)*(E2=E$1:E2131))))))</f>
        <v> </v>
      </c>
      <c r="K2132" s="26" t="str">
        <f>IF(OR(E2132="",E2132="!!!",F2132="NEW"),"",INDEX(J$1:J2131,SUMPRODUCT(MAX(ROW(E$1:E2131)*(E2132=E$1:E2131)))))</f>
        <v> </v>
      </c>
      <c r="L2132" s="27"/>
    </row>
    <row r="2133" spans="1:12">
      <c r="A2133" s="20" t="s">
        <v>1415</v>
      </c>
      <c r="E2133" s="22">
        <f>IF(D2133="?OLD","!!!","")</f>
        <v/>
      </c>
      <c r="F2133" s="23" t="str">
        <f>IF(OR(E2133="",E2133="!!!"),"",IF(NOT(ISNA(VLOOKUP(E2133,E$1:E2132,1,FALSE()))),"OLD",IF(AND(E2133&lt;&gt;"",E2133&lt;&gt;"!!!"),"NEW","")))</f>
        <v> </v>
      </c>
      <c r="G2133" s="24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5" t="str">
        <f>IF(J2133&lt;&gt;1,"",IF(I2133="SBJ","CB","?"))</f>
        <v> </v>
      </c>
      <c r="I2133" s="26" t="str">
        <f>IF(OR(E2133="",E2133="!!!",F2133="NEW"),"",INDEX(B2132:B$2,-1+SUMPRODUCT(MAX(ROW(E2132:E$2)*(E2133=E2132:E$2)))))</f>
        <v> </v>
      </c>
      <c r="J2133" s="26" t="str">
        <f>IF(OR(E2133="",E2133="!!!",F2133="NEW"),"",COUNTBLANK(OFFSET(A$1,,,SUMPRODUCT(MAX(ROW(E$2:E2133)*(E2133=E$2:E2133)))))-COUNTBLANK(OFFSET(A$1,,,SUMPRODUCT(MAX(ROW(E$1:E2132)*(E2=E$1:E2132))))))</f>
        <v> </v>
      </c>
      <c r="K2133" s="26" t="str">
        <f>IF(OR(E2133="",E2133="!!!",F2133="NEW"),"",INDEX(J$1:J2132,SUMPRODUCT(MAX(ROW(E$1:E2132)*(E2133=E$1:E2132)))))</f>
        <v> </v>
      </c>
      <c r="L2133" s="27"/>
    </row>
    <row r="2134" spans="1:12">
      <c r="A2134" s="20" t="s">
        <v>1261</v>
      </c>
      <c r="E2134" s="22">
        <f>IF(D2134="?OLD","!!!","")</f>
        <v/>
      </c>
      <c r="F2134" s="23" t="str">
        <f>IF(OR(E2134="",E2134="!!!"),"",IF(NOT(ISNA(VLOOKUP(E2134,E$1:E2133,1,FALSE()))),"OLD",IF(AND(E2134&lt;&gt;"",E2134&lt;&gt;"!!!"),"NEW","")))</f>
        <v> </v>
      </c>
      <c r="G2134" s="24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5" t="str">
        <f>IF(J2134&lt;&gt;1,"",IF(I2134="SBJ","CB","?"))</f>
        <v> </v>
      </c>
      <c r="I2134" s="26" t="str">
        <f>IF(OR(E2134="",E2134="!!!",F2134="NEW"),"",INDEX(B2133:B$2,-1+SUMPRODUCT(MAX(ROW(E2133:E$2)*(E2134=E2133:E$2)))))</f>
        <v> </v>
      </c>
      <c r="J2134" s="26" t="str">
        <f>IF(OR(E2134="",E2134="!!!",F2134="NEW"),"",COUNTBLANK(OFFSET(A$1,,,SUMPRODUCT(MAX(ROW(E$2:E2134)*(E2134=E$2:E2134)))))-COUNTBLANK(OFFSET(A$1,,,SUMPRODUCT(MAX(ROW(E$1:E2133)*(E2=E$1:E2133))))))</f>
        <v> </v>
      </c>
      <c r="K2134" s="26" t="str">
        <f>IF(OR(E2134="",E2134="!!!",F2134="NEW"),"",INDEX(J$1:J2133,SUMPRODUCT(MAX(ROW(E$1:E2133)*(E2134=E$1:E2133)))))</f>
        <v> </v>
      </c>
      <c r="L2134" s="27"/>
    </row>
    <row r="2135" spans="1:12">
      <c r="A2135" s="20" t="s">
        <v>1416</v>
      </c>
      <c r="B2135" s="21" t="s">
        <v>470</v>
      </c>
      <c r="C2135" s="21" t="s">
        <v>516</v>
      </c>
      <c r="E2135" s="22">
        <f>IF(D2135="?OLD","!!!","")</f>
        <v/>
      </c>
      <c r="F2135" s="23" t="str">
        <f>IF(OR(E2135="",E2135="!!!"),"",IF(NOT(ISNA(VLOOKUP(E2135,E$1:E2134,1,FALSE()))),"OLD",IF(AND(E2135&lt;&gt;"",E2135&lt;&gt;"!!!"),"NEW","")))</f>
        <v> </v>
      </c>
      <c r="G2135" s="24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5" t="str">
        <f>IF(J2135&lt;&gt;1,"",IF(I2135="SBJ","CB","?"))</f>
        <v> </v>
      </c>
      <c r="I2135" s="26" t="str">
        <f>IF(OR(E2135="",E2135="!!!",F2135="NEW"),"",INDEX(B2134:B$2,-1+SUMPRODUCT(MAX(ROW(E2134:E$2)*(E2135=E2134:E$2)))))</f>
        <v> </v>
      </c>
      <c r="J2135" s="26" t="str">
        <f>IF(OR(E2135="",E2135="!!!",F2135="NEW"),"",COUNTBLANK(OFFSET(A$1,,,SUMPRODUCT(MAX(ROW(E$2:E2135)*(E2135=E$2:E2135)))))-COUNTBLANK(OFFSET(A$1,,,SUMPRODUCT(MAX(ROW(E$1:E2134)*(E2=E$1:E2134))))))</f>
        <v> </v>
      </c>
      <c r="K2135" s="26" t="str">
        <f>IF(OR(E2135="",E2135="!!!",F2135="NEW"),"",INDEX(J$1:J2134,SUMPRODUCT(MAX(ROW(E$1:E2134)*(E2135=E$1:E2134)))))</f>
        <v> </v>
      </c>
      <c r="L2135" s="27"/>
    </row>
    <row r="2136" spans="1:12">
      <c r="A2136" s="20" t="s">
        <v>1417</v>
      </c>
      <c r="E2136" s="22">
        <f>IF(D2136="?OLD","!!!","")</f>
        <v/>
      </c>
      <c r="F2136" s="23" t="str">
        <f>IF(OR(E2136="",E2136="!!!"),"",IF(NOT(ISNA(VLOOKUP(E2136,E$1:E2135,1,FALSE()))),"OLD",IF(AND(E2136&lt;&gt;"",E2136&lt;&gt;"!!!"),"NEW","")))</f>
        <v> </v>
      </c>
      <c r="G2136" s="24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5" t="str">
        <f>IF(J2136&lt;&gt;1,"",IF(I2136="SBJ","CB","?"))</f>
        <v> </v>
      </c>
      <c r="I2136" s="26" t="str">
        <f>IF(OR(E2136="",E2136="!!!",F2136="NEW"),"",INDEX(B2135:B$2,-1+SUMPRODUCT(MAX(ROW(E2135:E$2)*(E2136=E2135:E$2)))))</f>
        <v> </v>
      </c>
      <c r="J2136" s="26" t="str">
        <f>IF(OR(E2136="",E2136="!!!",F2136="NEW"),"",COUNTBLANK(OFFSET(A$1,,,SUMPRODUCT(MAX(ROW(E$2:E2136)*(E2136=E$2:E2136)))))-COUNTBLANK(OFFSET(A$1,,,SUMPRODUCT(MAX(ROW(E$1:E2135)*(E2=E$1:E2135))))))</f>
        <v> </v>
      </c>
      <c r="K2136" s="26" t="str">
        <f>IF(OR(E2136="",E2136="!!!",F2136="NEW"),"",INDEX(J$1:J2135,SUMPRODUCT(MAX(ROW(E$1:E2135)*(E2136=E$1:E2135)))))</f>
        <v> </v>
      </c>
      <c r="L2136" s="27"/>
    </row>
    <row r="2137" spans="1:12">
      <c r="A2137" s="20" t="s">
        <v>428</v>
      </c>
      <c r="E2137" s="22">
        <f>IF(D2137="?OLD","!!!","")</f>
        <v/>
      </c>
      <c r="F2137" s="23" t="str">
        <f>IF(OR(E2137="",E2137="!!!"),"",IF(NOT(ISNA(VLOOKUP(E2137,E$1:E2136,1,FALSE()))),"OLD",IF(AND(E2137&lt;&gt;"",E2137&lt;&gt;"!!!"),"NEW","")))</f>
        <v> </v>
      </c>
      <c r="G2137" s="24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5" t="str">
        <f>IF(J2137&lt;&gt;1,"",IF(I2137="SBJ","CB","?"))</f>
        <v> </v>
      </c>
      <c r="I2137" s="26" t="str">
        <f>IF(OR(E2137="",E2137="!!!",F2137="NEW"),"",INDEX(B2136:B$2,-1+SUMPRODUCT(MAX(ROW(E2136:E$2)*(E2137=E2136:E$2)))))</f>
        <v> </v>
      </c>
      <c r="J2137" s="26" t="str">
        <f>IF(OR(E2137="",E2137="!!!",F2137="NEW"),"",COUNTBLANK(OFFSET(A$1,,,SUMPRODUCT(MAX(ROW(E$2:E2137)*(E2137=E$2:E2137)))))-COUNTBLANK(OFFSET(A$1,,,SUMPRODUCT(MAX(ROW(E$1:E2136)*(E2=E$1:E2136))))))</f>
        <v> </v>
      </c>
      <c r="K2137" s="26" t="str">
        <f>IF(OR(E2137="",E2137="!!!",F2137="NEW"),"",INDEX(J$1:J2136,SUMPRODUCT(MAX(ROW(E$1:E2136)*(E2137=E$1:E2136)))))</f>
        <v> </v>
      </c>
      <c r="L2137" s="27"/>
    </row>
    <row r="2138" spans="1:12">
      <c r="A2138" s="20" t="s">
        <v>730</v>
      </c>
      <c r="B2138" s="21" t="s">
        <v>432</v>
      </c>
      <c r="C2138" s="21" t="s">
        <v>477</v>
      </c>
      <c r="D2138" s="21" t="s">
        <v>424</v>
      </c>
      <c r="E2138" s="22">
        <f>IF(D2138="?OLD","!!!","")</f>
        <v/>
      </c>
      <c r="F2138" s="23" t="str">
        <f>IF(OR(E2138="",E2138="!!!"),"",IF(NOT(ISNA(VLOOKUP(E2138,E$1:E2137,1,FALSE()))),"OLD",IF(AND(E2138&lt;&gt;"",E2138&lt;&gt;"!!!"),"NEW","")))</f>
        <v> </v>
      </c>
      <c r="G2138" s="24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5" t="str">
        <f>IF(J2138&lt;&gt;1,"",IF(I2138="SBJ","CB","?"))</f>
        <v> </v>
      </c>
      <c r="I2138" s="26" t="str">
        <f>IF(OR(E2138="",E2138="!!!",F2138="NEW"),"",INDEX(B2137:B$2,-1+SUMPRODUCT(MAX(ROW(E2137:E$2)*(E2138=E2137:E$2)))))</f>
        <v> </v>
      </c>
      <c r="J2138" s="26" t="str">
        <f>IF(OR(E2138="",E2138="!!!",F2138="NEW"),"",COUNTBLANK(OFFSET(A$1,,,SUMPRODUCT(MAX(ROW(E$2:E2138)*(E2138=E$2:E2138)))))-COUNTBLANK(OFFSET(A$1,,,SUMPRODUCT(MAX(ROW(E$1:E2137)*(E2=E$1:E2137))))))</f>
        <v> </v>
      </c>
      <c r="K2138" s="26" t="str">
        <f>IF(OR(E2138="",E2138="!!!",F2138="NEW"),"",INDEX(J$1:J2137,SUMPRODUCT(MAX(ROW(E$1:E2137)*(E2138=E$1:E2137)))))</f>
        <v> </v>
      </c>
      <c r="L2138" s="27"/>
    </row>
    <row r="2139" spans="1:12">
      <c r="A2139" s="20" t="s">
        <v>453</v>
      </c>
      <c r="E2139" s="22">
        <f>IF(D2139="?OLD","!!!","")</f>
        <v/>
      </c>
      <c r="F2139" s="23" t="str">
        <f>IF(OR(E2139="",E2139="!!!"),"",IF(NOT(ISNA(VLOOKUP(E2139,E$1:E2138,1,FALSE()))),"OLD",IF(AND(E2139&lt;&gt;"",E2139&lt;&gt;"!!!"),"NEW","")))</f>
        <v> </v>
      </c>
      <c r="G2139" s="24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5" t="str">
        <f>IF(J2139&lt;&gt;1,"",IF(I2139="SBJ","CB","?"))</f>
        <v> </v>
      </c>
      <c r="I2139" s="26" t="str">
        <f>IF(OR(E2139="",E2139="!!!",F2139="NEW"),"",INDEX(B2138:B$2,-1+SUMPRODUCT(MAX(ROW(E2138:E$2)*(E2139=E2138:E$2)))))</f>
        <v> </v>
      </c>
      <c r="J2139" s="26" t="str">
        <f>IF(OR(E2139="",E2139="!!!",F2139="NEW"),"",COUNTBLANK(OFFSET(A$1,,,SUMPRODUCT(MAX(ROW(E$2:E2139)*(E2139=E$2:E2139)))))-COUNTBLANK(OFFSET(A$1,,,SUMPRODUCT(MAX(ROW(E$1:E2138)*(E2=E$1:E2138))))))</f>
        <v> </v>
      </c>
      <c r="K2139" s="26" t="str">
        <f>IF(OR(E2139="",E2139="!!!",F2139="NEW"),"",INDEX(J$1:J2138,SUMPRODUCT(MAX(ROW(E$1:E2138)*(E2139=E$1:E2138)))))</f>
        <v> </v>
      </c>
      <c r="L2139" s="27"/>
    </row>
    <row r="2140" spans="1:12">
      <c r="A2140" s="20" t="s">
        <v>313</v>
      </c>
      <c r="E2140" s="22">
        <f>IF(D2140="?OLD","!!!","")</f>
        <v/>
      </c>
      <c r="F2140" s="23" t="str">
        <f>IF(OR(E2140="",E2140="!!!"),"",IF(NOT(ISNA(VLOOKUP(E2140,E$1:E2139,1,FALSE()))),"OLD",IF(AND(E2140&lt;&gt;"",E2140&lt;&gt;"!!!"),"NEW","")))</f>
        <v> </v>
      </c>
      <c r="G2140" s="24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5" t="str">
        <f>IF(J2140&lt;&gt;1,"",IF(I2140="SBJ","CB","?"))</f>
        <v> </v>
      </c>
      <c r="I2140" s="26" t="str">
        <f>IF(OR(E2140="",E2140="!!!",F2140="NEW"),"",INDEX(B2139:B$2,-1+SUMPRODUCT(MAX(ROW(E2139:E$2)*(E2140=E2139:E$2)))))</f>
        <v> </v>
      </c>
      <c r="J2140" s="26" t="str">
        <f>IF(OR(E2140="",E2140="!!!",F2140="NEW"),"",COUNTBLANK(OFFSET(A$1,,,SUMPRODUCT(MAX(ROW(E$2:E2140)*(E2140=E$2:E2140)))))-COUNTBLANK(OFFSET(A$1,,,SUMPRODUCT(MAX(ROW(E$1:E2139)*(E2=E$1:E2139))))))</f>
        <v> </v>
      </c>
      <c r="K2140" s="26" t="str">
        <f>IF(OR(E2140="",E2140="!!!",F2140="NEW"),"",INDEX(J$1:J2139,SUMPRODUCT(MAX(ROW(E$1:E2139)*(E2140=E$1:E2139)))))</f>
        <v> </v>
      </c>
      <c r="L2140" s="27"/>
    </row>
    <row r="2141" spans="1:12">
      <c r="A2141" s="20" t="s">
        <v>1418</v>
      </c>
      <c r="B2141" s="21" t="s">
        <v>940</v>
      </c>
      <c r="E2141" s="22">
        <f>IF(D2141="?OLD","!!!","")</f>
        <v/>
      </c>
      <c r="F2141" s="23" t="str">
        <f>IF(OR(E2141="",E2141="!!!"),"",IF(NOT(ISNA(VLOOKUP(E2141,E$1:E2140,1,FALSE()))),"OLD",IF(AND(E2141&lt;&gt;"",E2141&lt;&gt;"!!!"),"NEW","")))</f>
        <v> </v>
      </c>
      <c r="G2141" s="24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5" t="str">
        <f>IF(J2141&lt;&gt;1,"",IF(I2141="SBJ","CB","?"))</f>
        <v> </v>
      </c>
      <c r="I2141" s="26" t="str">
        <f>IF(OR(E2141="",E2141="!!!",F2141="NEW"),"",INDEX(B2140:B$2,-1+SUMPRODUCT(MAX(ROW(E2140:E$2)*(E2141=E2140:E$2)))))</f>
        <v> </v>
      </c>
      <c r="J2141" s="26" t="str">
        <f>IF(OR(E2141="",E2141="!!!",F2141="NEW"),"",COUNTBLANK(OFFSET(A$1,,,SUMPRODUCT(MAX(ROW(E$2:E2141)*(E2141=E$2:E2141)))))-COUNTBLANK(OFFSET(A$1,,,SUMPRODUCT(MAX(ROW(E$1:E2140)*(E2=E$1:E2140))))))</f>
        <v> </v>
      </c>
      <c r="K2141" s="26" t="str">
        <f>IF(OR(E2141="",E2141="!!!",F2141="NEW"),"",INDEX(J$1:J2140,SUMPRODUCT(MAX(ROW(E$1:E2140)*(E2141=E$1:E2140)))))</f>
        <v> </v>
      </c>
      <c r="L2141" s="27"/>
    </row>
    <row r="2142" spans="1:12">
      <c r="A2142" s="20" t="s">
        <v>1419</v>
      </c>
      <c r="E2142" s="22">
        <f>IF(D2142="?OLD","!!!","")</f>
        <v/>
      </c>
      <c r="F2142" s="23" t="str">
        <f>IF(OR(E2142="",E2142="!!!"),"",IF(NOT(ISNA(VLOOKUP(E2142,E$1:E2141,1,FALSE()))),"OLD",IF(AND(E2142&lt;&gt;"",E2142&lt;&gt;"!!!"),"NEW","")))</f>
        <v> </v>
      </c>
      <c r="G2142" s="24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5" t="str">
        <f>IF(J2142&lt;&gt;1,"",IF(I2142="SBJ","CB","?"))</f>
        <v> </v>
      </c>
      <c r="I2142" s="26" t="str">
        <f>IF(OR(E2142="",E2142="!!!",F2142="NEW"),"",INDEX(B2141:B$2,-1+SUMPRODUCT(MAX(ROW(E2141:E$2)*(E2142=E2141:E$2)))))</f>
        <v> </v>
      </c>
      <c r="J2142" s="26" t="str">
        <f>IF(OR(E2142="",E2142="!!!",F2142="NEW"),"",COUNTBLANK(OFFSET(A$1,,,SUMPRODUCT(MAX(ROW(E$2:E2142)*(E2142=E$2:E2142)))))-COUNTBLANK(OFFSET(A$1,,,SUMPRODUCT(MAX(ROW(E$1:E2141)*(E2=E$1:E2141))))))</f>
        <v> </v>
      </c>
      <c r="K2142" s="26" t="str">
        <f>IF(OR(E2142="",E2142="!!!",F2142="NEW"),"",INDEX(J$1:J2141,SUMPRODUCT(MAX(ROW(E$1:E2141)*(E2142=E$1:E2141)))))</f>
        <v> </v>
      </c>
      <c r="L2142" s="27"/>
    </row>
    <row r="2143" spans="1:12">
      <c r="A2143" s="20" t="s">
        <v>1420</v>
      </c>
      <c r="E2143" s="22">
        <f>IF(D2143="?OLD","!!!","")</f>
        <v/>
      </c>
      <c r="F2143" s="23" t="str">
        <f>IF(OR(E2143="",E2143="!!!"),"",IF(NOT(ISNA(VLOOKUP(E2143,E$1:E2142,1,FALSE()))),"OLD",IF(AND(E2143&lt;&gt;"",E2143&lt;&gt;"!!!"),"NEW","")))</f>
        <v> </v>
      </c>
      <c r="G2143" s="24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5" t="str">
        <f>IF(J2143&lt;&gt;1,"",IF(I2143="SBJ","CB","?"))</f>
        <v> </v>
      </c>
      <c r="I2143" s="26" t="str">
        <f>IF(OR(E2143="",E2143="!!!",F2143="NEW"),"",INDEX(B2142:B$2,-1+SUMPRODUCT(MAX(ROW(E2142:E$2)*(E2143=E2142:E$2)))))</f>
        <v> </v>
      </c>
      <c r="J2143" s="26" t="str">
        <f>IF(OR(E2143="",E2143="!!!",F2143="NEW"),"",COUNTBLANK(OFFSET(A$1,,,SUMPRODUCT(MAX(ROW(E$2:E2143)*(E2143=E$2:E2143)))))-COUNTBLANK(OFFSET(A$1,,,SUMPRODUCT(MAX(ROW(E$1:E2142)*(E2=E$1:E2142))))))</f>
        <v> </v>
      </c>
      <c r="K2143" s="26" t="str">
        <f>IF(OR(E2143="",E2143="!!!",F2143="NEW"),"",INDEX(J$1:J2142,SUMPRODUCT(MAX(ROW(E$1:E2142)*(E2143=E$1:E2142)))))</f>
        <v> </v>
      </c>
      <c r="L2143" s="27"/>
    </row>
    <row r="2144" spans="1:12">
      <c r="A2144" s="20" t="s">
        <v>1421</v>
      </c>
      <c r="E2144" s="22">
        <f>IF(D2144="?OLD","!!!","")</f>
        <v/>
      </c>
      <c r="F2144" s="23" t="str">
        <f>IF(OR(E2144="",E2144="!!!"),"",IF(NOT(ISNA(VLOOKUP(E2144,E$1:E2143,1,FALSE()))),"OLD",IF(AND(E2144&lt;&gt;"",E2144&lt;&gt;"!!!"),"NEW","")))</f>
        <v> </v>
      </c>
      <c r="G2144" s="24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5" t="str">
        <f>IF(J2144&lt;&gt;1,"",IF(I2144="SBJ","CB","?"))</f>
        <v> </v>
      </c>
      <c r="I2144" s="26" t="str">
        <f>IF(OR(E2144="",E2144="!!!",F2144="NEW"),"",INDEX(B2143:B$2,-1+SUMPRODUCT(MAX(ROW(E2143:E$2)*(E2144=E2143:E$2)))))</f>
        <v> </v>
      </c>
      <c r="J2144" s="26" t="str">
        <f>IF(OR(E2144="",E2144="!!!",F2144="NEW"),"",COUNTBLANK(OFFSET(A$1,,,SUMPRODUCT(MAX(ROW(E$2:E2144)*(E2144=E$2:E2144)))))-COUNTBLANK(OFFSET(A$1,,,SUMPRODUCT(MAX(ROW(E$1:E2143)*(E2=E$1:E2143))))))</f>
        <v> </v>
      </c>
      <c r="K2144" s="26" t="str">
        <f>IF(OR(E2144="",E2144="!!!",F2144="NEW"),"",INDEX(J$1:J2143,SUMPRODUCT(MAX(ROW(E$1:E2143)*(E2144=E$1:E2143)))))</f>
        <v> </v>
      </c>
      <c r="L2144" s="27"/>
    </row>
    <row r="2145" spans="1:12">
      <c r="A2145" s="20" t="s">
        <v>1422</v>
      </c>
      <c r="E2145" s="22">
        <f>IF(D2145="?OLD","!!!","")</f>
        <v/>
      </c>
      <c r="F2145" s="23" t="str">
        <f>IF(OR(E2145="",E2145="!!!"),"",IF(NOT(ISNA(VLOOKUP(E2145,E$1:E2144,1,FALSE()))),"OLD",IF(AND(E2145&lt;&gt;"",E2145&lt;&gt;"!!!"),"NEW","")))</f>
        <v> </v>
      </c>
      <c r="G2145" s="24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5" t="str">
        <f>IF(J2145&lt;&gt;1,"",IF(I2145="SBJ","CB","?"))</f>
        <v> </v>
      </c>
      <c r="I2145" s="26" t="str">
        <f>IF(OR(E2145="",E2145="!!!",F2145="NEW"),"",INDEX(B2144:B$2,-1+SUMPRODUCT(MAX(ROW(E2144:E$2)*(E2145=E2144:E$2)))))</f>
        <v> </v>
      </c>
      <c r="J2145" s="26" t="str">
        <f>IF(OR(E2145="",E2145="!!!",F2145="NEW"),"",COUNTBLANK(OFFSET(A$1,,,SUMPRODUCT(MAX(ROW(E$2:E2145)*(E2145=E$2:E2145)))))-COUNTBLANK(OFFSET(A$1,,,SUMPRODUCT(MAX(ROW(E$1:E2144)*(E2=E$1:E2144))))))</f>
        <v> </v>
      </c>
      <c r="K2145" s="26" t="str">
        <f>IF(OR(E2145="",E2145="!!!",F2145="NEW"),"",INDEX(J$1:J2144,SUMPRODUCT(MAX(ROW(E$1:E2144)*(E2145=E$1:E2144)))))</f>
        <v> </v>
      </c>
      <c r="L2145" s="27"/>
    </row>
    <row r="2146" spans="1:12">
      <c r="A2146" s="20" t="s">
        <v>1423</v>
      </c>
      <c r="E2146" s="22">
        <f>IF(D2146="?OLD","!!!","")</f>
        <v/>
      </c>
      <c r="F2146" s="23" t="str">
        <f>IF(OR(E2146="",E2146="!!!"),"",IF(NOT(ISNA(VLOOKUP(E2146,E$1:E2145,1,FALSE()))),"OLD",IF(AND(E2146&lt;&gt;"",E2146&lt;&gt;"!!!"),"NEW","")))</f>
        <v> </v>
      </c>
      <c r="G2146" s="24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5" t="str">
        <f>IF(J2146&lt;&gt;1,"",IF(I2146="SBJ","CB","?"))</f>
        <v> </v>
      </c>
      <c r="I2146" s="26" t="str">
        <f>IF(OR(E2146="",E2146="!!!",F2146="NEW"),"",INDEX(B2145:B$2,-1+SUMPRODUCT(MAX(ROW(E2145:E$2)*(E2146=E2145:E$2)))))</f>
        <v> </v>
      </c>
      <c r="J2146" s="26" t="str">
        <f>IF(OR(E2146="",E2146="!!!",F2146="NEW"),"",COUNTBLANK(OFFSET(A$1,,,SUMPRODUCT(MAX(ROW(E$2:E2146)*(E2146=E$2:E2146)))))-COUNTBLANK(OFFSET(A$1,,,SUMPRODUCT(MAX(ROW(E$1:E2145)*(E2=E$1:E2145))))))</f>
        <v> </v>
      </c>
      <c r="K2146" s="26" t="str">
        <f>IF(OR(E2146="",E2146="!!!",F2146="NEW"),"",INDEX(J$1:J2145,SUMPRODUCT(MAX(ROW(E$1:E2145)*(E2146=E$1:E2145)))))</f>
        <v> </v>
      </c>
      <c r="L2146" s="27"/>
    </row>
    <row r="2147" spans="1:12">
      <c r="A2147" s="20" t="s">
        <v>430</v>
      </c>
      <c r="E2147" s="22">
        <f>IF(D2147="?OLD","!!!","")</f>
        <v/>
      </c>
      <c r="F2147" s="23" t="str">
        <f>IF(OR(E2147="",E2147="!!!"),"",IF(NOT(ISNA(VLOOKUP(E2147,E$1:E2146,1,FALSE()))),"OLD",IF(AND(E2147&lt;&gt;"",E2147&lt;&gt;"!!!"),"NEW","")))</f>
        <v> </v>
      </c>
      <c r="G2147" s="24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5" t="str">
        <f>IF(J2147&lt;&gt;1,"",IF(I2147="SBJ","CB","?"))</f>
        <v> </v>
      </c>
      <c r="I2147" s="26" t="str">
        <f>IF(OR(E2147="",E2147="!!!",F2147="NEW"),"",INDEX(B2146:B$2,-1+SUMPRODUCT(MAX(ROW(E2146:E$2)*(E2147=E2146:E$2)))))</f>
        <v> </v>
      </c>
      <c r="J2147" s="26" t="str">
        <f>IF(OR(E2147="",E2147="!!!",F2147="NEW"),"",COUNTBLANK(OFFSET(A$1,,,SUMPRODUCT(MAX(ROW(E$2:E2147)*(E2147=E$2:E2147)))))-COUNTBLANK(OFFSET(A$1,,,SUMPRODUCT(MAX(ROW(E$1:E2146)*(E2=E$1:E2146))))))</f>
        <v> </v>
      </c>
      <c r="K2147" s="26" t="str">
        <f>IF(OR(E2147="",E2147="!!!",F2147="NEW"),"",INDEX(J$1:J2146,SUMPRODUCT(MAX(ROW(E$1:E2146)*(E2147=E$1:E2146)))))</f>
        <v> </v>
      </c>
      <c r="L2147" s="27"/>
    </row>
    <row r="2148" spans="1:12">
      <c r="A2148" s="20" t="s">
        <v>1420</v>
      </c>
      <c r="E2148" s="22">
        <f>IF(D2148="?OLD","!!!","")</f>
        <v/>
      </c>
      <c r="F2148" s="23" t="str">
        <f>IF(OR(E2148="",E2148="!!!"),"",IF(NOT(ISNA(VLOOKUP(E2148,E$1:E2147,1,FALSE()))),"OLD",IF(AND(E2148&lt;&gt;"",E2148&lt;&gt;"!!!"),"NEW","")))</f>
        <v> </v>
      </c>
      <c r="G2148" s="24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5" t="str">
        <f>IF(J2148&lt;&gt;1,"",IF(I2148="SBJ","CB","?"))</f>
        <v> </v>
      </c>
      <c r="I2148" s="26" t="str">
        <f>IF(OR(E2148="",E2148="!!!",F2148="NEW"),"",INDEX(B2147:B$2,-1+SUMPRODUCT(MAX(ROW(E2147:E$2)*(E2148=E2147:E$2)))))</f>
        <v> </v>
      </c>
      <c r="J2148" s="26" t="str">
        <f>IF(OR(E2148="",E2148="!!!",F2148="NEW"),"",COUNTBLANK(OFFSET(A$1,,,SUMPRODUCT(MAX(ROW(E$2:E2148)*(E2148=E$2:E2148)))))-COUNTBLANK(OFFSET(A$1,,,SUMPRODUCT(MAX(ROW(E$1:E2147)*(E2=E$1:E2147))))))</f>
        <v> </v>
      </c>
      <c r="K2148" s="26" t="str">
        <f>IF(OR(E2148="",E2148="!!!",F2148="NEW"),"",INDEX(J$1:J2147,SUMPRODUCT(MAX(ROW(E$1:E2147)*(E2148=E$1:E2147)))))</f>
        <v> </v>
      </c>
      <c r="L2148" s="27"/>
    </row>
    <row r="2149" spans="1:12">
      <c r="A2149" s="20" t="s">
        <v>1424</v>
      </c>
      <c r="E2149" s="22">
        <f>IF(D2149="?OLD","!!!","")</f>
        <v/>
      </c>
      <c r="F2149" s="23" t="str">
        <f>IF(OR(E2149="",E2149="!!!"),"",IF(NOT(ISNA(VLOOKUP(E2149,E$1:E2148,1,FALSE()))),"OLD",IF(AND(E2149&lt;&gt;"",E2149&lt;&gt;"!!!"),"NEW","")))</f>
        <v> </v>
      </c>
      <c r="G2149" s="24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5" t="str">
        <f>IF(J2149&lt;&gt;1,"",IF(I2149="SBJ","CB","?"))</f>
        <v> </v>
      </c>
      <c r="I2149" s="26" t="str">
        <f>IF(OR(E2149="",E2149="!!!",F2149="NEW"),"",INDEX(B2148:B$2,-1+SUMPRODUCT(MAX(ROW(E2148:E$2)*(E2149=E2148:E$2)))))</f>
        <v> </v>
      </c>
      <c r="J2149" s="26" t="str">
        <f>IF(OR(E2149="",E2149="!!!",F2149="NEW"),"",COUNTBLANK(OFFSET(A$1,,,SUMPRODUCT(MAX(ROW(E$2:E2149)*(E2149=E$2:E2149)))))-COUNTBLANK(OFFSET(A$1,,,SUMPRODUCT(MAX(ROW(E$1:E2148)*(E2=E$1:E2148))))))</f>
        <v> </v>
      </c>
      <c r="K2149" s="26" t="str">
        <f>IF(OR(E2149="",E2149="!!!",F2149="NEW"),"",INDEX(J$1:J2148,SUMPRODUCT(MAX(ROW(E$1:E2148)*(E2149=E$1:E2148)))))</f>
        <v> </v>
      </c>
      <c r="L2149" s="27"/>
    </row>
    <row r="2150" spans="1:12">
      <c r="A2150" s="20" t="s">
        <v>1423</v>
      </c>
      <c r="E2150" s="22">
        <f>IF(D2150="?OLD","!!!","")</f>
        <v/>
      </c>
      <c r="F2150" s="23" t="str">
        <f>IF(OR(E2150="",E2150="!!!"),"",IF(NOT(ISNA(VLOOKUP(E2150,E$1:E2149,1,FALSE()))),"OLD",IF(AND(E2150&lt;&gt;"",E2150&lt;&gt;"!!!"),"NEW","")))</f>
        <v> </v>
      </c>
      <c r="G2150" s="24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5" t="str">
        <f>IF(J2150&lt;&gt;1,"",IF(I2150="SBJ","CB","?"))</f>
        <v> </v>
      </c>
      <c r="I2150" s="26" t="str">
        <f>IF(OR(E2150="",E2150="!!!",F2150="NEW"),"",INDEX(B2149:B$2,-1+SUMPRODUCT(MAX(ROW(E2149:E$2)*(E2150=E2149:E$2)))))</f>
        <v> </v>
      </c>
      <c r="J2150" s="26" t="str">
        <f>IF(OR(E2150="",E2150="!!!",F2150="NEW"),"",COUNTBLANK(OFFSET(A$1,,,SUMPRODUCT(MAX(ROW(E$2:E2150)*(E2150=E$2:E2150)))))-COUNTBLANK(OFFSET(A$1,,,SUMPRODUCT(MAX(ROW(E$1:E2149)*(E2=E$1:E2149))))))</f>
        <v> </v>
      </c>
      <c r="K2150" s="26" t="str">
        <f>IF(OR(E2150="",E2150="!!!",F2150="NEW"),"",INDEX(J$1:J2149,SUMPRODUCT(MAX(ROW(E$1:E2149)*(E2150=E$1:E2149)))))</f>
        <v> </v>
      </c>
      <c r="L2150" s="27"/>
    </row>
    <row r="2151" spans="1:12">
      <c r="A2151" s="20" t="s">
        <v>453</v>
      </c>
      <c r="E2151" s="22">
        <f>IF(D2151="?OLD","!!!","")</f>
        <v/>
      </c>
      <c r="F2151" s="23" t="str">
        <f>IF(OR(E2151="",E2151="!!!"),"",IF(NOT(ISNA(VLOOKUP(E2151,E$1:E2150,1,FALSE()))),"OLD",IF(AND(E2151&lt;&gt;"",E2151&lt;&gt;"!!!"),"NEW","")))</f>
        <v> </v>
      </c>
      <c r="G2151" s="24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5" t="str">
        <f>IF(J2151&lt;&gt;1,"",IF(I2151="SBJ","CB","?"))</f>
        <v> </v>
      </c>
      <c r="I2151" s="26" t="str">
        <f>IF(OR(E2151="",E2151="!!!",F2151="NEW"),"",INDEX(B2150:B$2,-1+SUMPRODUCT(MAX(ROW(E2150:E$2)*(E2151=E2150:E$2)))))</f>
        <v> </v>
      </c>
      <c r="J2151" s="26" t="str">
        <f>IF(OR(E2151="",E2151="!!!",F2151="NEW"),"",COUNTBLANK(OFFSET(A$1,,,SUMPRODUCT(MAX(ROW(E$2:E2151)*(E2151=E$2:E2151)))))-COUNTBLANK(OFFSET(A$1,,,SUMPRODUCT(MAX(ROW(E$1:E2150)*(E2=E$1:E2150))))))</f>
        <v> </v>
      </c>
      <c r="K2151" s="26" t="str">
        <f>IF(OR(E2151="",E2151="!!!",F2151="NEW"),"",INDEX(J$1:J2150,SUMPRODUCT(MAX(ROW(E$1:E2150)*(E2151=E$1:E2150)))))</f>
        <v> </v>
      </c>
      <c r="L2151" s="27"/>
    </row>
    <row r="2152" spans="1:12">
      <c r="A2152" s="20" t="s">
        <v>482</v>
      </c>
      <c r="B2152" s="21" t="s">
        <v>422</v>
      </c>
      <c r="C2152" s="21" t="s">
        <v>477</v>
      </c>
      <c r="D2152" s="21" t="s">
        <v>424</v>
      </c>
      <c r="E2152" s="22">
        <f>IF(D2152="?OLD","!!!","")</f>
        <v/>
      </c>
      <c r="F2152" s="23" t="str">
        <f>IF(OR(E2152="",E2152="!!!"),"",IF(NOT(ISNA(VLOOKUP(E2152,E$1:E2151,1,FALSE()))),"OLD",IF(AND(E2152&lt;&gt;"",E2152&lt;&gt;"!!!"),"NEW","")))</f>
        <v> </v>
      </c>
      <c r="G2152" s="24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5" t="str">
        <f>IF(J2152&lt;&gt;1,"",IF(I2152="SBJ","CB","?"))</f>
        <v> </v>
      </c>
      <c r="I2152" s="26" t="str">
        <f>IF(OR(E2152="",E2152="!!!",F2152="NEW"),"",INDEX(B2151:B$2,-1+SUMPRODUCT(MAX(ROW(E2151:E$2)*(E2152=E2151:E$2)))))</f>
        <v> </v>
      </c>
      <c r="J2152" s="26" t="str">
        <f>IF(OR(E2152="",E2152="!!!",F2152="NEW"),"",COUNTBLANK(OFFSET(A$1,,,SUMPRODUCT(MAX(ROW(E$2:E2152)*(E2152=E$2:E2152)))))-COUNTBLANK(OFFSET(A$1,,,SUMPRODUCT(MAX(ROW(E$1:E2151)*(E2=E$1:E2151))))))</f>
        <v> </v>
      </c>
      <c r="K2152" s="26" t="str">
        <f>IF(OR(E2152="",E2152="!!!",F2152="NEW"),"",INDEX(J$1:J2151,SUMPRODUCT(MAX(ROW(E$1:E2151)*(E2152=E$1:E2151)))))</f>
        <v> </v>
      </c>
      <c r="L2152" s="27"/>
    </row>
    <row r="2153" spans="1:12">
      <c r="A2153" s="20" t="s">
        <v>453</v>
      </c>
      <c r="E2153" s="22">
        <f>IF(D2153="?OLD","!!!","")</f>
        <v/>
      </c>
      <c r="F2153" s="23" t="str">
        <f>IF(OR(E2153="",E2153="!!!"),"",IF(NOT(ISNA(VLOOKUP(E2153,E$1:E2152,1,FALSE()))),"OLD",IF(AND(E2153&lt;&gt;"",E2153&lt;&gt;"!!!"),"NEW","")))</f>
        <v> </v>
      </c>
      <c r="G2153" s="24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5" t="str">
        <f>IF(J2153&lt;&gt;1,"",IF(I2153="SBJ","CB","?"))</f>
        <v> </v>
      </c>
      <c r="I2153" s="26" t="str">
        <f>IF(OR(E2153="",E2153="!!!",F2153="NEW"),"",INDEX(B2152:B$2,-1+SUMPRODUCT(MAX(ROW(E2152:E$2)*(E2153=E2152:E$2)))))</f>
        <v> </v>
      </c>
      <c r="J2153" s="26" t="str">
        <f>IF(OR(E2153="",E2153="!!!",F2153="NEW"),"",COUNTBLANK(OFFSET(A$1,,,SUMPRODUCT(MAX(ROW(E$2:E2153)*(E2153=E$2:E2153)))))-COUNTBLANK(OFFSET(A$1,,,SUMPRODUCT(MAX(ROW(E$1:E2152)*(E2=E$1:E2152))))))</f>
        <v> </v>
      </c>
      <c r="K2153" s="26" t="str">
        <f>IF(OR(E2153="",E2153="!!!",F2153="NEW"),"",INDEX(J$1:J2152,SUMPRODUCT(MAX(ROW(E$1:E2152)*(E2153=E$1:E2152)))))</f>
        <v> </v>
      </c>
      <c r="L2153" s="27"/>
    </row>
    <row r="2154" spans="1:12">
      <c r="A2154" s="20" t="s">
        <v>460</v>
      </c>
      <c r="E2154" s="22">
        <f>IF(D2154="?OLD","!!!","")</f>
        <v/>
      </c>
      <c r="F2154" s="23" t="str">
        <f>IF(OR(E2154="",E2154="!!!"),"",IF(NOT(ISNA(VLOOKUP(E2154,E$1:E2153,1,FALSE()))),"OLD",IF(AND(E2154&lt;&gt;"",E2154&lt;&gt;"!!!"),"NEW","")))</f>
        <v> </v>
      </c>
      <c r="G2154" s="24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5" t="str">
        <f>IF(J2154&lt;&gt;1,"",IF(I2154="SBJ","CB","?"))</f>
        <v> </v>
      </c>
      <c r="I2154" s="26" t="str">
        <f>IF(OR(E2154="",E2154="!!!",F2154="NEW"),"",INDEX(B2153:B$2,-1+SUMPRODUCT(MAX(ROW(E2153:E$2)*(E2154=E2153:E$2)))))</f>
        <v> </v>
      </c>
      <c r="J2154" s="26" t="str">
        <f>IF(OR(E2154="",E2154="!!!",F2154="NEW"),"",COUNTBLANK(OFFSET(A$1,,,SUMPRODUCT(MAX(ROW(E$2:E2154)*(E2154=E$2:E2154)))))-COUNTBLANK(OFFSET(A$1,,,SUMPRODUCT(MAX(ROW(E$1:E2153)*(E2=E$1:E2153))))))</f>
        <v> </v>
      </c>
      <c r="K2154" s="26" t="str">
        <f>IF(OR(E2154="",E2154="!!!",F2154="NEW"),"",INDEX(J$1:J2153,SUMPRODUCT(MAX(ROW(E$1:E2153)*(E2154=E$1:E2153)))))</f>
        <v> </v>
      </c>
      <c r="L2154" s="27"/>
    </row>
    <row r="2155" spans="1:12">
      <c r="A2155" s="20" t="s">
        <v>453</v>
      </c>
      <c r="E2155" s="22">
        <f>IF(D2155="?OLD","!!!","")</f>
        <v/>
      </c>
      <c r="F2155" s="23" t="str">
        <f>IF(OR(E2155="",E2155="!!!"),"",IF(NOT(ISNA(VLOOKUP(E2155,E$1:E2154,1,FALSE()))),"OLD",IF(AND(E2155&lt;&gt;"",E2155&lt;&gt;"!!!"),"NEW","")))</f>
        <v> </v>
      </c>
      <c r="G2155" s="24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5" t="str">
        <f>IF(J2155&lt;&gt;1,"",IF(I2155="SBJ","CB","?"))</f>
        <v> </v>
      </c>
      <c r="I2155" s="26" t="str">
        <f>IF(OR(E2155="",E2155="!!!",F2155="NEW"),"",INDEX(B2154:B$2,-1+SUMPRODUCT(MAX(ROW(E2154:E$2)*(E2155=E2154:E$2)))))</f>
        <v> </v>
      </c>
      <c r="J2155" s="26" t="str">
        <f>IF(OR(E2155="",E2155="!!!",F2155="NEW"),"",COUNTBLANK(OFFSET(A$1,,,SUMPRODUCT(MAX(ROW(E$2:E2155)*(E2155=E$2:E2155)))))-COUNTBLANK(OFFSET(A$1,,,SUMPRODUCT(MAX(ROW(E$1:E2154)*(E2=E$1:E2154))))))</f>
        <v> </v>
      </c>
      <c r="K2155" s="26" t="str">
        <f>IF(OR(E2155="",E2155="!!!",F2155="NEW"),"",INDEX(J$1:J2154,SUMPRODUCT(MAX(ROW(E$1:E2154)*(E2155=E$1:E2154)))))</f>
        <v> </v>
      </c>
      <c r="L2155" s="27"/>
    </row>
    <row r="2156" spans="1:12">
      <c r="A2156" s="20" t="s">
        <v>1425</v>
      </c>
      <c r="E2156" s="22">
        <f>IF(D2156="?OLD","!!!","")</f>
        <v/>
      </c>
      <c r="F2156" s="23" t="str">
        <f>IF(OR(E2156="",E2156="!!!"),"",IF(NOT(ISNA(VLOOKUP(E2156,E$1:E2155,1,FALSE()))),"OLD",IF(AND(E2156&lt;&gt;"",E2156&lt;&gt;"!!!"),"NEW","")))</f>
        <v> </v>
      </c>
      <c r="G2156" s="24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5" t="str">
        <f>IF(J2156&lt;&gt;1,"",IF(I2156="SBJ","CB","?"))</f>
        <v> </v>
      </c>
      <c r="I2156" s="26" t="str">
        <f>IF(OR(E2156="",E2156="!!!",F2156="NEW"),"",INDEX(B2155:B$2,-1+SUMPRODUCT(MAX(ROW(E2155:E$2)*(E2156=E2155:E$2)))))</f>
        <v> </v>
      </c>
      <c r="J2156" s="26" t="str">
        <f>IF(OR(E2156="",E2156="!!!",F2156="NEW"),"",COUNTBLANK(OFFSET(A$1,,,SUMPRODUCT(MAX(ROW(E$2:E2156)*(E2156=E$2:E2156)))))-COUNTBLANK(OFFSET(A$1,,,SUMPRODUCT(MAX(ROW(E$1:E2155)*(E2=E$1:E2155))))))</f>
        <v> </v>
      </c>
      <c r="K2156" s="26" t="str">
        <f>IF(OR(E2156="",E2156="!!!",F2156="NEW"),"",INDEX(J$1:J2155,SUMPRODUCT(MAX(ROW(E$1:E2155)*(E2156=E$1:E2155)))))</f>
        <v> </v>
      </c>
      <c r="L2156" s="27"/>
    </row>
    <row r="2157" spans="1:12">
      <c r="A2157" s="20" t="s">
        <v>365</v>
      </c>
      <c r="E2157" s="22">
        <f>IF(D2157="?OLD","!!!","")</f>
        <v/>
      </c>
      <c r="F2157" s="23" t="str">
        <f>IF(OR(E2157="",E2157="!!!"),"",IF(NOT(ISNA(VLOOKUP(E2157,E$1:E2156,1,FALSE()))),"OLD",IF(AND(E2157&lt;&gt;"",E2157&lt;&gt;"!!!"),"NEW","")))</f>
        <v> </v>
      </c>
      <c r="G2157" s="24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5" t="str">
        <f>IF(J2157&lt;&gt;1,"",IF(I2157="SBJ","CB","?"))</f>
        <v> </v>
      </c>
      <c r="I2157" s="26" t="str">
        <f>IF(OR(E2157="",E2157="!!!",F2157="NEW"),"",INDEX(B2156:B$2,-1+SUMPRODUCT(MAX(ROW(E2156:E$2)*(E2157=E2156:E$2)))))</f>
        <v> </v>
      </c>
      <c r="J2157" s="26" t="str">
        <f>IF(OR(E2157="",E2157="!!!",F2157="NEW"),"",COUNTBLANK(OFFSET(A$1,,,SUMPRODUCT(MAX(ROW(E$2:E2157)*(E2157=E$2:E2157)))))-COUNTBLANK(OFFSET(A$1,,,SUMPRODUCT(MAX(ROW(E$1:E2156)*(E2=E$1:E2156))))))</f>
        <v> </v>
      </c>
      <c r="K2157" s="26" t="str">
        <f>IF(OR(E2157="",E2157="!!!",F2157="NEW"),"",INDEX(J$1:J2156,SUMPRODUCT(MAX(ROW(E$1:E2156)*(E2157=E$1:E2156)))))</f>
        <v> </v>
      </c>
      <c r="L2157" s="27"/>
    </row>
    <row r="2158" spans="1:12">
      <c r="A2158" s="20" t="s">
        <v>438</v>
      </c>
      <c r="E2158" s="22">
        <f>IF(D2158="?OLD","!!!","")</f>
        <v/>
      </c>
      <c r="F2158" s="23" t="str">
        <f>IF(OR(E2158="",E2158="!!!"),"",IF(NOT(ISNA(VLOOKUP(E2158,E$1:E2157,1,FALSE()))),"OLD",IF(AND(E2158&lt;&gt;"",E2158&lt;&gt;"!!!"),"NEW","")))</f>
        <v> </v>
      </c>
      <c r="G2158" s="24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5" t="str">
        <f>IF(J2158&lt;&gt;1,"",IF(I2158="SBJ","CB","?"))</f>
        <v> </v>
      </c>
      <c r="I2158" s="26" t="str">
        <f>IF(OR(E2158="",E2158="!!!",F2158="NEW"),"",INDEX(B2157:B$2,-1+SUMPRODUCT(MAX(ROW(E2157:E$2)*(E2158=E2157:E$2)))))</f>
        <v> </v>
      </c>
      <c r="J2158" s="26" t="str">
        <f>IF(OR(E2158="",E2158="!!!",F2158="NEW"),"",COUNTBLANK(OFFSET(A$1,,,SUMPRODUCT(MAX(ROW(E$2:E2158)*(E2158=E$2:E2158)))))-COUNTBLANK(OFFSET(A$1,,,SUMPRODUCT(MAX(ROW(E$1:E2157)*(E2=E$1:E2157))))))</f>
        <v> </v>
      </c>
      <c r="K2158" s="26" t="str">
        <f>IF(OR(E2158="",E2158="!!!",F2158="NEW"),"",INDEX(J$1:J2157,SUMPRODUCT(MAX(ROW(E$1:E2157)*(E2158=E$1:E2157)))))</f>
        <v> </v>
      </c>
      <c r="L2158" s="27"/>
    </row>
    <row r="2159" spans="1:12">
      <c r="A2159" s="20"/>
    </row>
    <row r="2160" spans="1:12">
      <c r="A2160" s="20" t="s">
        <v>1426</v>
      </c>
    </row>
    <row r="2161" spans="1:12">
      <c r="A2161" s="20" t="s">
        <v>755</v>
      </c>
      <c r="B2161" s="21" t="s">
        <v>422</v>
      </c>
      <c r="C2161" s="21" t="s">
        <v>477</v>
      </c>
      <c r="D2161" s="21" t="s">
        <v>424</v>
      </c>
      <c r="E2161" s="22">
        <f>IF(D2161="?OLD","!!!","")</f>
        <v/>
      </c>
      <c r="F2161" s="23" t="str">
        <f>IF(OR(E2161="",E2161="!!!"),"",IF(NOT(ISNA(VLOOKUP(E2161,E$1:E2160,1,FALSE()))),"OLD",IF(AND(E2161&lt;&gt;"",E2161&lt;&gt;"!!!"),"NEW","")))</f>
        <v> </v>
      </c>
      <c r="G2161" s="24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5" t="str">
        <f>IF(J2161&lt;&gt;1,"",IF(I2161="SBJ","CB","?"))</f>
        <v> </v>
      </c>
      <c r="I2161" s="26" t="str">
        <f>IF(OR(E2161="",E2161="!!!",F2161="NEW"),"",INDEX(B2160:B$2,-1+SUMPRODUCT(MAX(ROW(E2160:E$2)*(E2161=E2160:E$2)))))</f>
        <v> </v>
      </c>
      <c r="J2161" s="26" t="str">
        <f>IF(OR(E2161="",E2161="!!!",F2161="NEW"),"",COUNTBLANK(OFFSET(A$1,,,SUMPRODUCT(MAX(ROW(E$2:E2161)*(E2161=E$2:E2161)))))-COUNTBLANK(OFFSET(A$1,,,SUMPRODUCT(MAX(ROW(E$1:E2160)*(E2=E$1:E2160))))))</f>
        <v> </v>
      </c>
      <c r="K2161" s="26" t="str">
        <f>IF(OR(E2161="",E2161="!!!",F2161="NEW"),"",INDEX(J$1:J2160,SUMPRODUCT(MAX(ROW(E$1:E2160)*(E2161=E$1:E2160)))))</f>
        <v> </v>
      </c>
      <c r="L2161" s="27"/>
    </row>
    <row r="2162" spans="1:12">
      <c r="A2162" s="20" t="s">
        <v>369</v>
      </c>
      <c r="E2162" s="22">
        <f>IF(D2162="?OLD","!!!","")</f>
        <v/>
      </c>
      <c r="F2162" s="23" t="str">
        <f>IF(OR(E2162="",E2162="!!!"),"",IF(NOT(ISNA(VLOOKUP(E2162,E$1:E2161,1,FALSE()))),"OLD",IF(AND(E2162&lt;&gt;"",E2162&lt;&gt;"!!!"),"NEW","")))</f>
        <v> </v>
      </c>
      <c r="G2162" s="24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5" t="str">
        <f>IF(J2162&lt;&gt;1,"",IF(I2162="SBJ","CB","?"))</f>
        <v> </v>
      </c>
      <c r="I2162" s="26" t="str">
        <f>IF(OR(E2162="",E2162="!!!",F2162="NEW"),"",INDEX(B2161:B$2,-1+SUMPRODUCT(MAX(ROW(E2161:E$2)*(E2162=E2161:E$2)))))</f>
        <v> </v>
      </c>
      <c r="J2162" s="26" t="str">
        <f>IF(OR(E2162="",E2162="!!!",F2162="NEW"),"",COUNTBLANK(OFFSET(A$1,,,SUMPRODUCT(MAX(ROW(E$2:E2162)*(E2162=E$2:E2162)))))-COUNTBLANK(OFFSET(A$1,,,SUMPRODUCT(MAX(ROW(E$1:E2161)*(E2=E$1:E2161))))))</f>
        <v> </v>
      </c>
      <c r="K2162" s="26" t="str">
        <f>IF(OR(E2162="",E2162="!!!",F2162="NEW"),"",INDEX(J$1:J2161,SUMPRODUCT(MAX(ROW(E$1:E2161)*(E2162=E$1:E2161)))))</f>
        <v> </v>
      </c>
      <c r="L2162" s="27"/>
    </row>
    <row r="2163" spans="1:12">
      <c r="A2163" s="20" t="s">
        <v>715</v>
      </c>
      <c r="E2163" s="22">
        <f>IF(D2163="?OLD","!!!","")</f>
        <v/>
      </c>
      <c r="F2163" s="23" t="str">
        <f>IF(OR(E2163="",E2163="!!!"),"",IF(NOT(ISNA(VLOOKUP(E2163,E$1:E2162,1,FALSE()))),"OLD",IF(AND(E2163&lt;&gt;"",E2163&lt;&gt;"!!!"),"NEW","")))</f>
        <v> </v>
      </c>
      <c r="G2163" s="24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5" t="str">
        <f>IF(J2163&lt;&gt;1,"",IF(I2163="SBJ","CB","?"))</f>
        <v> </v>
      </c>
      <c r="I2163" s="26" t="str">
        <f>IF(OR(E2163="",E2163="!!!",F2163="NEW"),"",INDEX(B2162:B$2,-1+SUMPRODUCT(MAX(ROW(E2162:E$2)*(E2163=E2162:E$2)))))</f>
        <v> </v>
      </c>
      <c r="J2163" s="26" t="str">
        <f>IF(OR(E2163="",E2163="!!!",F2163="NEW"),"",COUNTBLANK(OFFSET(A$1,,,SUMPRODUCT(MAX(ROW(E$2:E2163)*(E2163=E$2:E2163)))))-COUNTBLANK(OFFSET(A$1,,,SUMPRODUCT(MAX(ROW(E$1:E2162)*(E2=E$1:E2162))))))</f>
        <v> </v>
      </c>
      <c r="K2163" s="26" t="str">
        <f>IF(OR(E2163="",E2163="!!!",F2163="NEW"),"",INDEX(J$1:J2162,SUMPRODUCT(MAX(ROW(E$1:E2162)*(E2163=E$1:E2162)))))</f>
        <v> </v>
      </c>
      <c r="L2163" s="27"/>
    </row>
    <row r="2164" spans="1:12">
      <c r="A2164" s="20" t="s">
        <v>453</v>
      </c>
      <c r="E2164" s="22">
        <f>IF(D2164="?OLD","!!!","")</f>
        <v/>
      </c>
      <c r="F2164" s="23" t="str">
        <f>IF(OR(E2164="",E2164="!!!"),"",IF(NOT(ISNA(VLOOKUP(E2164,E$1:E2163,1,FALSE()))),"OLD",IF(AND(E2164&lt;&gt;"",E2164&lt;&gt;"!!!"),"NEW","")))</f>
        <v> </v>
      </c>
      <c r="G2164" s="24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5" t="str">
        <f>IF(J2164&lt;&gt;1,"",IF(I2164="SBJ","CB","?"))</f>
        <v> </v>
      </c>
      <c r="I2164" s="26" t="str">
        <f>IF(OR(E2164="",E2164="!!!",F2164="NEW"),"",INDEX(B2163:B$2,-1+SUMPRODUCT(MAX(ROW(E2163:E$2)*(E2164=E2163:E$2)))))</f>
        <v> </v>
      </c>
      <c r="J2164" s="26" t="str">
        <f>IF(OR(E2164="",E2164="!!!",F2164="NEW"),"",COUNTBLANK(OFFSET(A$1,,,SUMPRODUCT(MAX(ROW(E$2:E2164)*(E2164=E$2:E2164)))))-COUNTBLANK(OFFSET(A$1,,,SUMPRODUCT(MAX(ROW(E$1:E2163)*(E2=E$1:E2163))))))</f>
        <v> </v>
      </c>
      <c r="K2164" s="26" t="str">
        <f>IF(OR(E2164="",E2164="!!!",F2164="NEW"),"",INDEX(J$1:J2163,SUMPRODUCT(MAX(ROW(E$1:E2163)*(E2164=E$1:E2163)))))</f>
        <v> </v>
      </c>
      <c r="L2164" s="27"/>
    </row>
    <row r="2165" spans="1:12">
      <c r="A2165" s="20" t="s">
        <v>1354</v>
      </c>
      <c r="E2165" s="22">
        <f>IF(D2165="?OLD","!!!","")</f>
        <v/>
      </c>
      <c r="F2165" s="23" t="str">
        <f>IF(OR(E2165="",E2165="!!!"),"",IF(NOT(ISNA(VLOOKUP(E2165,E$1:E2164,1,FALSE()))),"OLD",IF(AND(E2165&lt;&gt;"",E2165&lt;&gt;"!!!"),"NEW","")))</f>
        <v> </v>
      </c>
      <c r="G2165" s="24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5" t="str">
        <f>IF(J2165&lt;&gt;1,"",IF(I2165="SBJ","CB","?"))</f>
        <v> </v>
      </c>
      <c r="I2165" s="26" t="str">
        <f>IF(OR(E2165="",E2165="!!!",F2165="NEW"),"",INDEX(B2164:B$2,-1+SUMPRODUCT(MAX(ROW(E2164:E$2)*(E2165=E2164:E$2)))))</f>
        <v> </v>
      </c>
      <c r="J2165" s="26" t="str">
        <f>IF(OR(E2165="",E2165="!!!",F2165="NEW"),"",COUNTBLANK(OFFSET(A$1,,,SUMPRODUCT(MAX(ROW(E$2:E2165)*(E2165=E$2:E2165)))))-COUNTBLANK(OFFSET(A$1,,,SUMPRODUCT(MAX(ROW(E$1:E2164)*(E2=E$1:E2164))))))</f>
        <v> </v>
      </c>
      <c r="K2165" s="26" t="str">
        <f>IF(OR(E2165="",E2165="!!!",F2165="NEW"),"",INDEX(J$1:J2164,SUMPRODUCT(MAX(ROW(E$1:E2164)*(E2165=E$1:E2164)))))</f>
        <v> </v>
      </c>
      <c r="L2165" s="27"/>
    </row>
    <row r="2166" spans="1:12">
      <c r="A2166" s="20" t="s">
        <v>459</v>
      </c>
      <c r="E2166" s="22">
        <f>IF(D2166="?OLD","!!!","")</f>
        <v/>
      </c>
      <c r="F2166" s="23" t="str">
        <f>IF(OR(E2166="",E2166="!!!"),"",IF(NOT(ISNA(VLOOKUP(E2166,E$1:E2165,1,FALSE()))),"OLD",IF(AND(E2166&lt;&gt;"",E2166&lt;&gt;"!!!"),"NEW","")))</f>
        <v> </v>
      </c>
      <c r="G2166" s="24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5" t="str">
        <f>IF(J2166&lt;&gt;1,"",IF(I2166="SBJ","CB","?"))</f>
        <v> </v>
      </c>
      <c r="I2166" s="26" t="str">
        <f>IF(OR(E2166="",E2166="!!!",F2166="NEW"),"",INDEX(B2165:B$2,-1+SUMPRODUCT(MAX(ROW(E2165:E$2)*(E2166=E2165:E$2)))))</f>
        <v> </v>
      </c>
      <c r="J2166" s="26" t="str">
        <f>IF(OR(E2166="",E2166="!!!",F2166="NEW"),"",COUNTBLANK(OFFSET(A$1,,,SUMPRODUCT(MAX(ROW(E$2:E2166)*(E2166=E$2:E2166)))))-COUNTBLANK(OFFSET(A$1,,,SUMPRODUCT(MAX(ROW(E$1:E2165)*(E2=E$1:E2165))))))</f>
        <v> </v>
      </c>
      <c r="K2166" s="26" t="str">
        <f>IF(OR(E2166="",E2166="!!!",F2166="NEW"),"",INDEX(J$1:J2165,SUMPRODUCT(MAX(ROW(E$1:E2165)*(E2166=E$1:E2165)))))</f>
        <v> </v>
      </c>
      <c r="L2166" s="27"/>
    </row>
    <row r="2167" spans="1:12">
      <c r="A2167" s="20" t="s">
        <v>609</v>
      </c>
      <c r="E2167" s="22">
        <f>IF(D2167="?OLD","!!!","")</f>
        <v/>
      </c>
      <c r="F2167" s="23" t="str">
        <f>IF(OR(E2167="",E2167="!!!"),"",IF(NOT(ISNA(VLOOKUP(E2167,E$1:E2166,1,FALSE()))),"OLD",IF(AND(E2167&lt;&gt;"",E2167&lt;&gt;"!!!"),"NEW","")))</f>
        <v> </v>
      </c>
      <c r="G2167" s="24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5" t="str">
        <f>IF(J2167&lt;&gt;1,"",IF(I2167="SBJ","CB","?"))</f>
        <v> </v>
      </c>
      <c r="I2167" s="26" t="str">
        <f>IF(OR(E2167="",E2167="!!!",F2167="NEW"),"",INDEX(B2166:B$2,-1+SUMPRODUCT(MAX(ROW(E2166:E$2)*(E2167=E2166:E$2)))))</f>
        <v> </v>
      </c>
      <c r="J2167" s="26" t="str">
        <f>IF(OR(E2167="",E2167="!!!",F2167="NEW"),"",COUNTBLANK(OFFSET(A$1,,,SUMPRODUCT(MAX(ROW(E$2:E2167)*(E2167=E$2:E2167)))))-COUNTBLANK(OFFSET(A$1,,,SUMPRODUCT(MAX(ROW(E$1:E2166)*(E2=E$1:E2166))))))</f>
        <v> </v>
      </c>
      <c r="K2167" s="26" t="str">
        <f>IF(OR(E2167="",E2167="!!!",F2167="NEW"),"",INDEX(J$1:J2166,SUMPRODUCT(MAX(ROW(E$1:E2166)*(E2167=E$1:E2166)))))</f>
        <v> </v>
      </c>
      <c r="L2167" s="27"/>
    </row>
    <row r="2168" spans="1:12">
      <c r="A2168" s="20" t="s">
        <v>1427</v>
      </c>
      <c r="B2168" s="21" t="s">
        <v>556</v>
      </c>
      <c r="E2168" s="22">
        <f>IF(D2168="?OLD","!!!","")</f>
        <v/>
      </c>
      <c r="F2168" s="23" t="str">
        <f>IF(OR(E2168="",E2168="!!!"),"",IF(NOT(ISNA(VLOOKUP(E2168,E$1:E2167,1,FALSE()))),"OLD",IF(AND(E2168&lt;&gt;"",E2168&lt;&gt;"!!!"),"NEW","")))</f>
        <v> </v>
      </c>
      <c r="G2168" s="24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5" t="str">
        <f>IF(J2168&lt;&gt;1,"",IF(I2168="SBJ","CB","?"))</f>
        <v> </v>
      </c>
      <c r="I2168" s="26" t="str">
        <f>IF(OR(E2168="",E2168="!!!",F2168="NEW"),"",INDEX(B2167:B$2,-1+SUMPRODUCT(MAX(ROW(E2167:E$2)*(E2168=E2167:E$2)))))</f>
        <v> </v>
      </c>
      <c r="J2168" s="26" t="str">
        <f>IF(OR(E2168="",E2168="!!!",F2168="NEW"),"",COUNTBLANK(OFFSET(A$1,,,SUMPRODUCT(MAX(ROW(E$2:E2168)*(E2168=E$2:E2168)))))-COUNTBLANK(OFFSET(A$1,,,SUMPRODUCT(MAX(ROW(E$1:E2167)*(E2=E$1:E2167))))))</f>
        <v> </v>
      </c>
      <c r="K2168" s="26" t="str">
        <f>IF(OR(E2168="",E2168="!!!",F2168="NEW"),"",INDEX(J$1:J2167,SUMPRODUCT(MAX(ROW(E$1:E2167)*(E2168=E$1:E2167)))))</f>
        <v> </v>
      </c>
      <c r="L2168" s="27"/>
    </row>
    <row r="2169" spans="1:12">
      <c r="A2169" s="20" t="s">
        <v>626</v>
      </c>
      <c r="E2169" s="22">
        <f>IF(D2169="?OLD","!!!","")</f>
        <v/>
      </c>
      <c r="F2169" s="23" t="str">
        <f>IF(OR(E2169="",E2169="!!!"),"",IF(NOT(ISNA(VLOOKUP(E2169,E$1:E2168,1,FALSE()))),"OLD",IF(AND(E2169&lt;&gt;"",E2169&lt;&gt;"!!!"),"NEW","")))</f>
        <v> </v>
      </c>
      <c r="G2169" s="24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5" t="str">
        <f>IF(J2169&lt;&gt;1,"",IF(I2169="SBJ","CB","?"))</f>
        <v> </v>
      </c>
      <c r="I2169" s="26" t="str">
        <f>IF(OR(E2169="",E2169="!!!",F2169="NEW"),"",INDEX(B2168:B$2,-1+SUMPRODUCT(MAX(ROW(E2168:E$2)*(E2169=E2168:E$2)))))</f>
        <v> </v>
      </c>
      <c r="J2169" s="26" t="str">
        <f>IF(OR(E2169="",E2169="!!!",F2169="NEW"),"",COUNTBLANK(OFFSET(A$1,,,SUMPRODUCT(MAX(ROW(E$2:E2169)*(E2169=E$2:E2169)))))-COUNTBLANK(OFFSET(A$1,,,SUMPRODUCT(MAX(ROW(E$1:E2168)*(E2=E$1:E2168))))))</f>
        <v> </v>
      </c>
      <c r="K2169" s="26" t="str">
        <f>IF(OR(E2169="",E2169="!!!",F2169="NEW"),"",INDEX(J$1:J2168,SUMPRODUCT(MAX(ROW(E$1:E2168)*(E2169=E$1:E2168)))))</f>
        <v> </v>
      </c>
      <c r="L2169" s="27"/>
    </row>
    <row r="2170" spans="1:12">
      <c r="A2170" s="20" t="s">
        <v>1373</v>
      </c>
      <c r="E2170" s="22">
        <f>IF(D2170="?OLD","!!!","")</f>
        <v/>
      </c>
      <c r="F2170" s="23" t="str">
        <f>IF(OR(E2170="",E2170="!!!"),"",IF(NOT(ISNA(VLOOKUP(E2170,E$1:E2169,1,FALSE()))),"OLD",IF(AND(E2170&lt;&gt;"",E2170&lt;&gt;"!!!"),"NEW","")))</f>
        <v> </v>
      </c>
      <c r="G2170" s="24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5" t="str">
        <f>IF(J2170&lt;&gt;1,"",IF(I2170="SBJ","CB","?"))</f>
        <v> </v>
      </c>
      <c r="I2170" s="26" t="str">
        <f>IF(OR(E2170="",E2170="!!!",F2170="NEW"),"",INDEX(B2169:B$2,-1+SUMPRODUCT(MAX(ROW(E2169:E$2)*(E2170=E2169:E$2)))))</f>
        <v> </v>
      </c>
      <c r="J2170" s="26" t="str">
        <f>IF(OR(E2170="",E2170="!!!",F2170="NEW"),"",COUNTBLANK(OFFSET(A$1,,,SUMPRODUCT(MAX(ROW(E$2:E2170)*(E2170=E$2:E2170)))))-COUNTBLANK(OFFSET(A$1,,,SUMPRODUCT(MAX(ROW(E$1:E2169)*(E2=E$1:E2169))))))</f>
        <v> </v>
      </c>
      <c r="K2170" s="26" t="str">
        <f>IF(OR(E2170="",E2170="!!!",F2170="NEW"),"",INDEX(J$1:J2169,SUMPRODUCT(MAX(ROW(E$1:E2169)*(E2170=E$1:E2169)))))</f>
        <v> </v>
      </c>
      <c r="L2170" s="27"/>
    </row>
    <row r="2171" spans="1:12">
      <c r="A2171" s="20" t="s">
        <v>1428</v>
      </c>
      <c r="E2171" s="22">
        <f>IF(D2171="?OLD","!!!","")</f>
        <v/>
      </c>
      <c r="F2171" s="23" t="str">
        <f>IF(OR(E2171="",E2171="!!!"),"",IF(NOT(ISNA(VLOOKUP(E2171,E$1:E2170,1,FALSE()))),"OLD",IF(AND(E2171&lt;&gt;"",E2171&lt;&gt;"!!!"),"NEW","")))</f>
        <v> </v>
      </c>
      <c r="G2171" s="24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5" t="str">
        <f>IF(J2171&lt;&gt;1,"",IF(I2171="SBJ","CB","?"))</f>
        <v> </v>
      </c>
      <c r="I2171" s="26" t="str">
        <f>IF(OR(E2171="",E2171="!!!",F2171="NEW"),"",INDEX(B2170:B$2,-1+SUMPRODUCT(MAX(ROW(E2170:E$2)*(E2171=E2170:E$2)))))</f>
        <v> </v>
      </c>
      <c r="J2171" s="26" t="str">
        <f>IF(OR(E2171="",E2171="!!!",F2171="NEW"),"",COUNTBLANK(OFFSET(A$1,,,SUMPRODUCT(MAX(ROW(E$2:E2171)*(E2171=E$2:E2171)))))-COUNTBLANK(OFFSET(A$1,,,SUMPRODUCT(MAX(ROW(E$1:E2170)*(E2=E$1:E2170))))))</f>
        <v> </v>
      </c>
      <c r="K2171" s="26" t="str">
        <f>IF(OR(E2171="",E2171="!!!",F2171="NEW"),"",INDEX(J$1:J2170,SUMPRODUCT(MAX(ROW(E$1:E2170)*(E2171=E$1:E2170)))))</f>
        <v> </v>
      </c>
      <c r="L2171" s="27"/>
    </row>
    <row r="2172" spans="1:12">
      <c r="A2172" s="20" t="s">
        <v>567</v>
      </c>
      <c r="B2172" s="21" t="s">
        <v>781</v>
      </c>
      <c r="E2172" s="22">
        <f>IF(D2172="?OLD","!!!","")</f>
        <v/>
      </c>
      <c r="F2172" s="23" t="str">
        <f>IF(OR(E2172="",E2172="!!!"),"",IF(NOT(ISNA(VLOOKUP(E2172,E$1:E2171,1,FALSE()))),"OLD",IF(AND(E2172&lt;&gt;"",E2172&lt;&gt;"!!!"),"NEW","")))</f>
        <v> </v>
      </c>
      <c r="G2172" s="24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5" t="str">
        <f>IF(J2172&lt;&gt;1,"",IF(I2172="SBJ","CB","?"))</f>
        <v> </v>
      </c>
      <c r="I2172" s="26" t="str">
        <f>IF(OR(E2172="",E2172="!!!",F2172="NEW"),"",INDEX(B2171:B$2,-1+SUMPRODUCT(MAX(ROW(E2171:E$2)*(E2172=E2171:E$2)))))</f>
        <v> </v>
      </c>
      <c r="J2172" s="26" t="str">
        <f>IF(OR(E2172="",E2172="!!!",F2172="NEW"),"",COUNTBLANK(OFFSET(A$1,,,SUMPRODUCT(MAX(ROW(E$2:E2172)*(E2172=E$2:E2172)))))-COUNTBLANK(OFFSET(A$1,,,SUMPRODUCT(MAX(ROW(E$1:E2171)*(E2=E$1:E2171))))))</f>
        <v> </v>
      </c>
      <c r="K2172" s="26" t="str">
        <f>IF(OR(E2172="",E2172="!!!",F2172="NEW"),"",INDEX(J$1:J2171,SUMPRODUCT(MAX(ROW(E$1:E2171)*(E2172=E$1:E2171)))))</f>
        <v> </v>
      </c>
      <c r="L2172" s="27"/>
    </row>
    <row r="2173" spans="1:12">
      <c r="A2173" s="20" t="s">
        <v>1297</v>
      </c>
      <c r="E2173" s="22">
        <f>IF(D2173="?OLD","!!!","")</f>
        <v/>
      </c>
      <c r="F2173" s="23" t="str">
        <f>IF(OR(E2173="",E2173="!!!"),"",IF(NOT(ISNA(VLOOKUP(E2173,E$1:E2172,1,FALSE()))),"OLD",IF(AND(E2173&lt;&gt;"",E2173&lt;&gt;"!!!"),"NEW","")))</f>
        <v> </v>
      </c>
      <c r="G2173" s="24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5" t="str">
        <f>IF(J2173&lt;&gt;1,"",IF(I2173="SBJ","CB","?"))</f>
        <v> </v>
      </c>
      <c r="I2173" s="26" t="str">
        <f>IF(OR(E2173="",E2173="!!!",F2173="NEW"),"",INDEX(B2172:B$2,-1+SUMPRODUCT(MAX(ROW(E2172:E$2)*(E2173=E2172:E$2)))))</f>
        <v> </v>
      </c>
      <c r="J2173" s="26" t="str">
        <f>IF(OR(E2173="",E2173="!!!",F2173="NEW"),"",COUNTBLANK(OFFSET(A$1,,,SUMPRODUCT(MAX(ROW(E$2:E2173)*(E2173=E$2:E2173)))))-COUNTBLANK(OFFSET(A$1,,,SUMPRODUCT(MAX(ROW(E$1:E2172)*(E2=E$1:E2172))))))</f>
        <v> </v>
      </c>
      <c r="K2173" s="26" t="str">
        <f>IF(OR(E2173="",E2173="!!!",F2173="NEW"),"",INDEX(J$1:J2172,SUMPRODUCT(MAX(ROW(E$1:E2172)*(E2173=E$1:E2172)))))</f>
        <v> </v>
      </c>
      <c r="L2173" s="27"/>
    </row>
    <row r="2174" spans="1:12">
      <c r="A2174" s="20" t="s">
        <v>438</v>
      </c>
      <c r="E2174" s="22">
        <f>IF(D2174="?OLD","!!!","")</f>
        <v/>
      </c>
      <c r="F2174" s="23" t="str">
        <f>IF(OR(E2174="",E2174="!!!"),"",IF(NOT(ISNA(VLOOKUP(E2174,E$1:E2173,1,FALSE()))),"OLD",IF(AND(E2174&lt;&gt;"",E2174&lt;&gt;"!!!"),"NEW","")))</f>
        <v> </v>
      </c>
      <c r="G2174" s="24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5" t="str">
        <f>IF(J2174&lt;&gt;1,"",IF(I2174="SBJ","CB","?"))</f>
        <v> </v>
      </c>
      <c r="I2174" s="26" t="str">
        <f>IF(OR(E2174="",E2174="!!!",F2174="NEW"),"",INDEX(B2173:B$2,-1+SUMPRODUCT(MAX(ROW(E2173:E$2)*(E2174=E2173:E$2)))))</f>
        <v> </v>
      </c>
      <c r="J2174" s="26" t="str">
        <f>IF(OR(E2174="",E2174="!!!",F2174="NEW"),"",COUNTBLANK(OFFSET(A$1,,,SUMPRODUCT(MAX(ROW(E$2:E2174)*(E2174=E$2:E2174)))))-COUNTBLANK(OFFSET(A$1,,,SUMPRODUCT(MAX(ROW(E$1:E2173)*(E2=E$1:E2173))))))</f>
        <v> </v>
      </c>
      <c r="K2174" s="26" t="str">
        <f>IF(OR(E2174="",E2174="!!!",F2174="NEW"),"",INDEX(J$1:J2173,SUMPRODUCT(MAX(ROW(E$1:E2173)*(E2174=E$1:E2173)))))</f>
        <v> </v>
      </c>
      <c r="L2174" s="27"/>
    </row>
    <row r="2175" spans="1:12">
      <c r="A2175" s="20"/>
    </row>
    <row r="2176" spans="1:12">
      <c r="A2176" s="20" t="s">
        <v>1429</v>
      </c>
    </row>
    <row r="2177" spans="1:12">
      <c r="A2177" s="20" t="s">
        <v>783</v>
      </c>
      <c r="E2177" s="22">
        <f>IF(D2177="?OLD","!!!","")</f>
        <v/>
      </c>
      <c r="F2177" s="23" t="str">
        <f>IF(OR(E2177="",E2177="!!!"),"",IF(NOT(ISNA(VLOOKUP(E2177,E$1:E2176,1,FALSE()))),"OLD",IF(AND(E2177&lt;&gt;"",E2177&lt;&gt;"!!!"),"NEW","")))</f>
        <v> </v>
      </c>
      <c r="G2177" s="24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5" t="str">
        <f>IF(J2177&lt;&gt;1,"",IF(I2177="SBJ","CB","?"))</f>
        <v> </v>
      </c>
      <c r="I2177" s="26" t="str">
        <f>IF(OR(E2177="",E2177="!!!",F2177="NEW"),"",INDEX(B2176:B$2,-1+SUMPRODUCT(MAX(ROW(E2176:E$2)*(E2177=E2176:E$2)))))</f>
        <v> </v>
      </c>
      <c r="J2177" s="26" t="str">
        <f>IF(OR(E2177="",E2177="!!!",F2177="NEW"),"",COUNTBLANK(OFFSET(A$1,,,SUMPRODUCT(MAX(ROW(E$2:E2177)*(E2177=E$2:E2177)))))-COUNTBLANK(OFFSET(A$1,,,SUMPRODUCT(MAX(ROW(E$1:E2176)*(E2=E$1:E2176))))))</f>
        <v> </v>
      </c>
      <c r="K2177" s="26" t="str">
        <f>IF(OR(E2177="",E2177="!!!",F2177="NEW"),"",INDEX(J$1:J2176,SUMPRODUCT(MAX(ROW(E$1:E2176)*(E2177=E$1:E2176)))))</f>
        <v> </v>
      </c>
      <c r="L2177" s="27"/>
    </row>
    <row r="2178" spans="1:12">
      <c r="A2178" s="20" t="s">
        <v>1389</v>
      </c>
      <c r="E2178" s="22">
        <f>IF(D2178="?OLD","!!!","")</f>
        <v/>
      </c>
      <c r="F2178" s="23" t="str">
        <f>IF(OR(E2178="",E2178="!!!"),"",IF(NOT(ISNA(VLOOKUP(E2178,E$1:E2177,1,FALSE()))),"OLD",IF(AND(E2178&lt;&gt;"",E2178&lt;&gt;"!!!"),"NEW","")))</f>
        <v> </v>
      </c>
      <c r="G2178" s="24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5" t="str">
        <f>IF(J2178&lt;&gt;1,"",IF(I2178="SBJ","CB","?"))</f>
        <v> </v>
      </c>
      <c r="I2178" s="26" t="str">
        <f>IF(OR(E2178="",E2178="!!!",F2178="NEW"),"",INDEX(B2177:B$2,-1+SUMPRODUCT(MAX(ROW(E2177:E$2)*(E2178=E2177:E$2)))))</f>
        <v> </v>
      </c>
      <c r="J2178" s="26" t="str">
        <f>IF(OR(E2178="",E2178="!!!",F2178="NEW"),"",COUNTBLANK(OFFSET(A$1,,,SUMPRODUCT(MAX(ROW(E$2:E2178)*(E2178=E$2:E2178)))))-COUNTBLANK(OFFSET(A$1,,,SUMPRODUCT(MAX(ROW(E$1:E2177)*(E2=E$1:E2177))))))</f>
        <v> </v>
      </c>
      <c r="K2178" s="26" t="str">
        <f>IF(OR(E2178="",E2178="!!!",F2178="NEW"),"",INDEX(J$1:J2177,SUMPRODUCT(MAX(ROW(E$1:E2177)*(E2178=E$1:E2177)))))</f>
        <v> </v>
      </c>
      <c r="L2178" s="27"/>
    </row>
    <row r="2179" spans="1:12">
      <c r="A2179" s="20" t="s">
        <v>1390</v>
      </c>
      <c r="E2179" s="22">
        <f>IF(D2179="?OLD","!!!","")</f>
        <v/>
      </c>
      <c r="F2179" s="23" t="str">
        <f>IF(OR(E2179="",E2179="!!!"),"",IF(NOT(ISNA(VLOOKUP(E2179,E$1:E2178,1,FALSE()))),"OLD",IF(AND(E2179&lt;&gt;"",E2179&lt;&gt;"!!!"),"NEW","")))</f>
        <v> </v>
      </c>
      <c r="G2179" s="24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5" t="str">
        <f>IF(J2179&lt;&gt;1,"",IF(I2179="SBJ","CB","?"))</f>
        <v> </v>
      </c>
      <c r="I2179" s="26" t="str">
        <f>IF(OR(E2179="",E2179="!!!",F2179="NEW"),"",INDEX(B2178:B$2,-1+SUMPRODUCT(MAX(ROW(E2178:E$2)*(E2179=E2178:E$2)))))</f>
        <v> </v>
      </c>
      <c r="J2179" s="26" t="str">
        <f>IF(OR(E2179="",E2179="!!!",F2179="NEW"),"",COUNTBLANK(OFFSET(A$1,,,SUMPRODUCT(MAX(ROW(E$2:E2179)*(E2179=E$2:E2179)))))-COUNTBLANK(OFFSET(A$1,,,SUMPRODUCT(MAX(ROW(E$1:E2178)*(E2=E$1:E2178))))))</f>
        <v> </v>
      </c>
      <c r="K2179" s="26" t="str">
        <f>IF(OR(E2179="",E2179="!!!",F2179="NEW"),"",INDEX(J$1:J2178,SUMPRODUCT(MAX(ROW(E$1:E2178)*(E2179=E$1:E2178)))))</f>
        <v> </v>
      </c>
      <c r="L2179" s="27"/>
    </row>
    <row r="2180" spans="1:12">
      <c r="A2180" s="20" t="s">
        <v>453</v>
      </c>
      <c r="E2180" s="22">
        <f>IF(D2180="?OLD","!!!","")</f>
        <v/>
      </c>
      <c r="F2180" s="23" t="str">
        <f>IF(OR(E2180="",E2180="!!!"),"",IF(NOT(ISNA(VLOOKUP(E2180,E$1:E2179,1,FALSE()))),"OLD",IF(AND(E2180&lt;&gt;"",E2180&lt;&gt;"!!!"),"NEW","")))</f>
        <v> </v>
      </c>
      <c r="G2180" s="24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5" t="str">
        <f>IF(J2180&lt;&gt;1,"",IF(I2180="SBJ","CB","?"))</f>
        <v> </v>
      </c>
      <c r="I2180" s="26" t="str">
        <f>IF(OR(E2180="",E2180="!!!",F2180="NEW"),"",INDEX(B2179:B$2,-1+SUMPRODUCT(MAX(ROW(E2179:E$2)*(E2180=E2179:E$2)))))</f>
        <v> </v>
      </c>
      <c r="J2180" s="26" t="str">
        <f>IF(OR(E2180="",E2180="!!!",F2180="NEW"),"",COUNTBLANK(OFFSET(A$1,,,SUMPRODUCT(MAX(ROW(E$2:E2180)*(E2180=E$2:E2180)))))-COUNTBLANK(OFFSET(A$1,,,SUMPRODUCT(MAX(ROW(E$1:E2179)*(E2=E$1:E2179))))))</f>
        <v> </v>
      </c>
      <c r="K2180" s="26" t="str">
        <f>IF(OR(E2180="",E2180="!!!",F2180="NEW"),"",INDEX(J$1:J2179,SUMPRODUCT(MAX(ROW(E$1:E2179)*(E2180=E$1:E2179)))))</f>
        <v> </v>
      </c>
      <c r="L2180" s="27"/>
    </row>
    <row r="2181" spans="1:12">
      <c r="A2181" s="20" t="s">
        <v>492</v>
      </c>
      <c r="B2181" s="21" t="s">
        <v>422</v>
      </c>
      <c r="C2181" s="21" t="s">
        <v>423</v>
      </c>
      <c r="D2181" s="21" t="s">
        <v>424</v>
      </c>
      <c r="E2181" s="22">
        <f>IF(D2181="?OLD","!!!","")</f>
        <v/>
      </c>
      <c r="F2181" s="23" t="str">
        <f>IF(OR(E2181="",E2181="!!!"),"",IF(NOT(ISNA(VLOOKUP(E2181,E$1:E2180,1,FALSE()))),"OLD",IF(AND(E2181&lt;&gt;"",E2181&lt;&gt;"!!!"),"NEW","")))</f>
        <v> </v>
      </c>
      <c r="G2181" s="24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5" t="str">
        <f>IF(J2181&lt;&gt;1,"",IF(I2181="SBJ","CB","?"))</f>
        <v> </v>
      </c>
      <c r="I2181" s="26" t="str">
        <f>IF(OR(E2181="",E2181="!!!",F2181="NEW"),"",INDEX(B2180:B$2,-1+SUMPRODUCT(MAX(ROW(E2180:E$2)*(E2181=E2180:E$2)))))</f>
        <v> </v>
      </c>
      <c r="J2181" s="26" t="str">
        <f>IF(OR(E2181="",E2181="!!!",F2181="NEW"),"",COUNTBLANK(OFFSET(A$1,,,SUMPRODUCT(MAX(ROW(E$2:E2181)*(E2181=E$2:E2181)))))-COUNTBLANK(OFFSET(A$1,,,SUMPRODUCT(MAX(ROW(E$1:E2180)*(E2=E$1:E2180))))))</f>
        <v> </v>
      </c>
      <c r="K2181" s="26" t="str">
        <f>IF(OR(E2181="",E2181="!!!",F2181="NEW"),"",INDEX(J$1:J2180,SUMPRODUCT(MAX(ROW(E$1:E2180)*(E2181=E$1:E2180)))))</f>
        <v> </v>
      </c>
      <c r="L2181" s="27"/>
    </row>
    <row r="2182" spans="1:12">
      <c r="A2182" s="20" t="s">
        <v>1430</v>
      </c>
      <c r="E2182" s="22">
        <f>IF(D2182="?OLD","!!!","")</f>
        <v/>
      </c>
      <c r="F2182" s="23" t="str">
        <f>IF(OR(E2182="",E2182="!!!"),"",IF(NOT(ISNA(VLOOKUP(E2182,E$1:E2181,1,FALSE()))),"OLD",IF(AND(E2182&lt;&gt;"",E2182&lt;&gt;"!!!"),"NEW","")))</f>
        <v> </v>
      </c>
      <c r="G2182" s="24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5" t="str">
        <f>IF(J2182&lt;&gt;1,"",IF(I2182="SBJ","CB","?"))</f>
        <v> </v>
      </c>
      <c r="I2182" s="26" t="str">
        <f>IF(OR(E2182="",E2182="!!!",F2182="NEW"),"",INDEX(B2181:B$2,-1+SUMPRODUCT(MAX(ROW(E2181:E$2)*(E2182=E2181:E$2)))))</f>
        <v> </v>
      </c>
      <c r="J2182" s="26" t="str">
        <f>IF(OR(E2182="",E2182="!!!",F2182="NEW"),"",COUNTBLANK(OFFSET(A$1,,,SUMPRODUCT(MAX(ROW(E$2:E2182)*(E2182=E$2:E2182)))))-COUNTBLANK(OFFSET(A$1,,,SUMPRODUCT(MAX(ROW(E$1:E2181)*(E2=E$1:E2181))))))</f>
        <v> </v>
      </c>
      <c r="K2182" s="26" t="str">
        <f>IF(OR(E2182="",E2182="!!!",F2182="NEW"),"",INDEX(J$1:J2181,SUMPRODUCT(MAX(ROW(E$1:E2181)*(E2182=E$1:E2181)))))</f>
        <v> </v>
      </c>
      <c r="L2182" s="27"/>
    </row>
    <row r="2183" spans="1:12">
      <c r="A2183" s="20" t="s">
        <v>478</v>
      </c>
      <c r="E2183" s="22">
        <f>IF(D2183="?OLD","!!!","")</f>
        <v/>
      </c>
      <c r="F2183" s="23" t="str">
        <f>IF(OR(E2183="",E2183="!!!"),"",IF(NOT(ISNA(VLOOKUP(E2183,E$1:E2182,1,FALSE()))),"OLD",IF(AND(E2183&lt;&gt;"",E2183&lt;&gt;"!!!"),"NEW","")))</f>
        <v> </v>
      </c>
      <c r="G2183" s="24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5" t="str">
        <f>IF(J2183&lt;&gt;1,"",IF(I2183="SBJ","CB","?"))</f>
        <v> </v>
      </c>
      <c r="I2183" s="26" t="str">
        <f>IF(OR(E2183="",E2183="!!!",F2183="NEW"),"",INDEX(B2182:B$2,-1+SUMPRODUCT(MAX(ROW(E2182:E$2)*(E2183=E2182:E$2)))))</f>
        <v> </v>
      </c>
      <c r="J2183" s="26" t="str">
        <f>IF(OR(E2183="",E2183="!!!",F2183="NEW"),"",COUNTBLANK(OFFSET(A$1,,,SUMPRODUCT(MAX(ROW(E$2:E2183)*(E2183=E$2:E2183)))))-COUNTBLANK(OFFSET(A$1,,,SUMPRODUCT(MAX(ROW(E$1:E2182)*(E2=E$1:E2182))))))</f>
        <v> </v>
      </c>
      <c r="K2183" s="26" t="str">
        <f>IF(OR(E2183="",E2183="!!!",F2183="NEW"),"",INDEX(J$1:J2182,SUMPRODUCT(MAX(ROW(E$1:E2182)*(E2183=E$1:E2182)))))</f>
        <v> </v>
      </c>
      <c r="L2183" s="27"/>
    </row>
    <row r="2184" spans="1:12">
      <c r="A2184" s="20" t="s">
        <v>1431</v>
      </c>
      <c r="E2184" s="22">
        <f>IF(D2184="?OLD","!!!","")</f>
        <v/>
      </c>
      <c r="F2184" s="23" t="str">
        <f>IF(OR(E2184="",E2184="!!!"),"",IF(NOT(ISNA(VLOOKUP(E2184,E$1:E2183,1,FALSE()))),"OLD",IF(AND(E2184&lt;&gt;"",E2184&lt;&gt;"!!!"),"NEW","")))</f>
        <v> </v>
      </c>
      <c r="G2184" s="24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5" t="str">
        <f>IF(J2184&lt;&gt;1,"",IF(I2184="SBJ","CB","?"))</f>
        <v> </v>
      </c>
      <c r="I2184" s="26" t="str">
        <f>IF(OR(E2184="",E2184="!!!",F2184="NEW"),"",INDEX(B2183:B$2,-1+SUMPRODUCT(MAX(ROW(E2183:E$2)*(E2184=E2183:E$2)))))</f>
        <v> </v>
      </c>
      <c r="J2184" s="26" t="str">
        <f>IF(OR(E2184="",E2184="!!!",F2184="NEW"),"",COUNTBLANK(OFFSET(A$1,,,SUMPRODUCT(MAX(ROW(E$2:E2184)*(E2184=E$2:E2184)))))-COUNTBLANK(OFFSET(A$1,,,SUMPRODUCT(MAX(ROW(E$1:E2183)*(E2=E$1:E2183))))))</f>
        <v> </v>
      </c>
      <c r="K2184" s="26" t="str">
        <f>IF(OR(E2184="",E2184="!!!",F2184="NEW"),"",INDEX(J$1:J2183,SUMPRODUCT(MAX(ROW(E$1:E2183)*(E2184=E$1:E2183)))))</f>
        <v> </v>
      </c>
      <c r="L2184" s="27"/>
    </row>
    <row r="2185" spans="1:12">
      <c r="A2185" s="20" t="s">
        <v>1347</v>
      </c>
      <c r="E2185" s="22">
        <f>IF(D2185="?OLD","!!!","")</f>
        <v/>
      </c>
      <c r="F2185" s="23" t="str">
        <f>IF(OR(E2185="",E2185="!!!"),"",IF(NOT(ISNA(VLOOKUP(E2185,E$1:E2184,1,FALSE()))),"OLD",IF(AND(E2185&lt;&gt;"",E2185&lt;&gt;"!!!"),"NEW","")))</f>
        <v> </v>
      </c>
      <c r="G2185" s="24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5" t="str">
        <f>IF(J2185&lt;&gt;1,"",IF(I2185="SBJ","CB","?"))</f>
        <v> </v>
      </c>
      <c r="I2185" s="26" t="str">
        <f>IF(OR(E2185="",E2185="!!!",F2185="NEW"),"",INDEX(B2184:B$2,-1+SUMPRODUCT(MAX(ROW(E2184:E$2)*(E2185=E2184:E$2)))))</f>
        <v> </v>
      </c>
      <c r="J2185" s="26" t="str">
        <f>IF(OR(E2185="",E2185="!!!",F2185="NEW"),"",COUNTBLANK(OFFSET(A$1,,,SUMPRODUCT(MAX(ROW(E$2:E2185)*(E2185=E$2:E2185)))))-COUNTBLANK(OFFSET(A$1,,,SUMPRODUCT(MAX(ROW(E$1:E2184)*(E2=E$1:E2184))))))</f>
        <v> </v>
      </c>
      <c r="K2185" s="26" t="str">
        <f>IF(OR(E2185="",E2185="!!!",F2185="NEW"),"",INDEX(J$1:J2184,SUMPRODUCT(MAX(ROW(E$1:E2184)*(E2185=E$1:E2184)))))</f>
        <v> </v>
      </c>
      <c r="L2185" s="27"/>
    </row>
    <row r="2186" spans="1:12">
      <c r="A2186" s="20" t="s">
        <v>1432</v>
      </c>
      <c r="E2186" s="22">
        <f>IF(D2186="?OLD","!!!","")</f>
        <v/>
      </c>
      <c r="F2186" s="23" t="str">
        <f>IF(OR(E2186="",E2186="!!!"),"",IF(NOT(ISNA(VLOOKUP(E2186,E$1:E2185,1,FALSE()))),"OLD",IF(AND(E2186&lt;&gt;"",E2186&lt;&gt;"!!!"),"NEW","")))</f>
        <v> </v>
      </c>
      <c r="G2186" s="24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5" t="str">
        <f>IF(J2186&lt;&gt;1,"",IF(I2186="SBJ","CB","?"))</f>
        <v> </v>
      </c>
      <c r="I2186" s="26" t="str">
        <f>IF(OR(E2186="",E2186="!!!",F2186="NEW"),"",INDEX(B2185:B$2,-1+SUMPRODUCT(MAX(ROW(E2185:E$2)*(E2186=E2185:E$2)))))</f>
        <v> </v>
      </c>
      <c r="J2186" s="26" t="str">
        <f>IF(OR(E2186="",E2186="!!!",F2186="NEW"),"",COUNTBLANK(OFFSET(A$1,,,SUMPRODUCT(MAX(ROW(E$2:E2186)*(E2186=E$2:E2186)))))-COUNTBLANK(OFFSET(A$1,,,SUMPRODUCT(MAX(ROW(E$1:E2185)*(E2=E$1:E2185))))))</f>
        <v> </v>
      </c>
      <c r="K2186" s="26" t="str">
        <f>IF(OR(E2186="",E2186="!!!",F2186="NEW"),"",INDEX(J$1:J2185,SUMPRODUCT(MAX(ROW(E$1:E2185)*(E2186=E$1:E2185)))))</f>
        <v> </v>
      </c>
      <c r="L2186" s="27"/>
    </row>
    <row r="2187" spans="1:12">
      <c r="A2187" s="20" t="s">
        <v>430</v>
      </c>
      <c r="E2187" s="22">
        <f>IF(D2187="?OLD","!!!","")</f>
        <v/>
      </c>
      <c r="F2187" s="23" t="str">
        <f>IF(OR(E2187="",E2187="!!!"),"",IF(NOT(ISNA(VLOOKUP(E2187,E$1:E2186,1,FALSE()))),"OLD",IF(AND(E2187&lt;&gt;"",E2187&lt;&gt;"!!!"),"NEW","")))</f>
        <v> </v>
      </c>
      <c r="G2187" s="24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5" t="str">
        <f>IF(J2187&lt;&gt;1,"",IF(I2187="SBJ","CB","?"))</f>
        <v> </v>
      </c>
      <c r="I2187" s="26" t="str">
        <f>IF(OR(E2187="",E2187="!!!",F2187="NEW"),"",INDEX(B2186:B$2,-1+SUMPRODUCT(MAX(ROW(E2186:E$2)*(E2187=E2186:E$2)))))</f>
        <v> </v>
      </c>
      <c r="J2187" s="26" t="str">
        <f>IF(OR(E2187="",E2187="!!!",F2187="NEW"),"",COUNTBLANK(OFFSET(A$1,,,SUMPRODUCT(MAX(ROW(E$2:E2187)*(E2187=E$2:E2187)))))-COUNTBLANK(OFFSET(A$1,,,SUMPRODUCT(MAX(ROW(E$1:E2186)*(E2=E$1:E2186))))))</f>
        <v> </v>
      </c>
      <c r="K2187" s="26" t="str">
        <f>IF(OR(E2187="",E2187="!!!",F2187="NEW"),"",INDEX(J$1:J2186,SUMPRODUCT(MAX(ROW(E$1:E2186)*(E2187=E$1:E2186)))))</f>
        <v> </v>
      </c>
      <c r="L2187" s="27"/>
    </row>
    <row r="2188" spans="1:12">
      <c r="A2188" s="20" t="s">
        <v>482</v>
      </c>
      <c r="B2188" s="21" t="s">
        <v>556</v>
      </c>
      <c r="C2188" s="21" t="s">
        <v>477</v>
      </c>
      <c r="D2188" s="21" t="s">
        <v>424</v>
      </c>
      <c r="E2188" s="22">
        <f>IF(D2188="?OLD","!!!","")</f>
        <v/>
      </c>
      <c r="F2188" s="23" t="str">
        <f>IF(OR(E2188="",E2188="!!!"),"",IF(NOT(ISNA(VLOOKUP(E2188,E$1:E2187,1,FALSE()))),"OLD",IF(AND(E2188&lt;&gt;"",E2188&lt;&gt;"!!!"),"NEW","")))</f>
        <v> </v>
      </c>
      <c r="G2188" s="24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5" t="str">
        <f>IF(J2188&lt;&gt;1,"",IF(I2188="SBJ","CB","?"))</f>
        <v> </v>
      </c>
      <c r="I2188" s="26" t="str">
        <f>IF(OR(E2188="",E2188="!!!",F2188="NEW"),"",INDEX(B2187:B$2,-1+SUMPRODUCT(MAX(ROW(E2187:E$2)*(E2188=E2187:E$2)))))</f>
        <v> </v>
      </c>
      <c r="J2188" s="26" t="str">
        <f>IF(OR(E2188="",E2188="!!!",F2188="NEW"),"",COUNTBLANK(OFFSET(A$1,,,SUMPRODUCT(MAX(ROW(E$2:E2188)*(E2188=E$2:E2188)))))-COUNTBLANK(OFFSET(A$1,,,SUMPRODUCT(MAX(ROW(E$1:E2187)*(E2=E$1:E2187))))))</f>
        <v> </v>
      </c>
      <c r="K2188" s="26" t="str">
        <f>IF(OR(E2188="",E2188="!!!",F2188="NEW"),"",INDEX(J$1:J2187,SUMPRODUCT(MAX(ROW(E$1:E2187)*(E2188=E$1:E2187)))))</f>
        <v> </v>
      </c>
      <c r="L2188" s="27"/>
    </row>
    <row r="2189" spans="1:12">
      <c r="A2189" s="20" t="s">
        <v>1433</v>
      </c>
      <c r="E2189" s="22">
        <f>IF(D2189="?OLD","!!!","")</f>
        <v/>
      </c>
      <c r="F2189" s="23" t="str">
        <f>IF(OR(E2189="",E2189="!!!"),"",IF(NOT(ISNA(VLOOKUP(E2189,E$1:E2188,1,FALSE()))),"OLD",IF(AND(E2189&lt;&gt;"",E2189&lt;&gt;"!!!"),"NEW","")))</f>
        <v> </v>
      </c>
      <c r="G2189" s="24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5" t="str">
        <f>IF(J2189&lt;&gt;1,"",IF(I2189="SBJ","CB","?"))</f>
        <v> </v>
      </c>
      <c r="I2189" s="26" t="str">
        <f>IF(OR(E2189="",E2189="!!!",F2189="NEW"),"",INDEX(B2188:B$2,-1+SUMPRODUCT(MAX(ROW(E2188:E$2)*(E2189=E2188:E$2)))))</f>
        <v> </v>
      </c>
      <c r="J2189" s="26" t="str">
        <f>IF(OR(E2189="",E2189="!!!",F2189="NEW"),"",COUNTBLANK(OFFSET(A$1,,,SUMPRODUCT(MAX(ROW(E$2:E2189)*(E2189=E$2:E2189)))))-COUNTBLANK(OFFSET(A$1,,,SUMPRODUCT(MAX(ROW(E$1:E2188)*(E2=E$1:E2188))))))</f>
        <v> </v>
      </c>
      <c r="K2189" s="26" t="str">
        <f>IF(OR(E2189="",E2189="!!!",F2189="NEW"),"",INDEX(J$1:J2188,SUMPRODUCT(MAX(ROW(E$1:E2188)*(E2189=E$1:E2188)))))</f>
        <v> </v>
      </c>
      <c r="L2189" s="27"/>
    </row>
    <row r="2190" spans="1:12">
      <c r="A2190" s="20" t="s">
        <v>1434</v>
      </c>
      <c r="E2190" s="22">
        <f>IF(D2190="?OLD","!!!","")</f>
        <v/>
      </c>
      <c r="F2190" s="23" t="str">
        <f>IF(OR(E2190="",E2190="!!!"),"",IF(NOT(ISNA(VLOOKUP(E2190,E$1:E2189,1,FALSE()))),"OLD",IF(AND(E2190&lt;&gt;"",E2190&lt;&gt;"!!!"),"NEW","")))</f>
        <v> </v>
      </c>
      <c r="G2190" s="24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5" t="str">
        <f>IF(J2190&lt;&gt;1,"",IF(I2190="SBJ","CB","?"))</f>
        <v> </v>
      </c>
      <c r="I2190" s="26" t="str">
        <f>IF(OR(E2190="",E2190="!!!",F2190="NEW"),"",INDEX(B2189:B$2,-1+SUMPRODUCT(MAX(ROW(E2189:E$2)*(E2190=E2189:E$2)))))</f>
        <v> </v>
      </c>
      <c r="J2190" s="26" t="str">
        <f>IF(OR(E2190="",E2190="!!!",F2190="NEW"),"",COUNTBLANK(OFFSET(A$1,,,SUMPRODUCT(MAX(ROW(E$2:E2190)*(E2190=E$2:E2190)))))-COUNTBLANK(OFFSET(A$1,,,SUMPRODUCT(MAX(ROW(E$1:E2189)*(E2=E$1:E2189))))))</f>
        <v> </v>
      </c>
      <c r="K2190" s="26" t="str">
        <f>IF(OR(E2190="",E2190="!!!",F2190="NEW"),"",INDEX(J$1:J2189,SUMPRODUCT(MAX(ROW(E$1:E2189)*(E2190=E$1:E2189)))))</f>
        <v> </v>
      </c>
      <c r="L2190" s="27"/>
    </row>
    <row r="2191" spans="1:12">
      <c r="A2191" s="20" t="s">
        <v>1435</v>
      </c>
      <c r="B2191" s="21" t="s">
        <v>444</v>
      </c>
      <c r="C2191" s="21" t="s">
        <v>435</v>
      </c>
      <c r="D2191" s="21" t="s">
        <v>424</v>
      </c>
      <c r="E2191" s="22">
        <f>IF(D2191="?OLD","!!!","")</f>
        <v/>
      </c>
      <c r="F2191" s="23" t="str">
        <f>IF(OR(E2191="",E2191="!!!"),"",IF(NOT(ISNA(VLOOKUP(E2191,E$1:E2190,1,FALSE()))),"OLD",IF(AND(E2191&lt;&gt;"",E2191&lt;&gt;"!!!"),"NEW","")))</f>
        <v> </v>
      </c>
      <c r="G2191" s="24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5" t="str">
        <f>IF(J2191&lt;&gt;1,"",IF(I2191="SBJ","CB","?"))</f>
        <v> </v>
      </c>
      <c r="I2191" s="26" t="str">
        <f>IF(OR(E2191="",E2191="!!!",F2191="NEW"),"",INDEX(B2190:B$2,-1+SUMPRODUCT(MAX(ROW(E2190:E$2)*(E2191=E2190:E$2)))))</f>
        <v> </v>
      </c>
      <c r="J2191" s="26" t="str">
        <f>IF(OR(E2191="",E2191="!!!",F2191="NEW"),"",COUNTBLANK(OFFSET(A$1,,,SUMPRODUCT(MAX(ROW(E$2:E2191)*(E2191=E$2:E2191)))))-COUNTBLANK(OFFSET(A$1,,,SUMPRODUCT(MAX(ROW(E$1:E2190)*(E2=E$1:E2190))))))</f>
        <v> </v>
      </c>
      <c r="K2191" s="26" t="str">
        <f>IF(OR(E2191="",E2191="!!!",F2191="NEW"),"",INDEX(J$1:J2190,SUMPRODUCT(MAX(ROW(E$1:E2190)*(E2191=E$1:E2190)))))</f>
        <v> </v>
      </c>
      <c r="L2191" s="27"/>
    </row>
    <row r="2192" spans="1:12">
      <c r="A2192" s="20" t="s">
        <v>506</v>
      </c>
      <c r="E2192" s="22">
        <f>IF(D2192="?OLD","!!!","")</f>
        <v/>
      </c>
      <c r="F2192" s="23" t="str">
        <f>IF(OR(E2192="",E2192="!!!"),"",IF(NOT(ISNA(VLOOKUP(E2192,E$1:E2191,1,FALSE()))),"OLD",IF(AND(E2192&lt;&gt;"",E2192&lt;&gt;"!!!"),"NEW","")))</f>
        <v> </v>
      </c>
      <c r="G2192" s="24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5" t="str">
        <f>IF(J2192&lt;&gt;1,"",IF(I2192="SBJ","CB","?"))</f>
        <v> </v>
      </c>
      <c r="I2192" s="26" t="str">
        <f>IF(OR(E2192="",E2192="!!!",F2192="NEW"),"",INDEX(B2191:B$2,-1+SUMPRODUCT(MAX(ROW(E2191:E$2)*(E2192=E2191:E$2)))))</f>
        <v> </v>
      </c>
      <c r="J2192" s="26" t="str">
        <f>IF(OR(E2192="",E2192="!!!",F2192="NEW"),"",COUNTBLANK(OFFSET(A$1,,,SUMPRODUCT(MAX(ROW(E$2:E2192)*(E2192=E$2:E2192)))))-COUNTBLANK(OFFSET(A$1,,,SUMPRODUCT(MAX(ROW(E$1:E2191)*(E2=E$1:E2191))))))</f>
        <v> </v>
      </c>
      <c r="K2192" s="26" t="str">
        <f>IF(OR(E2192="",E2192="!!!",F2192="NEW"),"",INDEX(J$1:J2191,SUMPRODUCT(MAX(ROW(E$1:E2191)*(E2192=E$1:E2191)))))</f>
        <v> </v>
      </c>
      <c r="L2192" s="27"/>
    </row>
    <row r="2193" spans="1:12">
      <c r="A2193" s="20" t="s">
        <v>730</v>
      </c>
      <c r="B2193" s="21" t="s">
        <v>434</v>
      </c>
      <c r="C2193" s="21" t="s">
        <v>477</v>
      </c>
      <c r="D2193" s="21" t="s">
        <v>424</v>
      </c>
      <c r="E2193" s="22">
        <f>IF(D2193="?OLD","!!!","")</f>
        <v/>
      </c>
      <c r="F2193" s="23" t="str">
        <f>IF(OR(E2193="",E2193="!!!"),"",IF(NOT(ISNA(VLOOKUP(E2193,E$1:E2192,1,FALSE()))),"OLD",IF(AND(E2193&lt;&gt;"",E2193&lt;&gt;"!!!"),"NEW","")))</f>
        <v> </v>
      </c>
      <c r="G2193" s="24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5" t="str">
        <f>IF(J2193&lt;&gt;1,"",IF(I2193="SBJ","CB","?"))</f>
        <v> </v>
      </c>
      <c r="I2193" s="26" t="str">
        <f>IF(OR(E2193="",E2193="!!!",F2193="NEW"),"",INDEX(B2192:B$2,-1+SUMPRODUCT(MAX(ROW(E2192:E$2)*(E2193=E2192:E$2)))))</f>
        <v> </v>
      </c>
      <c r="J2193" s="26" t="str">
        <f>IF(OR(E2193="",E2193="!!!",F2193="NEW"),"",COUNTBLANK(OFFSET(A$1,,,SUMPRODUCT(MAX(ROW(E$2:E2193)*(E2193=E$2:E2193)))))-COUNTBLANK(OFFSET(A$1,,,SUMPRODUCT(MAX(ROW(E$1:E2192)*(E2=E$1:E2192))))))</f>
        <v> </v>
      </c>
      <c r="K2193" s="26" t="str">
        <f>IF(OR(E2193="",E2193="!!!",F2193="NEW"),"",INDEX(J$1:J2192,SUMPRODUCT(MAX(ROW(E$1:E2192)*(E2193=E$1:E2192)))))</f>
        <v> </v>
      </c>
      <c r="L2193" s="27"/>
    </row>
    <row r="2194" spans="1:12">
      <c r="A2194" s="20" t="s">
        <v>453</v>
      </c>
      <c r="E2194" s="22">
        <f>IF(D2194="?OLD","!!!","")</f>
        <v/>
      </c>
      <c r="F2194" s="23" t="str">
        <f>IF(OR(E2194="",E2194="!!!"),"",IF(NOT(ISNA(VLOOKUP(E2194,E$1:E2193,1,FALSE()))),"OLD",IF(AND(E2194&lt;&gt;"",E2194&lt;&gt;"!!!"),"NEW","")))</f>
        <v> </v>
      </c>
      <c r="G2194" s="24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5" t="str">
        <f>IF(J2194&lt;&gt;1,"",IF(I2194="SBJ","CB","?"))</f>
        <v> </v>
      </c>
      <c r="I2194" s="26" t="str">
        <f>IF(OR(E2194="",E2194="!!!",F2194="NEW"),"",INDEX(B2193:B$2,-1+SUMPRODUCT(MAX(ROW(E2193:E$2)*(E2194=E2193:E$2)))))</f>
        <v> </v>
      </c>
      <c r="J2194" s="26" t="str">
        <f>IF(OR(E2194="",E2194="!!!",F2194="NEW"),"",COUNTBLANK(OFFSET(A$1,,,SUMPRODUCT(MAX(ROW(E$2:E2194)*(E2194=E$2:E2194)))))-COUNTBLANK(OFFSET(A$1,,,SUMPRODUCT(MAX(ROW(E$1:E2193)*(E2=E$1:E2193))))))</f>
        <v> </v>
      </c>
      <c r="K2194" s="26" t="str">
        <f>IF(OR(E2194="",E2194="!!!",F2194="NEW"),"",INDEX(J$1:J2193,SUMPRODUCT(MAX(ROW(E$1:E2193)*(E2194=E$1:E2193)))))</f>
        <v> </v>
      </c>
      <c r="L2194" s="27"/>
    </row>
    <row r="2195" spans="1:12">
      <c r="A2195" s="20" t="s">
        <v>313</v>
      </c>
      <c r="E2195" s="22">
        <f>IF(D2195="?OLD","!!!","")</f>
        <v/>
      </c>
      <c r="F2195" s="23" t="str">
        <f>IF(OR(E2195="",E2195="!!!"),"",IF(NOT(ISNA(VLOOKUP(E2195,E$1:E2194,1,FALSE()))),"OLD",IF(AND(E2195&lt;&gt;"",E2195&lt;&gt;"!!!"),"NEW","")))</f>
        <v> </v>
      </c>
      <c r="G2195" s="24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5" t="str">
        <f>IF(J2195&lt;&gt;1,"",IF(I2195="SBJ","CB","?"))</f>
        <v> </v>
      </c>
      <c r="I2195" s="26" t="str">
        <f>IF(OR(E2195="",E2195="!!!",F2195="NEW"),"",INDEX(B2194:B$2,-1+SUMPRODUCT(MAX(ROW(E2194:E$2)*(E2195=E2194:E$2)))))</f>
        <v> </v>
      </c>
      <c r="J2195" s="26" t="str">
        <f>IF(OR(E2195="",E2195="!!!",F2195="NEW"),"",COUNTBLANK(OFFSET(A$1,,,SUMPRODUCT(MAX(ROW(E$2:E2195)*(E2195=E$2:E2195)))))-COUNTBLANK(OFFSET(A$1,,,SUMPRODUCT(MAX(ROW(E$1:E2194)*(E2=E$1:E2194))))))</f>
        <v> </v>
      </c>
      <c r="K2195" s="26" t="str">
        <f>IF(OR(E2195="",E2195="!!!",F2195="NEW"),"",INDEX(J$1:J2194,SUMPRODUCT(MAX(ROW(E$1:E2194)*(E2195=E$1:E2194)))))</f>
        <v> </v>
      </c>
      <c r="L2195" s="27"/>
    </row>
    <row r="2196" spans="1:12">
      <c r="A2196" s="20" t="s">
        <v>492</v>
      </c>
      <c r="B2196" s="21" t="s">
        <v>476</v>
      </c>
      <c r="C2196" s="21" t="s">
        <v>423</v>
      </c>
      <c r="D2196" s="21" t="s">
        <v>424</v>
      </c>
      <c r="E2196" s="22">
        <f>IF(D2196="?OLD","!!!","")</f>
        <v/>
      </c>
      <c r="F2196" s="23" t="str">
        <f>IF(OR(E2196="",E2196="!!!"),"",IF(NOT(ISNA(VLOOKUP(E2196,E$1:E2195,1,FALSE()))),"OLD",IF(AND(E2196&lt;&gt;"",E2196&lt;&gt;"!!!"),"NEW","")))</f>
        <v> </v>
      </c>
      <c r="G2196" s="24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5" t="str">
        <f>IF(J2196&lt;&gt;1,"",IF(I2196="SBJ","CB","?"))</f>
        <v> </v>
      </c>
      <c r="I2196" s="26" t="str">
        <f>IF(OR(E2196="",E2196="!!!",F2196="NEW"),"",INDEX(B2195:B$2,-1+SUMPRODUCT(MAX(ROW(E2195:E$2)*(E2196=E2195:E$2)))))</f>
        <v> </v>
      </c>
      <c r="J2196" s="26" t="str">
        <f>IF(OR(E2196="",E2196="!!!",F2196="NEW"),"",COUNTBLANK(OFFSET(A$1,,,SUMPRODUCT(MAX(ROW(E$2:E2196)*(E2196=E$2:E2196)))))-COUNTBLANK(OFFSET(A$1,,,SUMPRODUCT(MAX(ROW(E$1:E2195)*(E2=E$1:E2195))))))</f>
        <v> </v>
      </c>
      <c r="K2196" s="26" t="str">
        <f>IF(OR(E2196="",E2196="!!!",F2196="NEW"),"",INDEX(J$1:J2195,SUMPRODUCT(MAX(ROW(E$1:E2195)*(E2196=E$1:E2195)))))</f>
        <v> </v>
      </c>
      <c r="L2196" s="27"/>
    </row>
    <row r="2197" spans="1:12">
      <c r="A2197" s="20" t="s">
        <v>1333</v>
      </c>
      <c r="E2197" s="22">
        <f>IF(D2197="?OLD","!!!","")</f>
        <v/>
      </c>
      <c r="F2197" s="23" t="str">
        <f>IF(OR(E2197="",E2197="!!!"),"",IF(NOT(ISNA(VLOOKUP(E2197,E$1:E2196,1,FALSE()))),"OLD",IF(AND(E2197&lt;&gt;"",E2197&lt;&gt;"!!!"),"NEW","")))</f>
        <v> </v>
      </c>
      <c r="G2197" s="24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5" t="str">
        <f>IF(J2197&lt;&gt;1,"",IF(I2197="SBJ","CB","?"))</f>
        <v> </v>
      </c>
      <c r="I2197" s="26" t="str">
        <f>IF(OR(E2197="",E2197="!!!",F2197="NEW"),"",INDEX(B2196:B$2,-1+SUMPRODUCT(MAX(ROW(E2196:E$2)*(E2197=E2196:E$2)))))</f>
        <v> </v>
      </c>
      <c r="J2197" s="26" t="str">
        <f>IF(OR(E2197="",E2197="!!!",F2197="NEW"),"",COUNTBLANK(OFFSET(A$1,,,SUMPRODUCT(MAX(ROW(E$2:E2197)*(E2197=E$2:E2197)))))-COUNTBLANK(OFFSET(A$1,,,SUMPRODUCT(MAX(ROW(E$1:E2196)*(E2=E$1:E2196))))))</f>
        <v> </v>
      </c>
      <c r="K2197" s="26" t="str">
        <f>IF(OR(E2197="",E2197="!!!",F2197="NEW"),"",INDEX(J$1:J2196,SUMPRODUCT(MAX(ROW(E$1:E2196)*(E2197=E$1:E2196)))))</f>
        <v> </v>
      </c>
      <c r="L2197" s="27"/>
    </row>
    <row r="2198" spans="1:12">
      <c r="A2198" s="20" t="s">
        <v>428</v>
      </c>
      <c r="E2198" s="22">
        <f>IF(D2198="?OLD","!!!","")</f>
        <v/>
      </c>
      <c r="F2198" s="23" t="str">
        <f>IF(OR(E2198="",E2198="!!!"),"",IF(NOT(ISNA(VLOOKUP(E2198,E$1:E2197,1,FALSE()))),"OLD",IF(AND(E2198&lt;&gt;"",E2198&lt;&gt;"!!!"),"NEW","")))</f>
        <v> </v>
      </c>
      <c r="G2198" s="24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5" t="str">
        <f>IF(J2198&lt;&gt;1,"",IF(I2198="SBJ","CB","?"))</f>
        <v> </v>
      </c>
      <c r="I2198" s="26" t="str">
        <f>IF(OR(E2198="",E2198="!!!",F2198="NEW"),"",INDEX(B2197:B$2,-1+SUMPRODUCT(MAX(ROW(E2197:E$2)*(E2198=E2197:E$2)))))</f>
        <v> </v>
      </c>
      <c r="J2198" s="26" t="str">
        <f>IF(OR(E2198="",E2198="!!!",F2198="NEW"),"",COUNTBLANK(OFFSET(A$1,,,SUMPRODUCT(MAX(ROW(E$2:E2198)*(E2198=E$2:E2198)))))-COUNTBLANK(OFFSET(A$1,,,SUMPRODUCT(MAX(ROW(E$1:E2197)*(E2=E$1:E2197))))))</f>
        <v> </v>
      </c>
      <c r="K2198" s="26" t="str">
        <f>IF(OR(E2198="",E2198="!!!",F2198="NEW"),"",INDEX(J$1:J2197,SUMPRODUCT(MAX(ROW(E$1:E2197)*(E2198=E$1:E2197)))))</f>
        <v> </v>
      </c>
      <c r="L2198" s="27"/>
    </row>
    <row r="2199" spans="1:12">
      <c r="A2199" s="20" t="s">
        <v>429</v>
      </c>
      <c r="E2199" s="22">
        <f>IF(D2199="?OLD","!!!","")</f>
        <v/>
      </c>
      <c r="F2199" s="23" t="str">
        <f>IF(OR(E2199="",E2199="!!!"),"",IF(NOT(ISNA(VLOOKUP(E2199,E$1:E2198,1,FALSE()))),"OLD",IF(AND(E2199&lt;&gt;"",E2199&lt;&gt;"!!!"),"NEW","")))</f>
        <v> </v>
      </c>
      <c r="G2199" s="24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5" t="str">
        <f>IF(J2199&lt;&gt;1,"",IF(I2199="SBJ","CB","?"))</f>
        <v> </v>
      </c>
      <c r="I2199" s="26" t="str">
        <f>IF(OR(E2199="",E2199="!!!",F2199="NEW"),"",INDEX(B2198:B$2,-1+SUMPRODUCT(MAX(ROW(E2198:E$2)*(E2199=E2198:E$2)))))</f>
        <v> </v>
      </c>
      <c r="J2199" s="26" t="str">
        <f>IF(OR(E2199="",E2199="!!!",F2199="NEW"),"",COUNTBLANK(OFFSET(A$1,,,SUMPRODUCT(MAX(ROW(E$2:E2199)*(E2199=E$2:E2199)))))-COUNTBLANK(OFFSET(A$1,,,SUMPRODUCT(MAX(ROW(E$1:E2198)*(E2=E$1:E2198))))))</f>
        <v> </v>
      </c>
      <c r="K2199" s="26" t="str">
        <f>IF(OR(E2199="",E2199="!!!",F2199="NEW"),"",INDEX(J$1:J2198,SUMPRODUCT(MAX(ROW(E$1:E2198)*(E2199=E$1:E2198)))))</f>
        <v> </v>
      </c>
      <c r="L2199" s="27"/>
    </row>
    <row r="2200" spans="1:12">
      <c r="A2200" s="20" t="s">
        <v>438</v>
      </c>
      <c r="E2200" s="22">
        <f>IF(D2200="?OLD","!!!","")</f>
        <v/>
      </c>
      <c r="F2200" s="23" t="str">
        <f>IF(OR(E2200="",E2200="!!!"),"",IF(NOT(ISNA(VLOOKUP(E2200,E$1:E2199,1,FALSE()))),"OLD",IF(AND(E2200&lt;&gt;"",E2200&lt;&gt;"!!!"),"NEW","")))</f>
        <v> </v>
      </c>
      <c r="G2200" s="24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5" t="str">
        <f>IF(J2200&lt;&gt;1,"",IF(I2200="SBJ","CB","?"))</f>
        <v> </v>
      </c>
      <c r="I2200" s="26" t="str">
        <f>IF(OR(E2200="",E2200="!!!",F2200="NEW"),"",INDEX(B2199:B$2,-1+SUMPRODUCT(MAX(ROW(E2199:E$2)*(E2200=E2199:E$2)))))</f>
        <v> </v>
      </c>
      <c r="J2200" s="26" t="str">
        <f>IF(OR(E2200="",E2200="!!!",F2200="NEW"),"",COUNTBLANK(OFFSET(A$1,,,SUMPRODUCT(MAX(ROW(E$2:E2200)*(E2200=E$2:E2200)))))-COUNTBLANK(OFFSET(A$1,,,SUMPRODUCT(MAX(ROW(E$1:E2199)*(E2=E$1:E2199))))))</f>
        <v> </v>
      </c>
      <c r="K2200" s="26" t="str">
        <f>IF(OR(E2200="",E2200="!!!",F2200="NEW"),"",INDEX(J$1:J2199,SUMPRODUCT(MAX(ROW(E$1:E2199)*(E2200=E$1:E2199)))))</f>
        <v> </v>
      </c>
      <c r="L2200" s="27"/>
    </row>
    <row r="2201" spans="1:12">
      <c r="A2201" s="20"/>
    </row>
    <row r="2202" spans="1:12">
      <c r="A2202" s="20" t="s">
        <v>1436</v>
      </c>
    </row>
    <row r="2203" spans="1:12">
      <c r="A2203" s="20" t="s">
        <v>755</v>
      </c>
      <c r="B2203" s="21" t="s">
        <v>422</v>
      </c>
      <c r="C2203" s="21" t="s">
        <v>477</v>
      </c>
      <c r="D2203" s="21" t="s">
        <v>424</v>
      </c>
      <c r="E2203" s="22">
        <f>IF(D2203="?OLD","!!!","")</f>
        <v/>
      </c>
      <c r="F2203" s="23" t="str">
        <f>IF(OR(E2203="",E2203="!!!"),"",IF(NOT(ISNA(VLOOKUP(E2203,E$1:E2202,1,FALSE()))),"OLD",IF(AND(E2203&lt;&gt;"",E2203&lt;&gt;"!!!"),"NEW","")))</f>
        <v> </v>
      </c>
      <c r="G2203" s="24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5" t="str">
        <f>IF(J2203&lt;&gt;1,"",IF(I2203="SBJ","CB","?"))</f>
        <v> </v>
      </c>
      <c r="I2203" s="26" t="str">
        <f>IF(OR(E2203="",E2203="!!!",F2203="NEW"),"",INDEX(B2202:B$2,-1+SUMPRODUCT(MAX(ROW(E2202:E$2)*(E2203=E2202:E$2)))))</f>
        <v> </v>
      </c>
      <c r="J2203" s="26" t="str">
        <f>IF(OR(E2203="",E2203="!!!",F2203="NEW"),"",COUNTBLANK(OFFSET(A$1,,,SUMPRODUCT(MAX(ROW(E$2:E2203)*(E2203=E$2:E2203)))))-COUNTBLANK(OFFSET(A$1,,,SUMPRODUCT(MAX(ROW(E$1:E2202)*(E2=E$1:E2202))))))</f>
        <v> </v>
      </c>
      <c r="K2203" s="26" t="str">
        <f>IF(OR(E2203="",E2203="!!!",F2203="NEW"),"",INDEX(J$1:J2202,SUMPRODUCT(MAX(ROW(E$1:E2202)*(E2203=E$1:E2202)))))</f>
        <v> </v>
      </c>
      <c r="L2203" s="27"/>
    </row>
    <row r="2204" spans="1:12">
      <c r="A2204" s="20" t="s">
        <v>1075</v>
      </c>
      <c r="E2204" s="22">
        <f>IF(D2204="?OLD","!!!","")</f>
        <v/>
      </c>
      <c r="F2204" s="23" t="str">
        <f>IF(OR(E2204="",E2204="!!!"),"",IF(NOT(ISNA(VLOOKUP(E2204,E$1:E2203,1,FALSE()))),"OLD",IF(AND(E2204&lt;&gt;"",E2204&lt;&gt;"!!!"),"NEW","")))</f>
        <v> </v>
      </c>
      <c r="G2204" s="24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5" t="str">
        <f>IF(J2204&lt;&gt;1,"",IF(I2204="SBJ","CB","?"))</f>
        <v> </v>
      </c>
      <c r="I2204" s="26" t="str">
        <f>IF(OR(E2204="",E2204="!!!",F2204="NEW"),"",INDEX(B2203:B$2,-1+SUMPRODUCT(MAX(ROW(E2203:E$2)*(E2204=E2203:E$2)))))</f>
        <v> </v>
      </c>
      <c r="J2204" s="26" t="str">
        <f>IF(OR(E2204="",E2204="!!!",F2204="NEW"),"",COUNTBLANK(OFFSET(A$1,,,SUMPRODUCT(MAX(ROW(E$2:E2204)*(E2204=E$2:E2204)))))-COUNTBLANK(OFFSET(A$1,,,SUMPRODUCT(MAX(ROW(E$1:E2203)*(E2=E$1:E2203))))))</f>
        <v> </v>
      </c>
      <c r="K2204" s="26" t="str">
        <f>IF(OR(E2204="",E2204="!!!",F2204="NEW"),"",INDEX(J$1:J2203,SUMPRODUCT(MAX(ROW(E$1:E2203)*(E2204=E$1:E2203)))))</f>
        <v> </v>
      </c>
      <c r="L2204" s="27"/>
    </row>
    <row r="2205" spans="1:12">
      <c r="A2205" s="20" t="s">
        <v>453</v>
      </c>
      <c r="E2205" s="22">
        <f>IF(D2205="?OLD","!!!","")</f>
        <v/>
      </c>
      <c r="F2205" s="23" t="str">
        <f>IF(OR(E2205="",E2205="!!!"),"",IF(NOT(ISNA(VLOOKUP(E2205,E$1:E2204,1,FALSE()))),"OLD",IF(AND(E2205&lt;&gt;"",E2205&lt;&gt;"!!!"),"NEW","")))</f>
        <v> </v>
      </c>
      <c r="G2205" s="24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5" t="str">
        <f>IF(J2205&lt;&gt;1,"",IF(I2205="SBJ","CB","?"))</f>
        <v> </v>
      </c>
      <c r="I2205" s="26" t="str">
        <f>IF(OR(E2205="",E2205="!!!",F2205="NEW"),"",INDEX(B2204:B$2,-1+SUMPRODUCT(MAX(ROW(E2204:E$2)*(E2205=E2204:E$2)))))</f>
        <v> </v>
      </c>
      <c r="J2205" s="26" t="str">
        <f>IF(OR(E2205="",E2205="!!!",F2205="NEW"),"",COUNTBLANK(OFFSET(A$1,,,SUMPRODUCT(MAX(ROW(E$2:E2205)*(E2205=E$2:E2205)))))-COUNTBLANK(OFFSET(A$1,,,SUMPRODUCT(MAX(ROW(E$1:E2204)*(E2=E$1:E2204))))))</f>
        <v> </v>
      </c>
      <c r="K2205" s="26" t="str">
        <f>IF(OR(E2205="",E2205="!!!",F2205="NEW"),"",INDEX(J$1:J2204,SUMPRODUCT(MAX(ROW(E$1:E2204)*(E2205=E$1:E2204)))))</f>
        <v> </v>
      </c>
      <c r="L2205" s="27"/>
    </row>
    <row r="2206" spans="1:12">
      <c r="A2206" s="20" t="s">
        <v>660</v>
      </c>
      <c r="E2206" s="22">
        <f>IF(D2206="?OLD","!!!","")</f>
        <v/>
      </c>
      <c r="F2206" s="23" t="str">
        <f>IF(OR(E2206="",E2206="!!!"),"",IF(NOT(ISNA(VLOOKUP(E2206,E$1:E2205,1,FALSE()))),"OLD",IF(AND(E2206&lt;&gt;"",E2206&lt;&gt;"!!!"),"NEW","")))</f>
        <v> </v>
      </c>
      <c r="G2206" s="24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5" t="str">
        <f>IF(J2206&lt;&gt;1,"",IF(I2206="SBJ","CB","?"))</f>
        <v> </v>
      </c>
      <c r="I2206" s="26" t="str">
        <f>IF(OR(E2206="",E2206="!!!",F2206="NEW"),"",INDEX(B2205:B$2,-1+SUMPRODUCT(MAX(ROW(E2205:E$2)*(E2206=E2205:E$2)))))</f>
        <v> </v>
      </c>
      <c r="J2206" s="26" t="str">
        <f>IF(OR(E2206="",E2206="!!!",F2206="NEW"),"",COUNTBLANK(OFFSET(A$1,,,SUMPRODUCT(MAX(ROW(E$2:E2206)*(E2206=E$2:E2206)))))-COUNTBLANK(OFFSET(A$1,,,SUMPRODUCT(MAX(ROW(E$1:E2205)*(E2=E$1:E2205))))))</f>
        <v> </v>
      </c>
      <c r="K2206" s="26" t="str">
        <f>IF(OR(E2206="",E2206="!!!",F2206="NEW"),"",INDEX(J$1:J2205,SUMPRODUCT(MAX(ROW(E$1:E2205)*(E2206=E$1:E2205)))))</f>
        <v> </v>
      </c>
      <c r="L2206" s="27"/>
    </row>
    <row r="2207" spans="1:12">
      <c r="A2207" s="20" t="s">
        <v>453</v>
      </c>
      <c r="E2207" s="22">
        <f>IF(D2207="?OLD","!!!","")</f>
        <v/>
      </c>
      <c r="F2207" s="23" t="str">
        <f>IF(OR(E2207="",E2207="!!!"),"",IF(NOT(ISNA(VLOOKUP(E2207,E$1:E2206,1,FALSE()))),"OLD",IF(AND(E2207&lt;&gt;"",E2207&lt;&gt;"!!!"),"NEW","")))</f>
        <v> </v>
      </c>
      <c r="G2207" s="24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5" t="str">
        <f>IF(J2207&lt;&gt;1,"",IF(I2207="SBJ","CB","?"))</f>
        <v> </v>
      </c>
      <c r="I2207" s="26" t="str">
        <f>IF(OR(E2207="",E2207="!!!",F2207="NEW"),"",INDEX(B2206:B$2,-1+SUMPRODUCT(MAX(ROW(E2206:E$2)*(E2207=E2206:E$2)))))</f>
        <v> </v>
      </c>
      <c r="J2207" s="26" t="str">
        <f>IF(OR(E2207="",E2207="!!!",F2207="NEW"),"",COUNTBLANK(OFFSET(A$1,,,SUMPRODUCT(MAX(ROW(E$2:E2207)*(E2207=E$2:E2207)))))-COUNTBLANK(OFFSET(A$1,,,SUMPRODUCT(MAX(ROW(E$1:E2206)*(E2=E$1:E2206))))))</f>
        <v> </v>
      </c>
      <c r="K2207" s="26" t="str">
        <f>IF(OR(E2207="",E2207="!!!",F2207="NEW"),"",INDEX(J$1:J2206,SUMPRODUCT(MAX(ROW(E$1:E2206)*(E2207=E$1:E2206)))))</f>
        <v> </v>
      </c>
      <c r="L2207" s="27"/>
    </row>
    <row r="2208" spans="1:12">
      <c r="A2208" s="20" t="s">
        <v>459</v>
      </c>
      <c r="E2208" s="22">
        <f>IF(D2208="?OLD","!!!","")</f>
        <v/>
      </c>
      <c r="F2208" s="23" t="str">
        <f>IF(OR(E2208="",E2208="!!!"),"",IF(NOT(ISNA(VLOOKUP(E2208,E$1:E2207,1,FALSE()))),"OLD",IF(AND(E2208&lt;&gt;"",E2208&lt;&gt;"!!!"),"NEW","")))</f>
        <v> </v>
      </c>
      <c r="G2208" s="24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5" t="str">
        <f>IF(J2208&lt;&gt;1,"",IF(I2208="SBJ","CB","?"))</f>
        <v> </v>
      </c>
      <c r="I2208" s="26" t="str">
        <f>IF(OR(E2208="",E2208="!!!",F2208="NEW"),"",INDEX(B2207:B$2,-1+SUMPRODUCT(MAX(ROW(E2207:E$2)*(E2208=E2207:E$2)))))</f>
        <v> </v>
      </c>
      <c r="J2208" s="26" t="str">
        <f>IF(OR(E2208="",E2208="!!!",F2208="NEW"),"",COUNTBLANK(OFFSET(A$1,,,SUMPRODUCT(MAX(ROW(E$2:E2208)*(E2208=E$2:E2208)))))-COUNTBLANK(OFFSET(A$1,,,SUMPRODUCT(MAX(ROW(E$1:E2207)*(E2=E$1:E2207))))))</f>
        <v> </v>
      </c>
      <c r="K2208" s="26" t="str">
        <f>IF(OR(E2208="",E2208="!!!",F2208="NEW"),"",INDEX(J$1:J2207,SUMPRODUCT(MAX(ROW(E$1:E2207)*(E2208=E$1:E2207)))))</f>
        <v> </v>
      </c>
      <c r="L2208" s="27"/>
    </row>
    <row r="2209" spans="1:12">
      <c r="A2209" s="20" t="s">
        <v>492</v>
      </c>
      <c r="B2209" s="21" t="s">
        <v>556</v>
      </c>
      <c r="C2209" s="21" t="s">
        <v>423</v>
      </c>
      <c r="D2209" s="21" t="s">
        <v>424</v>
      </c>
      <c r="E2209" s="22">
        <f>IF(D2209="?OLD","!!!","")</f>
        <v/>
      </c>
      <c r="F2209" s="23" t="str">
        <f>IF(OR(E2209="",E2209="!!!"),"",IF(NOT(ISNA(VLOOKUP(E2209,E$1:E2208,1,FALSE()))),"OLD",IF(AND(E2209&lt;&gt;"",E2209&lt;&gt;"!!!"),"NEW","")))</f>
        <v> </v>
      </c>
      <c r="G2209" s="24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5" t="str">
        <f>IF(J2209&lt;&gt;1,"",IF(I2209="SBJ","CB","?"))</f>
        <v> </v>
      </c>
      <c r="I2209" s="26" t="str">
        <f>IF(OR(E2209="",E2209="!!!",F2209="NEW"),"",INDEX(B2208:B$2,-1+SUMPRODUCT(MAX(ROW(E2208:E$2)*(E2209=E2208:E$2)))))</f>
        <v> </v>
      </c>
      <c r="J2209" s="26" t="str">
        <f>IF(OR(E2209="",E2209="!!!",F2209="NEW"),"",COUNTBLANK(OFFSET(A$1,,,SUMPRODUCT(MAX(ROW(E$2:E2209)*(E2209=E$2:E2209)))))-COUNTBLANK(OFFSET(A$1,,,SUMPRODUCT(MAX(ROW(E$1:E2208)*(E2=E$1:E2208))))))</f>
        <v> </v>
      </c>
      <c r="K2209" s="26" t="str">
        <f>IF(OR(E2209="",E2209="!!!",F2209="NEW"),"",INDEX(J$1:J2208,SUMPRODUCT(MAX(ROW(E$1:E2208)*(E2209=E$1:E2208)))))</f>
        <v> </v>
      </c>
      <c r="L2209" s="27"/>
    </row>
    <row r="2210" spans="1:12">
      <c r="A2210" s="20" t="s">
        <v>612</v>
      </c>
      <c r="E2210" s="22">
        <f>IF(D2210="?OLD","!!!","")</f>
        <v/>
      </c>
      <c r="F2210" s="23" t="str">
        <f>IF(OR(E2210="",E2210="!!!"),"",IF(NOT(ISNA(VLOOKUP(E2210,E$1:E2209,1,FALSE()))),"OLD",IF(AND(E2210&lt;&gt;"",E2210&lt;&gt;"!!!"),"NEW","")))</f>
        <v> </v>
      </c>
      <c r="G2210" s="24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5" t="str">
        <f>IF(J2210&lt;&gt;1,"",IF(I2210="SBJ","CB","?"))</f>
        <v> </v>
      </c>
      <c r="I2210" s="26" t="str">
        <f>IF(OR(E2210="",E2210="!!!",F2210="NEW"),"",INDEX(B2209:B$2,-1+SUMPRODUCT(MAX(ROW(E2209:E$2)*(E2210=E2209:E$2)))))</f>
        <v> </v>
      </c>
      <c r="J2210" s="26" t="str">
        <f>IF(OR(E2210="",E2210="!!!",F2210="NEW"),"",COUNTBLANK(OFFSET(A$1,,,SUMPRODUCT(MAX(ROW(E$2:E2210)*(E2210=E$2:E2210)))))-COUNTBLANK(OFFSET(A$1,,,SUMPRODUCT(MAX(ROW(E$1:E2209)*(E2=E$1:E2209))))))</f>
        <v> </v>
      </c>
      <c r="K2210" s="26" t="str">
        <f>IF(OR(E2210="",E2210="!!!",F2210="NEW"),"",INDEX(J$1:J2209,SUMPRODUCT(MAX(ROW(E$1:E2209)*(E2210=E$1:E2209)))))</f>
        <v> </v>
      </c>
      <c r="L2210" s="27"/>
    </row>
    <row r="2211" spans="1:12">
      <c r="A2211" s="20" t="s">
        <v>442</v>
      </c>
      <c r="E2211" s="22">
        <f>IF(D2211="?OLD","!!!","")</f>
        <v/>
      </c>
      <c r="F2211" s="23" t="str">
        <f>IF(OR(E2211="",E2211="!!!"),"",IF(NOT(ISNA(VLOOKUP(E2211,E$1:E2210,1,FALSE()))),"OLD",IF(AND(E2211&lt;&gt;"",E2211&lt;&gt;"!!!"),"NEW","")))</f>
        <v> </v>
      </c>
      <c r="G2211" s="24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5" t="str">
        <f>IF(J2211&lt;&gt;1,"",IF(I2211="SBJ","CB","?"))</f>
        <v> </v>
      </c>
      <c r="I2211" s="26" t="str">
        <f>IF(OR(E2211="",E2211="!!!",F2211="NEW"),"",INDEX(B2210:B$2,-1+SUMPRODUCT(MAX(ROW(E2210:E$2)*(E2211=E2210:E$2)))))</f>
        <v> </v>
      </c>
      <c r="J2211" s="26" t="str">
        <f>IF(OR(E2211="",E2211="!!!",F2211="NEW"),"",COUNTBLANK(OFFSET(A$1,,,SUMPRODUCT(MAX(ROW(E$2:E2211)*(E2211=E$2:E2211)))))-COUNTBLANK(OFFSET(A$1,,,SUMPRODUCT(MAX(ROW(E$1:E2210)*(E2=E$1:E2210))))))</f>
        <v> </v>
      </c>
      <c r="K2211" s="26" t="str">
        <f>IF(OR(E2211="",E2211="!!!",F2211="NEW"),"",INDEX(J$1:J2210,SUMPRODUCT(MAX(ROW(E$1:E2210)*(E2211=E$1:E2210)))))</f>
        <v> </v>
      </c>
      <c r="L2211" s="27"/>
    </row>
    <row r="2212" spans="1:12">
      <c r="A2212" s="20" t="s">
        <v>428</v>
      </c>
      <c r="E2212" s="22">
        <f>IF(D2212="?OLD","!!!","")</f>
        <v/>
      </c>
      <c r="F2212" s="23" t="str">
        <f>IF(OR(E2212="",E2212="!!!"),"",IF(NOT(ISNA(VLOOKUP(E2212,E$1:E2211,1,FALSE()))),"OLD",IF(AND(E2212&lt;&gt;"",E2212&lt;&gt;"!!!"),"NEW","")))</f>
        <v> </v>
      </c>
      <c r="G2212" s="24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5" t="str">
        <f>IF(J2212&lt;&gt;1,"",IF(I2212="SBJ","CB","?"))</f>
        <v> </v>
      </c>
      <c r="I2212" s="26" t="str">
        <f>IF(OR(E2212="",E2212="!!!",F2212="NEW"),"",INDEX(B2211:B$2,-1+SUMPRODUCT(MAX(ROW(E2211:E$2)*(E2212=E2211:E$2)))))</f>
        <v> </v>
      </c>
      <c r="J2212" s="26" t="str">
        <f>IF(OR(E2212="",E2212="!!!",F2212="NEW"),"",COUNTBLANK(OFFSET(A$1,,,SUMPRODUCT(MAX(ROW(E$2:E2212)*(E2212=E$2:E2212)))))-COUNTBLANK(OFFSET(A$1,,,SUMPRODUCT(MAX(ROW(E$1:E2211)*(E2=E$1:E2211))))))</f>
        <v> </v>
      </c>
      <c r="K2212" s="26" t="str">
        <f>IF(OR(E2212="",E2212="!!!",F2212="NEW"),"",INDEX(J$1:J2211,SUMPRODUCT(MAX(ROW(E$1:E2211)*(E2212=E$1:E2211)))))</f>
        <v> </v>
      </c>
      <c r="L2212" s="27"/>
    </row>
    <row r="2213" spans="1:12">
      <c r="A2213" s="20" t="s">
        <v>429</v>
      </c>
      <c r="E2213" s="22">
        <f>IF(D2213="?OLD","!!!","")</f>
        <v/>
      </c>
      <c r="F2213" s="23" t="str">
        <f>IF(OR(E2213="",E2213="!!!"),"",IF(NOT(ISNA(VLOOKUP(E2213,E$1:E2212,1,FALSE()))),"OLD",IF(AND(E2213&lt;&gt;"",E2213&lt;&gt;"!!!"),"NEW","")))</f>
        <v> </v>
      </c>
      <c r="G2213" s="24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5" t="str">
        <f>IF(J2213&lt;&gt;1,"",IF(I2213="SBJ","CB","?"))</f>
        <v> </v>
      </c>
      <c r="I2213" s="26" t="str">
        <f>IF(OR(E2213="",E2213="!!!",F2213="NEW"),"",INDEX(B2212:B$2,-1+SUMPRODUCT(MAX(ROW(E2212:E$2)*(E2213=E2212:E$2)))))</f>
        <v> </v>
      </c>
      <c r="J2213" s="26" t="str">
        <f>IF(OR(E2213="",E2213="!!!",F2213="NEW"),"",COUNTBLANK(OFFSET(A$1,,,SUMPRODUCT(MAX(ROW(E$2:E2213)*(E2213=E$2:E2213)))))-COUNTBLANK(OFFSET(A$1,,,SUMPRODUCT(MAX(ROW(E$1:E2212)*(E2=E$1:E2212))))))</f>
        <v> </v>
      </c>
      <c r="K2213" s="26" t="str">
        <f>IF(OR(E2213="",E2213="!!!",F2213="NEW"),"",INDEX(J$1:J2212,SUMPRODUCT(MAX(ROW(E$1:E2212)*(E2213=E$1:E2212)))))</f>
        <v> </v>
      </c>
      <c r="L2213" s="27"/>
    </row>
    <row r="2214" spans="1:12">
      <c r="A2214" s="20" t="s">
        <v>313</v>
      </c>
      <c r="E2214" s="22">
        <f>IF(D2214="?OLD","!!!","")</f>
        <v/>
      </c>
      <c r="F2214" s="23" t="str">
        <f>IF(OR(E2214="",E2214="!!!"),"",IF(NOT(ISNA(VLOOKUP(E2214,E$1:E2213,1,FALSE()))),"OLD",IF(AND(E2214&lt;&gt;"",E2214&lt;&gt;"!!!"),"NEW","")))</f>
        <v> </v>
      </c>
      <c r="G2214" s="24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5" t="str">
        <f>IF(J2214&lt;&gt;1,"",IF(I2214="SBJ","CB","?"))</f>
        <v> </v>
      </c>
      <c r="I2214" s="26" t="str">
        <f>IF(OR(E2214="",E2214="!!!",F2214="NEW"),"",INDEX(B2213:B$2,-1+SUMPRODUCT(MAX(ROW(E2213:E$2)*(E2214=E2213:E$2)))))</f>
        <v> </v>
      </c>
      <c r="J2214" s="26" t="str">
        <f>IF(OR(E2214="",E2214="!!!",F2214="NEW"),"",COUNTBLANK(OFFSET(A$1,,,SUMPRODUCT(MAX(ROW(E$2:E2214)*(E2214=E$2:E2214)))))-COUNTBLANK(OFFSET(A$1,,,SUMPRODUCT(MAX(ROW(E$1:E2213)*(E2=E$1:E2213))))))</f>
        <v> </v>
      </c>
      <c r="K2214" s="26" t="str">
        <f>IF(OR(E2214="",E2214="!!!",F2214="NEW"),"",INDEX(J$1:J2213,SUMPRODUCT(MAX(ROW(E$1:E2213)*(E2214=E$1:E2213)))))</f>
        <v> </v>
      </c>
      <c r="L2214" s="27"/>
    </row>
    <row r="2215" spans="1:12">
      <c r="A2215" s="20" t="s">
        <v>428</v>
      </c>
      <c r="E2215" s="22">
        <f>IF(D2215="?OLD","!!!","")</f>
        <v/>
      </c>
      <c r="F2215" s="23" t="str">
        <f>IF(OR(E2215="",E2215="!!!"),"",IF(NOT(ISNA(VLOOKUP(E2215,E$1:E2214,1,FALSE()))),"OLD",IF(AND(E2215&lt;&gt;"",E2215&lt;&gt;"!!!"),"NEW","")))</f>
        <v> </v>
      </c>
      <c r="G2215" s="24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5" t="str">
        <f>IF(J2215&lt;&gt;1,"",IF(I2215="SBJ","CB","?"))</f>
        <v> </v>
      </c>
      <c r="I2215" s="26" t="str">
        <f>IF(OR(E2215="",E2215="!!!",F2215="NEW"),"",INDEX(B2214:B$2,-1+SUMPRODUCT(MAX(ROW(E2214:E$2)*(E2215=E2214:E$2)))))</f>
        <v> </v>
      </c>
      <c r="J2215" s="26" t="str">
        <f>IF(OR(E2215="",E2215="!!!",F2215="NEW"),"",COUNTBLANK(OFFSET(A$1,,,SUMPRODUCT(MAX(ROW(E$2:E2215)*(E2215=E$2:E2215)))))-COUNTBLANK(OFFSET(A$1,,,SUMPRODUCT(MAX(ROW(E$1:E2214)*(E2=E$1:E2214))))))</f>
        <v> </v>
      </c>
      <c r="K2215" s="26" t="str">
        <f>IF(OR(E2215="",E2215="!!!",F2215="NEW"),"",INDEX(J$1:J2214,SUMPRODUCT(MAX(ROW(E$1:E2214)*(E2215=E$1:E2214)))))</f>
        <v> </v>
      </c>
      <c r="L2215" s="27"/>
    </row>
    <row r="2216" spans="1:12">
      <c r="A2216" s="20" t="s">
        <v>1437</v>
      </c>
      <c r="B2216" s="21" t="s">
        <v>432</v>
      </c>
      <c r="C2216" s="21" t="s">
        <v>435</v>
      </c>
      <c r="D2216" s="21" t="s">
        <v>424</v>
      </c>
      <c r="E2216" s="22">
        <f>IF(D2216="?OLD","!!!","")</f>
        <v/>
      </c>
      <c r="F2216" s="23" t="str">
        <f>IF(OR(E2216="",E2216="!!!"),"",IF(NOT(ISNA(VLOOKUP(E2216,E$1:E2215,1,FALSE()))),"OLD",IF(AND(E2216&lt;&gt;"",E2216&lt;&gt;"!!!"),"NEW","")))</f>
        <v> </v>
      </c>
      <c r="G2216" s="24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5" t="str">
        <f>IF(J2216&lt;&gt;1,"",IF(I2216="SBJ","CB","?"))</f>
        <v> </v>
      </c>
      <c r="I2216" s="26" t="str">
        <f>IF(OR(E2216="",E2216="!!!",F2216="NEW"),"",INDEX(B2215:B$2,-1+SUMPRODUCT(MAX(ROW(E2215:E$2)*(E2216=E2215:E$2)))))</f>
        <v> </v>
      </c>
      <c r="J2216" s="26" t="str">
        <f>IF(OR(E2216="",E2216="!!!",F2216="NEW"),"",COUNTBLANK(OFFSET(A$1,,,SUMPRODUCT(MAX(ROW(E$2:E2216)*(E2216=E$2:E2216)))))-COUNTBLANK(OFFSET(A$1,,,SUMPRODUCT(MAX(ROW(E$1:E2215)*(E2=E$1:E2215))))))</f>
        <v> </v>
      </c>
      <c r="K2216" s="26" t="str">
        <f>IF(OR(E2216="",E2216="!!!",F2216="NEW"),"",INDEX(J$1:J2215,SUMPRODUCT(MAX(ROW(E$1:E2215)*(E2216=E$1:E2215)))))</f>
        <v> </v>
      </c>
      <c r="L2216" s="27"/>
    </row>
    <row r="2217" spans="1:12">
      <c r="A2217" s="20" t="s">
        <v>624</v>
      </c>
      <c r="E2217" s="22">
        <f>IF(D2217="?OLD","!!!","")</f>
        <v/>
      </c>
      <c r="F2217" s="23" t="str">
        <f>IF(OR(E2217="",E2217="!!!"),"",IF(NOT(ISNA(VLOOKUP(E2217,E$1:E2216,1,FALSE()))),"OLD",IF(AND(E2217&lt;&gt;"",E2217&lt;&gt;"!!!"),"NEW","")))</f>
        <v> </v>
      </c>
      <c r="G2217" s="24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5" t="str">
        <f>IF(J2217&lt;&gt;1,"",IF(I2217="SBJ","CB","?"))</f>
        <v> </v>
      </c>
      <c r="I2217" s="26" t="str">
        <f>IF(OR(E2217="",E2217="!!!",F2217="NEW"),"",INDEX(B2216:B$2,-1+SUMPRODUCT(MAX(ROW(E2216:E$2)*(E2217=E2216:E$2)))))</f>
        <v> </v>
      </c>
      <c r="J2217" s="26" t="str">
        <f>IF(OR(E2217="",E2217="!!!",F2217="NEW"),"",COUNTBLANK(OFFSET(A$1,,,SUMPRODUCT(MAX(ROW(E$2:E2217)*(E2217=E$2:E2217)))))-COUNTBLANK(OFFSET(A$1,,,SUMPRODUCT(MAX(ROW(E$1:E2216)*(E2=E$1:E2216))))))</f>
        <v> </v>
      </c>
      <c r="K2217" s="26" t="str">
        <f>IF(OR(E2217="",E2217="!!!",F2217="NEW"),"",INDEX(J$1:J2216,SUMPRODUCT(MAX(ROW(E$1:E2216)*(E2217=E$1:E2216)))))</f>
        <v> </v>
      </c>
      <c r="L2217" s="27"/>
    </row>
    <row r="2218" spans="1:12">
      <c r="A2218" s="20" t="s">
        <v>964</v>
      </c>
      <c r="B2218" s="21" t="s">
        <v>489</v>
      </c>
      <c r="C2218" s="21" t="s">
        <v>471</v>
      </c>
      <c r="D2218" s="21" t="s">
        <v>424</v>
      </c>
      <c r="E2218" s="22">
        <f>IF(D2218="?OLD","!!!","")</f>
        <v/>
      </c>
      <c r="F2218" s="23" t="str">
        <f>IF(OR(E2218="",E2218="!!!"),"",IF(NOT(ISNA(VLOOKUP(E2218,E$1:E2217,1,FALSE()))),"OLD",IF(AND(E2218&lt;&gt;"",E2218&lt;&gt;"!!!"),"NEW","")))</f>
        <v> </v>
      </c>
      <c r="G2218" s="24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5" t="str">
        <f>IF(J2218&lt;&gt;1,"",IF(I2218="SBJ","CB","?"))</f>
        <v> </v>
      </c>
      <c r="I2218" s="26" t="str">
        <f>IF(OR(E2218="",E2218="!!!",F2218="NEW"),"",INDEX(B2217:B$2,-1+SUMPRODUCT(MAX(ROW(E2217:E$2)*(E2218=E2217:E$2)))))</f>
        <v> </v>
      </c>
      <c r="J2218" s="26" t="str">
        <f>IF(OR(E2218="",E2218="!!!",F2218="NEW"),"",COUNTBLANK(OFFSET(A$1,,,SUMPRODUCT(MAX(ROW(E$2:E2218)*(E2218=E$2:E2218)))))-COUNTBLANK(OFFSET(A$1,,,SUMPRODUCT(MAX(ROW(E$1:E2217)*(E2=E$1:E2217))))))</f>
        <v> </v>
      </c>
      <c r="K2218" s="26" t="str">
        <f>IF(OR(E2218="",E2218="!!!",F2218="NEW"),"",INDEX(J$1:J2217,SUMPRODUCT(MAX(ROW(E$1:E2217)*(E2218=E$1:E2217)))))</f>
        <v> </v>
      </c>
      <c r="L2218" s="27"/>
    </row>
    <row r="2219" spans="1:12">
      <c r="A2219" s="20" t="s">
        <v>1348</v>
      </c>
      <c r="E2219" s="22">
        <f>IF(D2219="?OLD","!!!","")</f>
        <v/>
      </c>
      <c r="F2219" s="23" t="str">
        <f>IF(OR(E2219="",E2219="!!!"),"",IF(NOT(ISNA(VLOOKUP(E2219,E$1:E2218,1,FALSE()))),"OLD",IF(AND(E2219&lt;&gt;"",E2219&lt;&gt;"!!!"),"NEW","")))</f>
        <v> </v>
      </c>
      <c r="G2219" s="24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5" t="str">
        <f>IF(J2219&lt;&gt;1,"",IF(I2219="SBJ","CB","?"))</f>
        <v> </v>
      </c>
      <c r="I2219" s="26" t="str">
        <f>IF(OR(E2219="",E2219="!!!",F2219="NEW"),"",INDEX(B2218:B$2,-1+SUMPRODUCT(MAX(ROW(E2218:E$2)*(E2219=E2218:E$2)))))</f>
        <v> </v>
      </c>
      <c r="J2219" s="26" t="str">
        <f>IF(OR(E2219="",E2219="!!!",F2219="NEW"),"",COUNTBLANK(OFFSET(A$1,,,SUMPRODUCT(MAX(ROW(E$2:E2219)*(E2219=E$2:E2219)))))-COUNTBLANK(OFFSET(A$1,,,SUMPRODUCT(MAX(ROW(E$1:E2218)*(E2=E$1:E2218))))))</f>
        <v> </v>
      </c>
      <c r="K2219" s="26" t="str">
        <f>IF(OR(E2219="",E2219="!!!",F2219="NEW"),"",INDEX(J$1:J2218,SUMPRODUCT(MAX(ROW(E$1:E2218)*(E2219=E$1:E2218)))))</f>
        <v> </v>
      </c>
      <c r="L2219" s="27"/>
    </row>
    <row r="2220" spans="1:12">
      <c r="A2220" s="20" t="s">
        <v>1347</v>
      </c>
      <c r="E2220" s="22">
        <f>IF(D2220="?OLD","!!!","")</f>
        <v/>
      </c>
      <c r="F2220" s="23" t="str">
        <f>IF(OR(E2220="",E2220="!!!"),"",IF(NOT(ISNA(VLOOKUP(E2220,E$1:E2219,1,FALSE()))),"OLD",IF(AND(E2220&lt;&gt;"",E2220&lt;&gt;"!!!"),"NEW","")))</f>
        <v> </v>
      </c>
      <c r="G2220" s="24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5" t="str">
        <f>IF(J2220&lt;&gt;1,"",IF(I2220="SBJ","CB","?"))</f>
        <v> </v>
      </c>
      <c r="I2220" s="26" t="str">
        <f>IF(OR(E2220="",E2220="!!!",F2220="NEW"),"",INDEX(B2219:B$2,-1+SUMPRODUCT(MAX(ROW(E2219:E$2)*(E2220=E2219:E$2)))))</f>
        <v> </v>
      </c>
      <c r="J2220" s="26" t="str">
        <f>IF(OR(E2220="",E2220="!!!",F2220="NEW"),"",COUNTBLANK(OFFSET(A$1,,,SUMPRODUCT(MAX(ROW(E$2:E2220)*(E2220=E$2:E2220)))))-COUNTBLANK(OFFSET(A$1,,,SUMPRODUCT(MAX(ROW(E$1:E2219)*(E2=E$1:E2219))))))</f>
        <v> </v>
      </c>
      <c r="K2220" s="26" t="str">
        <f>IF(OR(E2220="",E2220="!!!",F2220="NEW"),"",INDEX(J$1:J2219,SUMPRODUCT(MAX(ROW(E$1:E2219)*(E2220=E$1:E2219)))))</f>
        <v> </v>
      </c>
      <c r="L2220" s="27"/>
    </row>
    <row r="2221" spans="1:12">
      <c r="A2221" s="20" t="s">
        <v>453</v>
      </c>
      <c r="E2221" s="22">
        <f>IF(D2221="?OLD","!!!","")</f>
        <v/>
      </c>
      <c r="F2221" s="23" t="str">
        <f>IF(OR(E2221="",E2221="!!!"),"",IF(NOT(ISNA(VLOOKUP(E2221,E$1:E2220,1,FALSE()))),"OLD",IF(AND(E2221&lt;&gt;"",E2221&lt;&gt;"!!!"),"NEW","")))</f>
        <v> </v>
      </c>
      <c r="G2221" s="24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5" t="str">
        <f>IF(J2221&lt;&gt;1,"",IF(I2221="SBJ","CB","?"))</f>
        <v> </v>
      </c>
      <c r="I2221" s="26" t="str">
        <f>IF(OR(E2221="",E2221="!!!",F2221="NEW"),"",INDEX(B2220:B$2,-1+SUMPRODUCT(MAX(ROW(E2220:E$2)*(E2221=E2220:E$2)))))</f>
        <v> </v>
      </c>
      <c r="J2221" s="26" t="str">
        <f>IF(OR(E2221="",E2221="!!!",F2221="NEW"),"",COUNTBLANK(OFFSET(A$1,,,SUMPRODUCT(MAX(ROW(E$2:E2221)*(E2221=E$2:E2221)))))-COUNTBLANK(OFFSET(A$1,,,SUMPRODUCT(MAX(ROW(E$1:E2220)*(E2=E$1:E2220))))))</f>
        <v> </v>
      </c>
      <c r="K2221" s="26" t="str">
        <f>IF(OR(E2221="",E2221="!!!",F2221="NEW"),"",INDEX(J$1:J2220,SUMPRODUCT(MAX(ROW(E$1:E2220)*(E2221=E$1:E2220)))))</f>
        <v> </v>
      </c>
      <c r="L2221" s="27"/>
    </row>
    <row r="2222" spans="1:12">
      <c r="A2222" s="20" t="s">
        <v>1415</v>
      </c>
      <c r="E2222" s="22">
        <f>IF(D2222="?OLD","!!!","")</f>
        <v/>
      </c>
      <c r="F2222" s="23" t="str">
        <f>IF(OR(E2222="",E2222="!!!"),"",IF(NOT(ISNA(VLOOKUP(E2222,E$1:E2221,1,FALSE()))),"OLD",IF(AND(E2222&lt;&gt;"",E2222&lt;&gt;"!!!"),"NEW","")))</f>
        <v> </v>
      </c>
      <c r="G2222" s="24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5" t="str">
        <f>IF(J2222&lt;&gt;1,"",IF(I2222="SBJ","CB","?"))</f>
        <v> </v>
      </c>
      <c r="I2222" s="26" t="str">
        <f>IF(OR(E2222="",E2222="!!!",F2222="NEW"),"",INDEX(B2221:B$2,-1+SUMPRODUCT(MAX(ROW(E2221:E$2)*(E2222=E2221:E$2)))))</f>
        <v> </v>
      </c>
      <c r="J2222" s="26" t="str">
        <f>IF(OR(E2222="",E2222="!!!",F2222="NEW"),"",COUNTBLANK(OFFSET(A$1,,,SUMPRODUCT(MAX(ROW(E$2:E2222)*(E2222=E$2:E2222)))))-COUNTBLANK(OFFSET(A$1,,,SUMPRODUCT(MAX(ROW(E$1:E2221)*(E2=E$1:E2221))))))</f>
        <v> </v>
      </c>
      <c r="K2222" s="26" t="str">
        <f>IF(OR(E2222="",E2222="!!!",F2222="NEW"),"",INDEX(J$1:J2221,SUMPRODUCT(MAX(ROW(E$1:E2221)*(E2222=E$1:E2221)))))</f>
        <v> </v>
      </c>
      <c r="L2222" s="27"/>
    </row>
    <row r="2223" spans="1:12">
      <c r="A2223" s="20" t="s">
        <v>585</v>
      </c>
      <c r="E2223" s="22">
        <f>IF(D2223="?OLD","!!!","")</f>
        <v/>
      </c>
      <c r="F2223" s="23" t="str">
        <f>IF(OR(E2223="",E2223="!!!"),"",IF(NOT(ISNA(VLOOKUP(E2223,E$1:E2222,1,FALSE()))),"OLD",IF(AND(E2223&lt;&gt;"",E2223&lt;&gt;"!!!"),"NEW","")))</f>
        <v> </v>
      </c>
      <c r="G2223" s="24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5" t="str">
        <f>IF(J2223&lt;&gt;1,"",IF(I2223="SBJ","CB","?"))</f>
        <v> </v>
      </c>
      <c r="I2223" s="26" t="str">
        <f>IF(OR(E2223="",E2223="!!!",F2223="NEW"),"",INDEX(B2222:B$2,-1+SUMPRODUCT(MAX(ROW(E2222:E$2)*(E2223=E2222:E$2)))))</f>
        <v> </v>
      </c>
      <c r="J2223" s="26" t="str">
        <f>IF(OR(E2223="",E2223="!!!",F2223="NEW"),"",COUNTBLANK(OFFSET(A$1,,,SUMPRODUCT(MAX(ROW(E$2:E2223)*(E2223=E$2:E2223)))))-COUNTBLANK(OFFSET(A$1,,,SUMPRODUCT(MAX(ROW(E$1:E2222)*(E2=E$1:E2222))))))</f>
        <v> </v>
      </c>
      <c r="K2223" s="26" t="str">
        <f>IF(OR(E2223="",E2223="!!!",F2223="NEW"),"",INDEX(J$1:J2222,SUMPRODUCT(MAX(ROW(E$1:E2222)*(E2223=E$1:E2222)))))</f>
        <v> </v>
      </c>
      <c r="L2223" s="27"/>
    </row>
    <row r="2224" spans="1:12">
      <c r="A2224" s="20" t="s">
        <v>1090</v>
      </c>
      <c r="B2224" s="21" t="s">
        <v>483</v>
      </c>
      <c r="C2224" s="21" t="s">
        <v>477</v>
      </c>
      <c r="E2224" s="22">
        <f>IF(D2224="?OLD","!!!","")</f>
        <v/>
      </c>
      <c r="F2224" s="23" t="str">
        <f>IF(OR(E2224="",E2224="!!!"),"",IF(NOT(ISNA(VLOOKUP(E2224,E$1:E2223,1,FALSE()))),"OLD",IF(AND(E2224&lt;&gt;"",E2224&lt;&gt;"!!!"),"NEW","")))</f>
        <v> </v>
      </c>
      <c r="G2224" s="24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5" t="str">
        <f>IF(J2224&lt;&gt;1,"",IF(I2224="SBJ","CB","?"))</f>
        <v> </v>
      </c>
      <c r="I2224" s="26" t="str">
        <f>IF(OR(E2224="",E2224="!!!",F2224="NEW"),"",INDEX(B2223:B$2,-1+SUMPRODUCT(MAX(ROW(E2223:E$2)*(E2224=E2223:E$2)))))</f>
        <v> </v>
      </c>
      <c r="J2224" s="26" t="str">
        <f>IF(OR(E2224="",E2224="!!!",F2224="NEW"),"",COUNTBLANK(OFFSET(A$1,,,SUMPRODUCT(MAX(ROW(E$2:E2224)*(E2224=E$2:E2224)))))-COUNTBLANK(OFFSET(A$1,,,SUMPRODUCT(MAX(ROW(E$1:E2223)*(E2=E$1:E2223))))))</f>
        <v> </v>
      </c>
      <c r="K2224" s="26" t="str">
        <f>IF(OR(E2224="",E2224="!!!",F2224="NEW"),"",INDEX(J$1:J2223,SUMPRODUCT(MAX(ROW(E$1:E2223)*(E2224=E$1:E2223)))))</f>
        <v> </v>
      </c>
      <c r="L2224" s="27"/>
    </row>
    <row r="2225" spans="1:12">
      <c r="A2225" s="20" t="s">
        <v>453</v>
      </c>
      <c r="E2225" s="22">
        <f>IF(D2225="?OLD","!!!","")</f>
        <v/>
      </c>
      <c r="F2225" s="23" t="str">
        <f>IF(OR(E2225="",E2225="!!!"),"",IF(NOT(ISNA(VLOOKUP(E2225,E$1:E2224,1,FALSE()))),"OLD",IF(AND(E2225&lt;&gt;"",E2225&lt;&gt;"!!!"),"NEW","")))</f>
        <v> </v>
      </c>
      <c r="G2225" s="24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5" t="str">
        <f>IF(J2225&lt;&gt;1,"",IF(I2225="SBJ","CB","?"))</f>
        <v> </v>
      </c>
      <c r="I2225" s="26" t="str">
        <f>IF(OR(E2225="",E2225="!!!",F2225="NEW"),"",INDEX(B2224:B$2,-1+SUMPRODUCT(MAX(ROW(E2224:E$2)*(E2225=E2224:E$2)))))</f>
        <v> </v>
      </c>
      <c r="J2225" s="26" t="str">
        <f>IF(OR(E2225="",E2225="!!!",F2225="NEW"),"",COUNTBLANK(OFFSET(A$1,,,SUMPRODUCT(MAX(ROW(E$2:E2225)*(E2225=E$2:E2225)))))-COUNTBLANK(OFFSET(A$1,,,SUMPRODUCT(MAX(ROW(E$1:E2224)*(E2=E$1:E2224))))))</f>
        <v> </v>
      </c>
      <c r="K2225" s="26" t="str">
        <f>IF(OR(E2225="",E2225="!!!",F2225="NEW"),"",INDEX(J$1:J2224,SUMPRODUCT(MAX(ROW(E$1:E2224)*(E2225=E$1:E2224)))))</f>
        <v> </v>
      </c>
      <c r="L2225" s="27"/>
    </row>
    <row r="2226" spans="1:12">
      <c r="A2226" s="20" t="s">
        <v>313</v>
      </c>
      <c r="E2226" s="22">
        <f>IF(D2226="?OLD","!!!","")</f>
        <v/>
      </c>
      <c r="F2226" s="23" t="str">
        <f>IF(OR(E2226="",E2226="!!!"),"",IF(NOT(ISNA(VLOOKUP(E2226,E$1:E2225,1,FALSE()))),"OLD",IF(AND(E2226&lt;&gt;"",E2226&lt;&gt;"!!!"),"NEW","")))</f>
        <v> </v>
      </c>
      <c r="G2226" s="24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5" t="str">
        <f>IF(J2226&lt;&gt;1,"",IF(I2226="SBJ","CB","?"))</f>
        <v> </v>
      </c>
      <c r="I2226" s="26" t="str">
        <f>IF(OR(E2226="",E2226="!!!",F2226="NEW"),"",INDEX(B2225:B$2,-1+SUMPRODUCT(MAX(ROW(E2225:E$2)*(E2226=E2225:E$2)))))</f>
        <v> </v>
      </c>
      <c r="J2226" s="26" t="str">
        <f>IF(OR(E2226="",E2226="!!!",F2226="NEW"),"",COUNTBLANK(OFFSET(A$1,,,SUMPRODUCT(MAX(ROW(E$2:E2226)*(E2226=E$2:E2226)))))-COUNTBLANK(OFFSET(A$1,,,SUMPRODUCT(MAX(ROW(E$1:E2225)*(E2=E$1:E2225))))))</f>
        <v> </v>
      </c>
      <c r="K2226" s="26" t="str">
        <f>IF(OR(E2226="",E2226="!!!",F2226="NEW"),"",INDEX(J$1:J2225,SUMPRODUCT(MAX(ROW(E$1:E2225)*(E2226=E$1:E2225)))))</f>
        <v> </v>
      </c>
      <c r="L2226" s="27"/>
    </row>
    <row r="2227" spans="1:12">
      <c r="A2227" s="20" t="s">
        <v>1438</v>
      </c>
      <c r="E2227" s="22">
        <f>IF(D2227="?OLD","!!!","")</f>
        <v/>
      </c>
      <c r="F2227" s="23" t="str">
        <f>IF(OR(E2227="",E2227="!!!"),"",IF(NOT(ISNA(VLOOKUP(E2227,E$1:E2226,1,FALSE()))),"OLD",IF(AND(E2227&lt;&gt;"",E2227&lt;&gt;"!!!"),"NEW","")))</f>
        <v> </v>
      </c>
      <c r="G2227" s="24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5" t="str">
        <f>IF(J2227&lt;&gt;1,"",IF(I2227="SBJ","CB","?"))</f>
        <v> </v>
      </c>
      <c r="I2227" s="26" t="str">
        <f>IF(OR(E2227="",E2227="!!!",F2227="NEW"),"",INDEX(B2226:B$2,-1+SUMPRODUCT(MAX(ROW(E2226:E$2)*(E2227=E2226:E$2)))))</f>
        <v> </v>
      </c>
      <c r="J2227" s="26" t="str">
        <f>IF(OR(E2227="",E2227="!!!",F2227="NEW"),"",COUNTBLANK(OFFSET(A$1,,,SUMPRODUCT(MAX(ROW(E$2:E2227)*(E2227=E$2:E2227)))))-COUNTBLANK(OFFSET(A$1,,,SUMPRODUCT(MAX(ROW(E$1:E2226)*(E2=E$1:E2226))))))</f>
        <v> </v>
      </c>
      <c r="K2227" s="26" t="str">
        <f>IF(OR(E2227="",E2227="!!!",F2227="NEW"),"",INDEX(J$1:J2226,SUMPRODUCT(MAX(ROW(E$1:E2226)*(E2227=E$1:E2226)))))</f>
        <v> </v>
      </c>
      <c r="L2227" s="27"/>
    </row>
    <row r="2228" spans="1:12">
      <c r="A2228" s="20" t="s">
        <v>553</v>
      </c>
      <c r="E2228" s="22">
        <f>IF(D2228="?OLD","!!!","")</f>
        <v/>
      </c>
      <c r="F2228" s="23" t="str">
        <f>IF(OR(E2228="",E2228="!!!"),"",IF(NOT(ISNA(VLOOKUP(E2228,E$1:E2227,1,FALSE()))),"OLD",IF(AND(E2228&lt;&gt;"",E2228&lt;&gt;"!!!"),"NEW","")))</f>
        <v> </v>
      </c>
      <c r="G2228" s="24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5" t="str">
        <f>IF(J2228&lt;&gt;1,"",IF(I2228="SBJ","CB","?"))</f>
        <v> </v>
      </c>
      <c r="I2228" s="26" t="str">
        <f>IF(OR(E2228="",E2228="!!!",F2228="NEW"),"",INDEX(B2227:B$2,-1+SUMPRODUCT(MAX(ROW(E2227:E$2)*(E2228=E2227:E$2)))))</f>
        <v> </v>
      </c>
      <c r="J2228" s="26" t="str">
        <f>IF(OR(E2228="",E2228="!!!",F2228="NEW"),"",COUNTBLANK(OFFSET(A$1,,,SUMPRODUCT(MAX(ROW(E$2:E2228)*(E2228=E$2:E2228)))))-COUNTBLANK(OFFSET(A$1,,,SUMPRODUCT(MAX(ROW(E$1:E2227)*(E2=E$1:E2227))))))</f>
        <v> </v>
      </c>
      <c r="K2228" s="26" t="str">
        <f>IF(OR(E2228="",E2228="!!!",F2228="NEW"),"",INDEX(J$1:J2227,SUMPRODUCT(MAX(ROW(E$1:E2227)*(E2228=E$1:E2227)))))</f>
        <v> </v>
      </c>
      <c r="L2228" s="27"/>
    </row>
    <row r="2229" spans="1:12">
      <c r="A2229" s="20" t="s">
        <v>430</v>
      </c>
      <c r="E2229" s="22">
        <f>IF(D2229="?OLD","!!!","")</f>
        <v/>
      </c>
      <c r="F2229" s="23" t="str">
        <f>IF(OR(E2229="",E2229="!!!"),"",IF(NOT(ISNA(VLOOKUP(E2229,E$1:E2228,1,FALSE()))),"OLD",IF(AND(E2229&lt;&gt;"",E2229&lt;&gt;"!!!"),"NEW","")))</f>
        <v> </v>
      </c>
      <c r="G2229" s="24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5" t="str">
        <f>IF(J2229&lt;&gt;1,"",IF(I2229="SBJ","CB","?"))</f>
        <v> </v>
      </c>
      <c r="I2229" s="26" t="str">
        <f>IF(OR(E2229="",E2229="!!!",F2229="NEW"),"",INDEX(B2228:B$2,-1+SUMPRODUCT(MAX(ROW(E2228:E$2)*(E2229=E2228:E$2)))))</f>
        <v> </v>
      </c>
      <c r="J2229" s="26" t="str">
        <f>IF(OR(E2229="",E2229="!!!",F2229="NEW"),"",COUNTBLANK(OFFSET(A$1,,,SUMPRODUCT(MAX(ROW(E$2:E2229)*(E2229=E$2:E2229)))))-COUNTBLANK(OFFSET(A$1,,,SUMPRODUCT(MAX(ROW(E$1:E2228)*(E2=E$1:E2228))))))</f>
        <v> </v>
      </c>
      <c r="K2229" s="26" t="str">
        <f>IF(OR(E2229="",E2229="!!!",F2229="NEW"),"",INDEX(J$1:J2228,SUMPRODUCT(MAX(ROW(E$1:E2228)*(E2229=E$1:E2228)))))</f>
        <v> </v>
      </c>
      <c r="L2229" s="27"/>
    </row>
    <row r="2230" spans="1:12">
      <c r="A2230" s="20" t="s">
        <v>790</v>
      </c>
      <c r="E2230" s="22">
        <f>IF(D2230="?OLD","!!!","")</f>
        <v/>
      </c>
      <c r="F2230" s="23" t="str">
        <f>IF(OR(E2230="",E2230="!!!"),"",IF(NOT(ISNA(VLOOKUP(E2230,E$1:E2229,1,FALSE()))),"OLD",IF(AND(E2230&lt;&gt;"",E2230&lt;&gt;"!!!"),"NEW","")))</f>
        <v> </v>
      </c>
      <c r="G2230" s="24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5" t="str">
        <f>IF(J2230&lt;&gt;1,"",IF(I2230="SBJ","CB","?"))</f>
        <v> </v>
      </c>
      <c r="I2230" s="26" t="str">
        <f>IF(OR(E2230="",E2230="!!!",F2230="NEW"),"",INDEX(B2229:B$2,-1+SUMPRODUCT(MAX(ROW(E2229:E$2)*(E2230=E2229:E$2)))))</f>
        <v> </v>
      </c>
      <c r="J2230" s="26" t="str">
        <f>IF(OR(E2230="",E2230="!!!",F2230="NEW"),"",COUNTBLANK(OFFSET(A$1,,,SUMPRODUCT(MAX(ROW(E$2:E2230)*(E2230=E$2:E2230)))))-COUNTBLANK(OFFSET(A$1,,,SUMPRODUCT(MAX(ROW(E$1:E2229)*(E2=E$1:E2229))))))</f>
        <v> </v>
      </c>
      <c r="K2230" s="26" t="str">
        <f>IF(OR(E2230="",E2230="!!!",F2230="NEW"),"",INDEX(J$1:J2229,SUMPRODUCT(MAX(ROW(E$1:E2229)*(E2230=E$1:E2229)))))</f>
        <v> </v>
      </c>
      <c r="L2230" s="27"/>
    </row>
    <row r="2231" spans="1:12">
      <c r="A2231" s="20" t="s">
        <v>1438</v>
      </c>
      <c r="E2231" s="22">
        <f>IF(D2231="?OLD","!!!","")</f>
        <v/>
      </c>
      <c r="F2231" s="23" t="str">
        <f>IF(OR(E2231="",E2231="!!!"),"",IF(NOT(ISNA(VLOOKUP(E2231,E$1:E2230,1,FALSE()))),"OLD",IF(AND(E2231&lt;&gt;"",E2231&lt;&gt;"!!!"),"NEW","")))</f>
        <v> </v>
      </c>
      <c r="G2231" s="24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5" t="str">
        <f>IF(J2231&lt;&gt;1,"",IF(I2231="SBJ","CB","?"))</f>
        <v> </v>
      </c>
      <c r="I2231" s="26" t="str">
        <f>IF(OR(E2231="",E2231="!!!",F2231="NEW"),"",INDEX(B2230:B$2,-1+SUMPRODUCT(MAX(ROW(E2230:E$2)*(E2231=E2230:E$2)))))</f>
        <v> </v>
      </c>
      <c r="J2231" s="26" t="str">
        <f>IF(OR(E2231="",E2231="!!!",F2231="NEW"),"",COUNTBLANK(OFFSET(A$1,,,SUMPRODUCT(MAX(ROW(E$2:E2231)*(E2231=E$2:E2231)))))-COUNTBLANK(OFFSET(A$1,,,SUMPRODUCT(MAX(ROW(E$1:E2230)*(E2=E$1:E2230))))))</f>
        <v> </v>
      </c>
      <c r="K2231" s="26" t="str">
        <f>IF(OR(E2231="",E2231="!!!",F2231="NEW"),"",INDEX(J$1:J2230,SUMPRODUCT(MAX(ROW(E$1:E2230)*(E2231=E$1:E2230)))))</f>
        <v> </v>
      </c>
      <c r="L2231" s="27"/>
    </row>
    <row r="2232" spans="1:12">
      <c r="A2232" s="20" t="s">
        <v>1439</v>
      </c>
      <c r="E2232" s="22">
        <f>IF(D2232="?OLD","!!!","")</f>
        <v/>
      </c>
      <c r="F2232" s="23" t="str">
        <f>IF(OR(E2232="",E2232="!!!"),"",IF(NOT(ISNA(VLOOKUP(E2232,E$1:E2231,1,FALSE()))),"OLD",IF(AND(E2232&lt;&gt;"",E2232&lt;&gt;"!!!"),"NEW","")))</f>
        <v> </v>
      </c>
      <c r="G2232" s="24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5" t="str">
        <f>IF(J2232&lt;&gt;1,"",IF(I2232="SBJ","CB","?"))</f>
        <v> </v>
      </c>
      <c r="I2232" s="26" t="str">
        <f>IF(OR(E2232="",E2232="!!!",F2232="NEW"),"",INDEX(B2231:B$2,-1+SUMPRODUCT(MAX(ROW(E2231:E$2)*(E2232=E2231:E$2)))))</f>
        <v> </v>
      </c>
      <c r="J2232" s="26" t="str">
        <f>IF(OR(E2232="",E2232="!!!",F2232="NEW"),"",COUNTBLANK(OFFSET(A$1,,,SUMPRODUCT(MAX(ROW(E$2:E2232)*(E2232=E$2:E2232)))))-COUNTBLANK(OFFSET(A$1,,,SUMPRODUCT(MAX(ROW(E$1:E2231)*(E2=E$1:E2231))))))</f>
        <v> </v>
      </c>
      <c r="K2232" s="26" t="str">
        <f>IF(OR(E2232="",E2232="!!!",F2232="NEW"),"",INDEX(J$1:J2231,SUMPRODUCT(MAX(ROW(E$1:E2231)*(E2232=E$1:E2231)))))</f>
        <v> </v>
      </c>
      <c r="L2232" s="27"/>
    </row>
    <row r="2233" spans="1:12">
      <c r="A2233" s="20" t="s">
        <v>465</v>
      </c>
      <c r="E2233" s="22">
        <f>IF(D2233="?OLD","!!!","")</f>
        <v/>
      </c>
      <c r="F2233" s="23" t="str">
        <f>IF(OR(E2233="",E2233="!!!"),"",IF(NOT(ISNA(VLOOKUP(E2233,E$1:E2232,1,FALSE()))),"OLD",IF(AND(E2233&lt;&gt;"",E2233&lt;&gt;"!!!"),"NEW","")))</f>
        <v> </v>
      </c>
      <c r="G2233" s="24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5" t="str">
        <f>IF(J2233&lt;&gt;1,"",IF(I2233="SBJ","CB","?"))</f>
        <v> </v>
      </c>
      <c r="I2233" s="26" t="str">
        <f>IF(OR(E2233="",E2233="!!!",F2233="NEW"),"",INDEX(B2232:B$2,-1+SUMPRODUCT(MAX(ROW(E2232:E$2)*(E2233=E2232:E$2)))))</f>
        <v> </v>
      </c>
      <c r="J2233" s="26" t="str">
        <f>IF(OR(E2233="",E2233="!!!",F2233="NEW"),"",COUNTBLANK(OFFSET(A$1,,,SUMPRODUCT(MAX(ROW(E$2:E2233)*(E2233=E$2:E2233)))))-COUNTBLANK(OFFSET(A$1,,,SUMPRODUCT(MAX(ROW(E$1:E2232)*(E2=E$1:E2232))))))</f>
        <v> </v>
      </c>
      <c r="K2233" s="26" t="str">
        <f>IF(OR(E2233="",E2233="!!!",F2233="NEW"),"",INDEX(J$1:J2232,SUMPRODUCT(MAX(ROW(E$1:E2232)*(E2233=E$1:E2232)))))</f>
        <v> </v>
      </c>
      <c r="L2233" s="27"/>
    </row>
    <row r="2234" spans="1:12">
      <c r="A2234" s="20" t="s">
        <v>957</v>
      </c>
      <c r="E2234" s="22">
        <f>IF(D2234="?OLD","!!!","")</f>
        <v/>
      </c>
      <c r="F2234" s="23" t="str">
        <f>IF(OR(E2234="",E2234="!!!"),"",IF(NOT(ISNA(VLOOKUP(E2234,E$1:E2233,1,FALSE()))),"OLD",IF(AND(E2234&lt;&gt;"",E2234&lt;&gt;"!!!"),"NEW","")))</f>
        <v> </v>
      </c>
      <c r="G2234" s="24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5" t="str">
        <f>IF(J2234&lt;&gt;1,"",IF(I2234="SBJ","CB","?"))</f>
        <v> </v>
      </c>
      <c r="I2234" s="26" t="str">
        <f>IF(OR(E2234="",E2234="!!!",F2234="NEW"),"",INDEX(B2233:B$2,-1+SUMPRODUCT(MAX(ROW(E2233:E$2)*(E2234=E2233:E$2)))))</f>
        <v> </v>
      </c>
      <c r="J2234" s="26" t="str">
        <f>IF(OR(E2234="",E2234="!!!",F2234="NEW"),"",COUNTBLANK(OFFSET(A$1,,,SUMPRODUCT(MAX(ROW(E$2:E2234)*(E2234=E$2:E2234)))))-COUNTBLANK(OFFSET(A$1,,,SUMPRODUCT(MAX(ROW(E$1:E2233)*(E2=E$1:E2233))))))</f>
        <v> </v>
      </c>
      <c r="K2234" s="26" t="str">
        <f>IF(OR(E2234="",E2234="!!!",F2234="NEW"),"",INDEX(J$1:J2233,SUMPRODUCT(MAX(ROW(E$1:E2233)*(E2234=E$1:E2233)))))</f>
        <v> </v>
      </c>
      <c r="L2234" s="27"/>
    </row>
    <row r="2235" spans="1:12">
      <c r="A2235" s="20" t="s">
        <v>958</v>
      </c>
      <c r="E2235" s="22">
        <f>IF(D2235="?OLD","!!!","")</f>
        <v/>
      </c>
      <c r="F2235" s="23" t="str">
        <f>IF(OR(E2235="",E2235="!!!"),"",IF(NOT(ISNA(VLOOKUP(E2235,E$1:E2234,1,FALSE()))),"OLD",IF(AND(E2235&lt;&gt;"",E2235&lt;&gt;"!!!"),"NEW","")))</f>
        <v> </v>
      </c>
      <c r="G2235" s="24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5" t="str">
        <f>IF(J2235&lt;&gt;1,"",IF(I2235="SBJ","CB","?"))</f>
        <v> </v>
      </c>
      <c r="I2235" s="26" t="str">
        <f>IF(OR(E2235="",E2235="!!!",F2235="NEW"),"",INDEX(B2234:B$2,-1+SUMPRODUCT(MAX(ROW(E2234:E$2)*(E2235=E2234:E$2)))))</f>
        <v> </v>
      </c>
      <c r="J2235" s="26" t="str">
        <f>IF(OR(E2235="",E2235="!!!",F2235="NEW"),"",COUNTBLANK(OFFSET(A$1,,,SUMPRODUCT(MAX(ROW(E$2:E2235)*(E2235=E$2:E2235)))))-COUNTBLANK(OFFSET(A$1,,,SUMPRODUCT(MAX(ROW(E$1:E2234)*(E2=E$1:E2234))))))</f>
        <v> </v>
      </c>
      <c r="K2235" s="26" t="str">
        <f>IF(OR(E2235="",E2235="!!!",F2235="NEW"),"",INDEX(J$1:J2234,SUMPRODUCT(MAX(ROW(E$1:E2234)*(E2235=E$1:E2234)))))</f>
        <v> </v>
      </c>
      <c r="L2235" s="27"/>
    </row>
    <row r="2236" spans="1:12">
      <c r="A2236" s="20" t="s">
        <v>805</v>
      </c>
      <c r="E2236" s="22">
        <f>IF(D2236="?OLD","!!!","")</f>
        <v/>
      </c>
      <c r="F2236" s="23" t="str">
        <f>IF(OR(E2236="",E2236="!!!"),"",IF(NOT(ISNA(VLOOKUP(E2236,E$1:E2235,1,FALSE()))),"OLD",IF(AND(E2236&lt;&gt;"",E2236&lt;&gt;"!!!"),"NEW","")))</f>
        <v> </v>
      </c>
      <c r="G2236" s="24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5" t="str">
        <f>IF(J2236&lt;&gt;1,"",IF(I2236="SBJ","CB","?"))</f>
        <v> </v>
      </c>
      <c r="I2236" s="26" t="str">
        <f>IF(OR(E2236="",E2236="!!!",F2236="NEW"),"",INDEX(B2235:B$2,-1+SUMPRODUCT(MAX(ROW(E2235:E$2)*(E2236=E2235:E$2)))))</f>
        <v> </v>
      </c>
      <c r="J2236" s="26" t="str">
        <f>IF(OR(E2236="",E2236="!!!",F2236="NEW"),"",COUNTBLANK(OFFSET(A$1,,,SUMPRODUCT(MAX(ROW(E$2:E2236)*(E2236=E$2:E2236)))))-COUNTBLANK(OFFSET(A$1,,,SUMPRODUCT(MAX(ROW(E$1:E2235)*(E2=E$1:E2235))))))</f>
        <v> </v>
      </c>
      <c r="K2236" s="26" t="str">
        <f>IF(OR(E2236="",E2236="!!!",F2236="NEW"),"",INDEX(J$1:J2235,SUMPRODUCT(MAX(ROW(E$1:E2235)*(E2236=E$1:E2235)))))</f>
        <v> </v>
      </c>
      <c r="L2236" s="27"/>
    </row>
    <row r="2237" spans="1:12">
      <c r="A2237" s="20" t="s">
        <v>1440</v>
      </c>
      <c r="E2237" s="22">
        <f>IF(D2237="?OLD","!!!","")</f>
        <v/>
      </c>
      <c r="F2237" s="23" t="str">
        <f>IF(OR(E2237="",E2237="!!!"),"",IF(NOT(ISNA(VLOOKUP(E2237,E$1:E2236,1,FALSE()))),"OLD",IF(AND(E2237&lt;&gt;"",E2237&lt;&gt;"!!!"),"NEW","")))</f>
        <v> </v>
      </c>
      <c r="G2237" s="24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5" t="str">
        <f>IF(J2237&lt;&gt;1,"",IF(I2237="SBJ","CB","?"))</f>
        <v> </v>
      </c>
      <c r="I2237" s="26" t="str">
        <f>IF(OR(E2237="",E2237="!!!",F2237="NEW"),"",INDEX(B2236:B$2,-1+SUMPRODUCT(MAX(ROW(E2236:E$2)*(E2237=E2236:E$2)))))</f>
        <v> </v>
      </c>
      <c r="J2237" s="26" t="str">
        <f>IF(OR(E2237="",E2237="!!!",F2237="NEW"),"",COUNTBLANK(OFFSET(A$1,,,SUMPRODUCT(MAX(ROW(E$2:E2237)*(E2237=E$2:E2237)))))-COUNTBLANK(OFFSET(A$1,,,SUMPRODUCT(MAX(ROW(E$1:E2236)*(E2=E$1:E2236))))))</f>
        <v> </v>
      </c>
      <c r="K2237" s="26" t="str">
        <f>IF(OR(E2237="",E2237="!!!",F2237="NEW"),"",INDEX(J$1:J2236,SUMPRODUCT(MAX(ROW(E$1:E2236)*(E2237=E$1:E2236)))))</f>
        <v> </v>
      </c>
      <c r="L2237" s="27"/>
    </row>
    <row r="2238" spans="1:12">
      <c r="A2238" s="20" t="s">
        <v>429</v>
      </c>
      <c r="E2238" s="22">
        <f>IF(D2238="?OLD","!!!","")</f>
        <v/>
      </c>
      <c r="F2238" s="23" t="str">
        <f>IF(OR(E2238="",E2238="!!!"),"",IF(NOT(ISNA(VLOOKUP(E2238,E$1:E2237,1,FALSE()))),"OLD",IF(AND(E2238&lt;&gt;"",E2238&lt;&gt;"!!!"),"NEW","")))</f>
        <v> </v>
      </c>
      <c r="G2238" s="24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5" t="str">
        <f>IF(J2238&lt;&gt;1,"",IF(I2238="SBJ","CB","?"))</f>
        <v> </v>
      </c>
      <c r="I2238" s="26" t="str">
        <f>IF(OR(E2238="",E2238="!!!",F2238="NEW"),"",INDEX(B2237:B$2,-1+SUMPRODUCT(MAX(ROW(E2237:E$2)*(E2238=E2237:E$2)))))</f>
        <v> </v>
      </c>
      <c r="J2238" s="26" t="str">
        <f>IF(OR(E2238="",E2238="!!!",F2238="NEW"),"",COUNTBLANK(OFFSET(A$1,,,SUMPRODUCT(MAX(ROW(E$2:E2238)*(E2238=E$2:E2238)))))-COUNTBLANK(OFFSET(A$1,,,SUMPRODUCT(MAX(ROW(E$1:E2237)*(E2=E$1:E2237))))))</f>
        <v> </v>
      </c>
      <c r="K2238" s="26" t="str">
        <f>IF(OR(E2238="",E2238="!!!",F2238="NEW"),"",INDEX(J$1:J2237,SUMPRODUCT(MAX(ROW(E$1:E2237)*(E2238=E$1:E2237)))))</f>
        <v> </v>
      </c>
      <c r="L2238" s="27"/>
    </row>
    <row r="2239" spans="1:12">
      <c r="A2239" s="20" t="s">
        <v>453</v>
      </c>
      <c r="E2239" s="22">
        <f>IF(D2239="?OLD","!!!","")</f>
        <v/>
      </c>
      <c r="F2239" s="23" t="str">
        <f>IF(OR(E2239="",E2239="!!!"),"",IF(NOT(ISNA(VLOOKUP(E2239,E$1:E2238,1,FALSE()))),"OLD",IF(AND(E2239&lt;&gt;"",E2239&lt;&gt;"!!!"),"NEW","")))</f>
        <v> </v>
      </c>
      <c r="G2239" s="24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5" t="str">
        <f>IF(J2239&lt;&gt;1,"",IF(I2239="SBJ","CB","?"))</f>
        <v> </v>
      </c>
      <c r="I2239" s="26" t="str">
        <f>IF(OR(E2239="",E2239="!!!",F2239="NEW"),"",INDEX(B2238:B$2,-1+SUMPRODUCT(MAX(ROW(E2238:E$2)*(E2239=E2238:E$2)))))</f>
        <v> </v>
      </c>
      <c r="J2239" s="26" t="str">
        <f>IF(OR(E2239="",E2239="!!!",F2239="NEW"),"",COUNTBLANK(OFFSET(A$1,,,SUMPRODUCT(MAX(ROW(E$2:E2239)*(E2239=E$2:E2239)))))-COUNTBLANK(OFFSET(A$1,,,SUMPRODUCT(MAX(ROW(E$1:E2238)*(E2=E$1:E2238))))))</f>
        <v> </v>
      </c>
      <c r="K2239" s="26" t="str">
        <f>IF(OR(E2239="",E2239="!!!",F2239="NEW"),"",INDEX(J$1:J2238,SUMPRODUCT(MAX(ROW(E$1:E2238)*(E2239=E$1:E2238)))))</f>
        <v> </v>
      </c>
      <c r="L2239" s="27"/>
    </row>
    <row r="2240" spans="1:12">
      <c r="A2240" s="20" t="s">
        <v>751</v>
      </c>
      <c r="E2240" s="22">
        <f>IF(D2240="?OLD","!!!","")</f>
        <v/>
      </c>
      <c r="F2240" s="23" t="str">
        <f>IF(OR(E2240="",E2240="!!!"),"",IF(NOT(ISNA(VLOOKUP(E2240,E$1:E2239,1,FALSE()))),"OLD",IF(AND(E2240&lt;&gt;"",E2240&lt;&gt;"!!!"),"NEW","")))</f>
        <v> </v>
      </c>
      <c r="G2240" s="24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5" t="str">
        <f>IF(J2240&lt;&gt;1,"",IF(I2240="SBJ","CB","?"))</f>
        <v> </v>
      </c>
      <c r="I2240" s="26" t="str">
        <f>IF(OR(E2240="",E2240="!!!",F2240="NEW"),"",INDEX(B2239:B$2,-1+SUMPRODUCT(MAX(ROW(E2239:E$2)*(E2240=E2239:E$2)))))</f>
        <v> </v>
      </c>
      <c r="J2240" s="26" t="str">
        <f>IF(OR(E2240="",E2240="!!!",F2240="NEW"),"",COUNTBLANK(OFFSET(A$1,,,SUMPRODUCT(MAX(ROW(E$2:E2240)*(E2240=E$2:E2240)))))-COUNTBLANK(OFFSET(A$1,,,SUMPRODUCT(MAX(ROW(E$1:E2239)*(E2=E$1:E2239))))))</f>
        <v> </v>
      </c>
      <c r="K2240" s="26" t="str">
        <f>IF(OR(E2240="",E2240="!!!",F2240="NEW"),"",INDEX(J$1:J2239,SUMPRODUCT(MAX(ROW(E$1:E2239)*(E2240=E$1:E2239)))))</f>
        <v> </v>
      </c>
      <c r="L2240" s="27"/>
    </row>
    <row r="2241" spans="1:12">
      <c r="A2241" s="20" t="s">
        <v>636</v>
      </c>
      <c r="E2241" s="22">
        <f>IF(D2241="?OLD","!!!","")</f>
        <v/>
      </c>
      <c r="F2241" s="23" t="str">
        <f>IF(OR(E2241="",E2241="!!!"),"",IF(NOT(ISNA(VLOOKUP(E2241,E$1:E2240,1,FALSE()))),"OLD",IF(AND(E2241&lt;&gt;"",E2241&lt;&gt;"!!!"),"NEW","")))</f>
        <v> </v>
      </c>
      <c r="G2241" s="24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5" t="str">
        <f>IF(J2241&lt;&gt;1,"",IF(I2241="SBJ","CB","?"))</f>
        <v> </v>
      </c>
      <c r="I2241" s="26" t="str">
        <f>IF(OR(E2241="",E2241="!!!",F2241="NEW"),"",INDEX(B2240:B$2,-1+SUMPRODUCT(MAX(ROW(E2240:E$2)*(E2241=E2240:E$2)))))</f>
        <v> </v>
      </c>
      <c r="J2241" s="26" t="str">
        <f>IF(OR(E2241="",E2241="!!!",F2241="NEW"),"",COUNTBLANK(OFFSET(A$1,,,SUMPRODUCT(MAX(ROW(E$2:E2241)*(E2241=E$2:E2241)))))-COUNTBLANK(OFFSET(A$1,,,SUMPRODUCT(MAX(ROW(E$1:E2240)*(E2=E$1:E2240))))))</f>
        <v> </v>
      </c>
      <c r="K2241" s="26" t="str">
        <f>IF(OR(E2241="",E2241="!!!",F2241="NEW"),"",INDEX(J$1:J2240,SUMPRODUCT(MAX(ROW(E$1:E2240)*(E2241=E$1:E2240)))))</f>
        <v> </v>
      </c>
      <c r="L2241" s="27"/>
    </row>
    <row r="2242" spans="1:12">
      <c r="A2242" s="20" t="s">
        <v>560</v>
      </c>
      <c r="B2242" s="21" t="s">
        <v>480</v>
      </c>
      <c r="C2242" s="21" t="s">
        <v>477</v>
      </c>
      <c r="D2242" s="21" t="s">
        <v>424</v>
      </c>
      <c r="E2242" s="22">
        <f>IF(D2242="?OLD","!!!","")</f>
        <v/>
      </c>
      <c r="F2242" s="23" t="str">
        <f>IF(OR(E2242="",E2242="!!!"),"",IF(NOT(ISNA(VLOOKUP(E2242,E$1:E2241,1,FALSE()))),"OLD",IF(AND(E2242&lt;&gt;"",E2242&lt;&gt;"!!!"),"NEW","")))</f>
        <v> </v>
      </c>
      <c r="G2242" s="24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5" t="str">
        <f>IF(J2242&lt;&gt;1,"",IF(I2242="SBJ","CB","?"))</f>
        <v> </v>
      </c>
      <c r="I2242" s="26" t="str">
        <f>IF(OR(E2242="",E2242="!!!",F2242="NEW"),"",INDEX(B2241:B$2,-1+SUMPRODUCT(MAX(ROW(E2241:E$2)*(E2242=E2241:E$2)))))</f>
        <v> </v>
      </c>
      <c r="J2242" s="26" t="str">
        <f>IF(OR(E2242="",E2242="!!!",F2242="NEW"),"",COUNTBLANK(OFFSET(A$1,,,SUMPRODUCT(MAX(ROW(E$2:E2242)*(E2242=E$2:E2242)))))-COUNTBLANK(OFFSET(A$1,,,SUMPRODUCT(MAX(ROW(E$1:E2241)*(E2=E$1:E2241))))))</f>
        <v> </v>
      </c>
      <c r="K2242" s="26" t="str">
        <f>IF(OR(E2242="",E2242="!!!",F2242="NEW"),"",INDEX(J$1:J2241,SUMPRODUCT(MAX(ROW(E$1:E2241)*(E2242=E$1:E2241)))))</f>
        <v> </v>
      </c>
      <c r="L2242" s="27"/>
    </row>
    <row r="2243" spans="1:12">
      <c r="A2243" s="20" t="s">
        <v>453</v>
      </c>
      <c r="E2243" s="22">
        <f>IF(D2243="?OLD","!!!","")</f>
        <v/>
      </c>
      <c r="F2243" s="23" t="str">
        <f>IF(OR(E2243="",E2243="!!!"),"",IF(NOT(ISNA(VLOOKUP(E2243,E$1:E2242,1,FALSE()))),"OLD",IF(AND(E2243&lt;&gt;"",E2243&lt;&gt;"!!!"),"NEW","")))</f>
        <v> </v>
      </c>
      <c r="G2243" s="24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5" t="str">
        <f>IF(J2243&lt;&gt;1,"",IF(I2243="SBJ","CB","?"))</f>
        <v> </v>
      </c>
      <c r="I2243" s="26" t="str">
        <f>IF(OR(E2243="",E2243="!!!",F2243="NEW"),"",INDEX(B2242:B$2,-1+SUMPRODUCT(MAX(ROW(E2242:E$2)*(E2243=E2242:E$2)))))</f>
        <v> </v>
      </c>
      <c r="J2243" s="26" t="str">
        <f>IF(OR(E2243="",E2243="!!!",F2243="NEW"),"",COUNTBLANK(OFFSET(A$1,,,SUMPRODUCT(MAX(ROW(E$2:E2243)*(E2243=E$2:E2243)))))-COUNTBLANK(OFFSET(A$1,,,SUMPRODUCT(MAX(ROW(E$1:E2242)*(E2=E$1:E2242))))))</f>
        <v> </v>
      </c>
      <c r="K2243" s="26" t="str">
        <f>IF(OR(E2243="",E2243="!!!",F2243="NEW"),"",INDEX(J$1:J2242,SUMPRODUCT(MAX(ROW(E$1:E2242)*(E2243=E$1:E2242)))))</f>
        <v> </v>
      </c>
      <c r="L2243" s="27"/>
    </row>
    <row r="2244" spans="1:12">
      <c r="A2244" s="20" t="s">
        <v>459</v>
      </c>
      <c r="E2244" s="22">
        <f>IF(D2244="?OLD","!!!","")</f>
        <v/>
      </c>
      <c r="F2244" s="23" t="str">
        <f>IF(OR(E2244="",E2244="!!!"),"",IF(NOT(ISNA(VLOOKUP(E2244,E$1:E2243,1,FALSE()))),"OLD",IF(AND(E2244&lt;&gt;"",E2244&lt;&gt;"!!!"),"NEW","")))</f>
        <v> </v>
      </c>
      <c r="G2244" s="24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5" t="str">
        <f>IF(J2244&lt;&gt;1,"",IF(I2244="SBJ","CB","?"))</f>
        <v> </v>
      </c>
      <c r="I2244" s="26" t="str">
        <f>IF(OR(E2244="",E2244="!!!",F2244="NEW"),"",INDEX(B2243:B$2,-1+SUMPRODUCT(MAX(ROW(E2243:E$2)*(E2244=E2243:E$2)))))</f>
        <v> </v>
      </c>
      <c r="J2244" s="26" t="str">
        <f>IF(OR(E2244="",E2244="!!!",F2244="NEW"),"",COUNTBLANK(OFFSET(A$1,,,SUMPRODUCT(MAX(ROW(E$2:E2244)*(E2244=E$2:E2244)))))-COUNTBLANK(OFFSET(A$1,,,SUMPRODUCT(MAX(ROW(E$1:E2243)*(E2=E$1:E2243))))))</f>
        <v> </v>
      </c>
      <c r="K2244" s="26" t="str">
        <f>IF(OR(E2244="",E2244="!!!",F2244="NEW"),"",INDEX(J$1:J2243,SUMPRODUCT(MAX(ROW(E$1:E2243)*(E2244=E$1:E2243)))))</f>
        <v> </v>
      </c>
      <c r="L2244" s="27"/>
    </row>
    <row r="2245" spans="1:12">
      <c r="A2245" s="20" t="s">
        <v>1441</v>
      </c>
      <c r="E2245" s="22">
        <f>IF(D2245="?OLD","!!!","")</f>
        <v/>
      </c>
      <c r="F2245" s="23" t="str">
        <f>IF(OR(E2245="",E2245="!!!"),"",IF(NOT(ISNA(VLOOKUP(E2245,E$1:E2244,1,FALSE()))),"OLD",IF(AND(E2245&lt;&gt;"",E2245&lt;&gt;"!!!"),"NEW","")))</f>
        <v> </v>
      </c>
      <c r="G2245" s="24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5" t="str">
        <f>IF(J2245&lt;&gt;1,"",IF(I2245="SBJ","CB","?"))</f>
        <v> </v>
      </c>
      <c r="I2245" s="26" t="str">
        <f>IF(OR(E2245="",E2245="!!!",F2245="NEW"),"",INDEX(B2244:B$2,-1+SUMPRODUCT(MAX(ROW(E2244:E$2)*(E2245=E2244:E$2)))))</f>
        <v> </v>
      </c>
      <c r="J2245" s="26" t="str">
        <f>IF(OR(E2245="",E2245="!!!",F2245="NEW"),"",COUNTBLANK(OFFSET(A$1,,,SUMPRODUCT(MAX(ROW(E$2:E2245)*(E2245=E$2:E2245)))))-COUNTBLANK(OFFSET(A$1,,,SUMPRODUCT(MAX(ROW(E$1:E2244)*(E2=E$1:E2244))))))</f>
        <v> </v>
      </c>
      <c r="K2245" s="26" t="str">
        <f>IF(OR(E2245="",E2245="!!!",F2245="NEW"),"",INDEX(J$1:J2244,SUMPRODUCT(MAX(ROW(E$1:E2244)*(E2245=E$1:E2244)))))</f>
        <v> </v>
      </c>
      <c r="L2245" s="27"/>
    </row>
    <row r="2246" spans="1:12">
      <c r="A2246" s="20" t="s">
        <v>461</v>
      </c>
      <c r="B2246" s="21" t="s">
        <v>1266</v>
      </c>
      <c r="E2246" s="22">
        <f>IF(D2246="?OLD","!!!","")</f>
        <v/>
      </c>
      <c r="F2246" s="23" t="str">
        <f>IF(OR(E2246="",E2246="!!!"),"",IF(NOT(ISNA(VLOOKUP(E2246,E$1:E2245,1,FALSE()))),"OLD",IF(AND(E2246&lt;&gt;"",E2246&lt;&gt;"!!!"),"NEW","")))</f>
        <v> </v>
      </c>
      <c r="G2246" s="24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5" t="str">
        <f>IF(J2246&lt;&gt;1,"",IF(I2246="SBJ","CB","?"))</f>
        <v> </v>
      </c>
      <c r="I2246" s="26" t="str">
        <f>IF(OR(E2246="",E2246="!!!",F2246="NEW"),"",INDEX(B2245:B$2,-1+SUMPRODUCT(MAX(ROW(E2245:E$2)*(E2246=E2245:E$2)))))</f>
        <v> </v>
      </c>
      <c r="J2246" s="26" t="str">
        <f>IF(OR(E2246="",E2246="!!!",F2246="NEW"),"",COUNTBLANK(OFFSET(A$1,,,SUMPRODUCT(MAX(ROW(E$2:E2246)*(E2246=E$2:E2246)))))-COUNTBLANK(OFFSET(A$1,,,SUMPRODUCT(MAX(ROW(E$1:E2245)*(E2=E$1:E2245))))))</f>
        <v> </v>
      </c>
      <c r="K2246" s="26" t="str">
        <f>IF(OR(E2246="",E2246="!!!",F2246="NEW"),"",INDEX(J$1:J2245,SUMPRODUCT(MAX(ROW(E$1:E2245)*(E2246=E$1:E2245)))))</f>
        <v> </v>
      </c>
      <c r="L2246" s="27"/>
    </row>
    <row r="2247" spans="1:12">
      <c r="A2247" s="20" t="s">
        <v>438</v>
      </c>
      <c r="E2247" s="22">
        <f>IF(D2247="?OLD","!!!","")</f>
        <v/>
      </c>
      <c r="F2247" s="23" t="str">
        <f>IF(OR(E2247="",E2247="!!!"),"",IF(NOT(ISNA(VLOOKUP(E2247,E$1:E2246,1,FALSE()))),"OLD",IF(AND(E2247&lt;&gt;"",E2247&lt;&gt;"!!!"),"NEW","")))</f>
        <v> </v>
      </c>
      <c r="G2247" s="24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5" t="str">
        <f>IF(J2247&lt;&gt;1,"",IF(I2247="SBJ","CB","?"))</f>
        <v> </v>
      </c>
      <c r="I2247" s="26" t="str">
        <f>IF(OR(E2247="",E2247="!!!",F2247="NEW"),"",INDEX(B2246:B$2,-1+SUMPRODUCT(MAX(ROW(E2246:E$2)*(E2247=E2246:E$2)))))</f>
        <v> </v>
      </c>
      <c r="J2247" s="26" t="str">
        <f>IF(OR(E2247="",E2247="!!!",F2247="NEW"),"",COUNTBLANK(OFFSET(A$1,,,SUMPRODUCT(MAX(ROW(E$2:E2247)*(E2247=E$2:E2247)))))-COUNTBLANK(OFFSET(A$1,,,SUMPRODUCT(MAX(ROW(E$1:E2246)*(E2=E$1:E2246))))))</f>
        <v> </v>
      </c>
      <c r="K2247" s="26" t="str">
        <f>IF(OR(E2247="",E2247="!!!",F2247="NEW"),"",INDEX(J$1:J2246,SUMPRODUCT(MAX(ROW(E$1:E2246)*(E2247=E$1:E2246)))))</f>
        <v> </v>
      </c>
      <c r="L2247" s="27"/>
    </row>
    <row r="2248" spans="1:12">
      <c r="A2248" s="20" t="s">
        <v>459</v>
      </c>
      <c r="E2248" s="22">
        <f>IF(D2248="?OLD","!!!","")</f>
        <v/>
      </c>
      <c r="F2248" s="23" t="str">
        <f>IF(OR(E2248="",E2248="!!!"),"",IF(NOT(ISNA(VLOOKUP(E2248,E$1:E2247,1,FALSE()))),"OLD",IF(AND(E2248&lt;&gt;"",E2248&lt;&gt;"!!!"),"NEW","")))</f>
        <v> </v>
      </c>
      <c r="G2248" s="24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5" t="str">
        <f>IF(J2248&lt;&gt;1,"",IF(I2248="SBJ","CB","?"))</f>
        <v> </v>
      </c>
      <c r="I2248" s="26" t="str">
        <f>IF(OR(E2248="",E2248="!!!",F2248="NEW"),"",INDEX(B2247:B$2,-1+SUMPRODUCT(MAX(ROW(E2247:E$2)*(E2248=E2247:E$2)))))</f>
        <v> </v>
      </c>
      <c r="J2248" s="26" t="str">
        <f>IF(OR(E2248="",E2248="!!!",F2248="NEW"),"",COUNTBLANK(OFFSET(A$1,,,SUMPRODUCT(MAX(ROW(E$2:E2248)*(E2248=E$2:E2248)))))-COUNTBLANK(OFFSET(A$1,,,SUMPRODUCT(MAX(ROW(E$1:E2247)*(E2=E$1:E2247))))))</f>
        <v> </v>
      </c>
      <c r="K2248" s="26" t="str">
        <f>IF(OR(E2248="",E2248="!!!",F2248="NEW"),"",INDEX(J$1:J2247,SUMPRODUCT(MAX(ROW(E$1:E2247)*(E2248=E$1:E2247)))))</f>
        <v> </v>
      </c>
      <c r="L2248" s="27"/>
    </row>
    <row r="2249" spans="1:12">
      <c r="A2249" s="20" t="s">
        <v>492</v>
      </c>
      <c r="B2249" s="21" t="s">
        <v>1442</v>
      </c>
      <c r="C2249" s="21" t="s">
        <v>423</v>
      </c>
      <c r="D2249" s="21" t="s">
        <v>424</v>
      </c>
      <c r="E2249" s="22">
        <f>IF(D2249="?OLD","!!!","")</f>
        <v/>
      </c>
      <c r="F2249" s="23" t="str">
        <f>IF(OR(E2249="",E2249="!!!"),"",IF(NOT(ISNA(VLOOKUP(E2249,E$1:E2248,1,FALSE()))),"OLD",IF(AND(E2249&lt;&gt;"",E2249&lt;&gt;"!!!"),"NEW","")))</f>
        <v> </v>
      </c>
      <c r="G2249" s="24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5" t="str">
        <f>IF(J2249&lt;&gt;1,"",IF(I2249="SBJ","CB","?"))</f>
        <v> </v>
      </c>
      <c r="I2249" s="26" t="str">
        <f>IF(OR(E2249="",E2249="!!!",F2249="NEW"),"",INDEX(B2248:B$2,-1+SUMPRODUCT(MAX(ROW(E2248:E$2)*(E2249=E2248:E$2)))))</f>
        <v> </v>
      </c>
      <c r="J2249" s="26" t="str">
        <f>IF(OR(E2249="",E2249="!!!",F2249="NEW"),"",COUNTBLANK(OFFSET(A$1,,,SUMPRODUCT(MAX(ROW(E$2:E2249)*(E2249=E$2:E2249)))))-COUNTBLANK(OFFSET(A$1,,,SUMPRODUCT(MAX(ROW(E$1:E2248)*(E2=E$1:E2248))))))</f>
        <v> </v>
      </c>
      <c r="K2249" s="26" t="str">
        <f>IF(OR(E2249="",E2249="!!!",F2249="NEW"),"",INDEX(J$1:J2248,SUMPRODUCT(MAX(ROW(E$1:E2248)*(E2249=E$1:E2248)))))</f>
        <v> </v>
      </c>
      <c r="L2249" s="27"/>
    </row>
    <row r="2250" spans="1:12">
      <c r="A2250" s="20" t="s">
        <v>612</v>
      </c>
      <c r="E2250" s="22">
        <f>IF(D2250="?OLD","!!!","")</f>
        <v/>
      </c>
      <c r="F2250" s="23" t="str">
        <f>IF(OR(E2250="",E2250="!!!"),"",IF(NOT(ISNA(VLOOKUP(E2250,E$1:E2249,1,FALSE()))),"OLD",IF(AND(E2250&lt;&gt;"",E2250&lt;&gt;"!!!"),"NEW","")))</f>
        <v> </v>
      </c>
      <c r="G2250" s="24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5" t="str">
        <f>IF(J2250&lt;&gt;1,"",IF(I2250="SBJ","CB","?"))</f>
        <v> </v>
      </c>
      <c r="I2250" s="26" t="str">
        <f>IF(OR(E2250="",E2250="!!!",F2250="NEW"),"",INDEX(B2249:B$2,-1+SUMPRODUCT(MAX(ROW(E2249:E$2)*(E2250=E2249:E$2)))))</f>
        <v> </v>
      </c>
      <c r="J2250" s="26" t="str">
        <f>IF(OR(E2250="",E2250="!!!",F2250="NEW"),"",COUNTBLANK(OFFSET(A$1,,,SUMPRODUCT(MAX(ROW(E$2:E2250)*(E2250=E$2:E2250)))))-COUNTBLANK(OFFSET(A$1,,,SUMPRODUCT(MAX(ROW(E$1:E2249)*(E2=E$1:E2249))))))</f>
        <v> </v>
      </c>
      <c r="K2250" s="26" t="str">
        <f>IF(OR(E2250="",E2250="!!!",F2250="NEW"),"",INDEX(J$1:J2249,SUMPRODUCT(MAX(ROW(E$1:E2249)*(E2250=E$1:E2249)))))</f>
        <v> </v>
      </c>
      <c r="L2250" s="27"/>
    </row>
    <row r="2251" spans="1:12">
      <c r="A2251" s="20" t="s">
        <v>1443</v>
      </c>
      <c r="E2251" s="22">
        <f>IF(D2251="?OLD","!!!","")</f>
        <v/>
      </c>
      <c r="F2251" s="23" t="str">
        <f>IF(OR(E2251="",E2251="!!!"),"",IF(NOT(ISNA(VLOOKUP(E2251,E$1:E2250,1,FALSE()))),"OLD",IF(AND(E2251&lt;&gt;"",E2251&lt;&gt;"!!!"),"NEW","")))</f>
        <v> </v>
      </c>
      <c r="G2251" s="24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5" t="str">
        <f>IF(J2251&lt;&gt;1,"",IF(I2251="SBJ","CB","?"))</f>
        <v> </v>
      </c>
      <c r="I2251" s="26" t="str">
        <f>IF(OR(E2251="",E2251="!!!",F2251="NEW"),"",INDEX(B2250:B$2,-1+SUMPRODUCT(MAX(ROW(E2250:E$2)*(E2251=E2250:E$2)))))</f>
        <v> </v>
      </c>
      <c r="J2251" s="26" t="str">
        <f>IF(OR(E2251="",E2251="!!!",F2251="NEW"),"",COUNTBLANK(OFFSET(A$1,,,SUMPRODUCT(MAX(ROW(E$2:E2251)*(E2251=E$2:E2251)))))-COUNTBLANK(OFFSET(A$1,,,SUMPRODUCT(MAX(ROW(E$1:E2250)*(E2=E$1:E2250))))))</f>
        <v> </v>
      </c>
      <c r="K2251" s="26" t="str">
        <f>IF(OR(E2251="",E2251="!!!",F2251="NEW"),"",INDEX(J$1:J2250,SUMPRODUCT(MAX(ROW(E$1:E2250)*(E2251=E$1:E2250)))))</f>
        <v> </v>
      </c>
      <c r="L2251" s="27"/>
    </row>
    <row r="2252" spans="1:12">
      <c r="A2252" s="20" t="s">
        <v>453</v>
      </c>
      <c r="E2252" s="22">
        <f>IF(D2252="?OLD","!!!","")</f>
        <v/>
      </c>
      <c r="F2252" s="23" t="str">
        <f>IF(OR(E2252="",E2252="!!!"),"",IF(NOT(ISNA(VLOOKUP(E2252,E$1:E2251,1,FALSE()))),"OLD",IF(AND(E2252&lt;&gt;"",E2252&lt;&gt;"!!!"),"NEW","")))</f>
        <v> </v>
      </c>
      <c r="G2252" s="24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5" t="str">
        <f>IF(J2252&lt;&gt;1,"",IF(I2252="SBJ","CB","?"))</f>
        <v> </v>
      </c>
      <c r="I2252" s="26" t="str">
        <f>IF(OR(E2252="",E2252="!!!",F2252="NEW"),"",INDEX(B2251:B$2,-1+SUMPRODUCT(MAX(ROW(E2251:E$2)*(E2252=E2251:E$2)))))</f>
        <v> </v>
      </c>
      <c r="J2252" s="26" t="str">
        <f>IF(OR(E2252="",E2252="!!!",F2252="NEW"),"",COUNTBLANK(OFFSET(A$1,,,SUMPRODUCT(MAX(ROW(E$2:E2252)*(E2252=E$2:E2252)))))-COUNTBLANK(OFFSET(A$1,,,SUMPRODUCT(MAX(ROW(E$1:E2251)*(E2=E$1:E2251))))))</f>
        <v> </v>
      </c>
      <c r="K2252" s="26" t="str">
        <f>IF(OR(E2252="",E2252="!!!",F2252="NEW"),"",INDEX(J$1:J2251,SUMPRODUCT(MAX(ROW(E$1:E2251)*(E2252=E$1:E2251)))))</f>
        <v> </v>
      </c>
      <c r="L2252" s="27"/>
    </row>
    <row r="2253" spans="1:12">
      <c r="A2253" s="20" t="s">
        <v>313</v>
      </c>
      <c r="E2253" s="22">
        <f>IF(D2253="?OLD","!!!","")</f>
        <v/>
      </c>
      <c r="F2253" s="23" t="str">
        <f>IF(OR(E2253="",E2253="!!!"),"",IF(NOT(ISNA(VLOOKUP(E2253,E$1:E2252,1,FALSE()))),"OLD",IF(AND(E2253&lt;&gt;"",E2253&lt;&gt;"!!!"),"NEW","")))</f>
        <v> </v>
      </c>
      <c r="G2253" s="24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5" t="str">
        <f>IF(J2253&lt;&gt;1,"",IF(I2253="SBJ","CB","?"))</f>
        <v> </v>
      </c>
      <c r="I2253" s="26" t="str">
        <f>IF(OR(E2253="",E2253="!!!",F2253="NEW"),"",INDEX(B2252:B$2,-1+SUMPRODUCT(MAX(ROW(E2252:E$2)*(E2253=E2252:E$2)))))</f>
        <v> </v>
      </c>
      <c r="J2253" s="26" t="str">
        <f>IF(OR(E2253="",E2253="!!!",F2253="NEW"),"",COUNTBLANK(OFFSET(A$1,,,SUMPRODUCT(MAX(ROW(E$2:E2253)*(E2253=E$2:E2253)))))-COUNTBLANK(OFFSET(A$1,,,SUMPRODUCT(MAX(ROW(E$1:E2252)*(E2=E$1:E2252))))))</f>
        <v> </v>
      </c>
      <c r="K2253" s="26" t="str">
        <f>IF(OR(E2253="",E2253="!!!",F2253="NEW"),"",INDEX(J$1:J2252,SUMPRODUCT(MAX(ROW(E$1:E2252)*(E2253=E$1:E2252)))))</f>
        <v> </v>
      </c>
      <c r="L2253" s="27"/>
    </row>
    <row r="2254" spans="1:12">
      <c r="A2254" s="20" t="s">
        <v>1444</v>
      </c>
      <c r="E2254" s="22">
        <f>IF(D2254="?OLD","!!!","")</f>
        <v/>
      </c>
      <c r="F2254" s="23" t="str">
        <f>IF(OR(E2254="",E2254="!!!"),"",IF(NOT(ISNA(VLOOKUP(E2254,E$1:E2253,1,FALSE()))),"OLD",IF(AND(E2254&lt;&gt;"",E2254&lt;&gt;"!!!"),"NEW","")))</f>
        <v> </v>
      </c>
      <c r="G2254" s="24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5" t="str">
        <f>IF(J2254&lt;&gt;1,"",IF(I2254="SBJ","CB","?"))</f>
        <v> </v>
      </c>
      <c r="I2254" s="26" t="str">
        <f>IF(OR(E2254="",E2254="!!!",F2254="NEW"),"",INDEX(B2253:B$2,-1+SUMPRODUCT(MAX(ROW(E2253:E$2)*(E2254=E2253:E$2)))))</f>
        <v> </v>
      </c>
      <c r="J2254" s="26" t="str">
        <f>IF(OR(E2254="",E2254="!!!",F2254="NEW"),"",COUNTBLANK(OFFSET(A$1,,,SUMPRODUCT(MAX(ROW(E$2:E2254)*(E2254=E$2:E2254)))))-COUNTBLANK(OFFSET(A$1,,,SUMPRODUCT(MAX(ROW(E$1:E2253)*(E2=E$1:E2253))))))</f>
        <v> </v>
      </c>
      <c r="K2254" s="26" t="str">
        <f>IF(OR(E2254="",E2254="!!!",F2254="NEW"),"",INDEX(J$1:J2253,SUMPRODUCT(MAX(ROW(E$1:E2253)*(E2254=E$1:E2253)))))</f>
        <v> </v>
      </c>
      <c r="L2254" s="27"/>
    </row>
    <row r="2255" spans="1:12">
      <c r="A2255" s="20" t="s">
        <v>1445</v>
      </c>
      <c r="E2255" s="22">
        <f>IF(D2255="?OLD","!!!","")</f>
        <v/>
      </c>
      <c r="F2255" s="23" t="str">
        <f>IF(OR(E2255="",E2255="!!!"),"",IF(NOT(ISNA(VLOOKUP(E2255,E$1:E2254,1,FALSE()))),"OLD",IF(AND(E2255&lt;&gt;"",E2255&lt;&gt;"!!!"),"NEW","")))</f>
        <v> </v>
      </c>
      <c r="G2255" s="24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5" t="str">
        <f>IF(J2255&lt;&gt;1,"",IF(I2255="SBJ","CB","?"))</f>
        <v> </v>
      </c>
      <c r="I2255" s="26" t="str">
        <f>IF(OR(E2255="",E2255="!!!",F2255="NEW"),"",INDEX(B2254:B$2,-1+SUMPRODUCT(MAX(ROW(E2254:E$2)*(E2255=E2254:E$2)))))</f>
        <v> </v>
      </c>
      <c r="J2255" s="26" t="str">
        <f>IF(OR(E2255="",E2255="!!!",F2255="NEW"),"",COUNTBLANK(OFFSET(A$1,,,SUMPRODUCT(MAX(ROW(E$2:E2255)*(E2255=E$2:E2255)))))-COUNTBLANK(OFFSET(A$1,,,SUMPRODUCT(MAX(ROW(E$1:E2254)*(E2=E$1:E2254))))))</f>
        <v> </v>
      </c>
      <c r="K2255" s="26" t="str">
        <f>IF(OR(E2255="",E2255="!!!",F2255="NEW"),"",INDEX(J$1:J2254,SUMPRODUCT(MAX(ROW(E$1:E2254)*(E2255=E$1:E2254)))))</f>
        <v> </v>
      </c>
      <c r="L2255" s="27"/>
    </row>
    <row r="2256" spans="1:12">
      <c r="A2256" s="20" t="s">
        <v>1446</v>
      </c>
      <c r="E2256" s="22">
        <f>IF(D2256="?OLD","!!!","")</f>
        <v/>
      </c>
      <c r="F2256" s="23" t="str">
        <f>IF(OR(E2256="",E2256="!!!"),"",IF(NOT(ISNA(VLOOKUP(E2256,E$1:E2255,1,FALSE()))),"OLD",IF(AND(E2256&lt;&gt;"",E2256&lt;&gt;"!!!"),"NEW","")))</f>
        <v> </v>
      </c>
      <c r="G2256" s="24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5" t="str">
        <f>IF(J2256&lt;&gt;1,"",IF(I2256="SBJ","CB","?"))</f>
        <v> </v>
      </c>
      <c r="I2256" s="26" t="str">
        <f>IF(OR(E2256="",E2256="!!!",F2256="NEW"),"",INDEX(B2255:B$2,-1+SUMPRODUCT(MAX(ROW(E2255:E$2)*(E2256=E2255:E$2)))))</f>
        <v> </v>
      </c>
      <c r="J2256" s="26" t="str">
        <f>IF(OR(E2256="",E2256="!!!",F2256="NEW"),"",COUNTBLANK(OFFSET(A$1,,,SUMPRODUCT(MAX(ROW(E$2:E2256)*(E2256=E$2:E2256)))))-COUNTBLANK(OFFSET(A$1,,,SUMPRODUCT(MAX(ROW(E$1:E2255)*(E2=E$1:E2255))))))</f>
        <v> </v>
      </c>
      <c r="K2256" s="26" t="str">
        <f>IF(OR(E2256="",E2256="!!!",F2256="NEW"),"",INDEX(J$1:J2255,SUMPRODUCT(MAX(ROW(E$1:E2255)*(E2256=E$1:E2255)))))</f>
        <v> </v>
      </c>
      <c r="L2256" s="27"/>
    </row>
    <row r="2257" spans="1:12">
      <c r="A2257" s="20" t="s">
        <v>978</v>
      </c>
      <c r="B2257" s="21" t="s">
        <v>1447</v>
      </c>
      <c r="E2257" s="22">
        <f>IF(D2257="?OLD","!!!","")</f>
        <v/>
      </c>
      <c r="F2257" s="23" t="str">
        <f>IF(OR(E2257="",E2257="!!!"),"",IF(NOT(ISNA(VLOOKUP(E2257,E$1:E2256,1,FALSE()))),"OLD",IF(AND(E2257&lt;&gt;"",E2257&lt;&gt;"!!!"),"NEW","")))</f>
        <v> </v>
      </c>
      <c r="G2257" s="24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5" t="str">
        <f>IF(J2257&lt;&gt;1,"",IF(I2257="SBJ","CB","?"))</f>
        <v> </v>
      </c>
      <c r="I2257" s="26" t="str">
        <f>IF(OR(E2257="",E2257="!!!",F2257="NEW"),"",INDEX(B2256:B$2,-1+SUMPRODUCT(MAX(ROW(E2256:E$2)*(E2257=E2256:E$2)))))</f>
        <v> </v>
      </c>
      <c r="J2257" s="26" t="str">
        <f>IF(OR(E2257="",E2257="!!!",F2257="NEW"),"",COUNTBLANK(OFFSET(A$1,,,SUMPRODUCT(MAX(ROW(E$2:E2257)*(E2257=E$2:E2257)))))-COUNTBLANK(OFFSET(A$1,,,SUMPRODUCT(MAX(ROW(E$1:E2256)*(E2=E$1:E2256))))))</f>
        <v> </v>
      </c>
      <c r="K2257" s="26" t="str">
        <f>IF(OR(E2257="",E2257="!!!",F2257="NEW"),"",INDEX(J$1:J2256,SUMPRODUCT(MAX(ROW(E$1:E2256)*(E2257=E$1:E2256)))))</f>
        <v> </v>
      </c>
      <c r="L2257" s="27"/>
    </row>
    <row r="2258" spans="1:12">
      <c r="A2258" s="20" t="s">
        <v>430</v>
      </c>
      <c r="E2258" s="22">
        <f>IF(D2258="?OLD","!!!","")</f>
        <v/>
      </c>
      <c r="F2258" s="23" t="str">
        <f>IF(OR(E2258="",E2258="!!!"),"",IF(NOT(ISNA(VLOOKUP(E2258,E$1:E2257,1,FALSE()))),"OLD",IF(AND(E2258&lt;&gt;"",E2258&lt;&gt;"!!!"),"NEW","")))</f>
        <v> </v>
      </c>
      <c r="G2258" s="24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5" t="str">
        <f>IF(J2258&lt;&gt;1,"",IF(I2258="SBJ","CB","?"))</f>
        <v> </v>
      </c>
      <c r="I2258" s="26" t="str">
        <f>IF(OR(E2258="",E2258="!!!",F2258="NEW"),"",INDEX(B2257:B$2,-1+SUMPRODUCT(MAX(ROW(E2257:E$2)*(E2258=E2257:E$2)))))</f>
        <v> </v>
      </c>
      <c r="J2258" s="26" t="str">
        <f>IF(OR(E2258="",E2258="!!!",F2258="NEW"),"",COUNTBLANK(OFFSET(A$1,,,SUMPRODUCT(MAX(ROW(E$2:E2258)*(E2258=E$2:E2258)))))-COUNTBLANK(OFFSET(A$1,,,SUMPRODUCT(MAX(ROW(E$1:E2257)*(E2=E$1:E2257))))))</f>
        <v> </v>
      </c>
      <c r="K2258" s="26" t="str">
        <f>IF(OR(E2258="",E2258="!!!",F2258="NEW"),"",INDEX(J$1:J2257,SUMPRODUCT(MAX(ROW(E$1:E2257)*(E2258=E$1:E2257)))))</f>
        <v> </v>
      </c>
      <c r="L2258" s="27"/>
    </row>
    <row r="2259" spans="1:12">
      <c r="A2259" s="20" t="s">
        <v>1448</v>
      </c>
      <c r="E2259" s="22">
        <f>IF(D2259="?OLD","!!!","")</f>
        <v/>
      </c>
      <c r="F2259" s="23" t="str">
        <f>IF(OR(E2259="",E2259="!!!"),"",IF(NOT(ISNA(VLOOKUP(E2259,E$1:E2258,1,FALSE()))),"OLD",IF(AND(E2259&lt;&gt;"",E2259&lt;&gt;"!!!"),"NEW","")))</f>
        <v> </v>
      </c>
      <c r="G2259" s="24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5" t="str">
        <f>IF(J2259&lt;&gt;1,"",IF(I2259="SBJ","CB","?"))</f>
        <v> </v>
      </c>
      <c r="I2259" s="26" t="str">
        <f>IF(OR(E2259="",E2259="!!!",F2259="NEW"),"",INDEX(B2258:B$2,-1+SUMPRODUCT(MAX(ROW(E2258:E$2)*(E2259=E2258:E$2)))))</f>
        <v> </v>
      </c>
      <c r="J2259" s="26" t="str">
        <f>IF(OR(E2259="",E2259="!!!",F2259="NEW"),"",COUNTBLANK(OFFSET(A$1,,,SUMPRODUCT(MAX(ROW(E$2:E2259)*(E2259=E$2:E2259)))))-COUNTBLANK(OFFSET(A$1,,,SUMPRODUCT(MAX(ROW(E$1:E2258)*(E2=E$1:E2258))))))</f>
        <v> </v>
      </c>
      <c r="K2259" s="26" t="str">
        <f>IF(OR(E2259="",E2259="!!!",F2259="NEW"),"",INDEX(J$1:J2258,SUMPRODUCT(MAX(ROW(E$1:E2258)*(E2259=E$1:E2258)))))</f>
        <v> </v>
      </c>
      <c r="L2259" s="27"/>
    </row>
    <row r="2260" spans="1:12">
      <c r="A2260" s="20" t="s">
        <v>438</v>
      </c>
      <c r="E2260" s="22">
        <f>IF(D2260="?OLD","!!!","")</f>
        <v/>
      </c>
      <c r="F2260" s="23" t="str">
        <f>IF(OR(E2260="",E2260="!!!"),"",IF(NOT(ISNA(VLOOKUP(E2260,E$1:E2259,1,FALSE()))),"OLD",IF(AND(E2260&lt;&gt;"",E2260&lt;&gt;"!!!"),"NEW","")))</f>
        <v> </v>
      </c>
      <c r="G2260" s="24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5" t="str">
        <f>IF(J2260&lt;&gt;1,"",IF(I2260="SBJ","CB","?"))</f>
        <v> </v>
      </c>
      <c r="I2260" s="26" t="str">
        <f>IF(OR(E2260="",E2260="!!!",F2260="NEW"),"",INDEX(B2259:B$2,-1+SUMPRODUCT(MAX(ROW(E2259:E$2)*(E2260=E2259:E$2)))))</f>
        <v> </v>
      </c>
      <c r="J2260" s="26" t="str">
        <f>IF(OR(E2260="",E2260="!!!",F2260="NEW"),"",COUNTBLANK(OFFSET(A$1,,,SUMPRODUCT(MAX(ROW(E$2:E2260)*(E2260=E$2:E2260)))))-COUNTBLANK(OFFSET(A$1,,,SUMPRODUCT(MAX(ROW(E$1:E2259)*(E2=E$1:E2259))))))</f>
        <v> </v>
      </c>
      <c r="K2260" s="26" t="str">
        <f>IF(OR(E2260="",E2260="!!!",F2260="NEW"),"",INDEX(J$1:J2259,SUMPRODUCT(MAX(ROW(E$1:E2259)*(E2260=E$1:E2259)))))</f>
        <v> </v>
      </c>
      <c r="L2260" s="27"/>
    </row>
    <row r="2261" spans="1:12">
      <c r="A2261" s="20"/>
    </row>
    <row r="2262" spans="1:12">
      <c r="A2262" s="20" t="s">
        <v>1449</v>
      </c>
    </row>
    <row r="2263" spans="1:12">
      <c r="A2263" s="20" t="s">
        <v>1238</v>
      </c>
      <c r="E2263" s="22">
        <f>IF(D2263="?OLD","!!!","")</f>
        <v/>
      </c>
      <c r="F2263" s="23" t="str">
        <f>IF(OR(E2263="",E2263="!!!"),"",IF(NOT(ISNA(VLOOKUP(E2263,E$1:E2262,1,FALSE()))),"OLD",IF(AND(E2263&lt;&gt;"",E2263&lt;&gt;"!!!"),"NEW","")))</f>
        <v> </v>
      </c>
      <c r="G2263" s="24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5" t="str">
        <f>IF(J2263&lt;&gt;1,"",IF(I2263="SBJ","CB","?"))</f>
        <v> </v>
      </c>
      <c r="I2263" s="26" t="str">
        <f>IF(OR(E2263="",E2263="!!!",F2263="NEW"),"",INDEX(B2262:B$2,-1+SUMPRODUCT(MAX(ROW(E2262:E$2)*(E2263=E2262:E$2)))))</f>
        <v> </v>
      </c>
      <c r="J2263" s="26" t="str">
        <f>IF(OR(E2263="",E2263="!!!",F2263="NEW"),"",COUNTBLANK(OFFSET(A$1,,,SUMPRODUCT(MAX(ROW(E$2:E2263)*(E2263=E$2:E2263)))))-COUNTBLANK(OFFSET(A$1,,,SUMPRODUCT(MAX(ROW(E$1:E2262)*(E2=E$1:E2262))))))</f>
        <v> </v>
      </c>
      <c r="K2263" s="26" t="str">
        <f>IF(OR(E2263="",E2263="!!!",F2263="NEW"),"",INDEX(J$1:J2262,SUMPRODUCT(MAX(ROW(E$1:E2262)*(E2263=E$1:E2262)))))</f>
        <v> </v>
      </c>
      <c r="L2263" s="27"/>
    </row>
    <row r="2264" spans="1:12">
      <c r="A2264" s="20" t="s">
        <v>428</v>
      </c>
      <c r="E2264" s="22">
        <f>IF(D2264="?OLD","!!!","")</f>
        <v/>
      </c>
      <c r="F2264" s="23" t="str">
        <f>IF(OR(E2264="",E2264="!!!"),"",IF(NOT(ISNA(VLOOKUP(E2264,E$1:E2263,1,FALSE()))),"OLD",IF(AND(E2264&lt;&gt;"",E2264&lt;&gt;"!!!"),"NEW","")))</f>
        <v> </v>
      </c>
      <c r="G2264" s="24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5" t="str">
        <f>IF(J2264&lt;&gt;1,"",IF(I2264="SBJ","CB","?"))</f>
        <v> </v>
      </c>
      <c r="I2264" s="26" t="str">
        <f>IF(OR(E2264="",E2264="!!!",F2264="NEW"),"",INDEX(B2263:B$2,-1+SUMPRODUCT(MAX(ROW(E2263:E$2)*(E2264=E2263:E$2)))))</f>
        <v> </v>
      </c>
      <c r="J2264" s="26" t="str">
        <f>IF(OR(E2264="",E2264="!!!",F2264="NEW"),"",COUNTBLANK(OFFSET(A$1,,,SUMPRODUCT(MAX(ROW(E$2:E2264)*(E2264=E$2:E2264)))))-COUNTBLANK(OFFSET(A$1,,,SUMPRODUCT(MAX(ROW(E$1:E2263)*(E2=E$1:E2263))))))</f>
        <v> </v>
      </c>
      <c r="K2264" s="26" t="str">
        <f>IF(OR(E2264="",E2264="!!!",F2264="NEW"),"",INDEX(J$1:J2263,SUMPRODUCT(MAX(ROW(E$1:E2263)*(E2264=E$1:E2263)))))</f>
        <v> </v>
      </c>
      <c r="L2264" s="27"/>
    </row>
    <row r="2265" spans="1:12">
      <c r="A2265" s="20" t="s">
        <v>1450</v>
      </c>
      <c r="E2265" s="22">
        <f>IF(D2265="?OLD","!!!","")</f>
        <v/>
      </c>
      <c r="F2265" s="23" t="str">
        <f>IF(OR(E2265="",E2265="!!!"),"",IF(NOT(ISNA(VLOOKUP(E2265,E$1:E2264,1,FALSE()))),"OLD",IF(AND(E2265&lt;&gt;"",E2265&lt;&gt;"!!!"),"NEW","")))</f>
        <v> </v>
      </c>
      <c r="G2265" s="24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5" t="str">
        <f>IF(J2265&lt;&gt;1,"",IF(I2265="SBJ","CB","?"))</f>
        <v> </v>
      </c>
      <c r="I2265" s="26" t="str">
        <f>IF(OR(E2265="",E2265="!!!",F2265="NEW"),"",INDEX(B2264:B$2,-1+SUMPRODUCT(MAX(ROW(E2264:E$2)*(E2265=E2264:E$2)))))</f>
        <v> </v>
      </c>
      <c r="J2265" s="26" t="str">
        <f>IF(OR(E2265="",E2265="!!!",F2265="NEW"),"",COUNTBLANK(OFFSET(A$1,,,SUMPRODUCT(MAX(ROW(E$2:E2265)*(E2265=E$2:E2265)))))-COUNTBLANK(OFFSET(A$1,,,SUMPRODUCT(MAX(ROW(E$1:E2264)*(E2=E$1:E2264))))))</f>
        <v> </v>
      </c>
      <c r="K2265" s="26" t="str">
        <f>IF(OR(E2265="",E2265="!!!",F2265="NEW"),"",INDEX(J$1:J2264,SUMPRODUCT(MAX(ROW(E$1:E2264)*(E2265=E$1:E2264)))))</f>
        <v> </v>
      </c>
      <c r="L2265" s="27"/>
    </row>
    <row r="2266" spans="1:12">
      <c r="A2266" s="20" t="s">
        <v>438</v>
      </c>
      <c r="E2266" s="22">
        <f>IF(D2266="?OLD","!!!","")</f>
        <v/>
      </c>
      <c r="F2266" s="23" t="str">
        <f>IF(OR(E2266="",E2266="!!!"),"",IF(NOT(ISNA(VLOOKUP(E2266,E$1:E2265,1,FALSE()))),"OLD",IF(AND(E2266&lt;&gt;"",E2266&lt;&gt;"!!!"),"NEW","")))</f>
        <v> </v>
      </c>
      <c r="G2266" s="24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5" t="str">
        <f>IF(J2266&lt;&gt;1,"",IF(I2266="SBJ","CB","?"))</f>
        <v> </v>
      </c>
      <c r="I2266" s="26" t="str">
        <f>IF(OR(E2266="",E2266="!!!",F2266="NEW"),"",INDEX(B2265:B$2,-1+SUMPRODUCT(MAX(ROW(E2265:E$2)*(E2266=E2265:E$2)))))</f>
        <v> </v>
      </c>
      <c r="J2266" s="26" t="str">
        <f>IF(OR(E2266="",E2266="!!!",F2266="NEW"),"",COUNTBLANK(OFFSET(A$1,,,SUMPRODUCT(MAX(ROW(E$2:E2266)*(E2266=E$2:E2266)))))-COUNTBLANK(OFFSET(A$1,,,SUMPRODUCT(MAX(ROW(E$1:E2265)*(E2=E$1:E2265))))))</f>
        <v> </v>
      </c>
      <c r="K2266" s="26" t="str">
        <f>IF(OR(E2266="",E2266="!!!",F2266="NEW"),"",INDEX(J$1:J2265,SUMPRODUCT(MAX(ROW(E$1:E2265)*(E2266=E$1:E2265)))))</f>
        <v> </v>
      </c>
      <c r="L2266" s="27"/>
    </row>
    <row r="2267" spans="1:12">
      <c r="A2267" s="20"/>
    </row>
    <row r="2268" spans="1:12">
      <c r="A2268" s="20" t="s">
        <v>1451</v>
      </c>
    </row>
    <row r="2269" spans="1:12">
      <c r="A2269" s="20" t="s">
        <v>440</v>
      </c>
      <c r="B2269" s="21" t="s">
        <v>422</v>
      </c>
      <c r="C2269" s="21" t="s">
        <v>423</v>
      </c>
      <c r="D2269" s="21" t="s">
        <v>424</v>
      </c>
      <c r="E2269" s="22">
        <f>IF(D2269="?OLD","!!!","")</f>
        <v/>
      </c>
      <c r="F2269" s="23" t="str">
        <f>IF(OR(E2269="",E2269="!!!"),"",IF(NOT(ISNA(VLOOKUP(E2269,E$1:E2268,1,FALSE()))),"OLD",IF(AND(E2269&lt;&gt;"",E2269&lt;&gt;"!!!"),"NEW","")))</f>
        <v> </v>
      </c>
      <c r="G2269" s="24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5" t="str">
        <f>IF(J2269&lt;&gt;1,"",IF(I2269="SBJ","CB","?"))</f>
        <v> </v>
      </c>
      <c r="I2269" s="26" t="str">
        <f>IF(OR(E2269="",E2269="!!!",F2269="NEW"),"",INDEX(B2268:B$2,-1+SUMPRODUCT(MAX(ROW(E2268:E$2)*(E2269=E2268:E$2)))))</f>
        <v> </v>
      </c>
      <c r="J2269" s="26" t="str">
        <f>IF(OR(E2269="",E2269="!!!",F2269="NEW"),"",COUNTBLANK(OFFSET(A$1,,,SUMPRODUCT(MAX(ROW(E$2:E2269)*(E2269=E$2:E2269)))))-COUNTBLANK(OFFSET(A$1,,,SUMPRODUCT(MAX(ROW(E$1:E2268)*(E2=E$1:E2268))))))</f>
        <v> </v>
      </c>
      <c r="K2269" s="26" t="str">
        <f>IF(OR(E2269="",E2269="!!!",F2269="NEW"),"",INDEX(J$1:J2268,SUMPRODUCT(MAX(ROW(E$1:E2268)*(E2269=E$1:E2268)))))</f>
        <v> </v>
      </c>
      <c r="L2269" s="27"/>
    </row>
    <row r="2270" spans="1:12">
      <c r="A2270" s="20" t="s">
        <v>612</v>
      </c>
      <c r="E2270" s="22">
        <f>IF(D2270="?OLD","!!!","")</f>
        <v/>
      </c>
      <c r="F2270" s="23" t="str">
        <f>IF(OR(E2270="",E2270="!!!"),"",IF(NOT(ISNA(VLOOKUP(E2270,E$1:E2269,1,FALSE()))),"OLD",IF(AND(E2270&lt;&gt;"",E2270&lt;&gt;"!!!"),"NEW","")))</f>
        <v> </v>
      </c>
      <c r="G2270" s="24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5" t="str">
        <f>IF(J2270&lt;&gt;1,"",IF(I2270="SBJ","CB","?"))</f>
        <v> </v>
      </c>
      <c r="I2270" s="26" t="str">
        <f>IF(OR(E2270="",E2270="!!!",F2270="NEW"),"",INDEX(B2269:B$2,-1+SUMPRODUCT(MAX(ROW(E2269:E$2)*(E2270=E2269:E$2)))))</f>
        <v> </v>
      </c>
      <c r="J2270" s="26" t="str">
        <f>IF(OR(E2270="",E2270="!!!",F2270="NEW"),"",COUNTBLANK(OFFSET(A$1,,,SUMPRODUCT(MAX(ROW(E$2:E2270)*(E2270=E$2:E2270)))))-COUNTBLANK(OFFSET(A$1,,,SUMPRODUCT(MAX(ROW(E$1:E2269)*(E2=E$1:E2269))))))</f>
        <v> </v>
      </c>
      <c r="K2270" s="26" t="str">
        <f>IF(OR(E2270="",E2270="!!!",F2270="NEW"),"",INDEX(J$1:J2269,SUMPRODUCT(MAX(ROW(E$1:E2269)*(E2270=E$1:E2269)))))</f>
        <v> </v>
      </c>
      <c r="L2270" s="27"/>
    </row>
    <row r="2271" spans="1:12">
      <c r="A2271" s="20" t="s">
        <v>1083</v>
      </c>
      <c r="E2271" s="22">
        <f>IF(D2271="?OLD","!!!","")</f>
        <v/>
      </c>
      <c r="F2271" s="23" t="str">
        <f>IF(OR(E2271="",E2271="!!!"),"",IF(NOT(ISNA(VLOOKUP(E2271,E$1:E2270,1,FALSE()))),"OLD",IF(AND(E2271&lt;&gt;"",E2271&lt;&gt;"!!!"),"NEW","")))</f>
        <v> </v>
      </c>
      <c r="G2271" s="24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5" t="str">
        <f>IF(J2271&lt;&gt;1,"",IF(I2271="SBJ","CB","?"))</f>
        <v> </v>
      </c>
      <c r="I2271" s="26" t="str">
        <f>IF(OR(E2271="",E2271="!!!",F2271="NEW"),"",INDEX(B2270:B$2,-1+SUMPRODUCT(MAX(ROW(E2270:E$2)*(E2271=E2270:E$2)))))</f>
        <v> </v>
      </c>
      <c r="J2271" s="26" t="str">
        <f>IF(OR(E2271="",E2271="!!!",F2271="NEW"),"",COUNTBLANK(OFFSET(A$1,,,SUMPRODUCT(MAX(ROW(E$2:E2271)*(E2271=E$2:E2271)))))-COUNTBLANK(OFFSET(A$1,,,SUMPRODUCT(MAX(ROW(E$1:E2270)*(E2=E$1:E2270))))))</f>
        <v> </v>
      </c>
      <c r="K2271" s="26" t="str">
        <f>IF(OR(E2271="",E2271="!!!",F2271="NEW"),"",INDEX(J$1:J2270,SUMPRODUCT(MAX(ROW(E$1:E2270)*(E2271=E$1:E2270)))))</f>
        <v> </v>
      </c>
      <c r="L2271" s="27"/>
    </row>
    <row r="2272" spans="1:12">
      <c r="A2272" s="20" t="s">
        <v>609</v>
      </c>
      <c r="E2272" s="22">
        <f>IF(D2272="?OLD","!!!","")</f>
        <v/>
      </c>
      <c r="F2272" s="23" t="str">
        <f>IF(OR(E2272="",E2272="!!!"),"",IF(NOT(ISNA(VLOOKUP(E2272,E$1:E2271,1,FALSE()))),"OLD",IF(AND(E2272&lt;&gt;"",E2272&lt;&gt;"!!!"),"NEW","")))</f>
        <v> </v>
      </c>
      <c r="G2272" s="24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5" t="str">
        <f>IF(J2272&lt;&gt;1,"",IF(I2272="SBJ","CB","?"))</f>
        <v> </v>
      </c>
      <c r="I2272" s="26" t="str">
        <f>IF(OR(E2272="",E2272="!!!",F2272="NEW"),"",INDEX(B2271:B$2,-1+SUMPRODUCT(MAX(ROW(E2271:E$2)*(E2272=E2271:E$2)))))</f>
        <v> </v>
      </c>
      <c r="J2272" s="26" t="str">
        <f>IF(OR(E2272="",E2272="!!!",F2272="NEW"),"",COUNTBLANK(OFFSET(A$1,,,SUMPRODUCT(MAX(ROW(E$2:E2272)*(E2272=E$2:E2272)))))-COUNTBLANK(OFFSET(A$1,,,SUMPRODUCT(MAX(ROW(E$1:E2271)*(E2=E$1:E2271))))))</f>
        <v> </v>
      </c>
      <c r="K2272" s="26" t="str">
        <f>IF(OR(E2272="",E2272="!!!",F2272="NEW"),"",INDEX(J$1:J2271,SUMPRODUCT(MAX(ROW(E$1:E2271)*(E2272=E$1:E2271)))))</f>
        <v> </v>
      </c>
      <c r="L2272" s="27"/>
    </row>
    <row r="2273" spans="1:12">
      <c r="A2273" s="20" t="s">
        <v>1452</v>
      </c>
      <c r="B2273" s="21" t="s">
        <v>444</v>
      </c>
      <c r="E2273" s="22">
        <f>IF(D2273="?OLD","!!!","")</f>
        <v/>
      </c>
      <c r="F2273" s="23" t="str">
        <f>IF(OR(E2273="",E2273="!!!"),"",IF(NOT(ISNA(VLOOKUP(E2273,E$1:E2272,1,FALSE()))),"OLD",IF(AND(E2273&lt;&gt;"",E2273&lt;&gt;"!!!"),"NEW","")))</f>
        <v> </v>
      </c>
      <c r="G2273" s="24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5" t="str">
        <f>IF(J2273&lt;&gt;1,"",IF(I2273="SBJ","CB","?"))</f>
        <v> </v>
      </c>
      <c r="I2273" s="26" t="str">
        <f>IF(OR(E2273="",E2273="!!!",F2273="NEW"),"",INDEX(B2272:B$2,-1+SUMPRODUCT(MAX(ROW(E2272:E$2)*(E2273=E2272:E$2)))))</f>
        <v> </v>
      </c>
      <c r="J2273" s="26" t="str">
        <f>IF(OR(E2273="",E2273="!!!",F2273="NEW"),"",COUNTBLANK(OFFSET(A$1,,,SUMPRODUCT(MAX(ROW(E$2:E2273)*(E2273=E$2:E2273)))))-COUNTBLANK(OFFSET(A$1,,,SUMPRODUCT(MAX(ROW(E$1:E2272)*(E2=E$1:E2272))))))</f>
        <v> </v>
      </c>
      <c r="K2273" s="26" t="str">
        <f>IF(OR(E2273="",E2273="!!!",F2273="NEW"),"",INDEX(J$1:J2272,SUMPRODUCT(MAX(ROW(E$1:E2272)*(E2273=E$1:E2272)))))</f>
        <v> </v>
      </c>
      <c r="L2273" s="27"/>
    </row>
    <row r="2274" spans="1:12">
      <c r="A2274" s="20" t="s">
        <v>430</v>
      </c>
      <c r="E2274" s="22">
        <f>IF(D2274="?OLD","!!!","")</f>
        <v/>
      </c>
      <c r="F2274" s="23" t="str">
        <f>IF(OR(E2274="",E2274="!!!"),"",IF(NOT(ISNA(VLOOKUP(E2274,E$1:E2273,1,FALSE()))),"OLD",IF(AND(E2274&lt;&gt;"",E2274&lt;&gt;"!!!"),"NEW","")))</f>
        <v> </v>
      </c>
      <c r="G2274" s="24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5" t="str">
        <f>IF(J2274&lt;&gt;1,"",IF(I2274="SBJ","CB","?"))</f>
        <v> </v>
      </c>
      <c r="I2274" s="26" t="str">
        <f>IF(OR(E2274="",E2274="!!!",F2274="NEW"),"",INDEX(B2273:B$2,-1+SUMPRODUCT(MAX(ROW(E2273:E$2)*(E2274=E2273:E$2)))))</f>
        <v> </v>
      </c>
      <c r="J2274" s="26" t="str">
        <f>IF(OR(E2274="",E2274="!!!",F2274="NEW"),"",COUNTBLANK(OFFSET(A$1,,,SUMPRODUCT(MAX(ROW(E$2:E2274)*(E2274=E$2:E2274)))))-COUNTBLANK(OFFSET(A$1,,,SUMPRODUCT(MAX(ROW(E$1:E2273)*(E2=E$1:E2273))))))</f>
        <v> </v>
      </c>
      <c r="K2274" s="26" t="str">
        <f>IF(OR(E2274="",E2274="!!!",F2274="NEW"),"",INDEX(J$1:J2273,SUMPRODUCT(MAX(ROW(E$1:E2273)*(E2274=E$1:E2273)))))</f>
        <v> </v>
      </c>
      <c r="L2274" s="27"/>
    </row>
    <row r="2275" spans="1:12">
      <c r="A2275" s="20" t="s">
        <v>609</v>
      </c>
      <c r="E2275" s="22">
        <f>IF(D2275="?OLD","!!!","")</f>
        <v/>
      </c>
      <c r="F2275" s="23" t="str">
        <f>IF(OR(E2275="",E2275="!!!"),"",IF(NOT(ISNA(VLOOKUP(E2275,E$1:E2274,1,FALSE()))),"OLD",IF(AND(E2275&lt;&gt;"",E2275&lt;&gt;"!!!"),"NEW","")))</f>
        <v> </v>
      </c>
      <c r="G2275" s="24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5" t="str">
        <f>IF(J2275&lt;&gt;1,"",IF(I2275="SBJ","CB","?"))</f>
        <v> </v>
      </c>
      <c r="I2275" s="26" t="str">
        <f>IF(OR(E2275="",E2275="!!!",F2275="NEW"),"",INDEX(B2274:B$2,-1+SUMPRODUCT(MAX(ROW(E2274:E$2)*(E2275=E2274:E$2)))))</f>
        <v> </v>
      </c>
      <c r="J2275" s="26" t="str">
        <f>IF(OR(E2275="",E2275="!!!",F2275="NEW"),"",COUNTBLANK(OFFSET(A$1,,,SUMPRODUCT(MAX(ROW(E$2:E2275)*(E2275=E$2:E2275)))))-COUNTBLANK(OFFSET(A$1,,,SUMPRODUCT(MAX(ROW(E$1:E2274)*(E2=E$1:E2274))))))</f>
        <v> </v>
      </c>
      <c r="K2275" s="26" t="str">
        <f>IF(OR(E2275="",E2275="!!!",F2275="NEW"),"",INDEX(J$1:J2274,SUMPRODUCT(MAX(ROW(E$1:E2274)*(E2275=E$1:E2274)))))</f>
        <v> </v>
      </c>
      <c r="L2275" s="27"/>
    </row>
    <row r="2276" spans="1:12">
      <c r="A2276" s="20" t="s">
        <v>1453</v>
      </c>
      <c r="E2276" s="22">
        <f>IF(D2276="?OLD","!!!","")</f>
        <v/>
      </c>
      <c r="F2276" s="23" t="str">
        <f>IF(OR(E2276="",E2276="!!!"),"",IF(NOT(ISNA(VLOOKUP(E2276,E$1:E2275,1,FALSE()))),"OLD",IF(AND(E2276&lt;&gt;"",E2276&lt;&gt;"!!!"),"NEW","")))</f>
        <v> </v>
      </c>
      <c r="G2276" s="24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5" t="str">
        <f>IF(J2276&lt;&gt;1,"",IF(I2276="SBJ","CB","?"))</f>
        <v> </v>
      </c>
      <c r="I2276" s="26" t="str">
        <f>IF(OR(E2276="",E2276="!!!",F2276="NEW"),"",INDEX(B2275:B$2,-1+SUMPRODUCT(MAX(ROW(E2275:E$2)*(E2276=E2275:E$2)))))</f>
        <v> </v>
      </c>
      <c r="J2276" s="26" t="str">
        <f>IF(OR(E2276="",E2276="!!!",F2276="NEW"),"",COUNTBLANK(OFFSET(A$1,,,SUMPRODUCT(MAX(ROW(E$2:E2276)*(E2276=E$2:E2276)))))-COUNTBLANK(OFFSET(A$1,,,SUMPRODUCT(MAX(ROW(E$1:E2275)*(E2=E$1:E2275))))))</f>
        <v> </v>
      </c>
      <c r="K2276" s="26" t="str">
        <f>IF(OR(E2276="",E2276="!!!",F2276="NEW"),"",INDEX(J$1:J2275,SUMPRODUCT(MAX(ROW(E$1:E2275)*(E2276=E$1:E2275)))))</f>
        <v> </v>
      </c>
      <c r="L2276" s="27"/>
    </row>
    <row r="2277" spans="1:12">
      <c r="A2277" s="20" t="s">
        <v>1445</v>
      </c>
      <c r="E2277" s="22">
        <f>IF(D2277="?OLD","!!!","")</f>
        <v/>
      </c>
      <c r="F2277" s="23" t="str">
        <f>IF(OR(E2277="",E2277="!!!"),"",IF(NOT(ISNA(VLOOKUP(E2277,E$1:E2276,1,FALSE()))),"OLD",IF(AND(E2277&lt;&gt;"",E2277&lt;&gt;"!!!"),"NEW","")))</f>
        <v> </v>
      </c>
      <c r="G2277" s="24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5" t="str">
        <f>IF(J2277&lt;&gt;1,"",IF(I2277="SBJ","CB","?"))</f>
        <v> </v>
      </c>
      <c r="I2277" s="26" t="str">
        <f>IF(OR(E2277="",E2277="!!!",F2277="NEW"),"",INDEX(B2276:B$2,-1+SUMPRODUCT(MAX(ROW(E2276:E$2)*(E2277=E2276:E$2)))))</f>
        <v> </v>
      </c>
      <c r="J2277" s="26" t="str">
        <f>IF(OR(E2277="",E2277="!!!",F2277="NEW"),"",COUNTBLANK(OFFSET(A$1,,,SUMPRODUCT(MAX(ROW(E$2:E2277)*(E2277=E$2:E2277)))))-COUNTBLANK(OFFSET(A$1,,,SUMPRODUCT(MAX(ROW(E$1:E2276)*(E2=E$1:E2276))))))</f>
        <v> </v>
      </c>
      <c r="K2277" s="26" t="str">
        <f>IF(OR(E2277="",E2277="!!!",F2277="NEW"),"",INDEX(J$1:J2276,SUMPRODUCT(MAX(ROW(E$1:E2276)*(E2277=E$1:E2276)))))</f>
        <v> </v>
      </c>
      <c r="L2277" s="27"/>
    </row>
    <row r="2278" spans="1:12">
      <c r="A2278" s="20" t="s">
        <v>438</v>
      </c>
      <c r="E2278" s="22">
        <f>IF(D2278="?OLD","!!!","")</f>
        <v/>
      </c>
      <c r="F2278" s="23" t="str">
        <f>IF(OR(E2278="",E2278="!!!"),"",IF(NOT(ISNA(VLOOKUP(E2278,E$1:E2277,1,FALSE()))),"OLD",IF(AND(E2278&lt;&gt;"",E2278&lt;&gt;"!!!"),"NEW","")))</f>
        <v> </v>
      </c>
      <c r="G2278" s="24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5" t="str">
        <f>IF(J2278&lt;&gt;1,"",IF(I2278="SBJ","CB","?"))</f>
        <v> </v>
      </c>
      <c r="I2278" s="26" t="str">
        <f>IF(OR(E2278="",E2278="!!!",F2278="NEW"),"",INDEX(B2277:B$2,-1+SUMPRODUCT(MAX(ROW(E2277:E$2)*(E2278=E2277:E$2)))))</f>
        <v> </v>
      </c>
      <c r="J2278" s="26" t="str">
        <f>IF(OR(E2278="",E2278="!!!",F2278="NEW"),"",COUNTBLANK(OFFSET(A$1,,,SUMPRODUCT(MAX(ROW(E$2:E2278)*(E2278=E$2:E2278)))))-COUNTBLANK(OFFSET(A$1,,,SUMPRODUCT(MAX(ROW(E$1:E2277)*(E2=E$1:E2277))))))</f>
        <v> </v>
      </c>
      <c r="K2278" s="26" t="str">
        <f>IF(OR(E2278="",E2278="!!!",F2278="NEW"),"",INDEX(J$1:J2277,SUMPRODUCT(MAX(ROW(E$1:E2277)*(E2278=E$1:E2277)))))</f>
        <v> </v>
      </c>
      <c r="L2278" s="27"/>
    </row>
    <row r="2279" spans="1:12">
      <c r="A2279" s="20"/>
    </row>
    <row r="2280" spans="1:12">
      <c r="A2280" s="20" t="s">
        <v>1454</v>
      </c>
    </row>
    <row r="2281" spans="1:12">
      <c r="A2281" s="20" t="s">
        <v>579</v>
      </c>
      <c r="E2281" s="22">
        <f>IF(D2281="?OLD","!!!","")</f>
        <v/>
      </c>
      <c r="F2281" s="23" t="str">
        <f>IF(OR(E2281="",E2281="!!!"),"",IF(NOT(ISNA(VLOOKUP(E2281,E$1:E2280,1,FALSE()))),"OLD",IF(AND(E2281&lt;&gt;"",E2281&lt;&gt;"!!!"),"NEW","")))</f>
        <v> </v>
      </c>
      <c r="G2281" s="24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5" t="str">
        <f>IF(J2281&lt;&gt;1,"",IF(I2281="SBJ","CB","?"))</f>
        <v> </v>
      </c>
      <c r="I2281" s="26" t="str">
        <f>IF(OR(E2281="",E2281="!!!",F2281="NEW"),"",INDEX(B2280:B$2,-1+SUMPRODUCT(MAX(ROW(E2280:E$2)*(E2281=E2280:E$2)))))</f>
        <v> </v>
      </c>
      <c r="J2281" s="26" t="str">
        <f>IF(OR(E2281="",E2281="!!!",F2281="NEW"),"",COUNTBLANK(OFFSET(A$1,,,SUMPRODUCT(MAX(ROW(E$2:E2281)*(E2281=E$2:E2281)))))-COUNTBLANK(OFFSET(A$1,,,SUMPRODUCT(MAX(ROW(E$1:E2280)*(E2=E$1:E2280))))))</f>
        <v> </v>
      </c>
      <c r="K2281" s="26" t="str">
        <f>IF(OR(E2281="",E2281="!!!",F2281="NEW"),"",INDEX(J$1:J2280,SUMPRODUCT(MAX(ROW(E$1:E2280)*(E2281=E$1:E2280)))))</f>
        <v> </v>
      </c>
      <c r="L2281" s="27"/>
    </row>
    <row r="2282" spans="1:12">
      <c r="A2282" s="20" t="s">
        <v>766</v>
      </c>
      <c r="B2282" s="21" t="s">
        <v>500</v>
      </c>
      <c r="C2282" s="21" t="s">
        <v>423</v>
      </c>
      <c r="D2282" s="21" t="s">
        <v>424</v>
      </c>
      <c r="E2282" s="22">
        <f>IF(D2282="?OLD","!!!","")</f>
        <v/>
      </c>
      <c r="F2282" s="23" t="str">
        <f>IF(OR(E2282="",E2282="!!!"),"",IF(NOT(ISNA(VLOOKUP(E2282,E$1:E2281,1,FALSE()))),"OLD",IF(AND(E2282&lt;&gt;"",E2282&lt;&gt;"!!!"),"NEW","")))</f>
        <v> </v>
      </c>
      <c r="G2282" s="24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5" t="str">
        <f>IF(J2282&lt;&gt;1,"",IF(I2282="SBJ","CB","?"))</f>
        <v> </v>
      </c>
      <c r="I2282" s="26" t="str">
        <f>IF(OR(E2282="",E2282="!!!",F2282="NEW"),"",INDEX(B2281:B$2,-1+SUMPRODUCT(MAX(ROW(E2281:E$2)*(E2282=E2281:E$2)))))</f>
        <v> </v>
      </c>
      <c r="J2282" s="26" t="str">
        <f>IF(OR(E2282="",E2282="!!!",F2282="NEW"),"",COUNTBLANK(OFFSET(A$1,,,SUMPRODUCT(MAX(ROW(E$2:E2282)*(E2282=E$2:E2282)))))-COUNTBLANK(OFFSET(A$1,,,SUMPRODUCT(MAX(ROW(E$1:E2281)*(E2=E$1:E2281))))))</f>
        <v> </v>
      </c>
      <c r="K2282" s="26" t="str">
        <f>IF(OR(E2282="",E2282="!!!",F2282="NEW"),"",INDEX(J$1:J2281,SUMPRODUCT(MAX(ROW(E$1:E2281)*(E2282=E$1:E2281)))))</f>
        <v> </v>
      </c>
      <c r="L2282" s="27"/>
    </row>
    <row r="2283" spans="1:12">
      <c r="A2283" s="20" t="s">
        <v>1455</v>
      </c>
      <c r="E2283" s="22">
        <f>IF(D2283="?OLD","!!!","")</f>
        <v/>
      </c>
      <c r="F2283" s="23" t="str">
        <f>IF(OR(E2283="",E2283="!!!"),"",IF(NOT(ISNA(VLOOKUP(E2283,E$1:E2282,1,FALSE()))),"OLD",IF(AND(E2283&lt;&gt;"",E2283&lt;&gt;"!!!"),"NEW","")))</f>
        <v> </v>
      </c>
      <c r="G2283" s="24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5" t="str">
        <f>IF(J2283&lt;&gt;1,"",IF(I2283="SBJ","CB","?"))</f>
        <v> </v>
      </c>
      <c r="I2283" s="26" t="str">
        <f>IF(OR(E2283="",E2283="!!!",F2283="NEW"),"",INDEX(B2282:B$2,-1+SUMPRODUCT(MAX(ROW(E2282:E$2)*(E2283=E2282:E$2)))))</f>
        <v> </v>
      </c>
      <c r="J2283" s="26" t="str">
        <f>IF(OR(E2283="",E2283="!!!",F2283="NEW"),"",COUNTBLANK(OFFSET(A$1,,,SUMPRODUCT(MAX(ROW(E$2:E2283)*(E2283=E$2:E2283)))))-COUNTBLANK(OFFSET(A$1,,,SUMPRODUCT(MAX(ROW(E$1:E2282)*(E2=E$1:E2282))))))</f>
        <v> </v>
      </c>
      <c r="K2283" s="26" t="str">
        <f>IF(OR(E2283="",E2283="!!!",F2283="NEW"),"",INDEX(J$1:J2282,SUMPRODUCT(MAX(ROW(E$1:E2282)*(E2283=E$1:E2282)))))</f>
        <v> </v>
      </c>
      <c r="L2283" s="27"/>
    </row>
    <row r="2284" spans="1:12">
      <c r="A2284" s="20" t="s">
        <v>1456</v>
      </c>
      <c r="E2284" s="22">
        <f>IF(D2284="?OLD","!!!","")</f>
        <v/>
      </c>
      <c r="F2284" s="23" t="str">
        <f>IF(OR(E2284="",E2284="!!!"),"",IF(NOT(ISNA(VLOOKUP(E2284,E$1:E2283,1,FALSE()))),"OLD",IF(AND(E2284&lt;&gt;"",E2284&lt;&gt;"!!!"),"NEW","")))</f>
        <v> </v>
      </c>
      <c r="G2284" s="24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5" t="str">
        <f>IF(J2284&lt;&gt;1,"",IF(I2284="SBJ","CB","?"))</f>
        <v> </v>
      </c>
      <c r="I2284" s="26" t="str">
        <f>IF(OR(E2284="",E2284="!!!",F2284="NEW"),"",INDEX(B2283:B$2,-1+SUMPRODUCT(MAX(ROW(E2283:E$2)*(E2284=E2283:E$2)))))</f>
        <v> </v>
      </c>
      <c r="J2284" s="26" t="str">
        <f>IF(OR(E2284="",E2284="!!!",F2284="NEW"),"",COUNTBLANK(OFFSET(A$1,,,SUMPRODUCT(MAX(ROW(E$2:E2284)*(E2284=E$2:E2284)))))-COUNTBLANK(OFFSET(A$1,,,SUMPRODUCT(MAX(ROW(E$1:E2283)*(E2=E$1:E2283))))))</f>
        <v> </v>
      </c>
      <c r="K2284" s="26" t="str">
        <f>IF(OR(E2284="",E2284="!!!",F2284="NEW"),"",INDEX(J$1:J2283,SUMPRODUCT(MAX(ROW(E$1:E2283)*(E2284=E$1:E2283)))))</f>
        <v> </v>
      </c>
      <c r="L2284" s="27"/>
    </row>
    <row r="2285" spans="1:12">
      <c r="A2285" s="20" t="s">
        <v>1347</v>
      </c>
      <c r="B2285" s="21" t="s">
        <v>422</v>
      </c>
      <c r="E2285" s="22">
        <f>IF(D2285="?OLD","!!!","")</f>
        <v/>
      </c>
      <c r="F2285" s="23" t="str">
        <f>IF(OR(E2285="",E2285="!!!"),"",IF(NOT(ISNA(VLOOKUP(E2285,E$1:E2284,1,FALSE()))),"OLD",IF(AND(E2285&lt;&gt;"",E2285&lt;&gt;"!!!"),"NEW","")))</f>
        <v> </v>
      </c>
      <c r="G2285" s="24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5" t="str">
        <f>IF(J2285&lt;&gt;1,"",IF(I2285="SBJ","CB","?"))</f>
        <v> </v>
      </c>
      <c r="I2285" s="26" t="str">
        <f>IF(OR(E2285="",E2285="!!!",F2285="NEW"),"",INDEX(B2284:B$2,-1+SUMPRODUCT(MAX(ROW(E2284:E$2)*(E2285=E2284:E$2)))))</f>
        <v> </v>
      </c>
      <c r="J2285" s="26" t="str">
        <f>IF(OR(E2285="",E2285="!!!",F2285="NEW"),"",COUNTBLANK(OFFSET(A$1,,,SUMPRODUCT(MAX(ROW(E$2:E2285)*(E2285=E$2:E2285)))))-COUNTBLANK(OFFSET(A$1,,,SUMPRODUCT(MAX(ROW(E$1:E2284)*(E2=E$1:E2284))))))</f>
        <v> </v>
      </c>
      <c r="K2285" s="26" t="str">
        <f>IF(OR(E2285="",E2285="!!!",F2285="NEW"),"",INDEX(J$1:J2284,SUMPRODUCT(MAX(ROW(E$1:E2284)*(E2285=E$1:E2284)))))</f>
        <v> </v>
      </c>
      <c r="L2285" s="27"/>
    </row>
    <row r="2286" spans="1:12">
      <c r="A2286" s="20" t="s">
        <v>453</v>
      </c>
      <c r="E2286" s="22">
        <f>IF(D2286="?OLD","!!!","")</f>
        <v/>
      </c>
      <c r="F2286" s="23" t="str">
        <f>IF(OR(E2286="",E2286="!!!"),"",IF(NOT(ISNA(VLOOKUP(E2286,E$1:E2285,1,FALSE()))),"OLD",IF(AND(E2286&lt;&gt;"",E2286&lt;&gt;"!!!"),"NEW","")))</f>
        <v> </v>
      </c>
      <c r="G2286" s="24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5" t="str">
        <f>IF(J2286&lt;&gt;1,"",IF(I2286="SBJ","CB","?"))</f>
        <v> </v>
      </c>
      <c r="I2286" s="26" t="str">
        <f>IF(OR(E2286="",E2286="!!!",F2286="NEW"),"",INDEX(B2285:B$2,-1+SUMPRODUCT(MAX(ROW(E2285:E$2)*(E2286=E2285:E$2)))))</f>
        <v> </v>
      </c>
      <c r="J2286" s="26" t="str">
        <f>IF(OR(E2286="",E2286="!!!",F2286="NEW"),"",COUNTBLANK(OFFSET(A$1,,,SUMPRODUCT(MAX(ROW(E$2:E2286)*(E2286=E$2:E2286)))))-COUNTBLANK(OFFSET(A$1,,,SUMPRODUCT(MAX(ROW(E$1:E2285)*(E2=E$1:E2285))))))</f>
        <v> </v>
      </c>
      <c r="K2286" s="26" t="str">
        <f>IF(OR(E2286="",E2286="!!!",F2286="NEW"),"",INDEX(J$1:J2285,SUMPRODUCT(MAX(ROW(E$1:E2285)*(E2286=E$1:E2285)))))</f>
        <v> </v>
      </c>
      <c r="L2286" s="27"/>
    </row>
    <row r="2287" spans="1:12">
      <c r="A2287" s="20" t="s">
        <v>558</v>
      </c>
      <c r="B2287" s="21" t="s">
        <v>462</v>
      </c>
      <c r="C2287" s="21" t="s">
        <v>481</v>
      </c>
      <c r="E2287" s="22">
        <f>IF(D2287="?OLD","!!!","")</f>
        <v/>
      </c>
      <c r="F2287" s="23" t="str">
        <f>IF(OR(E2287="",E2287="!!!"),"",IF(NOT(ISNA(VLOOKUP(E2287,E$1:E2286,1,FALSE()))),"OLD",IF(AND(E2287&lt;&gt;"",E2287&lt;&gt;"!!!"),"NEW","")))</f>
        <v> </v>
      </c>
      <c r="G2287" s="24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5" t="str">
        <f>IF(J2287&lt;&gt;1,"",IF(I2287="SBJ","CB","?"))</f>
        <v> </v>
      </c>
      <c r="I2287" s="26" t="str">
        <f>IF(OR(E2287="",E2287="!!!",F2287="NEW"),"",INDEX(B2286:B$2,-1+SUMPRODUCT(MAX(ROW(E2286:E$2)*(E2287=E2286:E$2)))))</f>
        <v> </v>
      </c>
      <c r="J2287" s="26" t="str">
        <f>IF(OR(E2287="",E2287="!!!",F2287="NEW"),"",COUNTBLANK(OFFSET(A$1,,,SUMPRODUCT(MAX(ROW(E$2:E2287)*(E2287=E$2:E2287)))))-COUNTBLANK(OFFSET(A$1,,,SUMPRODUCT(MAX(ROW(E$1:E2286)*(E2=E$1:E2286))))))</f>
        <v> </v>
      </c>
      <c r="K2287" s="26" t="str">
        <f>IF(OR(E2287="",E2287="!!!",F2287="NEW"),"",INDEX(J$1:J2286,SUMPRODUCT(MAX(ROW(E$1:E2286)*(E2287=E$1:E2286)))))</f>
        <v> </v>
      </c>
      <c r="L2287" s="27"/>
    </row>
    <row r="2288" spans="1:12">
      <c r="A2288" s="20" t="s">
        <v>1457</v>
      </c>
      <c r="E2288" s="22">
        <f>IF(D2288="?OLD","!!!","")</f>
        <v/>
      </c>
      <c r="F2288" s="23" t="str">
        <f>IF(OR(E2288="",E2288="!!!"),"",IF(NOT(ISNA(VLOOKUP(E2288,E$1:E2287,1,FALSE()))),"OLD",IF(AND(E2288&lt;&gt;"",E2288&lt;&gt;"!!!"),"NEW","")))</f>
        <v> </v>
      </c>
      <c r="G2288" s="24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5" t="str">
        <f>IF(J2288&lt;&gt;1,"",IF(I2288="SBJ","CB","?"))</f>
        <v> </v>
      </c>
      <c r="I2288" s="26" t="str">
        <f>IF(OR(E2288="",E2288="!!!",F2288="NEW"),"",INDEX(B2287:B$2,-1+SUMPRODUCT(MAX(ROW(E2287:E$2)*(E2288=E2287:E$2)))))</f>
        <v> </v>
      </c>
      <c r="J2288" s="26" t="str">
        <f>IF(OR(E2288="",E2288="!!!",F2288="NEW"),"",COUNTBLANK(OFFSET(A$1,,,SUMPRODUCT(MAX(ROW(E$2:E2288)*(E2288=E$2:E2288)))))-COUNTBLANK(OFFSET(A$1,,,SUMPRODUCT(MAX(ROW(E$1:E2287)*(E2=E$1:E2287))))))</f>
        <v> </v>
      </c>
      <c r="K2288" s="26" t="str">
        <f>IF(OR(E2288="",E2288="!!!",F2288="NEW"),"",INDEX(J$1:J2287,SUMPRODUCT(MAX(ROW(E$1:E2287)*(E2288=E$1:E2287)))))</f>
        <v> </v>
      </c>
      <c r="L2288" s="27"/>
    </row>
    <row r="2289" spans="1:12">
      <c r="A2289" s="20" t="s">
        <v>609</v>
      </c>
      <c r="E2289" s="22">
        <f>IF(D2289="?OLD","!!!","")</f>
        <v/>
      </c>
      <c r="F2289" s="23" t="str">
        <f>IF(OR(E2289="",E2289="!!!"),"",IF(NOT(ISNA(VLOOKUP(E2289,E$1:E2288,1,FALSE()))),"OLD",IF(AND(E2289&lt;&gt;"",E2289&lt;&gt;"!!!"),"NEW","")))</f>
        <v> </v>
      </c>
      <c r="G2289" s="24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5" t="str">
        <f>IF(J2289&lt;&gt;1,"",IF(I2289="SBJ","CB","?"))</f>
        <v> </v>
      </c>
      <c r="I2289" s="26" t="str">
        <f>IF(OR(E2289="",E2289="!!!",F2289="NEW"),"",INDEX(B2288:B$2,-1+SUMPRODUCT(MAX(ROW(E2288:E$2)*(E2289=E2288:E$2)))))</f>
        <v> </v>
      </c>
      <c r="J2289" s="26" t="str">
        <f>IF(OR(E2289="",E2289="!!!",F2289="NEW"),"",COUNTBLANK(OFFSET(A$1,,,SUMPRODUCT(MAX(ROW(E$2:E2289)*(E2289=E$2:E2289)))))-COUNTBLANK(OFFSET(A$1,,,SUMPRODUCT(MAX(ROW(E$1:E2288)*(E2=E$1:E2288))))))</f>
        <v> </v>
      </c>
      <c r="K2289" s="26" t="str">
        <f>IF(OR(E2289="",E2289="!!!",F2289="NEW"),"",INDEX(J$1:J2288,SUMPRODUCT(MAX(ROW(E$1:E2288)*(E2289=E$1:E2288)))))</f>
        <v> </v>
      </c>
      <c r="L2289" s="27"/>
    </row>
    <row r="2290" spans="1:12">
      <c r="A2290" s="20" t="s">
        <v>453</v>
      </c>
      <c r="E2290" s="22">
        <f>IF(D2290="?OLD","!!!","")</f>
        <v/>
      </c>
      <c r="F2290" s="23" t="str">
        <f>IF(OR(E2290="",E2290="!!!"),"",IF(NOT(ISNA(VLOOKUP(E2290,E$1:E2289,1,FALSE()))),"OLD",IF(AND(E2290&lt;&gt;"",E2290&lt;&gt;"!!!"),"NEW","")))</f>
        <v> </v>
      </c>
      <c r="G2290" s="24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5" t="str">
        <f>IF(J2290&lt;&gt;1,"",IF(I2290="SBJ","CB","?"))</f>
        <v> </v>
      </c>
      <c r="I2290" s="26" t="str">
        <f>IF(OR(E2290="",E2290="!!!",F2290="NEW"),"",INDEX(B2289:B$2,-1+SUMPRODUCT(MAX(ROW(E2289:E$2)*(E2290=E2289:E$2)))))</f>
        <v> </v>
      </c>
      <c r="J2290" s="26" t="str">
        <f>IF(OR(E2290="",E2290="!!!",F2290="NEW"),"",COUNTBLANK(OFFSET(A$1,,,SUMPRODUCT(MAX(ROW(E$2:E2290)*(E2290=E$2:E2290)))))-COUNTBLANK(OFFSET(A$1,,,SUMPRODUCT(MAX(ROW(E$1:E2289)*(E2=E$1:E2289))))))</f>
        <v> </v>
      </c>
      <c r="K2290" s="26" t="str">
        <f>IF(OR(E2290="",E2290="!!!",F2290="NEW"),"",INDEX(J$1:J2289,SUMPRODUCT(MAX(ROW(E$1:E2289)*(E2290=E$1:E2289)))))</f>
        <v> </v>
      </c>
      <c r="L2290" s="27"/>
    </row>
    <row r="2291" spans="1:12">
      <c r="A2291" s="20" t="s">
        <v>609</v>
      </c>
      <c r="E2291" s="22">
        <f>IF(D2291="?OLD","!!!","")</f>
        <v/>
      </c>
      <c r="F2291" s="23" t="str">
        <f>IF(OR(E2291="",E2291="!!!"),"",IF(NOT(ISNA(VLOOKUP(E2291,E$1:E2290,1,FALSE()))),"OLD",IF(AND(E2291&lt;&gt;"",E2291&lt;&gt;"!!!"),"NEW","")))</f>
        <v> </v>
      </c>
      <c r="G2291" s="24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5" t="str">
        <f>IF(J2291&lt;&gt;1,"",IF(I2291="SBJ","CB","?"))</f>
        <v> </v>
      </c>
      <c r="I2291" s="26" t="str">
        <f>IF(OR(E2291="",E2291="!!!",F2291="NEW"),"",INDEX(B2290:B$2,-1+SUMPRODUCT(MAX(ROW(E2290:E$2)*(E2291=E2290:E$2)))))</f>
        <v> </v>
      </c>
      <c r="J2291" s="26" t="str">
        <f>IF(OR(E2291="",E2291="!!!",F2291="NEW"),"",COUNTBLANK(OFFSET(A$1,,,SUMPRODUCT(MAX(ROW(E$2:E2291)*(E2291=E$2:E2291)))))-COUNTBLANK(OFFSET(A$1,,,SUMPRODUCT(MAX(ROW(E$1:E2290)*(E2=E$1:E2290))))))</f>
        <v> </v>
      </c>
      <c r="K2291" s="26" t="str">
        <f>IF(OR(E2291="",E2291="!!!",F2291="NEW"),"",INDEX(J$1:J2290,SUMPRODUCT(MAX(ROW(E$1:E2290)*(E2291=E$1:E2290)))))</f>
        <v> </v>
      </c>
      <c r="L2291" s="27"/>
    </row>
    <row r="2292" spans="1:12">
      <c r="A2292" s="20" t="s">
        <v>1458</v>
      </c>
      <c r="E2292" s="22">
        <f>IF(D2292="?OLD","!!!","")</f>
        <v/>
      </c>
      <c r="F2292" s="23" t="str">
        <f>IF(OR(E2292="",E2292="!!!"),"",IF(NOT(ISNA(VLOOKUP(E2292,E$1:E2291,1,FALSE()))),"OLD",IF(AND(E2292&lt;&gt;"",E2292&lt;&gt;"!!!"),"NEW","")))</f>
        <v> </v>
      </c>
      <c r="G2292" s="24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5" t="str">
        <f>IF(J2292&lt;&gt;1,"",IF(I2292="SBJ","CB","?"))</f>
        <v> </v>
      </c>
      <c r="I2292" s="26" t="str">
        <f>IF(OR(E2292="",E2292="!!!",F2292="NEW"),"",INDEX(B2291:B$2,-1+SUMPRODUCT(MAX(ROW(E2291:E$2)*(E2292=E2291:E$2)))))</f>
        <v> </v>
      </c>
      <c r="J2292" s="26" t="str">
        <f>IF(OR(E2292="",E2292="!!!",F2292="NEW"),"",COUNTBLANK(OFFSET(A$1,,,SUMPRODUCT(MAX(ROW(E$2:E2292)*(E2292=E$2:E2292)))))-COUNTBLANK(OFFSET(A$1,,,SUMPRODUCT(MAX(ROW(E$1:E2291)*(E2=E$1:E2291))))))</f>
        <v> </v>
      </c>
      <c r="K2292" s="26" t="str">
        <f>IF(OR(E2292="",E2292="!!!",F2292="NEW"),"",INDEX(J$1:J2291,SUMPRODUCT(MAX(ROW(E$1:E2291)*(E2292=E$1:E2291)))))</f>
        <v> </v>
      </c>
      <c r="L2292" s="27"/>
    </row>
    <row r="2293" spans="1:12">
      <c r="A2293" s="20" t="s">
        <v>1459</v>
      </c>
      <c r="E2293" s="22">
        <f>IF(D2293="?OLD","!!!","")</f>
        <v/>
      </c>
      <c r="F2293" s="23" t="str">
        <f>IF(OR(E2293="",E2293="!!!"),"",IF(NOT(ISNA(VLOOKUP(E2293,E$1:E2292,1,FALSE()))),"OLD",IF(AND(E2293&lt;&gt;"",E2293&lt;&gt;"!!!"),"NEW","")))</f>
        <v> </v>
      </c>
      <c r="G2293" s="24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5" t="str">
        <f>IF(J2293&lt;&gt;1,"",IF(I2293="SBJ","CB","?"))</f>
        <v> </v>
      </c>
      <c r="I2293" s="26" t="str">
        <f>IF(OR(E2293="",E2293="!!!",F2293="NEW"),"",INDEX(B2292:B$2,-1+SUMPRODUCT(MAX(ROW(E2292:E$2)*(E2293=E2292:E$2)))))</f>
        <v> </v>
      </c>
      <c r="J2293" s="26" t="str">
        <f>IF(OR(E2293="",E2293="!!!",F2293="NEW"),"",COUNTBLANK(OFFSET(A$1,,,SUMPRODUCT(MAX(ROW(E$2:E2293)*(E2293=E$2:E2293)))))-COUNTBLANK(OFFSET(A$1,,,SUMPRODUCT(MAX(ROW(E$1:E2292)*(E2=E$1:E2292))))))</f>
        <v> </v>
      </c>
      <c r="K2293" s="26" t="str">
        <f>IF(OR(E2293="",E2293="!!!",F2293="NEW"),"",INDEX(J$1:J2292,SUMPRODUCT(MAX(ROW(E$1:E2292)*(E2293=E$1:E2292)))))</f>
        <v> </v>
      </c>
      <c r="L2293" s="27"/>
    </row>
    <row r="2294" spans="1:12">
      <c r="A2294" s="20" t="s">
        <v>453</v>
      </c>
      <c r="E2294" s="22">
        <f>IF(D2294="?OLD","!!!","")</f>
        <v/>
      </c>
      <c r="F2294" s="23" t="str">
        <f>IF(OR(E2294="",E2294="!!!"),"",IF(NOT(ISNA(VLOOKUP(E2294,E$1:E2293,1,FALSE()))),"OLD",IF(AND(E2294&lt;&gt;"",E2294&lt;&gt;"!!!"),"NEW","")))</f>
        <v> </v>
      </c>
      <c r="G2294" s="24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5" t="str">
        <f>IF(J2294&lt;&gt;1,"",IF(I2294="SBJ","CB","?"))</f>
        <v> </v>
      </c>
      <c r="I2294" s="26" t="str">
        <f>IF(OR(E2294="",E2294="!!!",F2294="NEW"),"",INDEX(B2293:B$2,-1+SUMPRODUCT(MAX(ROW(E2293:E$2)*(E2294=E2293:E$2)))))</f>
        <v> </v>
      </c>
      <c r="J2294" s="26" t="str">
        <f>IF(OR(E2294="",E2294="!!!",F2294="NEW"),"",COUNTBLANK(OFFSET(A$1,,,SUMPRODUCT(MAX(ROW(E$2:E2294)*(E2294=E$2:E2294)))))-COUNTBLANK(OFFSET(A$1,,,SUMPRODUCT(MAX(ROW(E$1:E2293)*(E2=E$1:E2293))))))</f>
        <v> </v>
      </c>
      <c r="K2294" s="26" t="str">
        <f>IF(OR(E2294="",E2294="!!!",F2294="NEW"),"",INDEX(J$1:J2293,SUMPRODUCT(MAX(ROW(E$1:E2293)*(E2294=E$1:E2293)))))</f>
        <v> </v>
      </c>
      <c r="L2294" s="27"/>
    </row>
    <row r="2295" spans="1:12">
      <c r="A2295" s="20" t="s">
        <v>676</v>
      </c>
      <c r="E2295" s="22">
        <f>IF(D2295="?OLD","!!!","")</f>
        <v/>
      </c>
      <c r="F2295" s="23" t="str">
        <f>IF(OR(E2295="",E2295="!!!"),"",IF(NOT(ISNA(VLOOKUP(E2295,E$1:E2294,1,FALSE()))),"OLD",IF(AND(E2295&lt;&gt;"",E2295&lt;&gt;"!!!"),"NEW","")))</f>
        <v> </v>
      </c>
      <c r="G2295" s="24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5" t="str">
        <f>IF(J2295&lt;&gt;1,"",IF(I2295="SBJ","CB","?"))</f>
        <v> </v>
      </c>
      <c r="I2295" s="26" t="str">
        <f>IF(OR(E2295="",E2295="!!!",F2295="NEW"),"",INDEX(B2294:B$2,-1+SUMPRODUCT(MAX(ROW(E2294:E$2)*(E2295=E2294:E$2)))))</f>
        <v> </v>
      </c>
      <c r="J2295" s="26" t="str">
        <f>IF(OR(E2295="",E2295="!!!",F2295="NEW"),"",COUNTBLANK(OFFSET(A$1,,,SUMPRODUCT(MAX(ROW(E$2:E2295)*(E2295=E$2:E2295)))))-COUNTBLANK(OFFSET(A$1,,,SUMPRODUCT(MAX(ROW(E$1:E2294)*(E2=E$1:E2294))))))</f>
        <v> </v>
      </c>
      <c r="K2295" s="26" t="str">
        <f>IF(OR(E2295="",E2295="!!!",F2295="NEW"),"",INDEX(J$1:J2294,SUMPRODUCT(MAX(ROW(E$1:E2294)*(E2295=E$1:E2294)))))</f>
        <v> </v>
      </c>
      <c r="L2295" s="27"/>
    </row>
    <row r="2296" spans="1:12">
      <c r="A2296" s="20" t="s">
        <v>1460</v>
      </c>
      <c r="E2296" s="22">
        <f>IF(D2296="?OLD","!!!","")</f>
        <v/>
      </c>
      <c r="F2296" s="23" t="str">
        <f>IF(OR(E2296="",E2296="!!!"),"",IF(NOT(ISNA(VLOOKUP(E2296,E$1:E2295,1,FALSE()))),"OLD",IF(AND(E2296&lt;&gt;"",E2296&lt;&gt;"!!!"),"NEW","")))</f>
        <v> </v>
      </c>
      <c r="G2296" s="24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5" t="str">
        <f>IF(J2296&lt;&gt;1,"",IF(I2296="SBJ","CB","?"))</f>
        <v> </v>
      </c>
      <c r="I2296" s="26" t="str">
        <f>IF(OR(E2296="",E2296="!!!",F2296="NEW"),"",INDEX(B2295:B$2,-1+SUMPRODUCT(MAX(ROW(E2295:E$2)*(E2296=E2295:E$2)))))</f>
        <v> </v>
      </c>
      <c r="J2296" s="26" t="str">
        <f>IF(OR(E2296="",E2296="!!!",F2296="NEW"),"",COUNTBLANK(OFFSET(A$1,,,SUMPRODUCT(MAX(ROW(E$2:E2296)*(E2296=E$2:E2296)))))-COUNTBLANK(OFFSET(A$1,,,SUMPRODUCT(MAX(ROW(E$1:E2295)*(E2=E$1:E2295))))))</f>
        <v> </v>
      </c>
      <c r="K2296" s="26" t="str">
        <f>IF(OR(E2296="",E2296="!!!",F2296="NEW"),"",INDEX(J$1:J2295,SUMPRODUCT(MAX(ROW(E$1:E2295)*(E2296=E$1:E2295)))))</f>
        <v> </v>
      </c>
      <c r="L2296" s="27"/>
    </row>
    <row r="2297" spans="1:12">
      <c r="A2297" s="20" t="s">
        <v>1461</v>
      </c>
      <c r="E2297" s="22">
        <f>IF(D2297="?OLD","!!!","")</f>
        <v/>
      </c>
      <c r="F2297" s="23" t="str">
        <f>IF(OR(E2297="",E2297="!!!"),"",IF(NOT(ISNA(VLOOKUP(E2297,E$1:E2296,1,FALSE()))),"OLD",IF(AND(E2297&lt;&gt;"",E2297&lt;&gt;"!!!"),"NEW","")))</f>
        <v> </v>
      </c>
      <c r="G2297" s="24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5" t="str">
        <f>IF(J2297&lt;&gt;1,"",IF(I2297="SBJ","CB","?"))</f>
        <v> </v>
      </c>
      <c r="I2297" s="26" t="str">
        <f>IF(OR(E2297="",E2297="!!!",F2297="NEW"),"",INDEX(B2296:B$2,-1+SUMPRODUCT(MAX(ROW(E2296:E$2)*(E2297=E2296:E$2)))))</f>
        <v> </v>
      </c>
      <c r="J2297" s="26" t="str">
        <f>IF(OR(E2297="",E2297="!!!",F2297="NEW"),"",COUNTBLANK(OFFSET(A$1,,,SUMPRODUCT(MAX(ROW(E$2:E2297)*(E2297=E$2:E2297)))))-COUNTBLANK(OFFSET(A$1,,,SUMPRODUCT(MAX(ROW(E$1:E2296)*(E2=E$1:E2296))))))</f>
        <v> </v>
      </c>
      <c r="K2297" s="26" t="str">
        <f>IF(OR(E2297="",E2297="!!!",F2297="NEW"),"",INDEX(J$1:J2296,SUMPRODUCT(MAX(ROW(E$1:E2296)*(E2297=E$1:E2296)))))</f>
        <v> </v>
      </c>
      <c r="L2297" s="27"/>
    </row>
    <row r="2298" spans="1:12">
      <c r="A2298" s="20" t="s">
        <v>1027</v>
      </c>
      <c r="E2298" s="22">
        <f>IF(D2298="?OLD","!!!","")</f>
        <v/>
      </c>
      <c r="F2298" s="23" t="str">
        <f>IF(OR(E2298="",E2298="!!!"),"",IF(NOT(ISNA(VLOOKUP(E2298,E$1:E2297,1,FALSE()))),"OLD",IF(AND(E2298&lt;&gt;"",E2298&lt;&gt;"!!!"),"NEW","")))</f>
        <v> </v>
      </c>
      <c r="G2298" s="24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5" t="str">
        <f>IF(J2298&lt;&gt;1,"",IF(I2298="SBJ","CB","?"))</f>
        <v> </v>
      </c>
      <c r="I2298" s="26" t="str">
        <f>IF(OR(E2298="",E2298="!!!",F2298="NEW"),"",INDEX(B2297:B$2,-1+SUMPRODUCT(MAX(ROW(E2297:E$2)*(E2298=E2297:E$2)))))</f>
        <v> </v>
      </c>
      <c r="J2298" s="26" t="str">
        <f>IF(OR(E2298="",E2298="!!!",F2298="NEW"),"",COUNTBLANK(OFFSET(A$1,,,SUMPRODUCT(MAX(ROW(E$2:E2298)*(E2298=E$2:E2298)))))-COUNTBLANK(OFFSET(A$1,,,SUMPRODUCT(MAX(ROW(E$1:E2297)*(E2=E$1:E2297))))))</f>
        <v> </v>
      </c>
      <c r="K2298" s="26" t="str">
        <f>IF(OR(E2298="",E2298="!!!",F2298="NEW"),"",INDEX(J$1:J2297,SUMPRODUCT(MAX(ROW(E$1:E2297)*(E2298=E$1:E2297)))))</f>
        <v> </v>
      </c>
      <c r="L2298" s="27"/>
    </row>
    <row r="2299" spans="1:12">
      <c r="A2299" s="20" t="s">
        <v>506</v>
      </c>
      <c r="E2299" s="22">
        <f>IF(D2299="?OLD","!!!","")</f>
        <v/>
      </c>
      <c r="F2299" s="23" t="str">
        <f>IF(OR(E2299="",E2299="!!!"),"",IF(NOT(ISNA(VLOOKUP(E2299,E$1:E2298,1,FALSE()))),"OLD",IF(AND(E2299&lt;&gt;"",E2299&lt;&gt;"!!!"),"NEW","")))</f>
        <v> </v>
      </c>
      <c r="G2299" s="24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5" t="str">
        <f>IF(J2299&lt;&gt;1,"",IF(I2299="SBJ","CB","?"))</f>
        <v> </v>
      </c>
      <c r="I2299" s="26" t="str">
        <f>IF(OR(E2299="",E2299="!!!",F2299="NEW"),"",INDEX(B2298:B$2,-1+SUMPRODUCT(MAX(ROW(E2298:E$2)*(E2299=E2298:E$2)))))</f>
        <v> </v>
      </c>
      <c r="J2299" s="26" t="str">
        <f>IF(OR(E2299="",E2299="!!!",F2299="NEW"),"",COUNTBLANK(OFFSET(A$1,,,SUMPRODUCT(MAX(ROW(E$2:E2299)*(E2299=E$2:E2299)))))-COUNTBLANK(OFFSET(A$1,,,SUMPRODUCT(MAX(ROW(E$1:E2298)*(E2=E$1:E2298))))))</f>
        <v> </v>
      </c>
      <c r="K2299" s="26" t="str">
        <f>IF(OR(E2299="",E2299="!!!",F2299="NEW"),"",INDEX(J$1:J2298,SUMPRODUCT(MAX(ROW(E$1:E2298)*(E2299=E$1:E2298)))))</f>
        <v> </v>
      </c>
      <c r="L2299" s="27"/>
    </row>
    <row r="2300" spans="1:12">
      <c r="A2300" s="20" t="s">
        <v>1462</v>
      </c>
      <c r="E2300" s="22">
        <f>IF(D2300="?OLD","!!!","")</f>
        <v/>
      </c>
      <c r="F2300" s="23" t="str">
        <f>IF(OR(E2300="",E2300="!!!"),"",IF(NOT(ISNA(VLOOKUP(E2300,E$1:E2299,1,FALSE()))),"OLD",IF(AND(E2300&lt;&gt;"",E2300&lt;&gt;"!!!"),"NEW","")))</f>
        <v> </v>
      </c>
      <c r="G2300" s="24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5" t="str">
        <f>IF(J2300&lt;&gt;1,"",IF(I2300="SBJ","CB","?"))</f>
        <v> </v>
      </c>
      <c r="I2300" s="26" t="str">
        <f>IF(OR(E2300="",E2300="!!!",F2300="NEW"),"",INDEX(B2299:B$2,-1+SUMPRODUCT(MAX(ROW(E2299:E$2)*(E2300=E2299:E$2)))))</f>
        <v> </v>
      </c>
      <c r="J2300" s="26" t="str">
        <f>IF(OR(E2300="",E2300="!!!",F2300="NEW"),"",COUNTBLANK(OFFSET(A$1,,,SUMPRODUCT(MAX(ROW(E$2:E2300)*(E2300=E$2:E2300)))))-COUNTBLANK(OFFSET(A$1,,,SUMPRODUCT(MAX(ROW(E$1:E2299)*(E2=E$1:E2299))))))</f>
        <v> </v>
      </c>
      <c r="K2300" s="26" t="str">
        <f>IF(OR(E2300="",E2300="!!!",F2300="NEW"),"",INDEX(J$1:J2299,SUMPRODUCT(MAX(ROW(E$1:E2299)*(E2300=E$1:E2299)))))</f>
        <v> </v>
      </c>
      <c r="L2300" s="27"/>
    </row>
    <row r="2301" spans="1:12">
      <c r="A2301" s="20" t="s">
        <v>918</v>
      </c>
      <c r="E2301" s="22">
        <f>IF(D2301="?OLD","!!!","")</f>
        <v/>
      </c>
      <c r="F2301" s="23" t="str">
        <f>IF(OR(E2301="",E2301="!!!"),"",IF(NOT(ISNA(VLOOKUP(E2301,E$1:E2300,1,FALSE()))),"OLD",IF(AND(E2301&lt;&gt;"",E2301&lt;&gt;"!!!"),"NEW","")))</f>
        <v> </v>
      </c>
      <c r="G2301" s="24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5" t="str">
        <f>IF(J2301&lt;&gt;1,"",IF(I2301="SBJ","CB","?"))</f>
        <v> </v>
      </c>
      <c r="I2301" s="26" t="str">
        <f>IF(OR(E2301="",E2301="!!!",F2301="NEW"),"",INDEX(B2300:B$2,-1+SUMPRODUCT(MAX(ROW(E2300:E$2)*(E2301=E2300:E$2)))))</f>
        <v> </v>
      </c>
      <c r="J2301" s="26" t="str">
        <f>IF(OR(E2301="",E2301="!!!",F2301="NEW"),"",COUNTBLANK(OFFSET(A$1,,,SUMPRODUCT(MAX(ROW(E$2:E2301)*(E2301=E$2:E2301)))))-COUNTBLANK(OFFSET(A$1,,,SUMPRODUCT(MAX(ROW(E$1:E2300)*(E2=E$1:E2300))))))</f>
        <v> </v>
      </c>
      <c r="K2301" s="26" t="str">
        <f>IF(OR(E2301="",E2301="!!!",F2301="NEW"),"",INDEX(J$1:J2300,SUMPRODUCT(MAX(ROW(E$1:E2300)*(E2301=E$1:E2300)))))</f>
        <v> </v>
      </c>
      <c r="L2301" s="27"/>
    </row>
    <row r="2302" spans="1:12">
      <c r="A2302" s="20" t="s">
        <v>453</v>
      </c>
      <c r="E2302" s="22">
        <f>IF(D2302="?OLD","!!!","")</f>
        <v/>
      </c>
      <c r="F2302" s="23" t="str">
        <f>IF(OR(E2302="",E2302="!!!"),"",IF(NOT(ISNA(VLOOKUP(E2302,E$1:E2301,1,FALSE()))),"OLD",IF(AND(E2302&lt;&gt;"",E2302&lt;&gt;"!!!"),"NEW","")))</f>
        <v> </v>
      </c>
      <c r="G2302" s="24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5" t="str">
        <f>IF(J2302&lt;&gt;1,"",IF(I2302="SBJ","CB","?"))</f>
        <v> </v>
      </c>
      <c r="I2302" s="26" t="str">
        <f>IF(OR(E2302="",E2302="!!!",F2302="NEW"),"",INDEX(B2301:B$2,-1+SUMPRODUCT(MAX(ROW(E2301:E$2)*(E2302=E2301:E$2)))))</f>
        <v> </v>
      </c>
      <c r="J2302" s="26" t="str">
        <f>IF(OR(E2302="",E2302="!!!",F2302="NEW"),"",COUNTBLANK(OFFSET(A$1,,,SUMPRODUCT(MAX(ROW(E$2:E2302)*(E2302=E$2:E2302)))))-COUNTBLANK(OFFSET(A$1,,,SUMPRODUCT(MAX(ROW(E$1:E2301)*(E2=E$1:E2301))))))</f>
        <v> </v>
      </c>
      <c r="K2302" s="26" t="str">
        <f>IF(OR(E2302="",E2302="!!!",F2302="NEW"),"",INDEX(J$1:J2301,SUMPRODUCT(MAX(ROW(E$1:E2301)*(E2302=E$1:E2301)))))</f>
        <v> </v>
      </c>
      <c r="L2302" s="27"/>
    </row>
    <row r="2303" spans="1:12">
      <c r="A2303" s="20" t="s">
        <v>626</v>
      </c>
      <c r="E2303" s="22">
        <f>IF(D2303="?OLD","!!!","")</f>
        <v/>
      </c>
      <c r="F2303" s="23" t="str">
        <f>IF(OR(E2303="",E2303="!!!"),"",IF(NOT(ISNA(VLOOKUP(E2303,E$1:E2302,1,FALSE()))),"OLD",IF(AND(E2303&lt;&gt;"",E2303&lt;&gt;"!!!"),"NEW","")))</f>
        <v> </v>
      </c>
      <c r="G2303" s="24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5" t="str">
        <f>IF(J2303&lt;&gt;1,"",IF(I2303="SBJ","CB","?"))</f>
        <v> </v>
      </c>
      <c r="I2303" s="26" t="str">
        <f>IF(OR(E2303="",E2303="!!!",F2303="NEW"),"",INDEX(B2302:B$2,-1+SUMPRODUCT(MAX(ROW(E2302:E$2)*(E2303=E2302:E$2)))))</f>
        <v> </v>
      </c>
      <c r="J2303" s="26" t="str">
        <f>IF(OR(E2303="",E2303="!!!",F2303="NEW"),"",COUNTBLANK(OFFSET(A$1,,,SUMPRODUCT(MAX(ROW(E$2:E2303)*(E2303=E$2:E2303)))))-COUNTBLANK(OFFSET(A$1,,,SUMPRODUCT(MAX(ROW(E$1:E2302)*(E2=E$1:E2302))))))</f>
        <v> </v>
      </c>
      <c r="K2303" s="26" t="str">
        <f>IF(OR(E2303="",E2303="!!!",F2303="NEW"),"",INDEX(J$1:J2302,SUMPRODUCT(MAX(ROW(E$1:E2302)*(E2303=E$1:E2302)))))</f>
        <v> </v>
      </c>
      <c r="L2303" s="27"/>
    </row>
    <row r="2304" spans="1:12">
      <c r="A2304" s="20" t="s">
        <v>199</v>
      </c>
      <c r="E2304" s="22">
        <f>IF(D2304="?OLD","!!!","")</f>
        <v/>
      </c>
      <c r="F2304" s="23" t="str">
        <f>IF(OR(E2304="",E2304="!!!"),"",IF(NOT(ISNA(VLOOKUP(E2304,E$1:E2303,1,FALSE()))),"OLD",IF(AND(E2304&lt;&gt;"",E2304&lt;&gt;"!!!"),"NEW","")))</f>
        <v> </v>
      </c>
      <c r="G2304" s="24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5" t="str">
        <f>IF(J2304&lt;&gt;1,"",IF(I2304="SBJ","CB","?"))</f>
        <v> </v>
      </c>
      <c r="I2304" s="26" t="str">
        <f>IF(OR(E2304="",E2304="!!!",F2304="NEW"),"",INDEX(B2303:B$2,-1+SUMPRODUCT(MAX(ROW(E2303:E$2)*(E2304=E2303:E$2)))))</f>
        <v> </v>
      </c>
      <c r="J2304" s="26" t="str">
        <f>IF(OR(E2304="",E2304="!!!",F2304="NEW"),"",COUNTBLANK(OFFSET(A$1,,,SUMPRODUCT(MAX(ROW(E$2:E2304)*(E2304=E$2:E2304)))))-COUNTBLANK(OFFSET(A$1,,,SUMPRODUCT(MAX(ROW(E$1:E2303)*(E2=E$1:E2303))))))</f>
        <v> </v>
      </c>
      <c r="K2304" s="26" t="str">
        <f>IF(OR(E2304="",E2304="!!!",F2304="NEW"),"",INDEX(J$1:J2303,SUMPRODUCT(MAX(ROW(E$1:E2303)*(E2304=E$1:E2303)))))</f>
        <v> </v>
      </c>
      <c r="L2304" s="27"/>
    </row>
    <row r="2305" spans="1:12">
      <c r="A2305" s="20" t="s">
        <v>453</v>
      </c>
      <c r="E2305" s="22">
        <f>IF(D2305="?OLD","!!!","")</f>
        <v/>
      </c>
      <c r="F2305" s="23" t="str">
        <f>IF(OR(E2305="",E2305="!!!"),"",IF(NOT(ISNA(VLOOKUP(E2305,E$1:E2304,1,FALSE()))),"OLD",IF(AND(E2305&lt;&gt;"",E2305&lt;&gt;"!!!"),"NEW","")))</f>
        <v> </v>
      </c>
      <c r="G2305" s="24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5" t="str">
        <f>IF(J2305&lt;&gt;1,"",IF(I2305="SBJ","CB","?"))</f>
        <v> </v>
      </c>
      <c r="I2305" s="26" t="str">
        <f>IF(OR(E2305="",E2305="!!!",F2305="NEW"),"",INDEX(B2304:B$2,-1+SUMPRODUCT(MAX(ROW(E2304:E$2)*(E2305=E2304:E$2)))))</f>
        <v> </v>
      </c>
      <c r="J2305" s="26" t="str">
        <f>IF(OR(E2305="",E2305="!!!",F2305="NEW"),"",COUNTBLANK(OFFSET(A$1,,,SUMPRODUCT(MAX(ROW(E$2:E2305)*(E2305=E$2:E2305)))))-COUNTBLANK(OFFSET(A$1,,,SUMPRODUCT(MAX(ROW(E$1:E2304)*(E2=E$1:E2304))))))</f>
        <v> </v>
      </c>
      <c r="K2305" s="26" t="str">
        <f>IF(OR(E2305="",E2305="!!!",F2305="NEW"),"",INDEX(J$1:J2304,SUMPRODUCT(MAX(ROW(E$1:E2304)*(E2305=E$1:E2304)))))</f>
        <v> </v>
      </c>
      <c r="L2305" s="27"/>
    </row>
    <row r="2306" spans="1:12">
      <c r="A2306" s="20" t="s">
        <v>1463</v>
      </c>
      <c r="E2306" s="22">
        <f>IF(D2306="?OLD","!!!","")</f>
        <v/>
      </c>
      <c r="F2306" s="23" t="str">
        <f>IF(OR(E2306="",E2306="!!!"),"",IF(NOT(ISNA(VLOOKUP(E2306,E$1:E2305,1,FALSE()))),"OLD",IF(AND(E2306&lt;&gt;"",E2306&lt;&gt;"!!!"),"NEW","")))</f>
        <v> </v>
      </c>
      <c r="G2306" s="24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5" t="str">
        <f>IF(J2306&lt;&gt;1,"",IF(I2306="SBJ","CB","?"))</f>
        <v> </v>
      </c>
      <c r="I2306" s="26" t="str">
        <f>IF(OR(E2306="",E2306="!!!",F2306="NEW"),"",INDEX(B2305:B$2,-1+SUMPRODUCT(MAX(ROW(E2305:E$2)*(E2306=E2305:E$2)))))</f>
        <v> </v>
      </c>
      <c r="J2306" s="26" t="str">
        <f>IF(OR(E2306="",E2306="!!!",F2306="NEW"),"",COUNTBLANK(OFFSET(A$1,,,SUMPRODUCT(MAX(ROW(E$2:E2306)*(E2306=E$2:E2306)))))-COUNTBLANK(OFFSET(A$1,,,SUMPRODUCT(MAX(ROW(E$1:E2305)*(E2=E$1:E2305))))))</f>
        <v> </v>
      </c>
      <c r="K2306" s="26" t="str">
        <f>IF(OR(E2306="",E2306="!!!",F2306="NEW"),"",INDEX(J$1:J2305,SUMPRODUCT(MAX(ROW(E$1:E2305)*(E2306=E$1:E2305)))))</f>
        <v> </v>
      </c>
      <c r="L2306" s="27"/>
    </row>
    <row r="2307" spans="1:12">
      <c r="A2307" s="20" t="s">
        <v>1461</v>
      </c>
      <c r="E2307" s="22">
        <f>IF(D2307="?OLD","!!!","")</f>
        <v/>
      </c>
      <c r="F2307" s="23" t="str">
        <f>IF(OR(E2307="",E2307="!!!"),"",IF(NOT(ISNA(VLOOKUP(E2307,E$1:E2306,1,FALSE()))),"OLD",IF(AND(E2307&lt;&gt;"",E2307&lt;&gt;"!!!"),"NEW","")))</f>
        <v> </v>
      </c>
      <c r="G2307" s="24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5" t="str">
        <f>IF(J2307&lt;&gt;1,"",IF(I2307="SBJ","CB","?"))</f>
        <v> </v>
      </c>
      <c r="I2307" s="26" t="str">
        <f>IF(OR(E2307="",E2307="!!!",F2307="NEW"),"",INDEX(B2306:B$2,-1+SUMPRODUCT(MAX(ROW(E2306:E$2)*(E2307=E2306:E$2)))))</f>
        <v> </v>
      </c>
      <c r="J2307" s="26" t="str">
        <f>IF(OR(E2307="",E2307="!!!",F2307="NEW"),"",COUNTBLANK(OFFSET(A$1,,,SUMPRODUCT(MAX(ROW(E$2:E2307)*(E2307=E$2:E2307)))))-COUNTBLANK(OFFSET(A$1,,,SUMPRODUCT(MAX(ROW(E$1:E2306)*(E2=E$1:E2306))))))</f>
        <v> </v>
      </c>
      <c r="K2307" s="26" t="str">
        <f>IF(OR(E2307="",E2307="!!!",F2307="NEW"),"",INDEX(J$1:J2306,SUMPRODUCT(MAX(ROW(E$1:E2306)*(E2307=E$1:E2306)))))</f>
        <v> </v>
      </c>
      <c r="L2307" s="27"/>
    </row>
    <row r="2308" spans="1:12">
      <c r="A2308" s="20" t="s">
        <v>1464</v>
      </c>
      <c r="E2308" s="22">
        <f>IF(D2308="?OLD","!!!","")</f>
        <v/>
      </c>
      <c r="F2308" s="23" t="str">
        <f>IF(OR(E2308="",E2308="!!!"),"",IF(NOT(ISNA(VLOOKUP(E2308,E$1:E2307,1,FALSE()))),"OLD",IF(AND(E2308&lt;&gt;"",E2308&lt;&gt;"!!!"),"NEW","")))</f>
        <v> </v>
      </c>
      <c r="G2308" s="24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5" t="str">
        <f>IF(J2308&lt;&gt;1,"",IF(I2308="SBJ","CB","?"))</f>
        <v> </v>
      </c>
      <c r="I2308" s="26" t="str">
        <f>IF(OR(E2308="",E2308="!!!",F2308="NEW"),"",INDEX(B2307:B$2,-1+SUMPRODUCT(MAX(ROW(E2307:E$2)*(E2308=E2307:E$2)))))</f>
        <v> </v>
      </c>
      <c r="J2308" s="26" t="str">
        <f>IF(OR(E2308="",E2308="!!!",F2308="NEW"),"",COUNTBLANK(OFFSET(A$1,,,SUMPRODUCT(MAX(ROW(E$2:E2308)*(E2308=E$2:E2308)))))-COUNTBLANK(OFFSET(A$1,,,SUMPRODUCT(MAX(ROW(E$1:E2307)*(E2=E$1:E2307))))))</f>
        <v> </v>
      </c>
      <c r="K2308" s="26" t="str">
        <f>IF(OR(E2308="",E2308="!!!",F2308="NEW"),"",INDEX(J$1:J2307,SUMPRODUCT(MAX(ROW(E$1:E2307)*(E2308=E$1:E2307)))))</f>
        <v> </v>
      </c>
      <c r="L2308" s="27"/>
    </row>
    <row r="2309" spans="1:12">
      <c r="A2309" s="20" t="s">
        <v>453</v>
      </c>
      <c r="E2309" s="22">
        <f>IF(D2309="?OLD","!!!","")</f>
        <v/>
      </c>
      <c r="F2309" s="23" t="str">
        <f>IF(OR(E2309="",E2309="!!!"),"",IF(NOT(ISNA(VLOOKUP(E2309,E$1:E2308,1,FALSE()))),"OLD",IF(AND(E2309&lt;&gt;"",E2309&lt;&gt;"!!!"),"NEW","")))</f>
        <v> </v>
      </c>
      <c r="G2309" s="24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5" t="str">
        <f>IF(J2309&lt;&gt;1,"",IF(I2309="SBJ","CB","?"))</f>
        <v> </v>
      </c>
      <c r="I2309" s="26" t="str">
        <f>IF(OR(E2309="",E2309="!!!",F2309="NEW"),"",INDEX(B2308:B$2,-1+SUMPRODUCT(MAX(ROW(E2308:E$2)*(E2309=E2308:E$2)))))</f>
        <v> </v>
      </c>
      <c r="J2309" s="26" t="str">
        <f>IF(OR(E2309="",E2309="!!!",F2309="NEW"),"",COUNTBLANK(OFFSET(A$1,,,SUMPRODUCT(MAX(ROW(E$2:E2309)*(E2309=E$2:E2309)))))-COUNTBLANK(OFFSET(A$1,,,SUMPRODUCT(MAX(ROW(E$1:E2308)*(E2=E$1:E2308))))))</f>
        <v> </v>
      </c>
      <c r="K2309" s="26" t="str">
        <f>IF(OR(E2309="",E2309="!!!",F2309="NEW"),"",INDEX(J$1:J2308,SUMPRODUCT(MAX(ROW(E$1:E2308)*(E2309=E$1:E2308)))))</f>
        <v> </v>
      </c>
      <c r="L2309" s="27"/>
    </row>
    <row r="2310" spans="1:12">
      <c r="A2310" s="20" t="s">
        <v>932</v>
      </c>
      <c r="E2310" s="22">
        <f>IF(D2310="?OLD","!!!","")</f>
        <v/>
      </c>
      <c r="F2310" s="23" t="str">
        <f>IF(OR(E2310="",E2310="!!!"),"",IF(NOT(ISNA(VLOOKUP(E2310,E$1:E2309,1,FALSE()))),"OLD",IF(AND(E2310&lt;&gt;"",E2310&lt;&gt;"!!!"),"NEW","")))</f>
        <v> </v>
      </c>
      <c r="G2310" s="24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5" t="str">
        <f>IF(J2310&lt;&gt;1,"",IF(I2310="SBJ","CB","?"))</f>
        <v> </v>
      </c>
      <c r="I2310" s="26" t="str">
        <f>IF(OR(E2310="",E2310="!!!",F2310="NEW"),"",INDEX(B2309:B$2,-1+SUMPRODUCT(MAX(ROW(E2309:E$2)*(E2310=E2309:E$2)))))</f>
        <v> </v>
      </c>
      <c r="J2310" s="26" t="str">
        <f>IF(OR(E2310="",E2310="!!!",F2310="NEW"),"",COUNTBLANK(OFFSET(A$1,,,SUMPRODUCT(MAX(ROW(E$2:E2310)*(E2310=E$2:E2310)))))-COUNTBLANK(OFFSET(A$1,,,SUMPRODUCT(MAX(ROW(E$1:E2309)*(E2=E$1:E2309))))))</f>
        <v> </v>
      </c>
      <c r="K2310" s="26" t="str">
        <f>IF(OR(E2310="",E2310="!!!",F2310="NEW"),"",INDEX(J$1:J2309,SUMPRODUCT(MAX(ROW(E$1:E2309)*(E2310=E$1:E2309)))))</f>
        <v> </v>
      </c>
      <c r="L2310" s="27"/>
    </row>
    <row r="2311" spans="1:12">
      <c r="A2311" s="20" t="s">
        <v>1465</v>
      </c>
      <c r="E2311" s="22">
        <f>IF(D2311="?OLD","!!!","")</f>
        <v/>
      </c>
      <c r="F2311" s="23" t="str">
        <f>IF(OR(E2311="",E2311="!!!"),"",IF(NOT(ISNA(VLOOKUP(E2311,E$1:E2310,1,FALSE()))),"OLD",IF(AND(E2311&lt;&gt;"",E2311&lt;&gt;"!!!"),"NEW","")))</f>
        <v> </v>
      </c>
      <c r="G2311" s="24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5" t="str">
        <f>IF(J2311&lt;&gt;1,"",IF(I2311="SBJ","CB","?"))</f>
        <v> </v>
      </c>
      <c r="I2311" s="26" t="str">
        <f>IF(OR(E2311="",E2311="!!!",F2311="NEW"),"",INDEX(B2310:B$2,-1+SUMPRODUCT(MAX(ROW(E2310:E$2)*(E2311=E2310:E$2)))))</f>
        <v> </v>
      </c>
      <c r="J2311" s="26" t="str">
        <f>IF(OR(E2311="",E2311="!!!",F2311="NEW"),"",COUNTBLANK(OFFSET(A$1,,,SUMPRODUCT(MAX(ROW(E$2:E2311)*(E2311=E$2:E2311)))))-COUNTBLANK(OFFSET(A$1,,,SUMPRODUCT(MAX(ROW(E$1:E2310)*(E2=E$1:E2310))))))</f>
        <v> </v>
      </c>
      <c r="K2311" s="26" t="str">
        <f>IF(OR(E2311="",E2311="!!!",F2311="NEW"),"",INDEX(J$1:J2310,SUMPRODUCT(MAX(ROW(E$1:E2310)*(E2311=E$1:E2310)))))</f>
        <v> </v>
      </c>
      <c r="L2311" s="27"/>
    </row>
    <row r="2312" spans="1:12">
      <c r="A2312" s="20" t="s">
        <v>453</v>
      </c>
      <c r="E2312" s="22">
        <f>IF(D2312="?OLD","!!!","")</f>
        <v/>
      </c>
      <c r="F2312" s="23" t="str">
        <f>IF(OR(E2312="",E2312="!!!"),"",IF(NOT(ISNA(VLOOKUP(E2312,E$1:E2311,1,FALSE()))),"OLD",IF(AND(E2312&lt;&gt;"",E2312&lt;&gt;"!!!"),"NEW","")))</f>
        <v> </v>
      </c>
      <c r="G2312" s="24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5" t="str">
        <f>IF(J2312&lt;&gt;1,"",IF(I2312="SBJ","CB","?"))</f>
        <v> </v>
      </c>
      <c r="I2312" s="26" t="str">
        <f>IF(OR(E2312="",E2312="!!!",F2312="NEW"),"",INDEX(B2311:B$2,-1+SUMPRODUCT(MAX(ROW(E2311:E$2)*(E2312=E2311:E$2)))))</f>
        <v> </v>
      </c>
      <c r="J2312" s="26" t="str">
        <f>IF(OR(E2312="",E2312="!!!",F2312="NEW"),"",COUNTBLANK(OFFSET(A$1,,,SUMPRODUCT(MAX(ROW(E$2:E2312)*(E2312=E$2:E2312)))))-COUNTBLANK(OFFSET(A$1,,,SUMPRODUCT(MAX(ROW(E$1:E2311)*(E2=E$1:E2311))))))</f>
        <v> </v>
      </c>
      <c r="K2312" s="26" t="str">
        <f>IF(OR(E2312="",E2312="!!!",F2312="NEW"),"",INDEX(J$1:J2311,SUMPRODUCT(MAX(ROW(E$1:E2311)*(E2312=E$1:E2311)))))</f>
        <v> </v>
      </c>
      <c r="L2312" s="27"/>
    </row>
    <row r="2313" spans="1:12">
      <c r="A2313" s="20" t="s">
        <v>632</v>
      </c>
      <c r="E2313" s="22">
        <f>IF(D2313="?OLD","!!!","")</f>
        <v/>
      </c>
      <c r="F2313" s="23" t="str">
        <f>IF(OR(E2313="",E2313="!!!"),"",IF(NOT(ISNA(VLOOKUP(E2313,E$1:E2312,1,FALSE()))),"OLD",IF(AND(E2313&lt;&gt;"",E2313&lt;&gt;"!!!"),"NEW","")))</f>
        <v> </v>
      </c>
      <c r="G2313" s="24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5" t="str">
        <f>IF(J2313&lt;&gt;1,"",IF(I2313="SBJ","CB","?"))</f>
        <v> </v>
      </c>
      <c r="I2313" s="26" t="str">
        <f>IF(OR(E2313="",E2313="!!!",F2313="NEW"),"",INDEX(B2312:B$2,-1+SUMPRODUCT(MAX(ROW(E2312:E$2)*(E2313=E2312:E$2)))))</f>
        <v> </v>
      </c>
      <c r="J2313" s="26" t="str">
        <f>IF(OR(E2313="",E2313="!!!",F2313="NEW"),"",COUNTBLANK(OFFSET(A$1,,,SUMPRODUCT(MAX(ROW(E$2:E2313)*(E2313=E$2:E2313)))))-COUNTBLANK(OFFSET(A$1,,,SUMPRODUCT(MAX(ROW(E$1:E2312)*(E2=E$1:E2312))))))</f>
        <v> </v>
      </c>
      <c r="K2313" s="26" t="str">
        <f>IF(OR(E2313="",E2313="!!!",F2313="NEW"),"",INDEX(J$1:J2312,SUMPRODUCT(MAX(ROW(E$1:E2312)*(E2313=E$1:E2312)))))</f>
        <v> </v>
      </c>
      <c r="L2313" s="27"/>
    </row>
    <row r="2314" spans="1:12">
      <c r="A2314" s="20" t="s">
        <v>1466</v>
      </c>
      <c r="E2314" s="22">
        <f>IF(D2314="?OLD","!!!","")</f>
        <v/>
      </c>
      <c r="F2314" s="23" t="str">
        <f>IF(OR(E2314="",E2314="!!!"),"",IF(NOT(ISNA(VLOOKUP(E2314,E$1:E2313,1,FALSE()))),"OLD",IF(AND(E2314&lt;&gt;"",E2314&lt;&gt;"!!!"),"NEW","")))</f>
        <v> </v>
      </c>
      <c r="G2314" s="24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5" t="str">
        <f>IF(J2314&lt;&gt;1,"",IF(I2314="SBJ","CB","?"))</f>
        <v> </v>
      </c>
      <c r="I2314" s="26" t="str">
        <f>IF(OR(E2314="",E2314="!!!",F2314="NEW"),"",INDEX(B2313:B$2,-1+SUMPRODUCT(MAX(ROW(E2313:E$2)*(E2314=E2313:E$2)))))</f>
        <v> </v>
      </c>
      <c r="J2314" s="26" t="str">
        <f>IF(OR(E2314="",E2314="!!!",F2314="NEW"),"",COUNTBLANK(OFFSET(A$1,,,SUMPRODUCT(MAX(ROW(E$2:E2314)*(E2314=E$2:E2314)))))-COUNTBLANK(OFFSET(A$1,,,SUMPRODUCT(MAX(ROW(E$1:E2313)*(E2=E$1:E2313))))))</f>
        <v> </v>
      </c>
      <c r="K2314" s="26" t="str">
        <f>IF(OR(E2314="",E2314="!!!",F2314="NEW"),"",INDEX(J$1:J2313,SUMPRODUCT(MAX(ROW(E$1:E2313)*(E2314=E$1:E2313)))))</f>
        <v> </v>
      </c>
      <c r="L2314" s="27"/>
    </row>
    <row r="2315" spans="1:12">
      <c r="A2315" s="20" t="s">
        <v>1467</v>
      </c>
      <c r="E2315" s="22">
        <f>IF(D2315="?OLD","!!!","")</f>
        <v/>
      </c>
      <c r="F2315" s="23" t="str">
        <f>IF(OR(E2315="",E2315="!!!"),"",IF(NOT(ISNA(VLOOKUP(E2315,E$1:E2314,1,FALSE()))),"OLD",IF(AND(E2315&lt;&gt;"",E2315&lt;&gt;"!!!"),"NEW","")))</f>
        <v> </v>
      </c>
      <c r="G2315" s="24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5" t="str">
        <f>IF(J2315&lt;&gt;1,"",IF(I2315="SBJ","CB","?"))</f>
        <v> </v>
      </c>
      <c r="I2315" s="26" t="str">
        <f>IF(OR(E2315="",E2315="!!!",F2315="NEW"),"",INDEX(B2314:B$2,-1+SUMPRODUCT(MAX(ROW(E2314:E$2)*(E2315=E2314:E$2)))))</f>
        <v> </v>
      </c>
      <c r="J2315" s="26" t="str">
        <f>IF(OR(E2315="",E2315="!!!",F2315="NEW"),"",COUNTBLANK(OFFSET(A$1,,,SUMPRODUCT(MAX(ROW(E$2:E2315)*(E2315=E$2:E2315)))))-COUNTBLANK(OFFSET(A$1,,,SUMPRODUCT(MAX(ROW(E$1:E2314)*(E2=E$1:E2314))))))</f>
        <v> </v>
      </c>
      <c r="K2315" s="26" t="str">
        <f>IF(OR(E2315="",E2315="!!!",F2315="NEW"),"",INDEX(J$1:J2314,SUMPRODUCT(MAX(ROW(E$1:E2314)*(E2315=E$1:E2314)))))</f>
        <v> </v>
      </c>
      <c r="L2315" s="27"/>
    </row>
    <row r="2316" spans="1:12">
      <c r="A2316" s="20" t="s">
        <v>1468</v>
      </c>
      <c r="E2316" s="22">
        <f>IF(D2316="?OLD","!!!","")</f>
        <v/>
      </c>
      <c r="F2316" s="23" t="str">
        <f>IF(OR(E2316="",E2316="!!!"),"",IF(NOT(ISNA(VLOOKUP(E2316,E$1:E2315,1,FALSE()))),"OLD",IF(AND(E2316&lt;&gt;"",E2316&lt;&gt;"!!!"),"NEW","")))</f>
        <v> </v>
      </c>
      <c r="G2316" s="24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5" t="str">
        <f>IF(J2316&lt;&gt;1,"",IF(I2316="SBJ","CB","?"))</f>
        <v> </v>
      </c>
      <c r="I2316" s="26" t="str">
        <f>IF(OR(E2316="",E2316="!!!",F2316="NEW"),"",INDEX(B2315:B$2,-1+SUMPRODUCT(MAX(ROW(E2315:E$2)*(E2316=E2315:E$2)))))</f>
        <v> </v>
      </c>
      <c r="J2316" s="26" t="str">
        <f>IF(OR(E2316="",E2316="!!!",F2316="NEW"),"",COUNTBLANK(OFFSET(A$1,,,SUMPRODUCT(MAX(ROW(E$2:E2316)*(E2316=E$2:E2316)))))-COUNTBLANK(OFFSET(A$1,,,SUMPRODUCT(MAX(ROW(E$1:E2315)*(E2=E$1:E2315))))))</f>
        <v> </v>
      </c>
      <c r="K2316" s="26" t="str">
        <f>IF(OR(E2316="",E2316="!!!",F2316="NEW"),"",INDEX(J$1:J2315,SUMPRODUCT(MAX(ROW(E$1:E2315)*(E2316=E$1:E2315)))))</f>
        <v> </v>
      </c>
      <c r="L2316" s="27"/>
    </row>
    <row r="2317" spans="1:12">
      <c r="A2317" s="20" t="s">
        <v>453</v>
      </c>
      <c r="E2317" s="22">
        <f>IF(D2317="?OLD","!!!","")</f>
        <v/>
      </c>
      <c r="F2317" s="23" t="str">
        <f>IF(OR(E2317="",E2317="!!!"),"",IF(NOT(ISNA(VLOOKUP(E2317,E$1:E2316,1,FALSE()))),"OLD",IF(AND(E2317&lt;&gt;"",E2317&lt;&gt;"!!!"),"NEW","")))</f>
        <v> </v>
      </c>
      <c r="G2317" s="24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5" t="str">
        <f>IF(J2317&lt;&gt;1,"",IF(I2317="SBJ","CB","?"))</f>
        <v> </v>
      </c>
      <c r="I2317" s="26" t="str">
        <f>IF(OR(E2317="",E2317="!!!",F2317="NEW"),"",INDEX(B2316:B$2,-1+SUMPRODUCT(MAX(ROW(E2316:E$2)*(E2317=E2316:E$2)))))</f>
        <v> </v>
      </c>
      <c r="J2317" s="26" t="str">
        <f>IF(OR(E2317="",E2317="!!!",F2317="NEW"),"",COUNTBLANK(OFFSET(A$1,,,SUMPRODUCT(MAX(ROW(E$2:E2317)*(E2317=E$2:E2317)))))-COUNTBLANK(OFFSET(A$1,,,SUMPRODUCT(MAX(ROW(E$1:E2316)*(E2=E$1:E2316))))))</f>
        <v> </v>
      </c>
      <c r="K2317" s="26" t="str">
        <f>IF(OR(E2317="",E2317="!!!",F2317="NEW"),"",INDEX(J$1:J2316,SUMPRODUCT(MAX(ROW(E$1:E2316)*(E2317=E$1:E2316)))))</f>
        <v> </v>
      </c>
      <c r="L2317" s="27"/>
    </row>
    <row r="2318" spans="1:12">
      <c r="A2318" s="20" t="s">
        <v>1469</v>
      </c>
      <c r="E2318" s="22">
        <f>IF(D2318="?OLD","!!!","")</f>
        <v/>
      </c>
      <c r="F2318" s="23" t="str">
        <f>IF(OR(E2318="",E2318="!!!"),"",IF(NOT(ISNA(VLOOKUP(E2318,E$1:E2317,1,FALSE()))),"OLD",IF(AND(E2318&lt;&gt;"",E2318&lt;&gt;"!!!"),"NEW","")))</f>
        <v> </v>
      </c>
      <c r="G2318" s="24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5" t="str">
        <f>IF(J2318&lt;&gt;1,"",IF(I2318="SBJ","CB","?"))</f>
        <v> </v>
      </c>
      <c r="I2318" s="26" t="str">
        <f>IF(OR(E2318="",E2318="!!!",F2318="NEW"),"",INDEX(B2317:B$2,-1+SUMPRODUCT(MAX(ROW(E2317:E$2)*(E2318=E2317:E$2)))))</f>
        <v> </v>
      </c>
      <c r="J2318" s="26" t="str">
        <f>IF(OR(E2318="",E2318="!!!",F2318="NEW"),"",COUNTBLANK(OFFSET(A$1,,,SUMPRODUCT(MAX(ROW(E$2:E2318)*(E2318=E$2:E2318)))))-COUNTBLANK(OFFSET(A$1,,,SUMPRODUCT(MAX(ROW(E$1:E2317)*(E2=E$1:E2317))))))</f>
        <v> </v>
      </c>
      <c r="K2318" s="26" t="str">
        <f>IF(OR(E2318="",E2318="!!!",F2318="NEW"),"",INDEX(J$1:J2317,SUMPRODUCT(MAX(ROW(E$1:E2317)*(E2318=E$1:E2317)))))</f>
        <v> </v>
      </c>
      <c r="L2318" s="27"/>
    </row>
    <row r="2319" spans="1:12">
      <c r="A2319" s="20" t="s">
        <v>1470</v>
      </c>
      <c r="E2319" s="22">
        <f>IF(D2319="?OLD","!!!","")</f>
        <v/>
      </c>
      <c r="F2319" s="23" t="str">
        <f>IF(OR(E2319="",E2319="!!!"),"",IF(NOT(ISNA(VLOOKUP(E2319,E$1:E2318,1,FALSE()))),"OLD",IF(AND(E2319&lt;&gt;"",E2319&lt;&gt;"!!!"),"NEW","")))</f>
        <v> </v>
      </c>
      <c r="G2319" s="24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5" t="str">
        <f>IF(J2319&lt;&gt;1,"",IF(I2319="SBJ","CB","?"))</f>
        <v> </v>
      </c>
      <c r="I2319" s="26" t="str">
        <f>IF(OR(E2319="",E2319="!!!",F2319="NEW"),"",INDEX(B2318:B$2,-1+SUMPRODUCT(MAX(ROW(E2318:E$2)*(E2319=E2318:E$2)))))</f>
        <v> </v>
      </c>
      <c r="J2319" s="26" t="str">
        <f>IF(OR(E2319="",E2319="!!!",F2319="NEW"),"",COUNTBLANK(OFFSET(A$1,,,SUMPRODUCT(MAX(ROW(E$2:E2319)*(E2319=E$2:E2319)))))-COUNTBLANK(OFFSET(A$1,,,SUMPRODUCT(MAX(ROW(E$1:E2318)*(E2=E$1:E2318))))))</f>
        <v> </v>
      </c>
      <c r="K2319" s="26" t="str">
        <f>IF(OR(E2319="",E2319="!!!",F2319="NEW"),"",INDEX(J$1:J2318,SUMPRODUCT(MAX(ROW(E$1:E2318)*(E2319=E$1:E2318)))))</f>
        <v> </v>
      </c>
      <c r="L2319" s="27"/>
    </row>
    <row r="2320" spans="1:12">
      <c r="A2320" s="20" t="s">
        <v>453</v>
      </c>
      <c r="E2320" s="22">
        <f>IF(D2320="?OLD","!!!","")</f>
        <v/>
      </c>
      <c r="F2320" s="23" t="str">
        <f>IF(OR(E2320="",E2320="!!!"),"",IF(NOT(ISNA(VLOOKUP(E2320,E$1:E2319,1,FALSE()))),"OLD",IF(AND(E2320&lt;&gt;"",E2320&lt;&gt;"!!!"),"NEW","")))</f>
        <v> </v>
      </c>
      <c r="G2320" s="24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5" t="str">
        <f>IF(J2320&lt;&gt;1,"",IF(I2320="SBJ","CB","?"))</f>
        <v> </v>
      </c>
      <c r="I2320" s="26" t="str">
        <f>IF(OR(E2320="",E2320="!!!",F2320="NEW"),"",INDEX(B2319:B$2,-1+SUMPRODUCT(MAX(ROW(E2319:E$2)*(E2320=E2319:E$2)))))</f>
        <v> </v>
      </c>
      <c r="J2320" s="26" t="str">
        <f>IF(OR(E2320="",E2320="!!!",F2320="NEW"),"",COUNTBLANK(OFFSET(A$1,,,SUMPRODUCT(MAX(ROW(E$2:E2320)*(E2320=E$2:E2320)))))-COUNTBLANK(OFFSET(A$1,,,SUMPRODUCT(MAX(ROW(E$1:E2319)*(E2=E$1:E2319))))))</f>
        <v> </v>
      </c>
      <c r="K2320" s="26" t="str">
        <f>IF(OR(E2320="",E2320="!!!",F2320="NEW"),"",INDEX(J$1:J2319,SUMPRODUCT(MAX(ROW(E$1:E2319)*(E2320=E$1:E2319)))))</f>
        <v> </v>
      </c>
      <c r="L2320" s="27"/>
    </row>
    <row r="2321" spans="1:12">
      <c r="A2321" s="20" t="s">
        <v>558</v>
      </c>
      <c r="B2321" s="21" t="s">
        <v>1471</v>
      </c>
      <c r="C2321" s="21" t="s">
        <v>481</v>
      </c>
      <c r="E2321" s="22">
        <f>IF(D2321="?OLD","!!!","")</f>
        <v/>
      </c>
      <c r="F2321" s="23" t="str">
        <f>IF(OR(E2321="",E2321="!!!"),"",IF(NOT(ISNA(VLOOKUP(E2321,E$1:E2320,1,FALSE()))),"OLD",IF(AND(E2321&lt;&gt;"",E2321&lt;&gt;"!!!"),"NEW","")))</f>
        <v> </v>
      </c>
      <c r="G2321" s="24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5" t="str">
        <f>IF(J2321&lt;&gt;1,"",IF(I2321="SBJ","CB","?"))</f>
        <v> </v>
      </c>
      <c r="I2321" s="26" t="str">
        <f>IF(OR(E2321="",E2321="!!!",F2321="NEW"),"",INDEX(B2320:B$2,-1+SUMPRODUCT(MAX(ROW(E2320:E$2)*(E2321=E2320:E$2)))))</f>
        <v> </v>
      </c>
      <c r="J2321" s="26" t="str">
        <f>IF(OR(E2321="",E2321="!!!",F2321="NEW"),"",COUNTBLANK(OFFSET(A$1,,,SUMPRODUCT(MAX(ROW(E$2:E2321)*(E2321=E$2:E2321)))))-COUNTBLANK(OFFSET(A$1,,,SUMPRODUCT(MAX(ROW(E$1:E2320)*(E2=E$1:E2320))))))</f>
        <v> </v>
      </c>
      <c r="K2321" s="26" t="str">
        <f>IF(OR(E2321="",E2321="!!!",F2321="NEW"),"",INDEX(J$1:J2320,SUMPRODUCT(MAX(ROW(E$1:E2320)*(E2321=E$1:E2320)))))</f>
        <v> </v>
      </c>
      <c r="L2321" s="27"/>
    </row>
    <row r="2322" spans="1:12">
      <c r="A2322" s="20" t="s">
        <v>506</v>
      </c>
      <c r="E2322" s="22">
        <f>IF(D2322="?OLD","!!!","")</f>
        <v/>
      </c>
      <c r="F2322" s="23" t="str">
        <f>IF(OR(E2322="",E2322="!!!"),"",IF(NOT(ISNA(VLOOKUP(E2322,E$1:E2321,1,FALSE()))),"OLD",IF(AND(E2322&lt;&gt;"",E2322&lt;&gt;"!!!"),"NEW","")))</f>
        <v> </v>
      </c>
      <c r="G2322" s="24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5" t="str">
        <f>IF(J2322&lt;&gt;1,"",IF(I2322="SBJ","CB","?"))</f>
        <v> </v>
      </c>
      <c r="I2322" s="26" t="str">
        <f>IF(OR(E2322="",E2322="!!!",F2322="NEW"),"",INDEX(B2321:B$2,-1+SUMPRODUCT(MAX(ROW(E2321:E$2)*(E2322=E2321:E$2)))))</f>
        <v> </v>
      </c>
      <c r="J2322" s="26" t="str">
        <f>IF(OR(E2322="",E2322="!!!",F2322="NEW"),"",COUNTBLANK(OFFSET(A$1,,,SUMPRODUCT(MAX(ROW(E$2:E2322)*(E2322=E$2:E2322)))))-COUNTBLANK(OFFSET(A$1,,,SUMPRODUCT(MAX(ROW(E$1:E2321)*(E2=E$1:E2321))))))</f>
        <v> </v>
      </c>
      <c r="K2322" s="26" t="str">
        <f>IF(OR(E2322="",E2322="!!!",F2322="NEW"),"",INDEX(J$1:J2321,SUMPRODUCT(MAX(ROW(E$1:E2321)*(E2322=E$1:E2321)))))</f>
        <v> </v>
      </c>
      <c r="L2322" s="27"/>
    </row>
    <row r="2323" spans="1:12">
      <c r="A2323" s="20" t="s">
        <v>1472</v>
      </c>
      <c r="E2323" s="22">
        <f>IF(D2323="?OLD","!!!","")</f>
        <v/>
      </c>
      <c r="F2323" s="23" t="str">
        <f>IF(OR(E2323="",E2323="!!!"),"",IF(NOT(ISNA(VLOOKUP(E2323,E$1:E2322,1,FALSE()))),"OLD",IF(AND(E2323&lt;&gt;"",E2323&lt;&gt;"!!!"),"NEW","")))</f>
        <v> </v>
      </c>
      <c r="G2323" s="24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5" t="str">
        <f>IF(J2323&lt;&gt;1,"",IF(I2323="SBJ","CB","?"))</f>
        <v> </v>
      </c>
      <c r="I2323" s="26" t="str">
        <f>IF(OR(E2323="",E2323="!!!",F2323="NEW"),"",INDEX(B2322:B$2,-1+SUMPRODUCT(MAX(ROW(E2322:E$2)*(E2323=E2322:E$2)))))</f>
        <v> </v>
      </c>
      <c r="J2323" s="26" t="str">
        <f>IF(OR(E2323="",E2323="!!!",F2323="NEW"),"",COUNTBLANK(OFFSET(A$1,,,SUMPRODUCT(MAX(ROW(E$2:E2323)*(E2323=E$2:E2323)))))-COUNTBLANK(OFFSET(A$1,,,SUMPRODUCT(MAX(ROW(E$1:E2322)*(E2=E$1:E2322))))))</f>
        <v> </v>
      </c>
      <c r="K2323" s="26" t="str">
        <f>IF(OR(E2323="",E2323="!!!",F2323="NEW"),"",INDEX(J$1:J2322,SUMPRODUCT(MAX(ROW(E$1:E2322)*(E2323=E$1:E2322)))))</f>
        <v> </v>
      </c>
      <c r="L2323" s="27"/>
    </row>
    <row r="2324" spans="1:12">
      <c r="A2324" s="20" t="s">
        <v>1473</v>
      </c>
      <c r="E2324" s="22">
        <f>IF(D2324="?OLD","!!!","")</f>
        <v/>
      </c>
      <c r="F2324" s="23" t="str">
        <f>IF(OR(E2324="",E2324="!!!"),"",IF(NOT(ISNA(VLOOKUP(E2324,E$1:E2323,1,FALSE()))),"OLD",IF(AND(E2324&lt;&gt;"",E2324&lt;&gt;"!!!"),"NEW","")))</f>
        <v> </v>
      </c>
      <c r="G2324" s="24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5" t="str">
        <f>IF(J2324&lt;&gt;1,"",IF(I2324="SBJ","CB","?"))</f>
        <v> </v>
      </c>
      <c r="I2324" s="26" t="str">
        <f>IF(OR(E2324="",E2324="!!!",F2324="NEW"),"",INDEX(B2323:B$2,-1+SUMPRODUCT(MAX(ROW(E2323:E$2)*(E2324=E2323:E$2)))))</f>
        <v> </v>
      </c>
      <c r="J2324" s="26" t="str">
        <f>IF(OR(E2324="",E2324="!!!",F2324="NEW"),"",COUNTBLANK(OFFSET(A$1,,,SUMPRODUCT(MAX(ROW(E$2:E2324)*(E2324=E$2:E2324)))))-COUNTBLANK(OFFSET(A$1,,,SUMPRODUCT(MAX(ROW(E$1:E2323)*(E2=E$1:E2323))))))</f>
        <v> </v>
      </c>
      <c r="K2324" s="26" t="str">
        <f>IF(OR(E2324="",E2324="!!!",F2324="NEW"),"",INDEX(J$1:J2323,SUMPRODUCT(MAX(ROW(E$1:E2323)*(E2324=E$1:E2323)))))</f>
        <v> </v>
      </c>
      <c r="L2324" s="27"/>
    </row>
    <row r="2325" spans="1:12">
      <c r="A2325" s="20" t="s">
        <v>1474</v>
      </c>
      <c r="E2325" s="22">
        <f>IF(D2325="?OLD","!!!","")</f>
        <v/>
      </c>
      <c r="F2325" s="23" t="str">
        <f>IF(OR(E2325="",E2325="!!!"),"",IF(NOT(ISNA(VLOOKUP(E2325,E$1:E2324,1,FALSE()))),"OLD",IF(AND(E2325&lt;&gt;"",E2325&lt;&gt;"!!!"),"NEW","")))</f>
        <v> </v>
      </c>
      <c r="G2325" s="24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5" t="str">
        <f>IF(J2325&lt;&gt;1,"",IF(I2325="SBJ","CB","?"))</f>
        <v> </v>
      </c>
      <c r="I2325" s="26" t="str">
        <f>IF(OR(E2325="",E2325="!!!",F2325="NEW"),"",INDEX(B2324:B$2,-1+SUMPRODUCT(MAX(ROW(E2324:E$2)*(E2325=E2324:E$2)))))</f>
        <v> </v>
      </c>
      <c r="J2325" s="26" t="str">
        <f>IF(OR(E2325="",E2325="!!!",F2325="NEW"),"",COUNTBLANK(OFFSET(A$1,,,SUMPRODUCT(MAX(ROW(E$2:E2325)*(E2325=E$2:E2325)))))-COUNTBLANK(OFFSET(A$1,,,SUMPRODUCT(MAX(ROW(E$1:E2324)*(E2=E$1:E2324))))))</f>
        <v> </v>
      </c>
      <c r="K2325" s="26" t="str">
        <f>IF(OR(E2325="",E2325="!!!",F2325="NEW"),"",INDEX(J$1:J2324,SUMPRODUCT(MAX(ROW(E$1:E2324)*(E2325=E$1:E2324)))))</f>
        <v> </v>
      </c>
      <c r="L2325" s="27"/>
    </row>
    <row r="2326" spans="1:12">
      <c r="A2326" s="20" t="s">
        <v>453</v>
      </c>
      <c r="E2326" s="22">
        <f>IF(D2326="?OLD","!!!","")</f>
        <v/>
      </c>
      <c r="F2326" s="23" t="str">
        <f>IF(OR(E2326="",E2326="!!!"),"",IF(NOT(ISNA(VLOOKUP(E2326,E$1:E2325,1,FALSE()))),"OLD",IF(AND(E2326&lt;&gt;"",E2326&lt;&gt;"!!!"),"NEW","")))</f>
        <v> </v>
      </c>
      <c r="G2326" s="24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5" t="str">
        <f>IF(J2326&lt;&gt;1,"",IF(I2326="SBJ","CB","?"))</f>
        <v> </v>
      </c>
      <c r="I2326" s="26" t="str">
        <f>IF(OR(E2326="",E2326="!!!",F2326="NEW"),"",INDEX(B2325:B$2,-1+SUMPRODUCT(MAX(ROW(E2325:E$2)*(E2326=E2325:E$2)))))</f>
        <v> </v>
      </c>
      <c r="J2326" s="26" t="str">
        <f>IF(OR(E2326="",E2326="!!!",F2326="NEW"),"",COUNTBLANK(OFFSET(A$1,,,SUMPRODUCT(MAX(ROW(E$2:E2326)*(E2326=E$2:E2326)))))-COUNTBLANK(OFFSET(A$1,,,SUMPRODUCT(MAX(ROW(E$1:E2325)*(E2=E$1:E2325))))))</f>
        <v> </v>
      </c>
      <c r="K2326" s="26" t="str">
        <f>IF(OR(E2326="",E2326="!!!",F2326="NEW"),"",INDEX(J$1:J2325,SUMPRODUCT(MAX(ROW(E$1:E2325)*(E2326=E$1:E2325)))))</f>
        <v> </v>
      </c>
      <c r="L2326" s="27"/>
    </row>
    <row r="2327" spans="1:12">
      <c r="A2327" s="20" t="s">
        <v>1354</v>
      </c>
      <c r="E2327" s="22">
        <f>IF(D2327="?OLD","!!!","")</f>
        <v/>
      </c>
      <c r="F2327" s="23" t="str">
        <f>IF(OR(E2327="",E2327="!!!"),"",IF(NOT(ISNA(VLOOKUP(E2327,E$1:E2326,1,FALSE()))),"OLD",IF(AND(E2327&lt;&gt;"",E2327&lt;&gt;"!!!"),"NEW","")))</f>
        <v> </v>
      </c>
      <c r="G2327" s="24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5" t="str">
        <f>IF(J2327&lt;&gt;1,"",IF(I2327="SBJ","CB","?"))</f>
        <v> </v>
      </c>
      <c r="I2327" s="26" t="str">
        <f>IF(OR(E2327="",E2327="!!!",F2327="NEW"),"",INDEX(B2326:B$2,-1+SUMPRODUCT(MAX(ROW(E2326:E$2)*(E2327=E2326:E$2)))))</f>
        <v> </v>
      </c>
      <c r="J2327" s="26" t="str">
        <f>IF(OR(E2327="",E2327="!!!",F2327="NEW"),"",COUNTBLANK(OFFSET(A$1,,,SUMPRODUCT(MAX(ROW(E$2:E2327)*(E2327=E$2:E2327)))))-COUNTBLANK(OFFSET(A$1,,,SUMPRODUCT(MAX(ROW(E$1:E2326)*(E2=E$1:E2326))))))</f>
        <v> </v>
      </c>
      <c r="K2327" s="26" t="str">
        <f>IF(OR(E2327="",E2327="!!!",F2327="NEW"),"",INDEX(J$1:J2326,SUMPRODUCT(MAX(ROW(E$1:E2326)*(E2327=E$1:E2326)))))</f>
        <v> </v>
      </c>
      <c r="L2327" s="27"/>
    </row>
    <row r="2328" spans="1:12">
      <c r="A2328" s="20" t="s">
        <v>459</v>
      </c>
      <c r="E2328" s="22">
        <f>IF(D2328="?OLD","!!!","")</f>
        <v/>
      </c>
      <c r="F2328" s="23" t="str">
        <f>IF(OR(E2328="",E2328="!!!"),"",IF(NOT(ISNA(VLOOKUP(E2328,E$1:E2327,1,FALSE()))),"OLD",IF(AND(E2328&lt;&gt;"",E2328&lt;&gt;"!!!"),"NEW","")))</f>
        <v> </v>
      </c>
      <c r="G2328" s="24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5" t="str">
        <f>IF(J2328&lt;&gt;1,"",IF(I2328="SBJ","CB","?"))</f>
        <v> </v>
      </c>
      <c r="I2328" s="26" t="str">
        <f>IF(OR(E2328="",E2328="!!!",F2328="NEW"),"",INDEX(B2327:B$2,-1+SUMPRODUCT(MAX(ROW(E2327:E$2)*(E2328=E2327:E$2)))))</f>
        <v> </v>
      </c>
      <c r="J2328" s="26" t="str">
        <f>IF(OR(E2328="",E2328="!!!",F2328="NEW"),"",COUNTBLANK(OFFSET(A$1,,,SUMPRODUCT(MAX(ROW(E$2:E2328)*(E2328=E$2:E2328)))))-COUNTBLANK(OFFSET(A$1,,,SUMPRODUCT(MAX(ROW(E$1:E2327)*(E2=E$1:E2327))))))</f>
        <v> </v>
      </c>
      <c r="K2328" s="26" t="str">
        <f>IF(OR(E2328="",E2328="!!!",F2328="NEW"),"",INDEX(J$1:J2327,SUMPRODUCT(MAX(ROW(E$1:E2327)*(E2328=E$1:E2327)))))</f>
        <v> </v>
      </c>
      <c r="L2328" s="27"/>
    </row>
    <row r="2329" spans="1:12">
      <c r="A2329" s="20" t="s">
        <v>482</v>
      </c>
      <c r="B2329" s="21" t="s">
        <v>1475</v>
      </c>
      <c r="C2329" s="21" t="s">
        <v>477</v>
      </c>
      <c r="D2329" s="21" t="s">
        <v>424</v>
      </c>
      <c r="E2329" s="22">
        <f>IF(D2329="?OLD","!!!","")</f>
        <v/>
      </c>
      <c r="F2329" s="23" t="str">
        <f>IF(OR(E2329="",E2329="!!!"),"",IF(NOT(ISNA(VLOOKUP(E2329,E$1:E2328,1,FALSE()))),"OLD",IF(AND(E2329&lt;&gt;"",E2329&lt;&gt;"!!!"),"NEW","")))</f>
        <v> </v>
      </c>
      <c r="G2329" s="24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5" t="str">
        <f>IF(J2329&lt;&gt;1,"",IF(I2329="SBJ","CB","?"))</f>
        <v> </v>
      </c>
      <c r="I2329" s="26" t="str">
        <f>IF(OR(E2329="",E2329="!!!",F2329="NEW"),"",INDEX(B2328:B$2,-1+SUMPRODUCT(MAX(ROW(E2328:E$2)*(E2329=E2328:E$2)))))</f>
        <v> </v>
      </c>
      <c r="J2329" s="26" t="str">
        <f>IF(OR(E2329="",E2329="!!!",F2329="NEW"),"",COUNTBLANK(OFFSET(A$1,,,SUMPRODUCT(MAX(ROW(E$2:E2329)*(E2329=E$2:E2329)))))-COUNTBLANK(OFFSET(A$1,,,SUMPRODUCT(MAX(ROW(E$1:E2328)*(E2=E$1:E2328))))))</f>
        <v> </v>
      </c>
      <c r="K2329" s="26" t="str">
        <f>IF(OR(E2329="",E2329="!!!",F2329="NEW"),"",INDEX(J$1:J2328,SUMPRODUCT(MAX(ROW(E$1:E2328)*(E2329=E$1:E2328)))))</f>
        <v> </v>
      </c>
      <c r="L2329" s="27"/>
    </row>
    <row r="2330" spans="1:12">
      <c r="A2330" s="20" t="s">
        <v>1476</v>
      </c>
      <c r="E2330" s="22">
        <f>IF(D2330="?OLD","!!!","")</f>
        <v/>
      </c>
      <c r="F2330" s="23" t="str">
        <f>IF(OR(E2330="",E2330="!!!"),"",IF(NOT(ISNA(VLOOKUP(E2330,E$1:E2329,1,FALSE()))),"OLD",IF(AND(E2330&lt;&gt;"",E2330&lt;&gt;"!!!"),"NEW","")))</f>
        <v> </v>
      </c>
      <c r="G2330" s="24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5" t="str">
        <f>IF(J2330&lt;&gt;1,"",IF(I2330="SBJ","CB","?"))</f>
        <v> </v>
      </c>
      <c r="I2330" s="26" t="str">
        <f>IF(OR(E2330="",E2330="!!!",F2330="NEW"),"",INDEX(B2329:B$2,-1+SUMPRODUCT(MAX(ROW(E2329:E$2)*(E2330=E2329:E$2)))))</f>
        <v> </v>
      </c>
      <c r="J2330" s="26" t="str">
        <f>IF(OR(E2330="",E2330="!!!",F2330="NEW"),"",COUNTBLANK(OFFSET(A$1,,,SUMPRODUCT(MAX(ROW(E$2:E2330)*(E2330=E$2:E2330)))))-COUNTBLANK(OFFSET(A$1,,,SUMPRODUCT(MAX(ROW(E$1:E2329)*(E2=E$1:E2329))))))</f>
        <v> </v>
      </c>
      <c r="K2330" s="26" t="str">
        <f>IF(OR(E2330="",E2330="!!!",F2330="NEW"),"",INDEX(J$1:J2329,SUMPRODUCT(MAX(ROW(E$1:E2329)*(E2330=E$1:E2329)))))</f>
        <v> </v>
      </c>
      <c r="L2330" s="27"/>
    </row>
    <row r="2331" spans="1:12">
      <c r="A2331" s="20" t="s">
        <v>1477</v>
      </c>
      <c r="E2331" s="22">
        <f>IF(D2331="?OLD","!!!","")</f>
        <v/>
      </c>
      <c r="F2331" s="23" t="str">
        <f>IF(OR(E2331="",E2331="!!!"),"",IF(NOT(ISNA(VLOOKUP(E2331,E$1:E2330,1,FALSE()))),"OLD",IF(AND(E2331&lt;&gt;"",E2331&lt;&gt;"!!!"),"NEW","")))</f>
        <v> </v>
      </c>
      <c r="G2331" s="24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5" t="str">
        <f>IF(J2331&lt;&gt;1,"",IF(I2331="SBJ","CB","?"))</f>
        <v> </v>
      </c>
      <c r="I2331" s="26" t="str">
        <f>IF(OR(E2331="",E2331="!!!",F2331="NEW"),"",INDEX(B2330:B$2,-1+SUMPRODUCT(MAX(ROW(E2330:E$2)*(E2331=E2330:E$2)))))</f>
        <v> </v>
      </c>
      <c r="J2331" s="26" t="str">
        <f>IF(OR(E2331="",E2331="!!!",F2331="NEW"),"",COUNTBLANK(OFFSET(A$1,,,SUMPRODUCT(MAX(ROW(E$2:E2331)*(E2331=E$2:E2331)))))-COUNTBLANK(OFFSET(A$1,,,SUMPRODUCT(MAX(ROW(E$1:E2330)*(E2=E$1:E2330))))))</f>
        <v> </v>
      </c>
      <c r="K2331" s="26" t="str">
        <f>IF(OR(E2331="",E2331="!!!",F2331="NEW"),"",INDEX(J$1:J2330,SUMPRODUCT(MAX(ROW(E$1:E2330)*(E2331=E$1:E2330)))))</f>
        <v> </v>
      </c>
      <c r="L2331" s="27"/>
    </row>
    <row r="2332" spans="1:12">
      <c r="A2332" s="20" t="s">
        <v>453</v>
      </c>
      <c r="E2332" s="22">
        <f>IF(D2332="?OLD","!!!","")</f>
        <v/>
      </c>
      <c r="F2332" s="23" t="str">
        <f>IF(OR(E2332="",E2332="!!!"),"",IF(NOT(ISNA(VLOOKUP(E2332,E$1:E2331,1,FALSE()))),"OLD",IF(AND(E2332&lt;&gt;"",E2332&lt;&gt;"!!!"),"NEW","")))</f>
        <v> </v>
      </c>
      <c r="G2332" s="24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5" t="str">
        <f>IF(J2332&lt;&gt;1,"",IF(I2332="SBJ","CB","?"))</f>
        <v> </v>
      </c>
      <c r="I2332" s="26" t="str">
        <f>IF(OR(E2332="",E2332="!!!",F2332="NEW"),"",INDEX(B2331:B$2,-1+SUMPRODUCT(MAX(ROW(E2331:E$2)*(E2332=E2331:E$2)))))</f>
        <v> </v>
      </c>
      <c r="J2332" s="26" t="str">
        <f>IF(OR(E2332="",E2332="!!!",F2332="NEW"),"",COUNTBLANK(OFFSET(A$1,,,SUMPRODUCT(MAX(ROW(E$2:E2332)*(E2332=E$2:E2332)))))-COUNTBLANK(OFFSET(A$1,,,SUMPRODUCT(MAX(ROW(E$1:E2331)*(E2=E$1:E2331))))))</f>
        <v> </v>
      </c>
      <c r="K2332" s="26" t="str">
        <f>IF(OR(E2332="",E2332="!!!",F2332="NEW"),"",INDEX(J$1:J2331,SUMPRODUCT(MAX(ROW(E$1:E2331)*(E2332=E$1:E2331)))))</f>
        <v> </v>
      </c>
      <c r="L2332" s="27"/>
    </row>
    <row r="2333" spans="1:12">
      <c r="A2333" s="20" t="s">
        <v>1478</v>
      </c>
      <c r="B2333" s="21" t="s">
        <v>1479</v>
      </c>
      <c r="C2333" s="21" t="s">
        <v>481</v>
      </c>
      <c r="E2333" s="22">
        <f>IF(D2333="?OLD","!!!","")</f>
        <v/>
      </c>
      <c r="F2333" s="23" t="str">
        <f>IF(OR(E2333="",E2333="!!!"),"",IF(NOT(ISNA(VLOOKUP(E2333,E$1:E2332,1,FALSE()))),"OLD",IF(AND(E2333&lt;&gt;"",E2333&lt;&gt;"!!!"),"NEW","")))</f>
        <v> </v>
      </c>
      <c r="G2333" s="24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5" t="str">
        <f>IF(J2333&lt;&gt;1,"",IF(I2333="SBJ","CB","?"))</f>
        <v> </v>
      </c>
      <c r="I2333" s="26" t="str">
        <f>IF(OR(E2333="",E2333="!!!",F2333="NEW"),"",INDEX(B2332:B$2,-1+SUMPRODUCT(MAX(ROW(E2332:E$2)*(E2333=E2332:E$2)))))</f>
        <v> </v>
      </c>
      <c r="J2333" s="26" t="str">
        <f>IF(OR(E2333="",E2333="!!!",F2333="NEW"),"",COUNTBLANK(OFFSET(A$1,,,SUMPRODUCT(MAX(ROW(E$2:E2333)*(E2333=E$2:E2333)))))-COUNTBLANK(OFFSET(A$1,,,SUMPRODUCT(MAX(ROW(E$1:E2332)*(E2=E$1:E2332))))))</f>
        <v> </v>
      </c>
      <c r="K2333" s="26" t="str">
        <f>IF(OR(E2333="",E2333="!!!",F2333="NEW"),"",INDEX(J$1:J2332,SUMPRODUCT(MAX(ROW(E$1:E2332)*(E2333=E$1:E2332)))))</f>
        <v> </v>
      </c>
      <c r="L2333" s="27"/>
    </row>
    <row r="2334" spans="1:12">
      <c r="A2334" s="20" t="s">
        <v>771</v>
      </c>
      <c r="B2334" s="21" t="s">
        <v>1480</v>
      </c>
      <c r="C2334" s="21" t="s">
        <v>423</v>
      </c>
      <c r="D2334" s="21" t="s">
        <v>424</v>
      </c>
      <c r="E2334" s="22">
        <f>IF(D2334="?OLD","!!!","")</f>
        <v/>
      </c>
      <c r="F2334" s="23" t="str">
        <f>IF(OR(E2334="",E2334="!!!"),"",IF(NOT(ISNA(VLOOKUP(E2334,E$1:E2333,1,FALSE()))),"OLD",IF(AND(E2334&lt;&gt;"",E2334&lt;&gt;"!!!"),"NEW","")))</f>
        <v> </v>
      </c>
      <c r="G2334" s="24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5" t="str">
        <f>IF(J2334&lt;&gt;1,"",IF(I2334="SBJ","CB","?"))</f>
        <v> </v>
      </c>
      <c r="I2334" s="26" t="str">
        <f>IF(OR(E2334="",E2334="!!!",F2334="NEW"),"",INDEX(B2333:B$2,-1+SUMPRODUCT(MAX(ROW(E2333:E$2)*(E2334=E2333:E$2)))))</f>
        <v> </v>
      </c>
      <c r="J2334" s="26" t="str">
        <f>IF(OR(E2334="",E2334="!!!",F2334="NEW"),"",COUNTBLANK(OFFSET(A$1,,,SUMPRODUCT(MAX(ROW(E$2:E2334)*(E2334=E$2:E2334)))))-COUNTBLANK(OFFSET(A$1,,,SUMPRODUCT(MAX(ROW(E$1:E2333)*(E2=E$1:E2333))))))</f>
        <v> </v>
      </c>
      <c r="K2334" s="26" t="str">
        <f>IF(OR(E2334="",E2334="!!!",F2334="NEW"),"",INDEX(J$1:J2333,SUMPRODUCT(MAX(ROW(E$1:E2333)*(E2334=E$1:E2333)))))</f>
        <v> </v>
      </c>
      <c r="L2334" s="27"/>
    </row>
    <row r="2335" spans="1:12">
      <c r="A2335" s="20" t="s">
        <v>819</v>
      </c>
      <c r="E2335" s="22">
        <f>IF(D2335="?OLD","!!!","")</f>
        <v/>
      </c>
      <c r="F2335" s="23" t="str">
        <f>IF(OR(E2335="",E2335="!!!"),"",IF(NOT(ISNA(VLOOKUP(E2335,E$1:E2334,1,FALSE()))),"OLD",IF(AND(E2335&lt;&gt;"",E2335&lt;&gt;"!!!"),"NEW","")))</f>
        <v> </v>
      </c>
      <c r="G2335" s="24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5" t="str">
        <f>IF(J2335&lt;&gt;1,"",IF(I2335="SBJ","CB","?"))</f>
        <v> </v>
      </c>
      <c r="I2335" s="26" t="str">
        <f>IF(OR(E2335="",E2335="!!!",F2335="NEW"),"",INDEX(B2334:B$2,-1+SUMPRODUCT(MAX(ROW(E2334:E$2)*(E2335=E2334:E$2)))))</f>
        <v> </v>
      </c>
      <c r="J2335" s="26" t="str">
        <f>IF(OR(E2335="",E2335="!!!",F2335="NEW"),"",COUNTBLANK(OFFSET(A$1,,,SUMPRODUCT(MAX(ROW(E$2:E2335)*(E2335=E$2:E2335)))))-COUNTBLANK(OFFSET(A$1,,,SUMPRODUCT(MAX(ROW(E$1:E2334)*(E2=E$1:E2334))))))</f>
        <v> </v>
      </c>
      <c r="K2335" s="26" t="str">
        <f>IF(OR(E2335="",E2335="!!!",F2335="NEW"),"",INDEX(J$1:J2334,SUMPRODUCT(MAX(ROW(E$1:E2334)*(E2335=E$1:E2334)))))</f>
        <v> </v>
      </c>
      <c r="L2335" s="27"/>
    </row>
    <row r="2336" spans="1:12">
      <c r="A2336" s="20" t="s">
        <v>1387</v>
      </c>
      <c r="E2336" s="22">
        <f>IF(D2336="?OLD","!!!","")</f>
        <v/>
      </c>
      <c r="F2336" s="23" t="str">
        <f>IF(OR(E2336="",E2336="!!!"),"",IF(NOT(ISNA(VLOOKUP(E2336,E$1:E2335,1,FALSE()))),"OLD",IF(AND(E2336&lt;&gt;"",E2336&lt;&gt;"!!!"),"NEW","")))</f>
        <v> </v>
      </c>
      <c r="G2336" s="24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5" t="str">
        <f>IF(J2336&lt;&gt;1,"",IF(I2336="SBJ","CB","?"))</f>
        <v> </v>
      </c>
      <c r="I2336" s="26" t="str">
        <f>IF(OR(E2336="",E2336="!!!",F2336="NEW"),"",INDEX(B2335:B$2,-1+SUMPRODUCT(MAX(ROW(E2335:E$2)*(E2336=E2335:E$2)))))</f>
        <v> </v>
      </c>
      <c r="J2336" s="26" t="str">
        <f>IF(OR(E2336="",E2336="!!!",F2336="NEW"),"",COUNTBLANK(OFFSET(A$1,,,SUMPRODUCT(MAX(ROW(E$2:E2336)*(E2336=E$2:E2336)))))-COUNTBLANK(OFFSET(A$1,,,SUMPRODUCT(MAX(ROW(E$1:E2335)*(E2=E$1:E2335))))))</f>
        <v> </v>
      </c>
      <c r="K2336" s="26" t="str">
        <f>IF(OR(E2336="",E2336="!!!",F2336="NEW"),"",INDEX(J$1:J2335,SUMPRODUCT(MAX(ROW(E$1:E2335)*(E2336=E$1:E2335)))))</f>
        <v> </v>
      </c>
      <c r="L2336" s="27"/>
    </row>
    <row r="2337" spans="1:12">
      <c r="A2337" s="20" t="s">
        <v>715</v>
      </c>
      <c r="E2337" s="22">
        <f>IF(D2337="?OLD","!!!","")</f>
        <v/>
      </c>
      <c r="F2337" s="23" t="str">
        <f>IF(OR(E2337="",E2337="!!!"),"",IF(NOT(ISNA(VLOOKUP(E2337,E$1:E2336,1,FALSE()))),"OLD",IF(AND(E2337&lt;&gt;"",E2337&lt;&gt;"!!!"),"NEW","")))</f>
        <v> </v>
      </c>
      <c r="G2337" s="24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5" t="str">
        <f>IF(J2337&lt;&gt;1,"",IF(I2337="SBJ","CB","?"))</f>
        <v> </v>
      </c>
      <c r="I2337" s="26" t="str">
        <f>IF(OR(E2337="",E2337="!!!",F2337="NEW"),"",INDEX(B2336:B$2,-1+SUMPRODUCT(MAX(ROW(E2336:E$2)*(E2337=E2336:E$2)))))</f>
        <v> </v>
      </c>
      <c r="J2337" s="26" t="str">
        <f>IF(OR(E2337="",E2337="!!!",F2337="NEW"),"",COUNTBLANK(OFFSET(A$1,,,SUMPRODUCT(MAX(ROW(E$2:E2337)*(E2337=E$2:E2337)))))-COUNTBLANK(OFFSET(A$1,,,SUMPRODUCT(MAX(ROW(E$1:E2336)*(E2=E$1:E2336))))))</f>
        <v> </v>
      </c>
      <c r="K2337" s="26" t="str">
        <f>IF(OR(E2337="",E2337="!!!",F2337="NEW"),"",INDEX(J$1:J2336,SUMPRODUCT(MAX(ROW(E$1:E2336)*(E2337=E$1:E2336)))))</f>
        <v> </v>
      </c>
      <c r="L2337" s="27"/>
    </row>
    <row r="2338" spans="1:12">
      <c r="A2338" s="20" t="s">
        <v>438</v>
      </c>
      <c r="E2338" s="22">
        <f>IF(D2338="?OLD","!!!","")</f>
        <v/>
      </c>
      <c r="F2338" s="23" t="str">
        <f>IF(OR(E2338="",E2338="!!!"),"",IF(NOT(ISNA(VLOOKUP(E2338,E$1:E2337,1,FALSE()))),"OLD",IF(AND(E2338&lt;&gt;"",E2338&lt;&gt;"!!!"),"NEW","")))</f>
        <v> </v>
      </c>
      <c r="G2338" s="24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5" t="str">
        <f>IF(J2338&lt;&gt;1,"",IF(I2338="SBJ","CB","?"))</f>
        <v> </v>
      </c>
      <c r="I2338" s="26" t="str">
        <f>IF(OR(E2338="",E2338="!!!",F2338="NEW"),"",INDEX(B2337:B$2,-1+SUMPRODUCT(MAX(ROW(E2337:E$2)*(E2338=E2337:E$2)))))</f>
        <v> </v>
      </c>
      <c r="J2338" s="26" t="str">
        <f>IF(OR(E2338="",E2338="!!!",F2338="NEW"),"",COUNTBLANK(OFFSET(A$1,,,SUMPRODUCT(MAX(ROW(E$2:E2338)*(E2338=E$2:E2338)))))-COUNTBLANK(OFFSET(A$1,,,SUMPRODUCT(MAX(ROW(E$1:E2337)*(E2=E$1:E2337))))))</f>
        <v> </v>
      </c>
      <c r="K2338" s="26" t="str">
        <f>IF(OR(E2338="",E2338="!!!",F2338="NEW"),"",INDEX(J$1:J2337,SUMPRODUCT(MAX(ROW(E$1:E2337)*(E2338=E$1:E2337)))))</f>
        <v> </v>
      </c>
      <c r="L2338" s="27"/>
    </row>
    <row r="2339" spans="1:12">
      <c r="A2339" s="20"/>
    </row>
    <row r="2340" spans="1:12">
      <c r="A2340" s="20" t="s">
        <v>1481</v>
      </c>
    </row>
    <row r="2341" spans="1:12">
      <c r="A2341" s="20" t="s">
        <v>799</v>
      </c>
      <c r="E2341" s="22">
        <f>IF(D2341="?OLD","!!!","")</f>
        <v/>
      </c>
      <c r="F2341" s="23" t="str">
        <f>IF(OR(E2341="",E2341="!!!"),"",IF(NOT(ISNA(VLOOKUP(E2341,E$1:E2340,1,FALSE()))),"OLD",IF(AND(E2341&lt;&gt;"",E2341&lt;&gt;"!!!"),"NEW","")))</f>
        <v> </v>
      </c>
      <c r="G2341" s="24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5" t="str">
        <f>IF(J2341&lt;&gt;1,"",IF(I2341="SBJ","CB","?"))</f>
        <v> </v>
      </c>
      <c r="I2341" s="26" t="str">
        <f>IF(OR(E2341="",E2341="!!!",F2341="NEW"),"",INDEX(B2340:B$2,-1+SUMPRODUCT(MAX(ROW(E2340:E$2)*(E2341=E2340:E$2)))))</f>
        <v> </v>
      </c>
      <c r="J2341" s="26" t="str">
        <f>IF(OR(E2341="",E2341="!!!",F2341="NEW"),"",COUNTBLANK(OFFSET(A$1,,,SUMPRODUCT(MAX(ROW(E$2:E2341)*(E2341=E$2:E2341)))))-COUNTBLANK(OFFSET(A$1,,,SUMPRODUCT(MAX(ROW(E$1:E2340)*(E2=E$1:E2340))))))</f>
        <v> </v>
      </c>
      <c r="K2341" s="26" t="str">
        <f>IF(OR(E2341="",E2341="!!!",F2341="NEW"),"",INDEX(J$1:J2340,SUMPRODUCT(MAX(ROW(E$1:E2340)*(E2341=E$1:E2340)))))</f>
        <v> </v>
      </c>
      <c r="L2341" s="27"/>
    </row>
    <row r="2342" spans="1:12">
      <c r="A2342" s="20" t="s">
        <v>586</v>
      </c>
      <c r="B2342" s="21" t="s">
        <v>422</v>
      </c>
      <c r="C2342" s="21" t="s">
        <v>471</v>
      </c>
      <c r="D2342" s="21" t="s">
        <v>424</v>
      </c>
      <c r="E2342" s="22">
        <f>IF(D2342="?OLD","!!!","")</f>
        <v/>
      </c>
      <c r="F2342" s="23" t="str">
        <f>IF(OR(E2342="",E2342="!!!"),"",IF(NOT(ISNA(VLOOKUP(E2342,E$1:E2341,1,FALSE()))),"OLD",IF(AND(E2342&lt;&gt;"",E2342&lt;&gt;"!!!"),"NEW","")))</f>
        <v> </v>
      </c>
      <c r="G2342" s="24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5" t="str">
        <f>IF(J2342&lt;&gt;1,"",IF(I2342="SBJ","CB","?"))</f>
        <v> </v>
      </c>
      <c r="I2342" s="26" t="str">
        <f>IF(OR(E2342="",E2342="!!!",F2342="NEW"),"",INDEX(B2341:B$2,-1+SUMPRODUCT(MAX(ROW(E2341:E$2)*(E2342=E2341:E$2)))))</f>
        <v> </v>
      </c>
      <c r="J2342" s="26" t="str">
        <f>IF(OR(E2342="",E2342="!!!",F2342="NEW"),"",COUNTBLANK(OFFSET(A$1,,,SUMPRODUCT(MAX(ROW(E$2:E2342)*(E2342=E$2:E2342)))))-COUNTBLANK(OFFSET(A$1,,,SUMPRODUCT(MAX(ROW(E$1:E2341)*(E2=E$1:E2341))))))</f>
        <v> </v>
      </c>
      <c r="K2342" s="26" t="str">
        <f>IF(OR(E2342="",E2342="!!!",F2342="NEW"),"",INDEX(J$1:J2341,SUMPRODUCT(MAX(ROW(E$1:E2341)*(E2342=E$1:E2341)))))</f>
        <v> </v>
      </c>
      <c r="L2342" s="27"/>
    </row>
    <row r="2343" spans="1:12">
      <c r="A2343" s="20" t="s">
        <v>1482</v>
      </c>
      <c r="E2343" s="22">
        <f>IF(D2343="?OLD","!!!","")</f>
        <v/>
      </c>
      <c r="F2343" s="23" t="str">
        <f>IF(OR(E2343="",E2343="!!!"),"",IF(NOT(ISNA(VLOOKUP(E2343,E$1:E2342,1,FALSE()))),"OLD",IF(AND(E2343&lt;&gt;"",E2343&lt;&gt;"!!!"),"NEW","")))</f>
        <v> </v>
      </c>
      <c r="G2343" s="24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5" t="str">
        <f>IF(J2343&lt;&gt;1,"",IF(I2343="SBJ","CB","?"))</f>
        <v> </v>
      </c>
      <c r="I2343" s="26" t="str">
        <f>IF(OR(E2343="",E2343="!!!",F2343="NEW"),"",INDEX(B2342:B$2,-1+SUMPRODUCT(MAX(ROW(E2342:E$2)*(E2343=E2342:E$2)))))</f>
        <v> </v>
      </c>
      <c r="J2343" s="26" t="str">
        <f>IF(OR(E2343="",E2343="!!!",F2343="NEW"),"",COUNTBLANK(OFFSET(A$1,,,SUMPRODUCT(MAX(ROW(E$2:E2343)*(E2343=E$2:E2343)))))-COUNTBLANK(OFFSET(A$1,,,SUMPRODUCT(MAX(ROW(E$1:E2342)*(E2=E$1:E2342))))))</f>
        <v> </v>
      </c>
      <c r="K2343" s="26" t="str">
        <f>IF(OR(E2343="",E2343="!!!",F2343="NEW"),"",INDEX(J$1:J2342,SUMPRODUCT(MAX(ROW(E$1:E2342)*(E2343=E$1:E2342)))))</f>
        <v> </v>
      </c>
      <c r="L2343" s="27"/>
    </row>
    <row r="2344" spans="1:12">
      <c r="A2344" s="20" t="s">
        <v>1483</v>
      </c>
      <c r="E2344" s="22">
        <f>IF(D2344="?OLD","!!!","")</f>
        <v/>
      </c>
      <c r="F2344" s="23" t="str">
        <f>IF(OR(E2344="",E2344="!!!"),"",IF(NOT(ISNA(VLOOKUP(E2344,E$1:E2343,1,FALSE()))),"OLD",IF(AND(E2344&lt;&gt;"",E2344&lt;&gt;"!!!"),"NEW","")))</f>
        <v> </v>
      </c>
      <c r="G2344" s="24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5" t="str">
        <f>IF(J2344&lt;&gt;1,"",IF(I2344="SBJ","CB","?"))</f>
        <v> </v>
      </c>
      <c r="I2344" s="26" t="str">
        <f>IF(OR(E2344="",E2344="!!!",F2344="NEW"),"",INDEX(B2343:B$2,-1+SUMPRODUCT(MAX(ROW(E2343:E$2)*(E2344=E2343:E$2)))))</f>
        <v> </v>
      </c>
      <c r="J2344" s="26" t="str">
        <f>IF(OR(E2344="",E2344="!!!",F2344="NEW"),"",COUNTBLANK(OFFSET(A$1,,,SUMPRODUCT(MAX(ROW(E$2:E2344)*(E2344=E$2:E2344)))))-COUNTBLANK(OFFSET(A$1,,,SUMPRODUCT(MAX(ROW(E$1:E2343)*(E2=E$1:E2343))))))</f>
        <v> </v>
      </c>
      <c r="K2344" s="26" t="str">
        <f>IF(OR(E2344="",E2344="!!!",F2344="NEW"),"",INDEX(J$1:J2343,SUMPRODUCT(MAX(ROW(E$1:E2343)*(E2344=E$1:E2343)))))</f>
        <v> </v>
      </c>
      <c r="L2344" s="27"/>
    </row>
    <row r="2345" spans="1:12">
      <c r="A2345" s="20" t="s">
        <v>1484</v>
      </c>
      <c r="E2345" s="22">
        <f>IF(D2345="?OLD","!!!","")</f>
        <v/>
      </c>
      <c r="F2345" s="23" t="str">
        <f>IF(OR(E2345="",E2345="!!!"),"",IF(NOT(ISNA(VLOOKUP(E2345,E$1:E2344,1,FALSE()))),"OLD",IF(AND(E2345&lt;&gt;"",E2345&lt;&gt;"!!!"),"NEW","")))</f>
        <v> </v>
      </c>
      <c r="G2345" s="24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5" t="str">
        <f>IF(J2345&lt;&gt;1,"",IF(I2345="SBJ","CB","?"))</f>
        <v> </v>
      </c>
      <c r="I2345" s="26" t="str">
        <f>IF(OR(E2345="",E2345="!!!",F2345="NEW"),"",INDEX(B2344:B$2,-1+SUMPRODUCT(MAX(ROW(E2344:E$2)*(E2345=E2344:E$2)))))</f>
        <v> </v>
      </c>
      <c r="J2345" s="26" t="str">
        <f>IF(OR(E2345="",E2345="!!!",F2345="NEW"),"",COUNTBLANK(OFFSET(A$1,,,SUMPRODUCT(MAX(ROW(E$2:E2345)*(E2345=E$2:E2345)))))-COUNTBLANK(OFFSET(A$1,,,SUMPRODUCT(MAX(ROW(E$1:E2344)*(E2=E$1:E2344))))))</f>
        <v> </v>
      </c>
      <c r="K2345" s="26" t="str">
        <f>IF(OR(E2345="",E2345="!!!",F2345="NEW"),"",INDEX(J$1:J2344,SUMPRODUCT(MAX(ROW(E$1:E2344)*(E2345=E$1:E2344)))))</f>
        <v> </v>
      </c>
      <c r="L2345" s="27"/>
    </row>
    <row r="2346" spans="1:12">
      <c r="A2346" s="20" t="s">
        <v>1485</v>
      </c>
      <c r="B2346" s="21" t="s">
        <v>500</v>
      </c>
      <c r="E2346" s="22">
        <f>IF(D2346="?OLD","!!!","")</f>
        <v/>
      </c>
      <c r="F2346" s="23" t="str">
        <f>IF(OR(E2346="",E2346="!!!"),"",IF(NOT(ISNA(VLOOKUP(E2346,E$1:E2345,1,FALSE()))),"OLD",IF(AND(E2346&lt;&gt;"",E2346&lt;&gt;"!!!"),"NEW","")))</f>
        <v> </v>
      </c>
      <c r="G2346" s="24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5" t="str">
        <f>IF(J2346&lt;&gt;1,"",IF(I2346="SBJ","CB","?"))</f>
        <v> </v>
      </c>
      <c r="I2346" s="26" t="str">
        <f>IF(OR(E2346="",E2346="!!!",F2346="NEW"),"",INDEX(B2345:B$2,-1+SUMPRODUCT(MAX(ROW(E2345:E$2)*(E2346=E2345:E$2)))))</f>
        <v> </v>
      </c>
      <c r="J2346" s="26" t="str">
        <f>IF(OR(E2346="",E2346="!!!",F2346="NEW"),"",COUNTBLANK(OFFSET(A$1,,,SUMPRODUCT(MAX(ROW(E$2:E2346)*(E2346=E$2:E2346)))))-COUNTBLANK(OFFSET(A$1,,,SUMPRODUCT(MAX(ROW(E$1:E2345)*(E2=E$1:E2345))))))</f>
        <v> </v>
      </c>
      <c r="K2346" s="26" t="str">
        <f>IF(OR(E2346="",E2346="!!!",F2346="NEW"),"",INDEX(J$1:J2345,SUMPRODUCT(MAX(ROW(E$1:E2345)*(E2346=E$1:E2345)))))</f>
        <v> </v>
      </c>
      <c r="L2346" s="27"/>
    </row>
    <row r="2347" spans="1:12">
      <c r="A2347" s="20" t="s">
        <v>443</v>
      </c>
      <c r="E2347" s="22">
        <f>IF(D2347="?OLD","!!!","")</f>
        <v/>
      </c>
      <c r="F2347" s="23" t="str">
        <f>IF(OR(E2347="",E2347="!!!"),"",IF(NOT(ISNA(VLOOKUP(E2347,E$1:E2346,1,FALSE()))),"OLD",IF(AND(E2347&lt;&gt;"",E2347&lt;&gt;"!!!"),"NEW","")))</f>
        <v> </v>
      </c>
      <c r="G2347" s="24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5" t="str">
        <f>IF(J2347&lt;&gt;1,"",IF(I2347="SBJ","CB","?"))</f>
        <v> </v>
      </c>
      <c r="I2347" s="26" t="str">
        <f>IF(OR(E2347="",E2347="!!!",F2347="NEW"),"",INDEX(B2346:B$2,-1+SUMPRODUCT(MAX(ROW(E2346:E$2)*(E2347=E2346:E$2)))))</f>
        <v> </v>
      </c>
      <c r="J2347" s="26" t="str">
        <f>IF(OR(E2347="",E2347="!!!",F2347="NEW"),"",COUNTBLANK(OFFSET(A$1,,,SUMPRODUCT(MAX(ROW(E$2:E2347)*(E2347=E$2:E2347)))))-COUNTBLANK(OFFSET(A$1,,,SUMPRODUCT(MAX(ROW(E$1:E2346)*(E2=E$1:E2346))))))</f>
        <v> </v>
      </c>
      <c r="K2347" s="26" t="str">
        <f>IF(OR(E2347="",E2347="!!!",F2347="NEW"),"",INDEX(J$1:J2346,SUMPRODUCT(MAX(ROW(E$1:E2346)*(E2347=E$1:E2346)))))</f>
        <v> </v>
      </c>
      <c r="L2347" s="27"/>
    </row>
    <row r="2348" spans="1:12">
      <c r="A2348" s="20" t="s">
        <v>429</v>
      </c>
      <c r="E2348" s="22">
        <f>IF(D2348="?OLD","!!!","")</f>
        <v/>
      </c>
      <c r="F2348" s="23" t="str">
        <f>IF(OR(E2348="",E2348="!!!"),"",IF(NOT(ISNA(VLOOKUP(E2348,E$1:E2347,1,FALSE()))),"OLD",IF(AND(E2348&lt;&gt;"",E2348&lt;&gt;"!!!"),"NEW","")))</f>
        <v> </v>
      </c>
      <c r="G2348" s="24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5" t="str">
        <f>IF(J2348&lt;&gt;1,"",IF(I2348="SBJ","CB","?"))</f>
        <v> </v>
      </c>
      <c r="I2348" s="26" t="str">
        <f>IF(OR(E2348="",E2348="!!!",F2348="NEW"),"",INDEX(B2347:B$2,-1+SUMPRODUCT(MAX(ROW(E2347:E$2)*(E2348=E2347:E$2)))))</f>
        <v> </v>
      </c>
      <c r="J2348" s="26" t="str">
        <f>IF(OR(E2348="",E2348="!!!",F2348="NEW"),"",COUNTBLANK(OFFSET(A$1,,,SUMPRODUCT(MAX(ROW(E$2:E2348)*(E2348=E$2:E2348)))))-COUNTBLANK(OFFSET(A$1,,,SUMPRODUCT(MAX(ROW(E$1:E2347)*(E2=E$1:E2347))))))</f>
        <v> </v>
      </c>
      <c r="K2348" s="26" t="str">
        <f>IF(OR(E2348="",E2348="!!!",F2348="NEW"),"",INDEX(J$1:J2347,SUMPRODUCT(MAX(ROW(E$1:E2347)*(E2348=E$1:E2347)))))</f>
        <v> </v>
      </c>
      <c r="L2348" s="27"/>
    </row>
    <row r="2349" spans="1:12">
      <c r="A2349" s="20" t="s">
        <v>1486</v>
      </c>
      <c r="E2349" s="22">
        <f>IF(D2349="?OLD","!!!","")</f>
        <v/>
      </c>
      <c r="F2349" s="23" t="str">
        <f>IF(OR(E2349="",E2349="!!!"),"",IF(NOT(ISNA(VLOOKUP(E2349,E$1:E2348,1,FALSE()))),"OLD",IF(AND(E2349&lt;&gt;"",E2349&lt;&gt;"!!!"),"NEW","")))</f>
        <v> </v>
      </c>
      <c r="G2349" s="24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5" t="str">
        <f>IF(J2349&lt;&gt;1,"",IF(I2349="SBJ","CB","?"))</f>
        <v> </v>
      </c>
      <c r="I2349" s="26" t="str">
        <f>IF(OR(E2349="",E2349="!!!",F2349="NEW"),"",INDEX(B2348:B$2,-1+SUMPRODUCT(MAX(ROW(E2348:E$2)*(E2349=E2348:E$2)))))</f>
        <v> </v>
      </c>
      <c r="J2349" s="26" t="str">
        <f>IF(OR(E2349="",E2349="!!!",F2349="NEW"),"",COUNTBLANK(OFFSET(A$1,,,SUMPRODUCT(MAX(ROW(E$2:E2349)*(E2349=E$2:E2349)))))-COUNTBLANK(OFFSET(A$1,,,SUMPRODUCT(MAX(ROW(E$1:E2348)*(E2=E$1:E2348))))))</f>
        <v> </v>
      </c>
      <c r="K2349" s="26" t="str">
        <f>IF(OR(E2349="",E2349="!!!",F2349="NEW"),"",INDEX(J$1:J2348,SUMPRODUCT(MAX(ROW(E$1:E2348)*(E2349=E$1:E2348)))))</f>
        <v> </v>
      </c>
      <c r="L2349" s="27"/>
    </row>
    <row r="2350" spans="1:12">
      <c r="A2350" s="20" t="s">
        <v>438</v>
      </c>
      <c r="E2350" s="22">
        <f>IF(D2350="?OLD","!!!","")</f>
        <v/>
      </c>
      <c r="F2350" s="23" t="str">
        <f>IF(OR(E2350="",E2350="!!!"),"",IF(NOT(ISNA(VLOOKUP(E2350,E$1:E2349,1,FALSE()))),"OLD",IF(AND(E2350&lt;&gt;"",E2350&lt;&gt;"!!!"),"NEW","")))</f>
        <v> </v>
      </c>
      <c r="G2350" s="24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5" t="str">
        <f>IF(J2350&lt;&gt;1,"",IF(I2350="SBJ","CB","?"))</f>
        <v> </v>
      </c>
      <c r="I2350" s="26" t="str">
        <f>IF(OR(E2350="",E2350="!!!",F2350="NEW"),"",INDEX(B2349:B$2,-1+SUMPRODUCT(MAX(ROW(E2349:E$2)*(E2350=E2349:E$2)))))</f>
        <v> </v>
      </c>
      <c r="J2350" s="26" t="str">
        <f>IF(OR(E2350="",E2350="!!!",F2350="NEW"),"",COUNTBLANK(OFFSET(A$1,,,SUMPRODUCT(MAX(ROW(E$2:E2350)*(E2350=E$2:E2350)))))-COUNTBLANK(OFFSET(A$1,,,SUMPRODUCT(MAX(ROW(E$1:E2349)*(E2=E$1:E2349))))))</f>
        <v> </v>
      </c>
      <c r="K2350" s="26" t="str">
        <f>IF(OR(E2350="",E2350="!!!",F2350="NEW"),"",INDEX(J$1:J2349,SUMPRODUCT(MAX(ROW(E$1:E2349)*(E2350=E$1:E2349)))))</f>
        <v> </v>
      </c>
      <c r="L2350" s="27"/>
    </row>
    <row r="2351" spans="1:12">
      <c r="A2351" s="20"/>
    </row>
    <row r="2352" spans="1:12">
      <c r="A2352" s="20" t="s">
        <v>1487</v>
      </c>
    </row>
    <row r="2353" spans="1:12">
      <c r="A2353" s="20" t="s">
        <v>618</v>
      </c>
      <c r="B2353" s="21" t="s">
        <v>422</v>
      </c>
      <c r="C2353" s="21" t="s">
        <v>423</v>
      </c>
      <c r="D2353" s="21" t="s">
        <v>424</v>
      </c>
      <c r="E2353" s="22">
        <f>IF(D2353="?OLD","!!!","")</f>
        <v/>
      </c>
      <c r="F2353" s="23" t="str">
        <f>IF(OR(E2353="",E2353="!!!"),"",IF(NOT(ISNA(VLOOKUP(E2353,E$1:E2352,1,FALSE()))),"OLD",IF(AND(E2353&lt;&gt;"",E2353&lt;&gt;"!!!"),"NEW","")))</f>
        <v> </v>
      </c>
      <c r="G2353" s="24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5" t="str">
        <f>IF(J2353&lt;&gt;1,"",IF(I2353="SBJ","CB","?"))</f>
        <v> </v>
      </c>
      <c r="I2353" s="26" t="str">
        <f>IF(OR(E2353="",E2353="!!!",F2353="NEW"),"",INDEX(B2352:B$2,-1+SUMPRODUCT(MAX(ROW(E2352:E$2)*(E2353=E2352:E$2)))))</f>
        <v> </v>
      </c>
      <c r="J2353" s="26" t="str">
        <f>IF(OR(E2353="",E2353="!!!",F2353="NEW"),"",COUNTBLANK(OFFSET(A$1,,,SUMPRODUCT(MAX(ROW(E$2:E2353)*(E2353=E$2:E2353)))))-COUNTBLANK(OFFSET(A$1,,,SUMPRODUCT(MAX(ROW(E$1:E2352)*(E2=E$1:E2352))))))</f>
        <v> </v>
      </c>
      <c r="K2353" s="26" t="str">
        <f>IF(OR(E2353="",E2353="!!!",F2353="NEW"),"",INDEX(J$1:J2352,SUMPRODUCT(MAX(ROW(E$1:E2352)*(E2353=E$1:E2352)))))</f>
        <v> </v>
      </c>
      <c r="L2353" s="27"/>
    </row>
    <row r="2354" spans="1:12">
      <c r="A2354" s="20" t="s">
        <v>1488</v>
      </c>
      <c r="E2354" s="22">
        <f>IF(D2354="?OLD","!!!","")</f>
        <v/>
      </c>
      <c r="F2354" s="23" t="str">
        <f>IF(OR(E2354="",E2354="!!!"),"",IF(NOT(ISNA(VLOOKUP(E2354,E$1:E2353,1,FALSE()))),"OLD",IF(AND(E2354&lt;&gt;"",E2354&lt;&gt;"!!!"),"NEW","")))</f>
        <v> </v>
      </c>
      <c r="G2354" s="24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5" t="str">
        <f>IF(J2354&lt;&gt;1,"",IF(I2354="SBJ","CB","?"))</f>
        <v> </v>
      </c>
      <c r="I2354" s="26" t="str">
        <f>IF(OR(E2354="",E2354="!!!",F2354="NEW"),"",INDEX(B2353:B$2,-1+SUMPRODUCT(MAX(ROW(E2353:E$2)*(E2354=E2353:E$2)))))</f>
        <v> </v>
      </c>
      <c r="J2354" s="26" t="str">
        <f>IF(OR(E2354="",E2354="!!!",F2354="NEW"),"",COUNTBLANK(OFFSET(A$1,,,SUMPRODUCT(MAX(ROW(E$2:E2354)*(E2354=E$2:E2354)))))-COUNTBLANK(OFFSET(A$1,,,SUMPRODUCT(MAX(ROW(E$1:E2353)*(E2=E$1:E2353))))))</f>
        <v> </v>
      </c>
      <c r="K2354" s="26" t="str">
        <f>IF(OR(E2354="",E2354="!!!",F2354="NEW"),"",INDEX(J$1:J2353,SUMPRODUCT(MAX(ROW(E$1:E2353)*(E2354=E$1:E2353)))))</f>
        <v> </v>
      </c>
      <c r="L2354" s="27"/>
    </row>
    <row r="2355" spans="1:12">
      <c r="A2355" s="20" t="s">
        <v>484</v>
      </c>
      <c r="B2355" s="21" t="s">
        <v>500</v>
      </c>
      <c r="C2355" s="21" t="s">
        <v>423</v>
      </c>
      <c r="D2355" s="21" t="s">
        <v>424</v>
      </c>
      <c r="E2355" s="22">
        <f>IF(D2355="?OLD","!!!","")</f>
        <v/>
      </c>
      <c r="F2355" s="23" t="str">
        <f>IF(OR(E2355="",E2355="!!!"),"",IF(NOT(ISNA(VLOOKUP(E2355,E$1:E2354,1,FALSE()))),"OLD",IF(AND(E2355&lt;&gt;"",E2355&lt;&gt;"!!!"),"NEW","")))</f>
        <v> </v>
      </c>
      <c r="G2355" s="24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5" t="str">
        <f>IF(J2355&lt;&gt;1,"",IF(I2355="SBJ","CB","?"))</f>
        <v> </v>
      </c>
      <c r="I2355" s="26" t="str">
        <f>IF(OR(E2355="",E2355="!!!",F2355="NEW"),"",INDEX(B2354:B$2,-1+SUMPRODUCT(MAX(ROW(E2354:E$2)*(E2355=E2354:E$2)))))</f>
        <v> </v>
      </c>
      <c r="J2355" s="26" t="str">
        <f>IF(OR(E2355="",E2355="!!!",F2355="NEW"),"",COUNTBLANK(OFFSET(A$1,,,SUMPRODUCT(MAX(ROW(E$2:E2355)*(E2355=E$2:E2355)))))-COUNTBLANK(OFFSET(A$1,,,SUMPRODUCT(MAX(ROW(E$1:E2354)*(E2=E$1:E2354))))))</f>
        <v> </v>
      </c>
      <c r="K2355" s="26" t="str">
        <f>IF(OR(E2355="",E2355="!!!",F2355="NEW"),"",INDEX(J$1:J2354,SUMPRODUCT(MAX(ROW(E$1:E2354)*(E2355=E$1:E2354)))))</f>
        <v> </v>
      </c>
      <c r="L2355" s="27"/>
    </row>
    <row r="2356" spans="1:12">
      <c r="A2356" s="20" t="s">
        <v>506</v>
      </c>
      <c r="E2356" s="22">
        <f>IF(D2356="?OLD","!!!","")</f>
        <v/>
      </c>
      <c r="F2356" s="23" t="str">
        <f>IF(OR(E2356="",E2356="!!!"),"",IF(NOT(ISNA(VLOOKUP(E2356,E$1:E2355,1,FALSE()))),"OLD",IF(AND(E2356&lt;&gt;"",E2356&lt;&gt;"!!!"),"NEW","")))</f>
        <v> </v>
      </c>
      <c r="G2356" s="24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5" t="str">
        <f>IF(J2356&lt;&gt;1,"",IF(I2356="SBJ","CB","?"))</f>
        <v> </v>
      </c>
      <c r="I2356" s="26" t="str">
        <f>IF(OR(E2356="",E2356="!!!",F2356="NEW"),"",INDEX(B2355:B$2,-1+SUMPRODUCT(MAX(ROW(E2355:E$2)*(E2356=E2355:E$2)))))</f>
        <v> </v>
      </c>
      <c r="J2356" s="26" t="str">
        <f>IF(OR(E2356="",E2356="!!!",F2356="NEW"),"",COUNTBLANK(OFFSET(A$1,,,SUMPRODUCT(MAX(ROW(E$2:E2356)*(E2356=E$2:E2356)))))-COUNTBLANK(OFFSET(A$1,,,SUMPRODUCT(MAX(ROW(E$1:E2355)*(E2=E$1:E2355))))))</f>
        <v> </v>
      </c>
      <c r="K2356" s="26" t="str">
        <f>IF(OR(E2356="",E2356="!!!",F2356="NEW"),"",INDEX(J$1:J2355,SUMPRODUCT(MAX(ROW(E$1:E2355)*(E2356=E$1:E2355)))))</f>
        <v> </v>
      </c>
      <c r="L2356" s="27"/>
    </row>
    <row r="2357" spans="1:12">
      <c r="A2357" s="20" t="s">
        <v>1088</v>
      </c>
      <c r="E2357" s="22">
        <f>IF(D2357="?OLD","!!!","")</f>
        <v/>
      </c>
      <c r="F2357" s="23" t="str">
        <f>IF(OR(E2357="",E2357="!!!"),"",IF(NOT(ISNA(VLOOKUP(E2357,E$1:E2356,1,FALSE()))),"OLD",IF(AND(E2357&lt;&gt;"",E2357&lt;&gt;"!!!"),"NEW","")))</f>
        <v> </v>
      </c>
      <c r="G2357" s="24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5" t="str">
        <f>IF(J2357&lt;&gt;1,"",IF(I2357="SBJ","CB","?"))</f>
        <v> </v>
      </c>
      <c r="I2357" s="26" t="str">
        <f>IF(OR(E2357="",E2357="!!!",F2357="NEW"),"",INDEX(B2356:B$2,-1+SUMPRODUCT(MAX(ROW(E2356:E$2)*(E2357=E2356:E$2)))))</f>
        <v> </v>
      </c>
      <c r="J2357" s="26" t="str">
        <f>IF(OR(E2357="",E2357="!!!",F2357="NEW"),"",COUNTBLANK(OFFSET(A$1,,,SUMPRODUCT(MAX(ROW(E$2:E2357)*(E2357=E$2:E2357)))))-COUNTBLANK(OFFSET(A$1,,,SUMPRODUCT(MAX(ROW(E$1:E2356)*(E2=E$1:E2356))))))</f>
        <v> </v>
      </c>
      <c r="K2357" s="26" t="str">
        <f>IF(OR(E2357="",E2357="!!!",F2357="NEW"),"",INDEX(J$1:J2356,SUMPRODUCT(MAX(ROW(E$1:E2356)*(E2357=E$1:E2356)))))</f>
        <v> </v>
      </c>
      <c r="L2357" s="27"/>
    </row>
    <row r="2358" spans="1:12">
      <c r="A2358" s="20" t="s">
        <v>1489</v>
      </c>
      <c r="E2358" s="22">
        <f>IF(D2358="?OLD","!!!","")</f>
        <v/>
      </c>
      <c r="F2358" s="23" t="str">
        <f>IF(OR(E2358="",E2358="!!!"),"",IF(NOT(ISNA(VLOOKUP(E2358,E$1:E2357,1,FALSE()))),"OLD",IF(AND(E2358&lt;&gt;"",E2358&lt;&gt;"!!!"),"NEW","")))</f>
        <v> </v>
      </c>
      <c r="G2358" s="24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5" t="str">
        <f>IF(J2358&lt;&gt;1,"",IF(I2358="SBJ","CB","?"))</f>
        <v> </v>
      </c>
      <c r="I2358" s="26" t="str">
        <f>IF(OR(E2358="",E2358="!!!",F2358="NEW"),"",INDEX(B2357:B$2,-1+SUMPRODUCT(MAX(ROW(E2357:E$2)*(E2358=E2357:E$2)))))</f>
        <v> </v>
      </c>
      <c r="J2358" s="26" t="str">
        <f>IF(OR(E2358="",E2358="!!!",F2358="NEW"),"",COUNTBLANK(OFFSET(A$1,,,SUMPRODUCT(MAX(ROW(E$2:E2358)*(E2358=E$2:E2358)))))-COUNTBLANK(OFFSET(A$1,,,SUMPRODUCT(MAX(ROW(E$1:E2357)*(E2=E$1:E2357))))))</f>
        <v> </v>
      </c>
      <c r="K2358" s="26" t="str">
        <f>IF(OR(E2358="",E2358="!!!",F2358="NEW"),"",INDEX(J$1:J2357,SUMPRODUCT(MAX(ROW(E$1:E2357)*(E2358=E$1:E2357)))))</f>
        <v> </v>
      </c>
      <c r="L2358" s="27"/>
    </row>
    <row r="2359" spans="1:12">
      <c r="A2359" s="20" t="s">
        <v>596</v>
      </c>
      <c r="E2359" s="22">
        <f>IF(D2359="?OLD","!!!","")</f>
        <v/>
      </c>
      <c r="F2359" s="23" t="str">
        <f>IF(OR(E2359="",E2359="!!!"),"",IF(NOT(ISNA(VLOOKUP(E2359,E$1:E2358,1,FALSE()))),"OLD",IF(AND(E2359&lt;&gt;"",E2359&lt;&gt;"!!!"),"NEW","")))</f>
        <v> </v>
      </c>
      <c r="G2359" s="24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5" t="str">
        <f>IF(J2359&lt;&gt;1,"",IF(I2359="SBJ","CB","?"))</f>
        <v> </v>
      </c>
      <c r="I2359" s="26" t="str">
        <f>IF(OR(E2359="",E2359="!!!",F2359="NEW"),"",INDEX(B2358:B$2,-1+SUMPRODUCT(MAX(ROW(E2358:E$2)*(E2359=E2358:E$2)))))</f>
        <v> </v>
      </c>
      <c r="J2359" s="26" t="str">
        <f>IF(OR(E2359="",E2359="!!!",F2359="NEW"),"",COUNTBLANK(OFFSET(A$1,,,SUMPRODUCT(MAX(ROW(E$2:E2359)*(E2359=E$2:E2359)))))-COUNTBLANK(OFFSET(A$1,,,SUMPRODUCT(MAX(ROW(E$1:E2358)*(E2=E$1:E2358))))))</f>
        <v> </v>
      </c>
      <c r="K2359" s="26" t="str">
        <f>IF(OR(E2359="",E2359="!!!",F2359="NEW"),"",INDEX(J$1:J2358,SUMPRODUCT(MAX(ROW(E$1:E2358)*(E2359=E$1:E2358)))))</f>
        <v> </v>
      </c>
      <c r="L2359" s="27"/>
    </row>
    <row r="2360" spans="1:12">
      <c r="A2360" s="20" t="s">
        <v>438</v>
      </c>
      <c r="E2360" s="22">
        <f>IF(D2360="?OLD","!!!","")</f>
        <v/>
      </c>
      <c r="F2360" s="23" t="str">
        <f>IF(OR(E2360="",E2360="!!!"),"",IF(NOT(ISNA(VLOOKUP(E2360,E$1:E2359,1,FALSE()))),"OLD",IF(AND(E2360&lt;&gt;"",E2360&lt;&gt;"!!!"),"NEW","")))</f>
        <v> </v>
      </c>
      <c r="G2360" s="24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5" t="str">
        <f>IF(J2360&lt;&gt;1,"",IF(I2360="SBJ","CB","?"))</f>
        <v> </v>
      </c>
      <c r="I2360" s="26" t="str">
        <f>IF(OR(E2360="",E2360="!!!",F2360="NEW"),"",INDEX(B2359:B$2,-1+SUMPRODUCT(MAX(ROW(E2359:E$2)*(E2360=E2359:E$2)))))</f>
        <v> </v>
      </c>
      <c r="J2360" s="26" t="str">
        <f>IF(OR(E2360="",E2360="!!!",F2360="NEW"),"",COUNTBLANK(OFFSET(A$1,,,SUMPRODUCT(MAX(ROW(E$2:E2360)*(E2360=E$2:E2360)))))-COUNTBLANK(OFFSET(A$1,,,SUMPRODUCT(MAX(ROW(E$1:E2359)*(E2=E$1:E2359))))))</f>
        <v> </v>
      </c>
      <c r="K2360" s="26" t="str">
        <f>IF(OR(E2360="",E2360="!!!",F2360="NEW"),"",INDEX(J$1:J2359,SUMPRODUCT(MAX(ROW(E$1:E2359)*(E2360=E$1:E2359)))))</f>
        <v> </v>
      </c>
      <c r="L2360" s="27"/>
    </row>
    <row r="2361" spans="1:12">
      <c r="A2361" s="20"/>
    </row>
    <row r="2362" spans="1:12">
      <c r="A2362" s="20" t="s">
        <v>1490</v>
      </c>
    </row>
    <row r="2363" spans="1:12">
      <c r="A2363" s="20" t="s">
        <v>618</v>
      </c>
      <c r="B2363" s="21" t="s">
        <v>422</v>
      </c>
      <c r="C2363" s="21" t="s">
        <v>423</v>
      </c>
      <c r="D2363" s="21" t="s">
        <v>424</v>
      </c>
      <c r="E2363" s="22">
        <f>IF(D2363="?OLD","!!!","")</f>
        <v/>
      </c>
      <c r="F2363" s="23" t="str">
        <f>IF(OR(E2363="",E2363="!!!"),"",IF(NOT(ISNA(VLOOKUP(E2363,E$1:E2362,1,FALSE()))),"OLD",IF(AND(E2363&lt;&gt;"",E2363&lt;&gt;"!!!"),"NEW","")))</f>
        <v> </v>
      </c>
      <c r="G2363" s="24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5" t="str">
        <f>IF(J2363&lt;&gt;1,"",IF(I2363="SBJ","CB","?"))</f>
        <v> </v>
      </c>
      <c r="I2363" s="26" t="str">
        <f>IF(OR(E2363="",E2363="!!!",F2363="NEW"),"",INDEX(B2362:B$2,-1+SUMPRODUCT(MAX(ROW(E2362:E$2)*(E2363=E2362:E$2)))))</f>
        <v> </v>
      </c>
      <c r="J2363" s="26" t="str">
        <f>IF(OR(E2363="",E2363="!!!",F2363="NEW"),"",COUNTBLANK(OFFSET(A$1,,,SUMPRODUCT(MAX(ROW(E$2:E2363)*(E2363=E$2:E2363)))))-COUNTBLANK(OFFSET(A$1,,,SUMPRODUCT(MAX(ROW(E$1:E2362)*(E2=E$1:E2362))))))</f>
        <v> </v>
      </c>
      <c r="K2363" s="26" t="str">
        <f>IF(OR(E2363="",E2363="!!!",F2363="NEW"),"",INDEX(J$1:J2362,SUMPRODUCT(MAX(ROW(E$1:E2362)*(E2363=E$1:E2362)))))</f>
        <v> </v>
      </c>
      <c r="L2363" s="27"/>
    </row>
    <row r="2364" spans="1:12">
      <c r="A2364" s="20" t="s">
        <v>1491</v>
      </c>
      <c r="E2364" s="22">
        <f>IF(D2364="?OLD","!!!","")</f>
        <v/>
      </c>
      <c r="F2364" s="23" t="str">
        <f>IF(OR(E2364="",E2364="!!!"),"",IF(NOT(ISNA(VLOOKUP(E2364,E$1:E2363,1,FALSE()))),"OLD",IF(AND(E2364&lt;&gt;"",E2364&lt;&gt;"!!!"),"NEW","")))</f>
        <v> </v>
      </c>
      <c r="G2364" s="24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5" t="str">
        <f>IF(J2364&lt;&gt;1,"",IF(I2364="SBJ","CB","?"))</f>
        <v> </v>
      </c>
      <c r="I2364" s="26" t="str">
        <f>IF(OR(E2364="",E2364="!!!",F2364="NEW"),"",INDEX(B2363:B$2,-1+SUMPRODUCT(MAX(ROW(E2363:E$2)*(E2364=E2363:E$2)))))</f>
        <v> </v>
      </c>
      <c r="J2364" s="26" t="str">
        <f>IF(OR(E2364="",E2364="!!!",F2364="NEW"),"",COUNTBLANK(OFFSET(A$1,,,SUMPRODUCT(MAX(ROW(E$2:E2364)*(E2364=E$2:E2364)))))-COUNTBLANK(OFFSET(A$1,,,SUMPRODUCT(MAX(ROW(E$1:E2363)*(E2=E$1:E2363))))))</f>
        <v> </v>
      </c>
      <c r="K2364" s="26" t="str">
        <f>IF(OR(E2364="",E2364="!!!",F2364="NEW"),"",INDEX(J$1:J2363,SUMPRODUCT(MAX(ROW(E$1:E2363)*(E2364=E$1:E2363)))))</f>
        <v> </v>
      </c>
      <c r="L2364" s="27"/>
    </row>
    <row r="2365" spans="1:12">
      <c r="A2365" s="20" t="s">
        <v>676</v>
      </c>
      <c r="E2365" s="22">
        <f>IF(D2365="?OLD","!!!","")</f>
        <v/>
      </c>
      <c r="F2365" s="23" t="str">
        <f>IF(OR(E2365="",E2365="!!!"),"",IF(NOT(ISNA(VLOOKUP(E2365,E$1:E2364,1,FALSE()))),"OLD",IF(AND(E2365&lt;&gt;"",E2365&lt;&gt;"!!!"),"NEW","")))</f>
        <v> </v>
      </c>
      <c r="G2365" s="24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5" t="str">
        <f>IF(J2365&lt;&gt;1,"",IF(I2365="SBJ","CB","?"))</f>
        <v> </v>
      </c>
      <c r="I2365" s="26" t="str">
        <f>IF(OR(E2365="",E2365="!!!",F2365="NEW"),"",INDEX(B2364:B$2,-1+SUMPRODUCT(MAX(ROW(E2364:E$2)*(E2365=E2364:E$2)))))</f>
        <v> </v>
      </c>
      <c r="J2365" s="26" t="str">
        <f>IF(OR(E2365="",E2365="!!!",F2365="NEW"),"",COUNTBLANK(OFFSET(A$1,,,SUMPRODUCT(MAX(ROW(E$2:E2365)*(E2365=E$2:E2365)))))-COUNTBLANK(OFFSET(A$1,,,SUMPRODUCT(MAX(ROW(E$1:E2364)*(E2=E$1:E2364))))))</f>
        <v> </v>
      </c>
      <c r="K2365" s="26" t="str">
        <f>IF(OR(E2365="",E2365="!!!",F2365="NEW"),"",INDEX(J$1:J2364,SUMPRODUCT(MAX(ROW(E$1:E2364)*(E2365=E$1:E2364)))))</f>
        <v> </v>
      </c>
      <c r="L2365" s="27"/>
    </row>
    <row r="2366" spans="1:12">
      <c r="A2366" s="20" t="s">
        <v>484</v>
      </c>
      <c r="B2366" s="21" t="s">
        <v>533</v>
      </c>
      <c r="C2366" s="21" t="s">
        <v>423</v>
      </c>
      <c r="D2366" s="21" t="s">
        <v>424</v>
      </c>
      <c r="E2366" s="22">
        <f>IF(D2366="?OLD","!!!","")</f>
        <v/>
      </c>
      <c r="F2366" s="23" t="str">
        <f>IF(OR(E2366="",E2366="!!!"),"",IF(NOT(ISNA(VLOOKUP(E2366,E$1:E2365,1,FALSE()))),"OLD",IF(AND(E2366&lt;&gt;"",E2366&lt;&gt;"!!!"),"NEW","")))</f>
        <v> </v>
      </c>
      <c r="G2366" s="24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5" t="str">
        <f>IF(J2366&lt;&gt;1,"",IF(I2366="SBJ","CB","?"))</f>
        <v> </v>
      </c>
      <c r="I2366" s="26" t="str">
        <f>IF(OR(E2366="",E2366="!!!",F2366="NEW"),"",INDEX(B2365:B$2,-1+SUMPRODUCT(MAX(ROW(E2365:E$2)*(E2366=E2365:E$2)))))</f>
        <v> </v>
      </c>
      <c r="J2366" s="26" t="str">
        <f>IF(OR(E2366="",E2366="!!!",F2366="NEW"),"",COUNTBLANK(OFFSET(A$1,,,SUMPRODUCT(MAX(ROW(E$2:E2366)*(E2366=E$2:E2366)))))-COUNTBLANK(OFFSET(A$1,,,SUMPRODUCT(MAX(ROW(E$1:E2365)*(E2=E$1:E2365))))))</f>
        <v> </v>
      </c>
      <c r="K2366" s="26" t="str">
        <f>IF(OR(E2366="",E2366="!!!",F2366="NEW"),"",INDEX(J$1:J2365,SUMPRODUCT(MAX(ROW(E$1:E2365)*(E2366=E$1:E2365)))))</f>
        <v> </v>
      </c>
      <c r="L2366" s="27"/>
    </row>
    <row r="2367" spans="1:12">
      <c r="A2367" s="20" t="s">
        <v>453</v>
      </c>
      <c r="E2367" s="22">
        <f>IF(D2367="?OLD","!!!","")</f>
        <v/>
      </c>
      <c r="F2367" s="23" t="str">
        <f>IF(OR(E2367="",E2367="!!!"),"",IF(NOT(ISNA(VLOOKUP(E2367,E$1:E2366,1,FALSE()))),"OLD",IF(AND(E2367&lt;&gt;"",E2367&lt;&gt;"!!!"),"NEW","")))</f>
        <v> </v>
      </c>
      <c r="G2367" s="24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5" t="str">
        <f>IF(J2367&lt;&gt;1,"",IF(I2367="SBJ","CB","?"))</f>
        <v> </v>
      </c>
      <c r="I2367" s="26" t="str">
        <f>IF(OR(E2367="",E2367="!!!",F2367="NEW"),"",INDEX(B2366:B$2,-1+SUMPRODUCT(MAX(ROW(E2366:E$2)*(E2367=E2366:E$2)))))</f>
        <v> </v>
      </c>
      <c r="J2367" s="26" t="str">
        <f>IF(OR(E2367="",E2367="!!!",F2367="NEW"),"",COUNTBLANK(OFFSET(A$1,,,SUMPRODUCT(MAX(ROW(E$2:E2367)*(E2367=E$2:E2367)))))-COUNTBLANK(OFFSET(A$1,,,SUMPRODUCT(MAX(ROW(E$1:E2366)*(E2=E$1:E2366))))))</f>
        <v> </v>
      </c>
      <c r="K2367" s="26" t="str">
        <f>IF(OR(E2367="",E2367="!!!",F2367="NEW"),"",INDEX(J$1:J2366,SUMPRODUCT(MAX(ROW(E$1:E2366)*(E2367=E$1:E2366)))))</f>
        <v> </v>
      </c>
      <c r="L2367" s="27"/>
    </row>
    <row r="2368" spans="1:12">
      <c r="A2368" s="20" t="s">
        <v>1492</v>
      </c>
      <c r="E2368" s="22">
        <f>IF(D2368="?OLD","!!!","")</f>
        <v/>
      </c>
      <c r="F2368" s="23" t="str">
        <f>IF(OR(E2368="",E2368="!!!"),"",IF(NOT(ISNA(VLOOKUP(E2368,E$1:E2367,1,FALSE()))),"OLD",IF(AND(E2368&lt;&gt;"",E2368&lt;&gt;"!!!"),"NEW","")))</f>
        <v> </v>
      </c>
      <c r="G2368" s="24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5" t="str">
        <f>IF(J2368&lt;&gt;1,"",IF(I2368="SBJ","CB","?"))</f>
        <v> </v>
      </c>
      <c r="I2368" s="26" t="str">
        <f>IF(OR(E2368="",E2368="!!!",F2368="NEW"),"",INDEX(B2367:B$2,-1+SUMPRODUCT(MAX(ROW(E2367:E$2)*(E2368=E2367:E$2)))))</f>
        <v> </v>
      </c>
      <c r="J2368" s="26" t="str">
        <f>IF(OR(E2368="",E2368="!!!",F2368="NEW"),"",COUNTBLANK(OFFSET(A$1,,,SUMPRODUCT(MAX(ROW(E$2:E2368)*(E2368=E$2:E2368)))))-COUNTBLANK(OFFSET(A$1,,,SUMPRODUCT(MAX(ROW(E$1:E2367)*(E2=E$1:E2367))))))</f>
        <v> </v>
      </c>
      <c r="K2368" s="26" t="str">
        <f>IF(OR(E2368="",E2368="!!!",F2368="NEW"),"",INDEX(J$1:J2367,SUMPRODUCT(MAX(ROW(E$1:E2367)*(E2368=E$1:E2367)))))</f>
        <v> </v>
      </c>
      <c r="L2368" s="27"/>
    </row>
    <row r="2369" spans="1:12">
      <c r="A2369" s="20" t="s">
        <v>453</v>
      </c>
      <c r="E2369" s="22">
        <f>IF(D2369="?OLD","!!!","")</f>
        <v/>
      </c>
      <c r="F2369" s="23" t="str">
        <f>IF(OR(E2369="",E2369="!!!"),"",IF(NOT(ISNA(VLOOKUP(E2369,E$1:E2368,1,FALSE()))),"OLD",IF(AND(E2369&lt;&gt;"",E2369&lt;&gt;"!!!"),"NEW","")))</f>
        <v> </v>
      </c>
      <c r="G2369" s="24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5" t="str">
        <f>IF(J2369&lt;&gt;1,"",IF(I2369="SBJ","CB","?"))</f>
        <v> </v>
      </c>
      <c r="I2369" s="26" t="str">
        <f>IF(OR(E2369="",E2369="!!!",F2369="NEW"),"",INDEX(B2368:B$2,-1+SUMPRODUCT(MAX(ROW(E2368:E$2)*(E2369=E2368:E$2)))))</f>
        <v> </v>
      </c>
      <c r="J2369" s="26" t="str">
        <f>IF(OR(E2369="",E2369="!!!",F2369="NEW"),"",COUNTBLANK(OFFSET(A$1,,,SUMPRODUCT(MAX(ROW(E$2:E2369)*(E2369=E$2:E2369)))))-COUNTBLANK(OFFSET(A$1,,,SUMPRODUCT(MAX(ROW(E$1:E2368)*(E2=E$1:E2368))))))</f>
        <v> </v>
      </c>
      <c r="K2369" s="26" t="str">
        <f>IF(OR(E2369="",E2369="!!!",F2369="NEW"),"",INDEX(J$1:J2368,SUMPRODUCT(MAX(ROW(E$1:E2368)*(E2369=E$1:E2368)))))</f>
        <v> </v>
      </c>
      <c r="L2369" s="27"/>
    </row>
    <row r="2370" spans="1:12">
      <c r="A2370" s="20" t="s">
        <v>1493</v>
      </c>
      <c r="E2370" s="22">
        <f>IF(D2370="?OLD","!!!","")</f>
        <v/>
      </c>
      <c r="F2370" s="23" t="str">
        <f>IF(OR(E2370="",E2370="!!!"),"",IF(NOT(ISNA(VLOOKUP(E2370,E$1:E2369,1,FALSE()))),"OLD",IF(AND(E2370&lt;&gt;"",E2370&lt;&gt;"!!!"),"NEW","")))</f>
        <v> </v>
      </c>
      <c r="G2370" s="24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5" t="str">
        <f>IF(J2370&lt;&gt;1,"",IF(I2370="SBJ","CB","?"))</f>
        <v> </v>
      </c>
      <c r="I2370" s="26" t="str">
        <f>IF(OR(E2370="",E2370="!!!",F2370="NEW"),"",INDEX(B2369:B$2,-1+SUMPRODUCT(MAX(ROW(E2369:E$2)*(E2370=E2369:E$2)))))</f>
        <v> </v>
      </c>
      <c r="J2370" s="26" t="str">
        <f>IF(OR(E2370="",E2370="!!!",F2370="NEW"),"",COUNTBLANK(OFFSET(A$1,,,SUMPRODUCT(MAX(ROW(E$2:E2370)*(E2370=E$2:E2370)))))-COUNTBLANK(OFFSET(A$1,,,SUMPRODUCT(MAX(ROW(E$1:E2369)*(E2=E$1:E2369))))))</f>
        <v> </v>
      </c>
      <c r="K2370" s="26" t="str">
        <f>IF(OR(E2370="",E2370="!!!",F2370="NEW"),"",INDEX(J$1:J2369,SUMPRODUCT(MAX(ROW(E$1:E2369)*(E2370=E$1:E2369)))))</f>
        <v> </v>
      </c>
      <c r="L2370" s="27"/>
    </row>
    <row r="2371" spans="1:12">
      <c r="A2371" s="20" t="s">
        <v>1005</v>
      </c>
      <c r="E2371" s="22">
        <f>IF(D2371="?OLD","!!!","")</f>
        <v/>
      </c>
      <c r="F2371" s="23" t="str">
        <f>IF(OR(E2371="",E2371="!!!"),"",IF(NOT(ISNA(VLOOKUP(E2371,E$1:E2370,1,FALSE()))),"OLD",IF(AND(E2371&lt;&gt;"",E2371&lt;&gt;"!!!"),"NEW","")))</f>
        <v> </v>
      </c>
      <c r="G2371" s="24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5" t="str">
        <f>IF(J2371&lt;&gt;1,"",IF(I2371="SBJ","CB","?"))</f>
        <v> </v>
      </c>
      <c r="I2371" s="26" t="str">
        <f>IF(OR(E2371="",E2371="!!!",F2371="NEW"),"",INDEX(B2370:B$2,-1+SUMPRODUCT(MAX(ROW(E2370:E$2)*(E2371=E2370:E$2)))))</f>
        <v> </v>
      </c>
      <c r="J2371" s="26" t="str">
        <f>IF(OR(E2371="",E2371="!!!",F2371="NEW"),"",COUNTBLANK(OFFSET(A$1,,,SUMPRODUCT(MAX(ROW(E$2:E2371)*(E2371=E$2:E2371)))))-COUNTBLANK(OFFSET(A$1,,,SUMPRODUCT(MAX(ROW(E$1:E2370)*(E2=E$1:E2370))))))</f>
        <v> </v>
      </c>
      <c r="K2371" s="26" t="str">
        <f>IF(OR(E2371="",E2371="!!!",F2371="NEW"),"",INDEX(J$1:J2370,SUMPRODUCT(MAX(ROW(E$1:E2370)*(E2371=E$1:E2370)))))</f>
        <v> </v>
      </c>
      <c r="L2371" s="27"/>
    </row>
    <row r="2372" spans="1:12">
      <c r="A2372" s="20" t="s">
        <v>492</v>
      </c>
      <c r="B2372" s="21" t="s">
        <v>556</v>
      </c>
      <c r="C2372" s="21" t="s">
        <v>423</v>
      </c>
      <c r="D2372" s="21" t="s">
        <v>424</v>
      </c>
      <c r="E2372" s="22">
        <f>IF(D2372="?OLD","!!!","")</f>
        <v/>
      </c>
      <c r="F2372" s="23" t="str">
        <f>IF(OR(E2372="",E2372="!!!"),"",IF(NOT(ISNA(VLOOKUP(E2372,E$1:E2371,1,FALSE()))),"OLD",IF(AND(E2372&lt;&gt;"",E2372&lt;&gt;"!!!"),"NEW","")))</f>
        <v> </v>
      </c>
      <c r="G2372" s="24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5" t="str">
        <f>IF(J2372&lt;&gt;1,"",IF(I2372="SBJ","CB","?"))</f>
        <v> </v>
      </c>
      <c r="I2372" s="26" t="str">
        <f>IF(OR(E2372="",E2372="!!!",F2372="NEW"),"",INDEX(B2371:B$2,-1+SUMPRODUCT(MAX(ROW(E2371:E$2)*(E2372=E2371:E$2)))))</f>
        <v> </v>
      </c>
      <c r="J2372" s="26" t="str">
        <f>IF(OR(E2372="",E2372="!!!",F2372="NEW"),"",COUNTBLANK(OFFSET(A$1,,,SUMPRODUCT(MAX(ROW(E$2:E2372)*(E2372=E$2:E2372)))))-COUNTBLANK(OFFSET(A$1,,,SUMPRODUCT(MAX(ROW(E$1:E2371)*(E2=E$1:E2371))))))</f>
        <v> </v>
      </c>
      <c r="K2372" s="26" t="str">
        <f>IF(OR(E2372="",E2372="!!!",F2372="NEW"),"",INDEX(J$1:J2371,SUMPRODUCT(MAX(ROW(E$1:E2371)*(E2372=E$1:E2371)))))</f>
        <v> </v>
      </c>
      <c r="L2372" s="27"/>
    </row>
    <row r="2373" spans="1:12">
      <c r="A2373" s="20" t="s">
        <v>506</v>
      </c>
      <c r="E2373" s="22">
        <f>IF(D2373="?OLD","!!!","")</f>
        <v/>
      </c>
      <c r="F2373" s="23" t="str">
        <f>IF(OR(E2373="",E2373="!!!"),"",IF(NOT(ISNA(VLOOKUP(E2373,E$1:E2372,1,FALSE()))),"OLD",IF(AND(E2373&lt;&gt;"",E2373&lt;&gt;"!!!"),"NEW","")))</f>
        <v> </v>
      </c>
      <c r="G2373" s="24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5" t="str">
        <f>IF(J2373&lt;&gt;1,"",IF(I2373="SBJ","CB","?"))</f>
        <v> </v>
      </c>
      <c r="I2373" s="26" t="str">
        <f>IF(OR(E2373="",E2373="!!!",F2373="NEW"),"",INDEX(B2372:B$2,-1+SUMPRODUCT(MAX(ROW(E2372:E$2)*(E2373=E2372:E$2)))))</f>
        <v> </v>
      </c>
      <c r="J2373" s="26" t="str">
        <f>IF(OR(E2373="",E2373="!!!",F2373="NEW"),"",COUNTBLANK(OFFSET(A$1,,,SUMPRODUCT(MAX(ROW(E$2:E2373)*(E2373=E$2:E2373)))))-COUNTBLANK(OFFSET(A$1,,,SUMPRODUCT(MAX(ROW(E$1:E2372)*(E2=E$1:E2372))))))</f>
        <v> </v>
      </c>
      <c r="K2373" s="26" t="str">
        <f>IF(OR(E2373="",E2373="!!!",F2373="NEW"),"",INDEX(J$1:J2372,SUMPRODUCT(MAX(ROW(E$1:E2372)*(E2373=E$1:E2372)))))</f>
        <v> </v>
      </c>
      <c r="L2373" s="27"/>
    </row>
    <row r="2374" spans="1:12">
      <c r="A2374" s="20" t="s">
        <v>1494</v>
      </c>
      <c r="E2374" s="22">
        <f>IF(D2374="?OLD","!!!","")</f>
        <v/>
      </c>
      <c r="F2374" s="23" t="str">
        <f>IF(OR(E2374="",E2374="!!!"),"",IF(NOT(ISNA(VLOOKUP(E2374,E$1:E2373,1,FALSE()))),"OLD",IF(AND(E2374&lt;&gt;"",E2374&lt;&gt;"!!!"),"NEW","")))</f>
        <v> </v>
      </c>
      <c r="G2374" s="24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5" t="str">
        <f>IF(J2374&lt;&gt;1,"",IF(I2374="SBJ","CB","?"))</f>
        <v> </v>
      </c>
      <c r="I2374" s="26" t="str">
        <f>IF(OR(E2374="",E2374="!!!",F2374="NEW"),"",INDEX(B2373:B$2,-1+SUMPRODUCT(MAX(ROW(E2373:E$2)*(E2374=E2373:E$2)))))</f>
        <v> </v>
      </c>
      <c r="J2374" s="26" t="str">
        <f>IF(OR(E2374="",E2374="!!!",F2374="NEW"),"",COUNTBLANK(OFFSET(A$1,,,SUMPRODUCT(MAX(ROW(E$2:E2374)*(E2374=E$2:E2374)))))-COUNTBLANK(OFFSET(A$1,,,SUMPRODUCT(MAX(ROW(E$1:E2373)*(E2=E$1:E2373))))))</f>
        <v> </v>
      </c>
      <c r="K2374" s="26" t="str">
        <f>IF(OR(E2374="",E2374="!!!",F2374="NEW"),"",INDEX(J$1:J2373,SUMPRODUCT(MAX(ROW(E$1:E2373)*(E2374=E$1:E2373)))))</f>
        <v> </v>
      </c>
      <c r="L2374" s="27"/>
    </row>
    <row r="2375" spans="1:12">
      <c r="A2375" s="20" t="s">
        <v>1495</v>
      </c>
      <c r="E2375" s="22">
        <f>IF(D2375="?OLD","!!!","")</f>
        <v/>
      </c>
      <c r="F2375" s="23" t="str">
        <f>IF(OR(E2375="",E2375="!!!"),"",IF(NOT(ISNA(VLOOKUP(E2375,E$1:E2374,1,FALSE()))),"OLD",IF(AND(E2375&lt;&gt;"",E2375&lt;&gt;"!!!"),"NEW","")))</f>
        <v> </v>
      </c>
      <c r="G2375" s="24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5" t="str">
        <f>IF(J2375&lt;&gt;1,"",IF(I2375="SBJ","CB","?"))</f>
        <v> </v>
      </c>
      <c r="I2375" s="26" t="str">
        <f>IF(OR(E2375="",E2375="!!!",F2375="NEW"),"",INDEX(B2374:B$2,-1+SUMPRODUCT(MAX(ROW(E2374:E$2)*(E2375=E2374:E$2)))))</f>
        <v> </v>
      </c>
      <c r="J2375" s="26" t="str">
        <f>IF(OR(E2375="",E2375="!!!",F2375="NEW"),"",COUNTBLANK(OFFSET(A$1,,,SUMPRODUCT(MAX(ROW(E$2:E2375)*(E2375=E$2:E2375)))))-COUNTBLANK(OFFSET(A$1,,,SUMPRODUCT(MAX(ROW(E$1:E2374)*(E2=E$1:E2374))))))</f>
        <v> </v>
      </c>
      <c r="K2375" s="26" t="str">
        <f>IF(OR(E2375="",E2375="!!!",F2375="NEW"),"",INDEX(J$1:J2374,SUMPRODUCT(MAX(ROW(E$1:E2374)*(E2375=E$1:E2374)))))</f>
        <v> </v>
      </c>
      <c r="L2375" s="27"/>
    </row>
    <row r="2376" spans="1:12">
      <c r="A2376" s="20" t="s">
        <v>632</v>
      </c>
      <c r="E2376" s="22">
        <f>IF(D2376="?OLD","!!!","")</f>
        <v/>
      </c>
      <c r="F2376" s="23" t="str">
        <f>IF(OR(E2376="",E2376="!!!"),"",IF(NOT(ISNA(VLOOKUP(E2376,E$1:E2375,1,FALSE()))),"OLD",IF(AND(E2376&lt;&gt;"",E2376&lt;&gt;"!!!"),"NEW","")))</f>
        <v> </v>
      </c>
      <c r="G2376" s="24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5" t="str">
        <f>IF(J2376&lt;&gt;1,"",IF(I2376="SBJ","CB","?"))</f>
        <v> </v>
      </c>
      <c r="I2376" s="26" t="str">
        <f>IF(OR(E2376="",E2376="!!!",F2376="NEW"),"",INDEX(B2375:B$2,-1+SUMPRODUCT(MAX(ROW(E2375:E$2)*(E2376=E2375:E$2)))))</f>
        <v> </v>
      </c>
      <c r="J2376" s="26" t="str">
        <f>IF(OR(E2376="",E2376="!!!",F2376="NEW"),"",COUNTBLANK(OFFSET(A$1,,,SUMPRODUCT(MAX(ROW(E$2:E2376)*(E2376=E$2:E2376)))))-COUNTBLANK(OFFSET(A$1,,,SUMPRODUCT(MAX(ROW(E$1:E2375)*(E2=E$1:E2375))))))</f>
        <v> </v>
      </c>
      <c r="K2376" s="26" t="str">
        <f>IF(OR(E2376="",E2376="!!!",F2376="NEW"),"",INDEX(J$1:J2375,SUMPRODUCT(MAX(ROW(E$1:E2375)*(E2376=E$1:E2375)))))</f>
        <v> </v>
      </c>
      <c r="L2376" s="27"/>
    </row>
    <row r="2377" spans="1:12">
      <c r="A2377" s="20" t="s">
        <v>1496</v>
      </c>
      <c r="E2377" s="22">
        <f>IF(D2377="?OLD","!!!","")</f>
        <v/>
      </c>
      <c r="F2377" s="23" t="str">
        <f>IF(OR(E2377="",E2377="!!!"),"",IF(NOT(ISNA(VLOOKUP(E2377,E$1:E2376,1,FALSE()))),"OLD",IF(AND(E2377&lt;&gt;"",E2377&lt;&gt;"!!!"),"NEW","")))</f>
        <v> </v>
      </c>
      <c r="G2377" s="24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5" t="str">
        <f>IF(J2377&lt;&gt;1,"",IF(I2377="SBJ","CB","?"))</f>
        <v> </v>
      </c>
      <c r="I2377" s="26" t="str">
        <f>IF(OR(E2377="",E2377="!!!",F2377="NEW"),"",INDEX(B2376:B$2,-1+SUMPRODUCT(MAX(ROW(E2376:E$2)*(E2377=E2376:E$2)))))</f>
        <v> </v>
      </c>
      <c r="J2377" s="26" t="str">
        <f>IF(OR(E2377="",E2377="!!!",F2377="NEW"),"",COUNTBLANK(OFFSET(A$1,,,SUMPRODUCT(MAX(ROW(E$2:E2377)*(E2377=E$2:E2377)))))-COUNTBLANK(OFFSET(A$1,,,SUMPRODUCT(MAX(ROW(E$1:E2376)*(E2=E$1:E2376))))))</f>
        <v> </v>
      </c>
      <c r="K2377" s="26" t="str">
        <f>IF(OR(E2377="",E2377="!!!",F2377="NEW"),"",INDEX(J$1:J2376,SUMPRODUCT(MAX(ROW(E$1:E2376)*(E2377=E$1:E2376)))))</f>
        <v> </v>
      </c>
      <c r="L2377" s="27"/>
    </row>
    <row r="2378" spans="1:12">
      <c r="A2378" s="20" t="s">
        <v>1495</v>
      </c>
      <c r="E2378" s="22">
        <f>IF(D2378="?OLD","!!!","")</f>
        <v/>
      </c>
      <c r="F2378" s="23" t="str">
        <f>IF(OR(E2378="",E2378="!!!"),"",IF(NOT(ISNA(VLOOKUP(E2378,E$1:E2377,1,FALSE()))),"OLD",IF(AND(E2378&lt;&gt;"",E2378&lt;&gt;"!!!"),"NEW","")))</f>
        <v> </v>
      </c>
      <c r="G2378" s="24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5" t="str">
        <f>IF(J2378&lt;&gt;1,"",IF(I2378="SBJ","CB","?"))</f>
        <v> </v>
      </c>
      <c r="I2378" s="26" t="str">
        <f>IF(OR(E2378="",E2378="!!!",F2378="NEW"),"",INDEX(B2377:B$2,-1+SUMPRODUCT(MAX(ROW(E2377:E$2)*(E2378=E2377:E$2)))))</f>
        <v> </v>
      </c>
      <c r="J2378" s="26" t="str">
        <f>IF(OR(E2378="",E2378="!!!",F2378="NEW"),"",COUNTBLANK(OFFSET(A$1,,,SUMPRODUCT(MAX(ROW(E$2:E2378)*(E2378=E$2:E2378)))))-COUNTBLANK(OFFSET(A$1,,,SUMPRODUCT(MAX(ROW(E$1:E2377)*(E2=E$1:E2377))))))</f>
        <v> </v>
      </c>
      <c r="K2378" s="26" t="str">
        <f>IF(OR(E2378="",E2378="!!!",F2378="NEW"),"",INDEX(J$1:J2377,SUMPRODUCT(MAX(ROW(E$1:E2377)*(E2378=E$1:E2377)))))</f>
        <v> </v>
      </c>
      <c r="L2378" s="27"/>
    </row>
    <row r="2379" spans="1:12">
      <c r="A2379" s="20" t="s">
        <v>453</v>
      </c>
      <c r="E2379" s="22">
        <f>IF(D2379="?OLD","!!!","")</f>
        <v/>
      </c>
      <c r="F2379" s="23" t="str">
        <f>IF(OR(E2379="",E2379="!!!"),"",IF(NOT(ISNA(VLOOKUP(E2379,E$1:E2378,1,FALSE()))),"OLD",IF(AND(E2379&lt;&gt;"",E2379&lt;&gt;"!!!"),"NEW","")))</f>
        <v> </v>
      </c>
      <c r="G2379" s="24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5" t="str">
        <f>IF(J2379&lt;&gt;1,"",IF(I2379="SBJ","CB","?"))</f>
        <v> </v>
      </c>
      <c r="I2379" s="26" t="str">
        <f>IF(OR(E2379="",E2379="!!!",F2379="NEW"),"",INDEX(B2378:B$2,-1+SUMPRODUCT(MAX(ROW(E2378:E$2)*(E2379=E2378:E$2)))))</f>
        <v> </v>
      </c>
      <c r="J2379" s="26" t="str">
        <f>IF(OR(E2379="",E2379="!!!",F2379="NEW"),"",COUNTBLANK(OFFSET(A$1,,,SUMPRODUCT(MAX(ROW(E$2:E2379)*(E2379=E$2:E2379)))))-COUNTBLANK(OFFSET(A$1,,,SUMPRODUCT(MAX(ROW(E$1:E2378)*(E2=E$1:E2378))))))</f>
        <v> </v>
      </c>
      <c r="K2379" s="26" t="str">
        <f>IF(OR(E2379="",E2379="!!!",F2379="NEW"),"",INDEX(J$1:J2378,SUMPRODUCT(MAX(ROW(E$1:E2378)*(E2379=E$1:E2378)))))</f>
        <v> </v>
      </c>
      <c r="L2379" s="27"/>
    </row>
    <row r="2380" spans="1:12">
      <c r="A2380" s="20" t="s">
        <v>442</v>
      </c>
      <c r="E2380" s="22">
        <f>IF(D2380="?OLD","!!!","")</f>
        <v/>
      </c>
      <c r="F2380" s="23" t="str">
        <f>IF(OR(E2380="",E2380="!!!"),"",IF(NOT(ISNA(VLOOKUP(E2380,E$1:E2379,1,FALSE()))),"OLD",IF(AND(E2380&lt;&gt;"",E2380&lt;&gt;"!!!"),"NEW","")))</f>
        <v> </v>
      </c>
      <c r="G2380" s="24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5" t="str">
        <f>IF(J2380&lt;&gt;1,"",IF(I2380="SBJ","CB","?"))</f>
        <v> </v>
      </c>
      <c r="I2380" s="26" t="str">
        <f>IF(OR(E2380="",E2380="!!!",F2380="NEW"),"",INDEX(B2379:B$2,-1+SUMPRODUCT(MAX(ROW(E2379:E$2)*(E2380=E2379:E$2)))))</f>
        <v> </v>
      </c>
      <c r="J2380" s="26" t="str">
        <f>IF(OR(E2380="",E2380="!!!",F2380="NEW"),"",COUNTBLANK(OFFSET(A$1,,,SUMPRODUCT(MAX(ROW(E$2:E2380)*(E2380=E$2:E2380)))))-COUNTBLANK(OFFSET(A$1,,,SUMPRODUCT(MAX(ROW(E$1:E2379)*(E2=E$1:E2379))))))</f>
        <v> </v>
      </c>
      <c r="K2380" s="26" t="str">
        <f>IF(OR(E2380="",E2380="!!!",F2380="NEW"),"",INDEX(J$1:J2379,SUMPRODUCT(MAX(ROW(E$1:E2379)*(E2380=E$1:E2379)))))</f>
        <v> </v>
      </c>
      <c r="L2380" s="27"/>
    </row>
    <row r="2381" spans="1:12">
      <c r="A2381" s="20" t="s">
        <v>1497</v>
      </c>
      <c r="E2381" s="22">
        <f>IF(D2381="?OLD","!!!","")</f>
        <v/>
      </c>
      <c r="F2381" s="23" t="str">
        <f>IF(OR(E2381="",E2381="!!!"),"",IF(NOT(ISNA(VLOOKUP(E2381,E$1:E2380,1,FALSE()))),"OLD",IF(AND(E2381&lt;&gt;"",E2381&lt;&gt;"!!!"),"NEW","")))</f>
        <v> </v>
      </c>
      <c r="G2381" s="24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5" t="str">
        <f>IF(J2381&lt;&gt;1,"",IF(I2381="SBJ","CB","?"))</f>
        <v> </v>
      </c>
      <c r="I2381" s="26" t="str">
        <f>IF(OR(E2381="",E2381="!!!",F2381="NEW"),"",INDEX(B2380:B$2,-1+SUMPRODUCT(MAX(ROW(E2380:E$2)*(E2381=E2380:E$2)))))</f>
        <v> </v>
      </c>
      <c r="J2381" s="26" t="str">
        <f>IF(OR(E2381="",E2381="!!!",F2381="NEW"),"",COUNTBLANK(OFFSET(A$1,,,SUMPRODUCT(MAX(ROW(E$2:E2381)*(E2381=E$2:E2381)))))-COUNTBLANK(OFFSET(A$1,,,SUMPRODUCT(MAX(ROW(E$1:E2380)*(E2=E$1:E2380))))))</f>
        <v> </v>
      </c>
      <c r="K2381" s="26" t="str">
        <f>IF(OR(E2381="",E2381="!!!",F2381="NEW"),"",INDEX(J$1:J2380,SUMPRODUCT(MAX(ROW(E$1:E2380)*(E2381=E$1:E2380)))))</f>
        <v> </v>
      </c>
      <c r="L2381" s="27"/>
    </row>
    <row r="2382" spans="1:12">
      <c r="A2382" s="20" t="s">
        <v>1498</v>
      </c>
      <c r="E2382" s="22">
        <f>IF(D2382="?OLD","!!!","")</f>
        <v/>
      </c>
      <c r="F2382" s="23" t="str">
        <f>IF(OR(E2382="",E2382="!!!"),"",IF(NOT(ISNA(VLOOKUP(E2382,E$1:E2381,1,FALSE()))),"OLD",IF(AND(E2382&lt;&gt;"",E2382&lt;&gt;"!!!"),"NEW","")))</f>
        <v> </v>
      </c>
      <c r="G2382" s="24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5" t="str">
        <f>IF(J2382&lt;&gt;1,"",IF(I2382="SBJ","CB","?"))</f>
        <v> </v>
      </c>
      <c r="I2382" s="26" t="str">
        <f>IF(OR(E2382="",E2382="!!!",F2382="NEW"),"",INDEX(B2381:B$2,-1+SUMPRODUCT(MAX(ROW(E2381:E$2)*(E2382=E2381:E$2)))))</f>
        <v> </v>
      </c>
      <c r="J2382" s="26" t="str">
        <f>IF(OR(E2382="",E2382="!!!",F2382="NEW"),"",COUNTBLANK(OFFSET(A$1,,,SUMPRODUCT(MAX(ROW(E$2:E2382)*(E2382=E$2:E2382)))))-COUNTBLANK(OFFSET(A$1,,,SUMPRODUCT(MAX(ROW(E$1:E2381)*(E2=E$1:E2381))))))</f>
        <v> </v>
      </c>
      <c r="K2382" s="26" t="str">
        <f>IF(OR(E2382="",E2382="!!!",F2382="NEW"),"",INDEX(J$1:J2381,SUMPRODUCT(MAX(ROW(E$1:E2381)*(E2382=E$1:E2381)))))</f>
        <v> </v>
      </c>
      <c r="L2382" s="27"/>
    </row>
    <row r="2383" spans="1:12">
      <c r="A2383" s="20" t="s">
        <v>428</v>
      </c>
      <c r="E2383" s="22">
        <f>IF(D2383="?OLD","!!!","")</f>
        <v/>
      </c>
      <c r="F2383" s="23" t="str">
        <f>IF(OR(E2383="",E2383="!!!"),"",IF(NOT(ISNA(VLOOKUP(E2383,E$1:E2382,1,FALSE()))),"OLD",IF(AND(E2383&lt;&gt;"",E2383&lt;&gt;"!!!"),"NEW","")))</f>
        <v> </v>
      </c>
      <c r="G2383" s="24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5" t="str">
        <f>IF(J2383&lt;&gt;1,"",IF(I2383="SBJ","CB","?"))</f>
        <v> </v>
      </c>
      <c r="I2383" s="26" t="str">
        <f>IF(OR(E2383="",E2383="!!!",F2383="NEW"),"",INDEX(B2382:B$2,-1+SUMPRODUCT(MAX(ROW(E2382:E$2)*(E2383=E2382:E$2)))))</f>
        <v> </v>
      </c>
      <c r="J2383" s="26" t="str">
        <f>IF(OR(E2383="",E2383="!!!",F2383="NEW"),"",COUNTBLANK(OFFSET(A$1,,,SUMPRODUCT(MAX(ROW(E$2:E2383)*(E2383=E$2:E2383)))))-COUNTBLANK(OFFSET(A$1,,,SUMPRODUCT(MAX(ROW(E$1:E2382)*(E2=E$1:E2382))))))</f>
        <v> </v>
      </c>
      <c r="K2383" s="26" t="str">
        <f>IF(OR(E2383="",E2383="!!!",F2383="NEW"),"",INDEX(J$1:J2382,SUMPRODUCT(MAX(ROW(E$1:E2382)*(E2383=E$1:E2382)))))</f>
        <v> </v>
      </c>
      <c r="L2383" s="27"/>
    </row>
    <row r="2384" spans="1:12">
      <c r="A2384" s="20" t="s">
        <v>1499</v>
      </c>
      <c r="E2384" s="22">
        <f>IF(D2384="?OLD","!!!","")</f>
        <v/>
      </c>
      <c r="F2384" s="23" t="str">
        <f>IF(OR(E2384="",E2384="!!!"),"",IF(NOT(ISNA(VLOOKUP(E2384,E$1:E2383,1,FALSE()))),"OLD",IF(AND(E2384&lt;&gt;"",E2384&lt;&gt;"!!!"),"NEW","")))</f>
        <v> </v>
      </c>
      <c r="G2384" s="24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5" t="str">
        <f>IF(J2384&lt;&gt;1,"",IF(I2384="SBJ","CB","?"))</f>
        <v> </v>
      </c>
      <c r="I2384" s="26" t="str">
        <f>IF(OR(E2384="",E2384="!!!",F2384="NEW"),"",INDEX(B2383:B$2,-1+SUMPRODUCT(MAX(ROW(E2383:E$2)*(E2384=E2383:E$2)))))</f>
        <v> </v>
      </c>
      <c r="J2384" s="26" t="str">
        <f>IF(OR(E2384="",E2384="!!!",F2384="NEW"),"",COUNTBLANK(OFFSET(A$1,,,SUMPRODUCT(MAX(ROW(E$2:E2384)*(E2384=E$2:E2384)))))-COUNTBLANK(OFFSET(A$1,,,SUMPRODUCT(MAX(ROW(E$1:E2383)*(E2=E$1:E2383))))))</f>
        <v> </v>
      </c>
      <c r="K2384" s="26" t="str">
        <f>IF(OR(E2384="",E2384="!!!",F2384="NEW"),"",INDEX(J$1:J2383,SUMPRODUCT(MAX(ROW(E$1:E2383)*(E2384=E$1:E2383)))))</f>
        <v> </v>
      </c>
      <c r="L2384" s="27"/>
    </row>
    <row r="2385" spans="1:12">
      <c r="A2385" s="20" t="s">
        <v>553</v>
      </c>
      <c r="E2385" s="22">
        <f>IF(D2385="?OLD","!!!","")</f>
        <v/>
      </c>
      <c r="F2385" s="23" t="str">
        <f>IF(OR(E2385="",E2385="!!!"),"",IF(NOT(ISNA(VLOOKUP(E2385,E$1:E2384,1,FALSE()))),"OLD",IF(AND(E2385&lt;&gt;"",E2385&lt;&gt;"!!!"),"NEW","")))</f>
        <v> </v>
      </c>
      <c r="G2385" s="24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5" t="str">
        <f>IF(J2385&lt;&gt;1,"",IF(I2385="SBJ","CB","?"))</f>
        <v> </v>
      </c>
      <c r="I2385" s="26" t="str">
        <f>IF(OR(E2385="",E2385="!!!",F2385="NEW"),"",INDEX(B2384:B$2,-1+SUMPRODUCT(MAX(ROW(E2384:E$2)*(E2385=E2384:E$2)))))</f>
        <v> </v>
      </c>
      <c r="J2385" s="26" t="str">
        <f>IF(OR(E2385="",E2385="!!!",F2385="NEW"),"",COUNTBLANK(OFFSET(A$1,,,SUMPRODUCT(MAX(ROW(E$2:E2385)*(E2385=E$2:E2385)))))-COUNTBLANK(OFFSET(A$1,,,SUMPRODUCT(MAX(ROW(E$1:E2384)*(E2=E$1:E2384))))))</f>
        <v> </v>
      </c>
      <c r="K2385" s="26" t="str">
        <f>IF(OR(E2385="",E2385="!!!",F2385="NEW"),"",INDEX(J$1:J2384,SUMPRODUCT(MAX(ROW(E$1:E2384)*(E2385=E$1:E2384)))))</f>
        <v> </v>
      </c>
      <c r="L2385" s="27"/>
    </row>
    <row r="2386" spans="1:12">
      <c r="A2386" s="20" t="s">
        <v>430</v>
      </c>
      <c r="E2386" s="22">
        <f>IF(D2386="?OLD","!!!","")</f>
        <v/>
      </c>
      <c r="F2386" s="23" t="str">
        <f>IF(OR(E2386="",E2386="!!!"),"",IF(NOT(ISNA(VLOOKUP(E2386,E$1:E2385,1,FALSE()))),"OLD",IF(AND(E2386&lt;&gt;"",E2386&lt;&gt;"!!!"),"NEW","")))</f>
        <v> </v>
      </c>
      <c r="G2386" s="24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5" t="str">
        <f>IF(J2386&lt;&gt;1,"",IF(I2386="SBJ","CB","?"))</f>
        <v> </v>
      </c>
      <c r="I2386" s="26" t="str">
        <f>IF(OR(E2386="",E2386="!!!",F2386="NEW"),"",INDEX(B2385:B$2,-1+SUMPRODUCT(MAX(ROW(E2385:E$2)*(E2386=E2385:E$2)))))</f>
        <v> </v>
      </c>
      <c r="J2386" s="26" t="str">
        <f>IF(OR(E2386="",E2386="!!!",F2386="NEW"),"",COUNTBLANK(OFFSET(A$1,,,SUMPRODUCT(MAX(ROW(E$2:E2386)*(E2386=E$2:E2386)))))-COUNTBLANK(OFFSET(A$1,,,SUMPRODUCT(MAX(ROW(E$1:E2385)*(E2=E$1:E2385))))))</f>
        <v> </v>
      </c>
      <c r="K2386" s="26" t="str">
        <f>IF(OR(E2386="",E2386="!!!",F2386="NEW"),"",INDEX(J$1:J2385,SUMPRODUCT(MAX(ROW(E$1:E2385)*(E2386=E$1:E2385)))))</f>
        <v> </v>
      </c>
      <c r="L2386" s="27"/>
    </row>
    <row r="2387" spans="1:12">
      <c r="A2387" s="20" t="s">
        <v>453</v>
      </c>
      <c r="E2387" s="22">
        <f>IF(D2387="?OLD","!!!","")</f>
        <v/>
      </c>
      <c r="F2387" s="23" t="str">
        <f>IF(OR(E2387="",E2387="!!!"),"",IF(NOT(ISNA(VLOOKUP(E2387,E$1:E2386,1,FALSE()))),"OLD",IF(AND(E2387&lt;&gt;"",E2387&lt;&gt;"!!!"),"NEW","")))</f>
        <v> </v>
      </c>
      <c r="G2387" s="24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5" t="str">
        <f>IF(J2387&lt;&gt;1,"",IF(I2387="SBJ","CB","?"))</f>
        <v> </v>
      </c>
      <c r="I2387" s="26" t="str">
        <f>IF(OR(E2387="",E2387="!!!",F2387="NEW"),"",INDEX(B2386:B$2,-1+SUMPRODUCT(MAX(ROW(E2386:E$2)*(E2387=E2386:E$2)))))</f>
        <v> </v>
      </c>
      <c r="J2387" s="26" t="str">
        <f>IF(OR(E2387="",E2387="!!!",F2387="NEW"),"",COUNTBLANK(OFFSET(A$1,,,SUMPRODUCT(MAX(ROW(E$2:E2387)*(E2387=E$2:E2387)))))-COUNTBLANK(OFFSET(A$1,,,SUMPRODUCT(MAX(ROW(E$1:E2386)*(E2=E$1:E2386))))))</f>
        <v> </v>
      </c>
      <c r="K2387" s="26" t="str">
        <f>IF(OR(E2387="",E2387="!!!",F2387="NEW"),"",INDEX(J$1:J2386,SUMPRODUCT(MAX(ROW(E$1:E2386)*(E2387=E$1:E2386)))))</f>
        <v> </v>
      </c>
      <c r="L2387" s="27"/>
    </row>
    <row r="2388" spans="1:12">
      <c r="A2388" s="20" t="s">
        <v>1500</v>
      </c>
      <c r="E2388" s="22">
        <f>IF(D2388="?OLD","!!!","")</f>
        <v/>
      </c>
      <c r="F2388" s="23" t="str">
        <f>IF(OR(E2388="",E2388="!!!"),"",IF(NOT(ISNA(VLOOKUP(E2388,E$1:E2387,1,FALSE()))),"OLD",IF(AND(E2388&lt;&gt;"",E2388&lt;&gt;"!!!"),"NEW","")))</f>
        <v> </v>
      </c>
      <c r="G2388" s="24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5" t="str">
        <f>IF(J2388&lt;&gt;1,"",IF(I2388="SBJ","CB","?"))</f>
        <v> </v>
      </c>
      <c r="I2388" s="26" t="str">
        <f>IF(OR(E2388="",E2388="!!!",F2388="NEW"),"",INDEX(B2387:B$2,-1+SUMPRODUCT(MAX(ROW(E2387:E$2)*(E2388=E2387:E$2)))))</f>
        <v> </v>
      </c>
      <c r="J2388" s="26" t="str">
        <f>IF(OR(E2388="",E2388="!!!",F2388="NEW"),"",COUNTBLANK(OFFSET(A$1,,,SUMPRODUCT(MAX(ROW(E$2:E2388)*(E2388=E$2:E2388)))))-COUNTBLANK(OFFSET(A$1,,,SUMPRODUCT(MAX(ROW(E$1:E2387)*(E2=E$1:E2387))))))</f>
        <v> </v>
      </c>
      <c r="K2388" s="26" t="str">
        <f>IF(OR(E2388="",E2388="!!!",F2388="NEW"),"",INDEX(J$1:J2387,SUMPRODUCT(MAX(ROW(E$1:E2387)*(E2388=E$1:E2387)))))</f>
        <v> </v>
      </c>
      <c r="L2388" s="27"/>
    </row>
    <row r="2389" spans="1:12">
      <c r="A2389" s="20" t="s">
        <v>453</v>
      </c>
      <c r="E2389" s="22">
        <f>IF(D2389="?OLD","!!!","")</f>
        <v/>
      </c>
      <c r="F2389" s="23" t="str">
        <f>IF(OR(E2389="",E2389="!!!"),"",IF(NOT(ISNA(VLOOKUP(E2389,E$1:E2388,1,FALSE()))),"OLD",IF(AND(E2389&lt;&gt;"",E2389&lt;&gt;"!!!"),"NEW","")))</f>
        <v> </v>
      </c>
      <c r="G2389" s="24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5" t="str">
        <f>IF(J2389&lt;&gt;1,"",IF(I2389="SBJ","CB","?"))</f>
        <v> </v>
      </c>
      <c r="I2389" s="26" t="str">
        <f>IF(OR(E2389="",E2389="!!!",F2389="NEW"),"",INDEX(B2388:B$2,-1+SUMPRODUCT(MAX(ROW(E2388:E$2)*(E2389=E2388:E$2)))))</f>
        <v> </v>
      </c>
      <c r="J2389" s="26" t="str">
        <f>IF(OR(E2389="",E2389="!!!",F2389="NEW"),"",COUNTBLANK(OFFSET(A$1,,,SUMPRODUCT(MAX(ROW(E$2:E2389)*(E2389=E$2:E2389)))))-COUNTBLANK(OFFSET(A$1,,,SUMPRODUCT(MAX(ROW(E$1:E2388)*(E2=E$1:E2388))))))</f>
        <v> </v>
      </c>
      <c r="K2389" s="26" t="str">
        <f>IF(OR(E2389="",E2389="!!!",F2389="NEW"),"",INDEX(J$1:J2388,SUMPRODUCT(MAX(ROW(E$1:E2388)*(E2389=E$1:E2388)))))</f>
        <v> </v>
      </c>
      <c r="L2389" s="27"/>
    </row>
    <row r="2390" spans="1:12">
      <c r="A2390" s="20" t="s">
        <v>482</v>
      </c>
      <c r="B2390" s="21" t="s">
        <v>556</v>
      </c>
      <c r="C2390" s="21" t="s">
        <v>477</v>
      </c>
      <c r="D2390" s="21" t="s">
        <v>424</v>
      </c>
      <c r="E2390" s="22">
        <f>IF(D2390="?OLD","!!!","")</f>
        <v/>
      </c>
      <c r="F2390" s="23" t="str">
        <f>IF(OR(E2390="",E2390="!!!"),"",IF(NOT(ISNA(VLOOKUP(E2390,E$1:E2389,1,FALSE()))),"OLD",IF(AND(E2390&lt;&gt;"",E2390&lt;&gt;"!!!"),"NEW","")))</f>
        <v> </v>
      </c>
      <c r="G2390" s="24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5" t="str">
        <f>IF(J2390&lt;&gt;1,"",IF(I2390="SBJ","CB","?"))</f>
        <v> </v>
      </c>
      <c r="I2390" s="26" t="str">
        <f>IF(OR(E2390="",E2390="!!!",F2390="NEW"),"",INDEX(B2389:B$2,-1+SUMPRODUCT(MAX(ROW(E2389:E$2)*(E2390=E2389:E$2)))))</f>
        <v> </v>
      </c>
      <c r="J2390" s="26" t="str">
        <f>IF(OR(E2390="",E2390="!!!",F2390="NEW"),"",COUNTBLANK(OFFSET(A$1,,,SUMPRODUCT(MAX(ROW(E$2:E2390)*(E2390=E$2:E2390)))))-COUNTBLANK(OFFSET(A$1,,,SUMPRODUCT(MAX(ROW(E$1:E2389)*(E2=E$1:E2389))))))</f>
        <v> </v>
      </c>
      <c r="K2390" s="26" t="str">
        <f>IF(OR(E2390="",E2390="!!!",F2390="NEW"),"",INDEX(J$1:J2389,SUMPRODUCT(MAX(ROW(E$1:E2389)*(E2390=E$1:E2389)))))</f>
        <v> </v>
      </c>
      <c r="L2390" s="27"/>
    </row>
    <row r="2391" spans="1:12">
      <c r="A2391" s="20" t="s">
        <v>1501</v>
      </c>
      <c r="E2391" s="22">
        <f>IF(D2391="?OLD","!!!","")</f>
        <v/>
      </c>
      <c r="F2391" s="23" t="str">
        <f>IF(OR(E2391="",E2391="!!!"),"",IF(NOT(ISNA(VLOOKUP(E2391,E$1:E2390,1,FALSE()))),"OLD",IF(AND(E2391&lt;&gt;"",E2391&lt;&gt;"!!!"),"NEW","")))</f>
        <v> </v>
      </c>
      <c r="G2391" s="24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5" t="str">
        <f>IF(J2391&lt;&gt;1,"",IF(I2391="SBJ","CB","?"))</f>
        <v> </v>
      </c>
      <c r="I2391" s="26" t="str">
        <f>IF(OR(E2391="",E2391="!!!",F2391="NEW"),"",INDEX(B2390:B$2,-1+SUMPRODUCT(MAX(ROW(E2390:E$2)*(E2391=E2390:E$2)))))</f>
        <v> </v>
      </c>
      <c r="J2391" s="26" t="str">
        <f>IF(OR(E2391="",E2391="!!!",F2391="NEW"),"",COUNTBLANK(OFFSET(A$1,,,SUMPRODUCT(MAX(ROW(E$2:E2391)*(E2391=E$2:E2391)))))-COUNTBLANK(OFFSET(A$1,,,SUMPRODUCT(MAX(ROW(E$1:E2390)*(E2=E$1:E2390))))))</f>
        <v> </v>
      </c>
      <c r="K2391" s="26" t="str">
        <f>IF(OR(E2391="",E2391="!!!",F2391="NEW"),"",INDEX(J$1:J2390,SUMPRODUCT(MAX(ROW(E$1:E2390)*(E2391=E$1:E2390)))))</f>
        <v> </v>
      </c>
      <c r="L2391" s="27"/>
    </row>
    <row r="2392" spans="1:12">
      <c r="A2392" s="20" t="s">
        <v>1502</v>
      </c>
      <c r="B2392" s="21" t="s">
        <v>444</v>
      </c>
      <c r="E2392" s="22">
        <f>IF(D2392="?OLD","!!!","")</f>
        <v/>
      </c>
      <c r="F2392" s="23" t="str">
        <f>IF(OR(E2392="",E2392="!!!"),"",IF(NOT(ISNA(VLOOKUP(E2392,E$1:E2391,1,FALSE()))),"OLD",IF(AND(E2392&lt;&gt;"",E2392&lt;&gt;"!!!"),"NEW","")))</f>
        <v> </v>
      </c>
      <c r="G2392" s="24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5" t="str">
        <f>IF(J2392&lt;&gt;1,"",IF(I2392="SBJ","CB","?"))</f>
        <v> </v>
      </c>
      <c r="I2392" s="26" t="str">
        <f>IF(OR(E2392="",E2392="!!!",F2392="NEW"),"",INDEX(B2391:B$2,-1+SUMPRODUCT(MAX(ROW(E2391:E$2)*(E2392=E2391:E$2)))))</f>
        <v> </v>
      </c>
      <c r="J2392" s="26" t="str">
        <f>IF(OR(E2392="",E2392="!!!",F2392="NEW"),"",COUNTBLANK(OFFSET(A$1,,,SUMPRODUCT(MAX(ROW(E$2:E2392)*(E2392=E$2:E2392)))))-COUNTBLANK(OFFSET(A$1,,,SUMPRODUCT(MAX(ROW(E$1:E2391)*(E2=E$1:E2391))))))</f>
        <v> </v>
      </c>
      <c r="K2392" s="26" t="str">
        <f>IF(OR(E2392="",E2392="!!!",F2392="NEW"),"",INDEX(J$1:J2391,SUMPRODUCT(MAX(ROW(E$1:E2391)*(E2392=E$1:E2391)))))</f>
        <v> </v>
      </c>
      <c r="L2392" s="27"/>
    </row>
    <row r="2393" spans="1:12">
      <c r="A2393" s="20" t="s">
        <v>1503</v>
      </c>
      <c r="E2393" s="22">
        <f>IF(D2393="?OLD","!!!","")</f>
        <v/>
      </c>
      <c r="F2393" s="23" t="str">
        <f>IF(OR(E2393="",E2393="!!!"),"",IF(NOT(ISNA(VLOOKUP(E2393,E$1:E2392,1,FALSE()))),"OLD",IF(AND(E2393&lt;&gt;"",E2393&lt;&gt;"!!!"),"NEW","")))</f>
        <v> </v>
      </c>
      <c r="G2393" s="24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5" t="str">
        <f>IF(J2393&lt;&gt;1,"",IF(I2393="SBJ","CB","?"))</f>
        <v> </v>
      </c>
      <c r="I2393" s="26" t="str">
        <f>IF(OR(E2393="",E2393="!!!",F2393="NEW"),"",INDEX(B2392:B$2,-1+SUMPRODUCT(MAX(ROW(E2392:E$2)*(E2393=E2392:E$2)))))</f>
        <v> </v>
      </c>
      <c r="J2393" s="26" t="str">
        <f>IF(OR(E2393="",E2393="!!!",F2393="NEW"),"",COUNTBLANK(OFFSET(A$1,,,SUMPRODUCT(MAX(ROW(E$2:E2393)*(E2393=E$2:E2393)))))-COUNTBLANK(OFFSET(A$1,,,SUMPRODUCT(MAX(ROW(E$1:E2392)*(E2=E$1:E2392))))))</f>
        <v> </v>
      </c>
      <c r="K2393" s="26" t="str">
        <f>IF(OR(E2393="",E2393="!!!",F2393="NEW"),"",INDEX(J$1:J2392,SUMPRODUCT(MAX(ROW(E$1:E2392)*(E2393=E$1:E2392)))))</f>
        <v> </v>
      </c>
      <c r="L2393" s="27"/>
    </row>
    <row r="2394" spans="1:12">
      <c r="A2394" s="20" t="s">
        <v>1504</v>
      </c>
      <c r="E2394" s="22">
        <f>IF(D2394="?OLD","!!!","")</f>
        <v/>
      </c>
      <c r="F2394" s="23" t="str">
        <f>IF(OR(E2394="",E2394="!!!"),"",IF(NOT(ISNA(VLOOKUP(E2394,E$1:E2393,1,FALSE()))),"OLD",IF(AND(E2394&lt;&gt;"",E2394&lt;&gt;"!!!"),"NEW","")))</f>
        <v> </v>
      </c>
      <c r="G2394" s="24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5" t="str">
        <f>IF(J2394&lt;&gt;1,"",IF(I2394="SBJ","CB","?"))</f>
        <v> </v>
      </c>
      <c r="I2394" s="26" t="str">
        <f>IF(OR(E2394="",E2394="!!!",F2394="NEW"),"",INDEX(B2393:B$2,-1+SUMPRODUCT(MAX(ROW(E2393:E$2)*(E2394=E2393:E$2)))))</f>
        <v> </v>
      </c>
      <c r="J2394" s="26" t="str">
        <f>IF(OR(E2394="",E2394="!!!",F2394="NEW"),"",COUNTBLANK(OFFSET(A$1,,,SUMPRODUCT(MAX(ROW(E$2:E2394)*(E2394=E$2:E2394)))))-COUNTBLANK(OFFSET(A$1,,,SUMPRODUCT(MAX(ROW(E$1:E2393)*(E2=E$1:E2393))))))</f>
        <v> </v>
      </c>
      <c r="K2394" s="26" t="str">
        <f>IF(OR(E2394="",E2394="!!!",F2394="NEW"),"",INDEX(J$1:J2393,SUMPRODUCT(MAX(ROW(E$1:E2393)*(E2394=E$1:E2393)))))</f>
        <v> </v>
      </c>
      <c r="L2394" s="27"/>
    </row>
    <row r="2395" spans="1:12">
      <c r="A2395" s="20" t="s">
        <v>438</v>
      </c>
      <c r="E2395" s="22">
        <f>IF(D2395="?OLD","!!!","")</f>
        <v/>
      </c>
      <c r="F2395" s="23" t="str">
        <f>IF(OR(E2395="",E2395="!!!"),"",IF(NOT(ISNA(VLOOKUP(E2395,E$1:E2394,1,FALSE()))),"OLD",IF(AND(E2395&lt;&gt;"",E2395&lt;&gt;"!!!"),"NEW","")))</f>
        <v> </v>
      </c>
      <c r="G2395" s="24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5" t="str">
        <f>IF(J2395&lt;&gt;1,"",IF(I2395="SBJ","CB","?"))</f>
        <v> </v>
      </c>
      <c r="I2395" s="26" t="str">
        <f>IF(OR(E2395="",E2395="!!!",F2395="NEW"),"",INDEX(B2394:B$2,-1+SUMPRODUCT(MAX(ROW(E2394:E$2)*(E2395=E2394:E$2)))))</f>
        <v> </v>
      </c>
      <c r="J2395" s="26" t="str">
        <f>IF(OR(E2395="",E2395="!!!",F2395="NEW"),"",COUNTBLANK(OFFSET(A$1,,,SUMPRODUCT(MAX(ROW(E$2:E2395)*(E2395=E$2:E2395)))))-COUNTBLANK(OFFSET(A$1,,,SUMPRODUCT(MAX(ROW(E$1:E2394)*(E2=E$1:E2394))))))</f>
        <v> </v>
      </c>
      <c r="K2395" s="26" t="str">
        <f>IF(OR(E2395="",E2395="!!!",F2395="NEW"),"",INDEX(J$1:J2394,SUMPRODUCT(MAX(ROW(E$1:E2394)*(E2395=E$1:E2394)))))</f>
        <v> </v>
      </c>
      <c r="L2395" s="27"/>
    </row>
    <row r="2396" spans="1:12">
      <c r="A2396" s="20"/>
    </row>
    <row r="2397" spans="1:12">
      <c r="A2397" s="20" t="s">
        <v>1505</v>
      </c>
    </row>
    <row r="2398" spans="1:12">
      <c r="A2398" s="20" t="s">
        <v>1506</v>
      </c>
      <c r="E2398" s="22">
        <f>IF(D2398="?OLD","!!!","")</f>
        <v/>
      </c>
      <c r="F2398" s="23" t="str">
        <f>IF(OR(E2398="",E2398="!!!"),"",IF(NOT(ISNA(VLOOKUP(E2398,E$1:E2397,1,FALSE()))),"OLD",IF(AND(E2398&lt;&gt;"",E2398&lt;&gt;"!!!"),"NEW","")))</f>
        <v> </v>
      </c>
      <c r="G2398" s="24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5" t="str">
        <f>IF(J2398&lt;&gt;1,"",IF(I2398="SBJ","CB","?"))</f>
        <v> </v>
      </c>
      <c r="I2398" s="26" t="str">
        <f>IF(OR(E2398="",E2398="!!!",F2398="NEW"),"",INDEX(B2397:B$2,-1+SUMPRODUCT(MAX(ROW(E2397:E$2)*(E2398=E2397:E$2)))))</f>
        <v> </v>
      </c>
      <c r="J2398" s="26" t="str">
        <f>IF(OR(E2398="",E2398="!!!",F2398="NEW"),"",COUNTBLANK(OFFSET(A$1,,,SUMPRODUCT(MAX(ROW(E$2:E2398)*(E2398=E$2:E2398)))))-COUNTBLANK(OFFSET(A$1,,,SUMPRODUCT(MAX(ROW(E$1:E2397)*(E2=E$1:E2397))))))</f>
        <v> </v>
      </c>
      <c r="K2398" s="26" t="str">
        <f>IF(OR(E2398="",E2398="!!!",F2398="NEW"),"",INDEX(J$1:J2397,SUMPRODUCT(MAX(ROW(E$1:E2397)*(E2398=E$1:E2397)))))</f>
        <v> </v>
      </c>
      <c r="L2398" s="27"/>
    </row>
    <row r="2399" spans="1:12">
      <c r="A2399" s="20" t="s">
        <v>438</v>
      </c>
      <c r="E2399" s="22">
        <f>IF(D2399="?OLD","!!!","")</f>
        <v/>
      </c>
      <c r="F2399" s="23" t="str">
        <f>IF(OR(E2399="",E2399="!!!"),"",IF(NOT(ISNA(VLOOKUP(E2399,E$1:E2398,1,FALSE()))),"OLD",IF(AND(E2399&lt;&gt;"",E2399&lt;&gt;"!!!"),"NEW","")))</f>
        <v> </v>
      </c>
      <c r="G2399" s="24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5" t="str">
        <f>IF(J2399&lt;&gt;1,"",IF(I2399="SBJ","CB","?"))</f>
        <v> </v>
      </c>
      <c r="I2399" s="26" t="str">
        <f>IF(OR(E2399="",E2399="!!!",F2399="NEW"),"",INDEX(B2398:B$2,-1+SUMPRODUCT(MAX(ROW(E2398:E$2)*(E2399=E2398:E$2)))))</f>
        <v> </v>
      </c>
      <c r="J2399" s="26" t="str">
        <f>IF(OR(E2399="",E2399="!!!",F2399="NEW"),"",COUNTBLANK(OFFSET(A$1,,,SUMPRODUCT(MAX(ROW(E$2:E2399)*(E2399=E$2:E2399)))))-COUNTBLANK(OFFSET(A$1,,,SUMPRODUCT(MAX(ROW(E$1:E2398)*(E2=E$1:E2398))))))</f>
        <v> </v>
      </c>
      <c r="K2399" s="26" t="str">
        <f>IF(OR(E2399="",E2399="!!!",F2399="NEW"),"",INDEX(J$1:J2398,SUMPRODUCT(MAX(ROW(E$1:E2398)*(E2399=E$1:E2398)))))</f>
        <v> </v>
      </c>
      <c r="L2399" s="27"/>
    </row>
    <row r="2400" spans="1:12">
      <c r="A2400" s="20"/>
    </row>
    <row r="2401" spans="1:12">
      <c r="A2401" s="20" t="s">
        <v>1507</v>
      </c>
    </row>
    <row r="2402" spans="1:12">
      <c r="A2402" s="20" t="s">
        <v>1508</v>
      </c>
      <c r="E2402" s="22">
        <f>IF(D2402="?OLD","!!!","")</f>
        <v/>
      </c>
      <c r="F2402" s="23" t="str">
        <f>IF(OR(E2402="",E2402="!!!"),"",IF(NOT(ISNA(VLOOKUP(E2402,E$1:E2401,1,FALSE()))),"OLD",IF(AND(E2402&lt;&gt;"",E2402&lt;&gt;"!!!"),"NEW","")))</f>
        <v> </v>
      </c>
      <c r="G2402" s="24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5" t="str">
        <f>IF(J2402&lt;&gt;1,"",IF(I2402="SBJ","CB","?"))</f>
        <v> </v>
      </c>
      <c r="I2402" s="26" t="str">
        <f>IF(OR(E2402="",E2402="!!!",F2402="NEW"),"",INDEX(B2401:B$2,-1+SUMPRODUCT(MAX(ROW(E2401:E$2)*(E2402=E2401:E$2)))))</f>
        <v> </v>
      </c>
      <c r="J2402" s="26" t="str">
        <f>IF(OR(E2402="",E2402="!!!",F2402="NEW"),"",COUNTBLANK(OFFSET(A$1,,,SUMPRODUCT(MAX(ROW(E$2:E2402)*(E2402=E$2:E2402)))))-COUNTBLANK(OFFSET(A$1,,,SUMPRODUCT(MAX(ROW(E$1:E2401)*(E2=E$1:E2401))))))</f>
        <v> </v>
      </c>
      <c r="K2402" s="26" t="str">
        <f>IF(OR(E2402="",E2402="!!!",F2402="NEW"),"",INDEX(J$1:J2401,SUMPRODUCT(MAX(ROW(E$1:E2401)*(E2402=E$1:E2401)))))</f>
        <v> </v>
      </c>
      <c r="L2402" s="27"/>
    </row>
    <row r="2403" spans="1:12">
      <c r="A2403" s="20" t="s">
        <v>1509</v>
      </c>
      <c r="E2403" s="22">
        <f>IF(D2403="?OLD","!!!","")</f>
        <v/>
      </c>
      <c r="F2403" s="23" t="str">
        <f>IF(OR(E2403="",E2403="!!!"),"",IF(NOT(ISNA(VLOOKUP(E2403,E$1:E2402,1,FALSE()))),"OLD",IF(AND(E2403&lt;&gt;"",E2403&lt;&gt;"!!!"),"NEW","")))</f>
        <v> </v>
      </c>
      <c r="G2403" s="24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5" t="str">
        <f>IF(J2403&lt;&gt;1,"",IF(I2403="SBJ","CB","?"))</f>
        <v> </v>
      </c>
      <c r="I2403" s="26" t="str">
        <f>IF(OR(E2403="",E2403="!!!",F2403="NEW"),"",INDEX(B2402:B$2,-1+SUMPRODUCT(MAX(ROW(E2402:E$2)*(E2403=E2402:E$2)))))</f>
        <v> </v>
      </c>
      <c r="J2403" s="26" t="str">
        <f>IF(OR(E2403="",E2403="!!!",F2403="NEW"),"",COUNTBLANK(OFFSET(A$1,,,SUMPRODUCT(MAX(ROW(E$2:E2403)*(E2403=E$2:E2403)))))-COUNTBLANK(OFFSET(A$1,,,SUMPRODUCT(MAX(ROW(E$1:E2402)*(E2=E$1:E2402))))))</f>
        <v> </v>
      </c>
      <c r="K2403" s="26" t="str">
        <f>IF(OR(E2403="",E2403="!!!",F2403="NEW"),"",INDEX(J$1:J2402,SUMPRODUCT(MAX(ROW(E$1:E2402)*(E2403=E$1:E2402)))))</f>
        <v> </v>
      </c>
      <c r="L2403" s="27"/>
    </row>
    <row r="2404" spans="1:12">
      <c r="A2404" s="20" t="s">
        <v>1510</v>
      </c>
      <c r="E2404" s="22">
        <f>IF(D2404="?OLD","!!!","")</f>
        <v/>
      </c>
      <c r="F2404" s="23" t="str">
        <f>IF(OR(E2404="",E2404="!!!"),"",IF(NOT(ISNA(VLOOKUP(E2404,E$1:E2403,1,FALSE()))),"OLD",IF(AND(E2404&lt;&gt;"",E2404&lt;&gt;"!!!"),"NEW","")))</f>
        <v> </v>
      </c>
      <c r="G2404" s="24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5" t="str">
        <f>IF(J2404&lt;&gt;1,"",IF(I2404="SBJ","CB","?"))</f>
        <v> </v>
      </c>
      <c r="I2404" s="26" t="str">
        <f>IF(OR(E2404="",E2404="!!!",F2404="NEW"),"",INDEX(B2403:B$2,-1+SUMPRODUCT(MAX(ROW(E2403:E$2)*(E2404=E2403:E$2)))))</f>
        <v> </v>
      </c>
      <c r="J2404" s="26" t="str">
        <f>IF(OR(E2404="",E2404="!!!",F2404="NEW"),"",COUNTBLANK(OFFSET(A$1,,,SUMPRODUCT(MAX(ROW(E$2:E2404)*(E2404=E$2:E2404)))))-COUNTBLANK(OFFSET(A$1,,,SUMPRODUCT(MAX(ROW(E$1:E2403)*(E2=E$1:E2403))))))</f>
        <v> </v>
      </c>
      <c r="K2404" s="26" t="str">
        <f>IF(OR(E2404="",E2404="!!!",F2404="NEW"),"",INDEX(J$1:J2403,SUMPRODUCT(MAX(ROW(E$1:E2403)*(E2404=E$1:E2403)))))</f>
        <v> </v>
      </c>
      <c r="L2404" s="27"/>
    </row>
    <row r="2405" spans="1:12">
      <c r="A240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2025-07-10T18:09:39Z</dcterms:created>
  <dcterms:modified xsi:type="dcterms:W3CDTF">2025-07-10T18:09:39Z</dcterms:modified>
</cp:coreProperties>
</file>