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<sst xmlns="http://schemas.openxmlformats.org/spreadsheetml/2006/main" count="7914" uniqueCount="2607">
  <si>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</si>
  <si>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</si>
  <si>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</si>
  <si>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</si>
  <si>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</si>
  <si>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</si>
  <si>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</si>
  <si>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</si>
  <si>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</si>
  <si>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</si>
  <si>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</si>
  <si>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</si>
  <si>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</si>
  <si>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звать</t>
  </si>
  <si>
    <t>Меня зовут Джейн Макгонигал .</t>
  </si>
  <si>
    <t>file://conllu/ru/teddy-1124.conllu#s1_0</t>
  </si>
  <si>
    <t>разработчик</t>
  </si>
  <si>
    <t>Я разработчик игр .</t>
  </si>
  <si>
    <t>file://conllu/ru/teddy-1124.conllu#s2_0</t>
  </si>
  <si>
    <t>3</t>
  </si>
  <si>
    <t>создавать</t>
  </si>
  <si>
    <t>Я создаю онлайн игры уже на протяжении 10-ти лет .</t>
  </si>
  <si>
    <t>file://conllu/ru/teddy-1124.conllu#s3_0</t>
  </si>
  <si>
    <t>4</t>
  </si>
  <si>
    <t>цель</t>
  </si>
  <si>
    <t>И моя цель на следующее десятилетие — попробовать сделать спасение мира в реальной жизни таким же лёгким , как спасение мира в онлайн игре .</t>
  </si>
  <si>
    <t>file://conllu/ru/teddy-1124.conllu#s4_0</t>
  </si>
  <si>
    <t>5</t>
  </si>
  <si>
    <t>быть</t>
  </si>
  <si>
    <t>Для этого у меня есть план : убедить как можно больше людей , включая всех вас , тратить больше времени на улучшенные крупномасштабные онлайн игры .</t>
  </si>
  <si>
    <t>file://conllu/ru/teddy-1124.conllu#s5_0</t>
  </si>
  <si>
    <t>6</t>
  </si>
  <si>
    <t>проводить</t>
  </si>
  <si>
    <t>Уже сегодня мы проводим три миллиарда часов в неделю за онлайн играми .</t>
  </si>
  <si>
    <t>file://conllu/ru/teddy-1124.conllu#s6_0</t>
  </si>
  <si>
    <t>7</t>
  </si>
  <si>
    <t>мочь</t>
  </si>
  <si>
    <t>Некоторые из вас могут подумать : «Это куча времени , чтобы тратить его на игры» .</t>
  </si>
  <si>
    <t>file://conllu/ru/teddy-1124.conllu#s7_0</t>
  </si>
  <si>
    <t>8</t>
  </si>
  <si>
    <t>13</t>
  </si>
  <si>
    <t>требовать</t>
  </si>
  <si>
    <t>Возможно даже , слишком много времени , учитывая как много важных проблем требуют решения в реальном мире .</t>
  </si>
  <si>
    <t>file://conllu/ru/teddy-1124.conllu#s8_0</t>
  </si>
  <si>
    <t>9</t>
  </si>
  <si>
    <t>17</t>
  </si>
  <si>
    <t>другой</t>
  </si>
  <si>
    <t>Но на самом деле , согласно моим исследованиям , проведённым в Институте будущего , правда в другом .</t>
  </si>
  <si>
    <t>file://conllu/ru/teddy-1124.conllu#s9_0</t>
  </si>
  <si>
    <t>10</t>
  </si>
  <si>
    <t>недостаточно</t>
  </si>
  <si>
    <t>Три миллиарда часов далеко недостаточно чтобы решить самые важные мировые проблемы .</t>
  </si>
  <si>
    <t>file://conllu/ru/teddy-1124.conllu#s10_0</t>
  </si>
  <si>
    <t>11</t>
  </si>
  <si>
    <t>верить</t>
  </si>
  <si>
    <t>Фактически , я верю , что если мы хотим выжить в следующем столетии на этой планете , то мы должны проводить за играми кардинально больше времени .</t>
  </si>
  <si>
    <t>file://conllu/ru/teddy-1124.conllu#s11_0</t>
  </si>
  <si>
    <t>12</t>
  </si>
  <si>
    <t>подсчитать</t>
  </si>
  <si>
    <t>Я подсчитала , что нам нужно играть 21 миллиардов часов каждую неделю .</t>
  </si>
  <si>
    <t>file://conllu/ru/teddy-1124.conllu#s12_0</t>
  </si>
  <si>
    <t>идея</t>
  </si>
  <si>
    <t>Наверное , это немного неожиданная идея , так , что я скажу ещё раз , давайте вдумаемся .</t>
  </si>
  <si>
    <t>file://conllu/ru/teddy-1124.conllu#s13_0</t>
  </si>
  <si>
    <t>14</t>
  </si>
  <si>
    <t>хотеть (хотеть верить)</t>
  </si>
  <si>
    <t>Если мы хотим разрешить такие проблемы , как голод нищета , изменение климата , мировые конфликты , ожирение , я верю , что нам необходимо стремиться к тому , чтобы проводить за онлайн играми по крайней мере 21 миллиард часов в неделю до конца следующего десятилетия .</t>
  </si>
  <si>
    <t>file://conllu/ru/teddy-1124.conllu#s14_0</t>
  </si>
  <si>
    <t>15</t>
  </si>
  <si>
    <t>нет</t>
  </si>
  <si>
    <t>( Смех ) Нет .</t>
  </si>
  <si>
    <t>file://conllu/ru/teddy-1124.conllu#s15_0</t>
  </si>
  <si>
    <t>16</t>
  </si>
  <si>
    <t>серьёзно</t>
  </si>
  <si>
    <t>Я серьёзно .</t>
  </si>
  <si>
    <t>file://conllu/ru/teddy-1124.conllu#s16_0</t>
  </si>
  <si>
    <t>шутка</t>
  </si>
  <si>
    <t>Без шуток .</t>
  </si>
  <si>
    <t>file://conllu/ru/teddy-1124.conllu#s17_0</t>
  </si>
  <si>
    <t>18</t>
  </si>
  <si>
    <t>Вот почему?</t>
  </si>
  <si>
    <t>почему</t>
  </si>
  <si>
    <t>И вот почему .</t>
  </si>
  <si>
    <t>file://conllu/ru/teddy-1124.conllu#s18_0</t>
  </si>
  <si>
    <t>19</t>
  </si>
  <si>
    <t>отображать</t>
  </si>
  <si>
    <t>Это фото довольно хорошо отображает , почему я считаю , что игры так важны для будущего выживания рода человеческого .</t>
  </si>
  <si>
    <t>file://conllu/ru/teddy-1124.conllu#s19_0</t>
  </si>
  <si>
    <t>20</t>
  </si>
  <si>
    <t>смех</t>
  </si>
  <si>
    <t>( Смех ) .</t>
  </si>
  <si>
    <t>file://conllu/ru/teddy-1124.conllu#s20_0</t>
  </si>
  <si>
    <t>21</t>
  </si>
  <si>
    <t>file://conllu/ru/teddy-1124.conllu#s21_0</t>
  </si>
  <si>
    <t>22</t>
  </si>
  <si>
    <t>делать</t>
  </si>
  <si>
    <t>Этот портрет , сделан фотографом по имени Фил Толедано .</t>
  </si>
  <si>
    <t>file://conllu/ru/teddy-1124.conllu#s22_0</t>
  </si>
  <si>
    <t>23</t>
  </si>
  <si>
    <t>хотеть</t>
  </si>
  <si>
    <t>Он хотел запечатлеть эмоции , вызываемые игрой .</t>
  </si>
  <si>
    <t>file://conllu/ru/teddy-1124.conllu#s23_0</t>
  </si>
  <si>
    <t>24</t>
  </si>
  <si>
    <t>разместить</t>
  </si>
  <si>
    <t>Он разместил камеру напротив геймеров , в то время как они играли .</t>
  </si>
  <si>
    <t>file://conllu/ru/teddy-1124.conllu#s24_0</t>
  </si>
  <si>
    <t>25</t>
  </si>
  <si>
    <t>эмоция</t>
  </si>
  <si>
    <t>И это классические игровые эмоции .</t>
  </si>
  <si>
    <t>file://conllu/ru/teddy-1124.conllu#s25_0</t>
  </si>
  <si>
    <t>26</t>
  </si>
  <si>
    <t>И если вы не геймер , вы можете упустить некоторые нюансы этого фото .</t>
  </si>
  <si>
    <t>file://conllu/ru/teddy-1124.conllu#s26_0</t>
  </si>
  <si>
    <t>27</t>
  </si>
  <si>
    <t>настойчивость (настойчивость видеть)</t>
  </si>
  <si>
    <t>Возможно , вы видите настойчивость , немного страха , но при этом сильную концентрацию , серьезную сосредоточенность на решении реально сложной проблемы .</t>
  </si>
  <si>
    <t>file://conllu/ru/teddy-1124.conllu#s27_0</t>
  </si>
  <si>
    <t>28</t>
  </si>
  <si>
    <t>заметить</t>
  </si>
  <si>
    <t>Если же вы геймер , то заметите несколько нюансов : морщинки над глазами и вокруг рта означают оптимизм , и поднятые вверх брови означают удивление .</t>
  </si>
  <si>
    <t>file://conllu/ru/teddy-1124.conllu#s28_0</t>
  </si>
  <si>
    <t>29</t>
  </si>
  <si>
    <t>геймер</t>
  </si>
  <si>
    <t>Это геймер , который на пороге того , что называется «эпической победой» .</t>
  </si>
  <si>
    <t>file://conllu/ru/teddy-1124.conllu#s29_0</t>
  </si>
  <si>
    <t>30</t>
  </si>
  <si>
    <t>слышать</t>
  </si>
  <si>
    <t>( Смех ) О , вы уже слышали об этом .</t>
  </si>
  <si>
    <t>file://conllu/ru/teddy-1124.conllu#s30_0</t>
  </si>
  <si>
    <t>31</t>
  </si>
  <si>
    <t>хороший</t>
  </si>
  <si>
    <t>Хорошо .</t>
  </si>
  <si>
    <t>file://conllu/ru/teddy-1124.conllu#s31_0</t>
  </si>
  <si>
    <t>32</t>
  </si>
  <si>
    <t>Значит , среди нас есть геймеры .</t>
  </si>
  <si>
    <t>file://conllu/ru/teddy-1124.conllu#s32_0</t>
  </si>
  <si>
    <t>33</t>
  </si>
  <si>
    <t>это (это результат)</t>
  </si>
  <si>
    <t>Эпическая победа — это результат , который невероятно позитивен , вы даже не могли себе представить , что такое возможно , пока не добились этого .</t>
  </si>
  <si>
    <t>file://conllu/ru/teddy-1124.conllu#s33_0</t>
  </si>
  <si>
    <t>34</t>
  </si>
  <si>
    <t>что-то</t>
  </si>
  <si>
    <t>Это что-то за пределами воображения .</t>
  </si>
  <si>
    <t>file://conllu/ru/teddy-1124.conllu#s34_0</t>
  </si>
  <si>
    <t>35</t>
  </si>
  <si>
    <t>вы</t>
  </si>
  <si>
    <t>И когда вы достигаете этого , вы в шоке от того , на что действительно способны .</t>
  </si>
  <si>
    <t>file://conllu/ru/teddy-1124.conllu#s35_0</t>
  </si>
  <si>
    <t>36</t>
  </si>
  <si>
    <t>что</t>
  </si>
  <si>
    <t>Вот что такое эпическая победа .</t>
  </si>
  <si>
    <t>file://conllu/ru/teddy-1124.conllu#s36_0</t>
  </si>
  <si>
    <t>37</t>
  </si>
  <si>
    <t>Это геймер на грани эпической победы .</t>
  </si>
  <si>
    <t>file://conllu/ru/teddy-1124.conllu#s37_0</t>
  </si>
  <si>
    <t>38</t>
  </si>
  <si>
    <t>выражение</t>
  </si>
  <si>
    <t>А это выражение лица , которое нам необходимо видеть у миллионов людей , решающих проблемы по всему миру , по мере преодоления нами препятствий грядущего столетия .</t>
  </si>
  <si>
    <t>file://conllu/ru/teddy-1124.conllu#s38_0</t>
  </si>
  <si>
    <t>39</t>
  </si>
  <si>
    <t>лицо</t>
  </si>
  <si>
    <t>Лицо человека , который , несмотря на все трудности , находится на грани эпической победы .</t>
  </si>
  <si>
    <t>file://conllu/ru/teddy-1124.conllu#s39_0</t>
  </si>
  <si>
    <t>40</t>
  </si>
  <si>
    <t>решать (решать пытаться видеть)</t>
  </si>
  <si>
    <t>Сейчас , к сожалению , мы видим больше вот таких лиц , в повседневной жизни , когда мы пытаемся решать неотложные проблемы .</t>
  </si>
  <si>
    <t>file://conllu/ru/teddy-1124.conllu#s40_0</t>
  </si>
  <si>
    <t>41</t>
  </si>
  <si>
    <t>Это выражение лица , я называю : «Я неудачник по жизни» .</t>
  </si>
  <si>
    <t>file://conllu/ru/teddy-1124.conllu#s41_0</t>
  </si>
  <si>
    <t>42</t>
  </si>
  <si>
    <t>показывать</t>
  </si>
  <si>
    <t>Это я показываю .</t>
  </si>
  <si>
    <t>file://conllu/ru/teddy-1124.conllu#s42_0</t>
  </si>
  <si>
    <t>43</t>
  </si>
  <si>
    <t>видеть</t>
  </si>
  <si>
    <t>Видите ?</t>
  </si>
  <si>
    <t>file://conllu/ru/teddy-1124.conllu#s43_0</t>
  </si>
  <si>
    <t>44</t>
  </si>
  <si>
    <t>file://conllu/ru/teddy-1124.conllu#s44_0</t>
  </si>
  <si>
    <t>45</t>
  </si>
  <si>
    <t>Это я своим выражением лица показываю : «Я неудачница по жизни» .</t>
  </si>
  <si>
    <t>file://conllu/ru/teddy-1124.conllu#s45_0</t>
  </si>
  <si>
    <t>46</t>
  </si>
  <si>
    <t>граффити</t>
  </si>
  <si>
    <t>Это граффити в моем старом районе в Беркли , Калифорния , где я получила докторскую степень с диссертацией на тему «Почему мы успешнее в играх , чем в реальной жизни» .</t>
  </si>
  <si>
    <t>file://conllu/ru/teddy-1124.conllu#s46_0</t>
  </si>
  <si>
    <t>47</t>
  </si>
  <si>
    <t>проблема</t>
  </si>
  <si>
    <t>Это проблема , с которой сталкиваются многие геймеры .</t>
  </si>
  <si>
    <t>file://conllu/ru/teddy-1124.conllu#s47_0</t>
  </si>
  <si>
    <t>48</t>
  </si>
  <si>
    <t>чувствовать</t>
  </si>
  <si>
    <t>Мы чувствуем , что мы не настолько хороши в реальной жизни , как в играх .</t>
  </si>
  <si>
    <t>file://conllu/ru/teddy-1124.conllu#s48_0</t>
  </si>
  <si>
    <t>49</t>
  </si>
  <si>
    <t>Потому?</t>
  </si>
  <si>
    <t>Не в смысле , хороши , потому что успешны , хотя успех — это важная составляющая .</t>
  </si>
  <si>
    <t>file://conllu/ru/teddy-1124.conllu#s49_0</t>
  </si>
  <si>
    <t>50</t>
  </si>
  <si>
    <t>достигать</t>
  </si>
  <si>
    <t>Мы действительно достигаем большего в игровых мирах .</t>
  </si>
  <si>
    <t>file://conllu/ru/teddy-1124.conllu#s50_0</t>
  </si>
  <si>
    <t>51</t>
  </si>
  <si>
    <t>Там мы хороши , так как мы мотивированы совершать нечто значимое , воодушевлены объединяться и сотрудничать .</t>
  </si>
  <si>
    <t>file://conllu/ru/teddy-1124.conllu#s51_0</t>
  </si>
  <si>
    <t>52</t>
  </si>
  <si>
    <t>считать</t>
  </si>
  <si>
    <t>И когда мы в игровом мире , я считаю , что многие из нас становятся наилучшим воплощением самих себя , готовыми помочь в любой момент , настолько хорошими , что работают над проблемой столько , сколько потребуется , возвращаются к ней после неудачной попытки и пробуют снова .</t>
  </si>
  <si>
    <t>file://conllu/ru/teddy-1124.conllu#s52_0</t>
  </si>
  <si>
    <t>53</t>
  </si>
  <si>
    <t>жизнь</t>
  </si>
  <si>
    <t>В жизни же , при встрече с неудачей , когда перед нами возникают препятствия , мы часто ведём себя по-иному .</t>
  </si>
  <si>
    <t>file://conllu/ru/teddy-1124.conllu#s53_0</t>
  </si>
  <si>
    <t>54</t>
  </si>
  <si>
    <t>Мы чувствуем поражение .</t>
  </si>
  <si>
    <t>file://conllu/ru/teddy-1124.conllu#s54_0</t>
  </si>
  <si>
    <t>55</t>
  </si>
  <si>
    <t>сокрушить</t>
  </si>
  <si>
    <t>Мы сокрушены .</t>
  </si>
  <si>
    <t>file://conllu/ru/teddy-1124.conllu#s55_0</t>
  </si>
  <si>
    <t>56</t>
  </si>
  <si>
    <t>обеспокоить</t>
  </si>
  <si>
    <t>Мы обеспокоены , может быть в депрессии , разочарованы или настроены скептически .</t>
  </si>
  <si>
    <t>file://conllu/ru/teddy-1124.conllu#s56_0</t>
  </si>
  <si>
    <t>57</t>
  </si>
  <si>
    <t>ощущать</t>
  </si>
  <si>
    <t>Мы никогда не ощущаем этих чувств , когда играем в игры , они просто не существуют в играх .</t>
  </si>
  <si>
    <t>file://conllu/ru/teddy-1124.conllu#s57_0</t>
  </si>
  <si>
    <t>58</t>
  </si>
  <si>
    <t>Именно это я и хотела изучать , когда была аспиранткой .</t>
  </si>
  <si>
    <t>file://conllu/ru/teddy-1124.conllu#s58_0</t>
  </si>
  <si>
    <t>59</t>
  </si>
  <si>
    <t>игра</t>
  </si>
  <si>
    <t>Что же такого в играх , что позволяет нам почувствовать , что невозможное возможно ?</t>
  </si>
  <si>
    <t>file://conllu/ru/teddy-1124.conllu#s59_0</t>
  </si>
  <si>
    <t>60</t>
  </si>
  <si>
    <t>повзаимствовать</t>
  </si>
  <si>
    <t>Как же нам повзаимствовать эти чувства из игр и применить их в реальной работе ?</t>
  </si>
  <si>
    <t>file://conllu/ru/teddy-1124.conllu#s60_0</t>
  </si>
  <si>
    <t>61</t>
  </si>
  <si>
    <t>среда</t>
  </si>
  <si>
    <t>Так , что я присмотрелась к играм типа Мир Варкрафта , они просто идеальная среда для совместного решения проблем .</t>
  </si>
  <si>
    <t>file://conllu/ru/teddy-1124.conllu#s61_0</t>
  </si>
  <si>
    <t>62</t>
  </si>
  <si>
    <t>стать</t>
  </si>
  <si>
    <t>И я стала замечать несколько моментов , которые делают эпическую победу такой возможной в виртуальных мирах .</t>
  </si>
  <si>
    <t>file://conllu/ru/teddy-1124.conllu#s62_0</t>
  </si>
  <si>
    <t>63</t>
  </si>
  <si>
    <t>оказаться</t>
  </si>
  <si>
    <t>Во-первых , когда бы вы не оказались в одном из игровых миров , особенно в Мире Варкрафта , там существует великое множество различных персонажей , которые желают доверить вам миссию по спасению мира , прямо сейчас .</t>
  </si>
  <si>
    <t>file://conllu/ru/teddy-1124.conllu#s63_0</t>
  </si>
  <si>
    <t>64</t>
  </si>
  <si>
    <t>миссия</t>
  </si>
  <si>
    <t>Но не просто миссию , а такую миссию , которая идеально соответствует вашему текущему уровню в игре .</t>
  </si>
  <si>
    <t>file://conllu/ru/teddy-1124.conllu#s64_0</t>
  </si>
  <si>
    <t>65</t>
  </si>
  <si>
    <t>так</t>
  </si>
  <si>
    <t>Так ?</t>
  </si>
  <si>
    <t>file://conllu/ru/teddy-1124.conllu#s65_0</t>
  </si>
  <si>
    <t>66</t>
  </si>
  <si>
    <t>Так , что вы можете это сделать .</t>
  </si>
  <si>
    <t>file://conllu/ru/teddy-1124.conllu#s66_0</t>
  </si>
  <si>
    <t>67</t>
  </si>
  <si>
    <t>давать</t>
  </si>
  <si>
    <t>Они никогда не дают вам задачу , которую вы не можете выполнить .</t>
  </si>
  <si>
    <t>file://conllu/ru/teddy-1124.conllu#s67_0</t>
  </si>
  <si>
    <t>68</t>
  </si>
  <si>
    <t>грань</t>
  </si>
  <si>
    <t>Но это на грани того , на что вы способны .</t>
  </si>
  <si>
    <t>file://conllu/ru/teddy-1124.conllu#s68_0</t>
  </si>
  <si>
    <t>69</t>
  </si>
  <si>
    <t>должен</t>
  </si>
  <si>
    <t>Вы должны очень постараться .</t>
  </si>
  <si>
    <t>file://conllu/ru/teddy-1124.conllu#s69_0</t>
  </si>
  <si>
    <t>70</t>
  </si>
  <si>
    <t>Но в Мире Варкрафта нет безработицы .</t>
  </si>
  <si>
    <t>file://conllu/ru/teddy-1124.conllu#s70_0</t>
  </si>
  <si>
    <t>71</t>
  </si>
  <si>
    <t>выкручивать</t>
  </si>
  <si>
    <t>Никто не выкручивает вам руки .</t>
  </si>
  <si>
    <t>file://conllu/ru/teddy-1124.conllu#s71_0</t>
  </si>
  <si>
    <t>72</t>
  </si>
  <si>
    <t>Здесь всегда есть какое-то особенное и важное дело .</t>
  </si>
  <si>
    <t>file://conllu/ru/teddy-1124.conllu#s72_0</t>
  </si>
  <si>
    <t>73</t>
  </si>
  <si>
    <t>И есть множество партнёров .</t>
  </si>
  <si>
    <t>file://conllu/ru/teddy-1124.conllu#s73_0</t>
  </si>
  <si>
    <t>74</t>
  </si>
  <si>
    <t>пойти</t>
  </si>
  <si>
    <t>Куда бы вы не пошли , сотни тысяч людей готовы работать с вами , чтобы вы выполнили свою эпическую миссию .</t>
  </si>
  <si>
    <t>file://conllu/ru/teddy-1124.conllu#s74_0</t>
  </si>
  <si>
    <t>75</t>
  </si>
  <si>
    <t>то</t>
  </si>
  <si>
    <t>То , что в настоящей жизни не так легко получить — ощущение подушечками пальцев множества партнёров .</t>
  </si>
  <si>
    <t>file://conllu/ru/teddy-1124.conllu#s75_0</t>
  </si>
  <si>
    <t>76</t>
  </si>
  <si>
    <t>Да , и всегда есть эпическая история , вдохновляющая история о том , почему мы здесь и что мы делаем .</t>
  </si>
  <si>
    <t>file://conllu/ru/teddy-1124.conllu#s76_0</t>
  </si>
  <si>
    <t>77</t>
  </si>
  <si>
    <t>получать</t>
  </si>
  <si>
    <t>И , наконец , мы получаем позитивную обратную связь .</t>
  </si>
  <si>
    <t>file://conllu/ru/teddy-1124.conllu#s77_0</t>
  </si>
  <si>
    <t>78</t>
  </si>
  <si>
    <t>Вы , конечно , слышали о прохождении уровней , накоплении силы и интеллекта во время игры .</t>
  </si>
  <si>
    <t>file://conllu/ru/teddy-1124.conllu#s78_0</t>
  </si>
  <si>
    <t>79</t>
  </si>
  <si>
    <t>В настоящей жизни мы никогда не получаем подобной обратной связи .</t>
  </si>
  <si>
    <t>file://conllu/ru/teddy-1124.conllu#s79_0</t>
  </si>
  <si>
    <t>80</t>
  </si>
  <si>
    <t>рассчитывать</t>
  </si>
  <si>
    <t>Когда спущусь со сцены , я не рассчитываю получить +1 речь и +1 безумную идею , +20 безумных идей .</t>
  </si>
  <si>
    <t>file://conllu/ru/teddy-1124.conllu#s80_0</t>
  </si>
  <si>
    <t>81</t>
  </si>
  <si>
    <t>У меня нет такой обратной связи в реальном мире .</t>
  </si>
  <si>
    <t>file://conllu/ru/teddy-1124.conllu#s81_0</t>
  </si>
  <si>
    <t>82</t>
  </si>
  <si>
    <t>И вот теперь проблема онлайн среды , такой как Мир Варкрафта , в том , что удовольствие быть постоянно на грани эпической победы заставляет нас тратить всё наше время на подобные игровые миры .</t>
  </si>
  <si>
    <t>file://conllu/ru/teddy-1124.conllu#s82_0</t>
  </si>
  <si>
    <t>83</t>
  </si>
  <si>
    <t>Это просто лучше , чем реальность .</t>
  </si>
  <si>
    <t>file://conllu/ru/teddy-1124.conllu#s83_0</t>
  </si>
  <si>
    <t>84</t>
  </si>
  <si>
    <t>далеко</t>
  </si>
  <si>
    <t>Так далеко от реальности , что совместно все игроки Мира Варкрафта уже потратили 5,93 миллиона лет на решение виртуальных проблем Азерота .</t>
  </si>
  <si>
    <t>file://conllu/ru/teddy-1124.conllu#s84_0</t>
  </si>
  <si>
    <t>85</t>
  </si>
  <si>
    <t>обязательно</t>
  </si>
  <si>
    <t>И это не обязательно плохо , в смысле , что это может прозвучать , как что-то негативное .</t>
  </si>
  <si>
    <t>file://conllu/ru/teddy-1124.conllu#s85_0</t>
  </si>
  <si>
    <t>86</t>
  </si>
  <si>
    <t>смотреть</t>
  </si>
  <si>
    <t>Но посмотрите на это в контексте того , что 5,93 миллиона лет назад приматы , предки человека , встали на ноги .</t>
  </si>
  <si>
    <t>file://conllu/ru/teddy-1124.conllu#s86_0</t>
  </si>
  <si>
    <t>87</t>
  </si>
  <si>
    <t>быть (быть примат)</t>
  </si>
  <si>
    <t>Это были первые прямоходящие приматы .</t>
  </si>
  <si>
    <t>file://conllu/ru/teddy-1124.conllu#s87_0</t>
  </si>
  <si>
    <t>88</t>
  </si>
  <si>
    <t>Итак?</t>
  </si>
  <si>
    <t>Итак , когда мы говорим о том , как много времени сейчас вкладываем в игру , есть только один способ даже просто об этом порассуждать — это поговорить о времени , в течении которого эволюционировало человечество , эволюция — это удивительная вещь .</t>
  </si>
  <si>
    <t>file://conllu/ru/teddy-1124.conllu#s88_0</t>
  </si>
  <si>
    <t>89</t>
  </si>
  <si>
    <t>полезный</t>
  </si>
  <si>
    <t>Но также полезная .</t>
  </si>
  <si>
    <t>file://conllu/ru/teddy-1124.conllu#s89_0</t>
  </si>
  <si>
    <t>90</t>
  </si>
  <si>
    <t>изменять</t>
  </si>
  <si>
    <t>Потому что , когда мы тратим столько времени на игру , мы реально изменяем человеческие возможности .</t>
  </si>
  <si>
    <t>file://conllu/ru/teddy-1124.conllu#s90_0</t>
  </si>
  <si>
    <t>91</t>
  </si>
  <si>
    <t>эволюционировать</t>
  </si>
  <si>
    <t>Мы эволюционируем , чтобы научиться лучше сотрудничать .</t>
  </si>
  <si>
    <t>file://conllu/ru/teddy-1124.conllu#s91_0</t>
  </si>
  <si>
    <t>92</t>
  </si>
  <si>
    <t>правда</t>
  </si>
  <si>
    <t>Это правда .</t>
  </si>
  <si>
    <t>file://conllu/ru/teddy-1124.conllu#s92_0</t>
  </si>
  <si>
    <t>93</t>
  </si>
  <si>
    <t>Я в это верю .</t>
  </si>
  <si>
    <t>file://conllu/ru/teddy-1124.conllu#s93_0</t>
  </si>
  <si>
    <t>94</t>
  </si>
  <si>
    <t>рассмотреть</t>
  </si>
  <si>
    <t>Рассмотрим вот такую интересную статистику .</t>
  </si>
  <si>
    <t>file://conllu/ru/teddy-1124.conllu#s94_0</t>
  </si>
  <si>
    <t>95</t>
  </si>
  <si>
    <t>опубликовать</t>
  </si>
  <si>
    <t>Она была опубликована исследователем из университета Карнеги Мелон .</t>
  </si>
  <si>
    <t>file://conllu/ru/teddy-1124.conllu#s95_0</t>
  </si>
  <si>
    <t>96</t>
  </si>
  <si>
    <t>сегодня</t>
  </si>
  <si>
    <t>Сегодня среднестатистический представитель молодежи , живущий в стране с развитой культурой игры , по достижении 21 года проведёт за онлайновыми играми 10 000 часов .</t>
  </si>
  <si>
    <t>file://conllu/ru/teddy-1124.conllu#s96_0</t>
  </si>
  <si>
    <t>97</t>
  </si>
  <si>
    <t>час</t>
  </si>
  <si>
    <t>На самом деле , 10 000 часов — число интересное по двум причинам .</t>
  </si>
  <si>
    <t>file://conllu/ru/teddy-1124.conllu#s97_0</t>
  </si>
  <si>
    <t>98</t>
  </si>
  <si>
    <t>количество</t>
  </si>
  <si>
    <t>Прежде всего , потому что для детей в США 10.080 часов — это именно то количество времени , которое они проведут в школе с 5-го по 12-й класс , если вообще без пропусков .</t>
  </si>
  <si>
    <t>file://conllu/ru/teddy-1124.conllu#s98_0</t>
  </si>
  <si>
    <t>99</t>
  </si>
  <si>
    <t>Так что у нас есть целый параллельный образовательный курс , где молодёжь изучает , что значит быть «хорошим» геймером так же усердно , как и все остальные предметы в школе .</t>
  </si>
  <si>
    <t>file://conllu/ru/teddy-1124.conllu#s99_0</t>
  </si>
  <si>
    <t>100</t>
  </si>
  <si>
    <t>читать</t>
  </si>
  <si>
    <t>И , возможно , некоторые из вас читали новую книгу Малкольма Гладуэлла «Гении и аутсайдеры» .</t>
  </si>
  <si>
    <t>file://conllu/ru/teddy-1124.conllu#s100_0</t>
  </si>
  <si>
    <t>101</t>
  </si>
  <si>
    <t>Тогда вы , возможно , слышали о его теории успеха , а именно о правиле 10 000 часов .</t>
  </si>
  <si>
    <t>file://conllu/ru/teddy-1124.conllu#s101_0</t>
  </si>
  <si>
    <t>102</t>
  </si>
  <si>
    <t>основать</t>
  </si>
  <si>
    <t>Оно основано на отличном исследовании в области когнитивистики : если мы посвятим 10 000 часов на усиленное обучение в какой бы то ни было области , к 21-му году мы станем в ней виртуозом .</t>
  </si>
  <si>
    <t>file://conllu/ru/teddy-1124.conllu#s102_0</t>
  </si>
  <si>
    <t>103</t>
  </si>
  <si>
    <t>достигнуть</t>
  </si>
  <si>
    <t>Мы достигнем того же уровня мастерства в своем деле , как и самые выдающиеся в мире люди .</t>
  </si>
  <si>
    <t>file://conllu/ru/teddy-1124.conllu#s103_0</t>
  </si>
  <si>
    <t>104</t>
  </si>
  <si>
    <t>мы</t>
  </si>
  <si>
    <t>И сейчас перед нами целое поколение молодых людей , виртуозных геймеров .</t>
  </si>
  <si>
    <t>file://conllu/ru/teddy-1124.conllu#s104_0</t>
  </si>
  <si>
    <t>105</t>
  </si>
  <si>
    <t>вопрос</t>
  </si>
  <si>
    <t>Вопрос : в чём же конкретно геймеры становятся виртуозами ?</t>
  </si>
  <si>
    <t>file://conllu/ru/teddy-1124.conllu#s105_0</t>
  </si>
  <si>
    <t>106</t>
  </si>
  <si>
    <t>получить</t>
  </si>
  <si>
    <t>Ведь если бы мы смогли это выяснить , мы бы получили в руки фактически беспрецедентный человеческий ресурс .</t>
  </si>
  <si>
    <t>file://conllu/ru/teddy-1124.conllu#s106_0</t>
  </si>
  <si>
    <t>107</t>
  </si>
  <si>
    <t>мир</t>
  </si>
  <si>
    <t>А сколько в мире людей , играющих в онлайн игры как минимум час в день !</t>
  </si>
  <si>
    <t>file://conllu/ru/teddy-1124.conllu#s107_0</t>
  </si>
  <si>
    <t>108</t>
  </si>
  <si>
    <t>игрок</t>
  </si>
  <si>
    <t>Все они — виртуозные игроки .</t>
  </si>
  <si>
    <t>file://conllu/ru/teddy-1124.conllu#s108_0</t>
  </si>
  <si>
    <t>109</t>
  </si>
  <si>
    <t>миллион</t>
  </si>
  <si>
    <t>Эти 500 миллионов человек — виртуозы в своем деле .</t>
  </si>
  <si>
    <t>file://conllu/ru/teddy-1124.conllu#s109_0</t>
  </si>
  <si>
    <t>110</t>
  </si>
  <si>
    <t>А через 10 лет мы получим еще миллиард геймеров , профессионалов в своём деле .</t>
  </si>
  <si>
    <t>file://conllu/ru/teddy-1124.conllu#s110_0</t>
  </si>
  <si>
    <t>111</t>
  </si>
  <si>
    <t>произойти</t>
  </si>
  <si>
    <t>Если вы ещё не в курсе дела , это произойдет .</t>
  </si>
  <si>
    <t>file://conllu/ru/teddy-1124.conllu#s111_0</t>
  </si>
  <si>
    <t>112</t>
  </si>
  <si>
    <t>разрабатывать</t>
  </si>
  <si>
    <t>Индустрия игр разрабатывает игровые консоли , с низким потреблением энергии , работающие в беспроводных сотовых сетях , взамен обчычному высокоскоростному Интернету .</t>
  </si>
  <si>
    <t>file://conllu/ru/teddy-1124.conllu#s112_0</t>
  </si>
  <si>
    <t>113</t>
  </si>
  <si>
    <t>Поэтому , геймеры всего мира , особенно в Индии , Китае , Бразилии могут играть онлайн .</t>
  </si>
  <si>
    <t>file://conllu/ru/teddy-1124.conllu#s113_0</t>
  </si>
  <si>
    <t>114</t>
  </si>
  <si>
    <t>ожидать</t>
  </si>
  <si>
    <t>В следующей декаде индустрия игр ожидает миллиардного прибавления в рядах геймеров .</t>
  </si>
  <si>
    <t>file://conllu/ru/teddy-1124.conllu#s114_0</t>
  </si>
  <si>
    <t>115</t>
  </si>
  <si>
    <t>достичь</t>
  </si>
  <si>
    <t>Их общее число достигнет 1,5 миллиардов .</t>
  </si>
  <si>
    <t>file://conllu/ru/teddy-1124.conllu#s115_0</t>
  </si>
  <si>
    <t>116</t>
  </si>
  <si>
    <t>начать</t>
  </si>
  <si>
    <t>Я начала думать о том , в чём же именно эти игры делают нас мастерами .</t>
  </si>
  <si>
    <t>file://conllu/ru/teddy-1124.conllu#s116_0</t>
  </si>
  <si>
    <t>117</t>
  </si>
  <si>
    <t>мысль</t>
  </si>
  <si>
    <t>И вот четыре мысли , к которым я пришла .</t>
  </si>
  <si>
    <t>file://conllu/ru/teddy-1124.conllu#s117_0</t>
  </si>
  <si>
    <t>118</t>
  </si>
  <si>
    <t>оптимизм</t>
  </si>
  <si>
    <t>Во-первых , упорный оптимизм .</t>
  </si>
  <si>
    <t>file://conllu/ru/teddy-1124.conllu#s118_0</t>
  </si>
  <si>
    <t>119</t>
  </si>
  <si>
    <t>да</t>
  </si>
  <si>
    <t>Да .</t>
  </si>
  <si>
    <t>file://conllu/ru/teddy-1124.conllu#s119_0</t>
  </si>
  <si>
    <t>120</t>
  </si>
  <si>
    <t>понимать</t>
  </si>
  <si>
    <t>Понимайте это , как усиленную самомотивацию .</t>
  </si>
  <si>
    <t>file://conllu/ru/teddy-1124.conllu#s120_0</t>
  </si>
  <si>
    <t>121</t>
  </si>
  <si>
    <t>желание</t>
  </si>
  <si>
    <t>Упорный оптимизм — это желание действовать немедленно , преодолевать препятствия в сочетании с верой в обоснованную надежду на успех .</t>
  </si>
  <si>
    <t>file://conllu/ru/teddy-1124.conllu#s121_0</t>
  </si>
  <si>
    <t>122</t>
  </si>
  <si>
    <t>Геймеры всегда верят , что эпическая победа возможна , что пробовать стоит всегда , и лучше немедленно .</t>
  </si>
  <si>
    <t>file://conllu/ru/teddy-1124.conllu#s122_0</t>
  </si>
  <si>
    <t>123</t>
  </si>
  <si>
    <t>отсиживать</t>
  </si>
  <si>
    <t>Геймеры не отсиживаются .</t>
  </si>
  <si>
    <t>file://conllu/ru/teddy-1124.conllu#s123_0</t>
  </si>
  <si>
    <t>124</t>
  </si>
  <si>
    <t>Геймера</t>
  </si>
  <si>
    <t>Геймеры — виртуозы плетения плотной социальной структуры .</t>
  </si>
  <si>
    <t>file://conllu/ru/teddy-1124.conllu#s124_0</t>
  </si>
  <si>
    <t>125</t>
  </si>
  <si>
    <t>Многие интересные исследования показывают , что после совместной игры люди нам нравятся больше , даже если они нас полностью обыграли .</t>
  </si>
  <si>
    <t>file://conllu/ru/teddy-1124.conllu#s125_0</t>
  </si>
  <si>
    <t>126</t>
  </si>
  <si>
    <t>Причина в том , что источник доверия кроется в совместной игре .</t>
  </si>
  <si>
    <t>file://conllu/ru/teddy-1124.conllu#s126_0</t>
  </si>
  <si>
    <t>127</t>
  </si>
  <si>
    <t>доверять</t>
  </si>
  <si>
    <t>Мы доверяем , ведь они проводят своё время с нами , они играют по тем же правилам , ценят те же самые цели и остаются в игре до конца .</t>
  </si>
  <si>
    <t>file://conllu/ru/teddy-1124.conllu#s127_0</t>
  </si>
  <si>
    <t>128</t>
  </si>
  <si>
    <t>формировать</t>
  </si>
  <si>
    <t>Итак , совместное участие в игре действительно формирует связи , доверие и сотрудничество .</t>
  </si>
  <si>
    <t>file://conllu/ru/teddy-1124.conllu#s128_0</t>
  </si>
  <si>
    <t>129</t>
  </si>
  <si>
    <t>связь</t>
  </si>
  <si>
    <t>И в результате мы действительно создаём сильные социальные связи .</t>
  </si>
  <si>
    <t>file://conllu/ru/teddy-1124.conllu#s129_0</t>
  </si>
  <si>
    <t>130</t>
  </si>
  <si>
    <t>радость</t>
  </si>
  <si>
    <t>Радость творения .</t>
  </si>
  <si>
    <t>file://conllu/ru/teddy-1124.conllu#s130_0</t>
  </si>
  <si>
    <t>131</t>
  </si>
  <si>
    <t>нравиться</t>
  </si>
  <si>
    <t>Мне нравится это .</t>
  </si>
  <si>
    <t>file://conllu/ru/teddy-1124.conllu#s131_0</t>
  </si>
  <si>
    <t>132</t>
  </si>
  <si>
    <t>знать (знать существовать)</t>
  </si>
  <si>
    <t>Вы знаете , существует причина , почему в среднем игроки Мира Варкрафта играют по 22 часа в неделю , что-то вроде работы на полставки .</t>
  </si>
  <si>
    <t>file://conllu/ru/teddy-1124.conllu#s132_0</t>
  </si>
  <si>
    <t>133</t>
  </si>
  <si>
    <t>осознавать</t>
  </si>
  <si>
    <t>Так как мы осознаем , что процесс игры , как упорный труд , приносит нам больше удовольствия , нежели просто расслабление или общение .</t>
  </si>
  <si>
    <t>file://conllu/ru/teddy-1124.conllu#s133_0</t>
  </si>
  <si>
    <t>134</t>
  </si>
  <si>
    <t>знать</t>
  </si>
  <si>
    <t>Мы знаем , что мы оптимизированы , насколько это возможно для человека , для выполнения значимой работы .</t>
  </si>
  <si>
    <t>file://conllu/ru/teddy-1124.conllu#s134_0</t>
  </si>
  <si>
    <t>135</t>
  </si>
  <si>
    <t>желать</t>
  </si>
  <si>
    <t>И геймеры желают упорно трудиться всё время , в случае , когда получают правильную работу .</t>
  </si>
  <si>
    <t>file://conllu/ru/teddy-1124.conllu#s135_0</t>
  </si>
  <si>
    <t>136</t>
  </si>
  <si>
    <t>значимость</t>
  </si>
  <si>
    <t>Наконец , эпическая значимость .</t>
  </si>
  <si>
    <t>file://conllu/ru/teddy-1124.conllu#s136_0</t>
  </si>
  <si>
    <t>137</t>
  </si>
  <si>
    <t>любить</t>
  </si>
  <si>
    <t>Геймеры любят причастность к впечатляющим миссиям . к историям масштаба человечества и планеты .</t>
  </si>
  <si>
    <t>file://conllu/ru/teddy-1124.conllu#s137_0</t>
  </si>
  <si>
    <t>138</t>
  </si>
  <si>
    <t>деталь</t>
  </si>
  <si>
    <t>Теперь немного деталей , которые помогут наложить это на будущее .</t>
  </si>
  <si>
    <t>file://conllu/ru/teddy-1124.conllu#s138_0</t>
  </si>
  <si>
    <t>139</t>
  </si>
  <si>
    <t>Вы , наверное , знаете , что Википедия — самая большая энциклопедия в мире .</t>
  </si>
  <si>
    <t>file://conllu/ru/teddy-1124.conllu#s139_0</t>
  </si>
  <si>
    <t>140</t>
  </si>
  <si>
    <t>энциклопедия</t>
  </si>
  <si>
    <t>Вторая по величине энциклопедия в мире , насчитывающая около 80 000 статей — это Википедия по Миру Варкрафта .</t>
  </si>
  <si>
    <t>file://conllu/ru/teddy-1124.conllu#s140_0</t>
  </si>
  <si>
    <t>141</t>
  </si>
  <si>
    <t>использовать</t>
  </si>
  <si>
    <t>Пять миллионов людей используют её ежемесячно .</t>
  </si>
  <si>
    <t>file://conllu/ru/teddy-1124.conllu#s141_0</t>
  </si>
  <si>
    <t>142</t>
  </si>
  <si>
    <t>собрать</t>
  </si>
  <si>
    <t>Они собрали больше информации о Мире Варкрафта в интернете , чем о любой другой теме в любой энциклопедии в мире .</t>
  </si>
  <si>
    <t>file://conllu/ru/teddy-1124.conllu#s142_0</t>
  </si>
  <si>
    <t>143</t>
  </si>
  <si>
    <t>Они создают эпическую историю .</t>
  </si>
  <si>
    <t>file://conllu/ru/teddy-1124.conllu#s143_0</t>
  </si>
  <si>
    <t>144</t>
  </si>
  <si>
    <t>Они создают информационный ресурс эпического масштаба о Мире Варкрафта .</t>
  </si>
  <si>
    <t>file://conllu/ru/teddy-1124.conllu#s144_0</t>
  </si>
  <si>
    <t>145</t>
  </si>
  <si>
    <t>быть (быть «суперсилы»)</t>
  </si>
  <si>
    <t>Итак , это были четыре «суперсилы» , которые сводятся к одному .</t>
  </si>
  <si>
    <t>file://conllu/ru/teddy-1124.conllu#s145_0</t>
  </si>
  <si>
    <t>146</t>
  </si>
  <si>
    <t>это (это надежда)</t>
  </si>
  <si>
    <t>Геймеры — это суперзаряженные надеждой личности .</t>
  </si>
  <si>
    <t>file://conllu/ru/teddy-1124.conllu#s146_0</t>
  </si>
  <si>
    <t>147</t>
  </si>
  <si>
    <t>человек</t>
  </si>
  <si>
    <t>Это люди , которые верят , что они в одиночку могут изменить мир .</t>
  </si>
  <si>
    <t>file://conllu/ru/teddy-1124.conllu#s147_0</t>
  </si>
  <si>
    <t>148</t>
  </si>
  <si>
    <t>И проблема всего лишь в том , что они верят что способны изменить виртуальный мир , а не реальный .</t>
  </si>
  <si>
    <t>file://conllu/ru/teddy-1124.conllu#s148_0</t>
  </si>
  <si>
    <t>149</t>
  </si>
  <si>
    <t>Это именно та проблема , которую я пытаюсь решить .</t>
  </si>
  <si>
    <t>file://conllu/ru/teddy-1124.conllu#s149_0</t>
  </si>
  <si>
    <t>150</t>
  </si>
  <si>
    <t>Есть экономист по имени Эдвард Кастронова .</t>
  </si>
  <si>
    <t>file://conllu/ru/teddy-1124.conllu#s150_0</t>
  </si>
  <si>
    <t>151</t>
  </si>
  <si>
    <t>гениальный</t>
  </si>
  <si>
    <t>Его работа гениальна .</t>
  </si>
  <si>
    <t>file://conllu/ru/teddy-1124.conllu#s151_0</t>
  </si>
  <si>
    <t>152</t>
  </si>
  <si>
    <t>исследовать</t>
  </si>
  <si>
    <t>Он исследует причины , которые побуждают людей вкладывать столько времени , энергии и денег в виртуальные миры .</t>
  </si>
  <si>
    <t>file://conllu/ru/teddy-1124.conllu#s152_0</t>
  </si>
  <si>
    <t>153</t>
  </si>
  <si>
    <t>говорить</t>
  </si>
  <si>
    <t>Он говорит : «Мы свидетели массовой миграции в виртуальные миры и онлайн игры» .</t>
  </si>
  <si>
    <t>file://conllu/ru/teddy-1124.conllu#s153_0</t>
  </si>
  <si>
    <t>154</t>
  </si>
  <si>
    <t>экономист</t>
  </si>
  <si>
    <t>Он экономист , поэтому рационален .</t>
  </si>
  <si>
    <t>file://conllu/ru/teddy-1124.conllu#s154_0</t>
  </si>
  <si>
    <t>155</t>
  </si>
  <si>
    <t>И он говорит . . .</t>
  </si>
  <si>
    <t>file://conllu/ru/teddy-1124.conllu#s155_0</t>
  </si>
  <si>
    <t>156</t>
  </si>
  <si>
    <t>( Смех ) Это не то что я — разработчик игр , я — ненормальная .</t>
  </si>
  <si>
    <t>file://conllu/ru/teddy-1124.conllu#s156_0</t>
  </si>
  <si>
    <t>157</t>
  </si>
  <si>
    <t>Однако?</t>
  </si>
  <si>
    <t>Однако он говорит , что в этом есть смысл , поскольку геймеры могут добиться большего в виртуальных мирах , чем могут в реальной жизни , Они могут иметь более крепкие социальные связи в игре , нежели в реальной жизни .</t>
  </si>
  <si>
    <t>file://conllu/ru/teddy-1124.conllu#s157_0</t>
  </si>
  <si>
    <t>158</t>
  </si>
  <si>
    <t>Они получают лучшую обратную связь и чувствуют себя более вознаграждёнными в играх , чем в реальной жизни .</t>
  </si>
  <si>
    <t>file://conllu/ru/teddy-1124.conllu#s158_0</t>
  </si>
  <si>
    <t>159</t>
  </si>
  <si>
    <t>Он говорит , что на сегодня для геймеров абсолютно естественно тратить больше времени в виртуальном мире , чем в реальном .</t>
  </si>
  <si>
    <t>file://conllu/ru/teddy-1124.conllu#s159_0</t>
  </si>
  <si>
    <t>160</t>
  </si>
  <si>
    <t>Пока?</t>
  </si>
  <si>
    <t>согласный</t>
  </si>
  <si>
    <t>И я согласна , что пока это рационально .</t>
  </si>
  <si>
    <t>file://conllu/ru/teddy-1124.conllu#s160_0</t>
  </si>
  <si>
    <t>161</t>
  </si>
  <si>
    <t>разуметься</t>
  </si>
  <si>
    <t>Но само собой разумеется , что это не оптимальный вариант .</t>
  </si>
  <si>
    <t>file://conllu/ru/teddy-1124.conllu#s161_0</t>
  </si>
  <si>
    <t>162</t>
  </si>
  <si>
    <t>необходимый</t>
  </si>
  <si>
    <t>Нам необходимо начать видоизменять реальный мир , приближая его к игровому .</t>
  </si>
  <si>
    <t>file://conllu/ru/teddy-1124.conllu#s162_0</t>
  </si>
  <si>
    <t>163</t>
  </si>
  <si>
    <t>черпать</t>
  </si>
  <si>
    <t>Итак , я черпаю своё вдохновение из того , что произошло 2 500 лет назад .</t>
  </si>
  <si>
    <t>file://conllu/ru/teddy-1124.conllu#s163_0</t>
  </si>
  <si>
    <t>164</t>
  </si>
  <si>
    <t>кость</t>
  </si>
  <si>
    <t>Это старинные игральные кости , изготовленные из овечьей кости .</t>
  </si>
  <si>
    <t>file://conllu/ru/teddy-1124.conllu#s164_0</t>
  </si>
  <si>
    <t>165</t>
  </si>
  <si>
    <t>До того как появились удивительные игровые контроллеры , у нас были овечьи кости .</t>
  </si>
  <si>
    <t>file://conllu/ru/teddy-1124.conllu#s165_0</t>
  </si>
  <si>
    <t>166</t>
  </si>
  <si>
    <t>представлять</t>
  </si>
  <si>
    <t>Они представляют собой первое игровое оборудование , сконструированное человеком .</t>
  </si>
  <si>
    <t>file://conllu/ru/teddy-1124.conllu#s166_0</t>
  </si>
  <si>
    <t>167</t>
  </si>
  <si>
    <t>И , если вы знакомы с работой древнегреческого историка Геродота , возможно , вы знаете эту историю .</t>
  </si>
  <si>
    <t>file://conllu/ru/teddy-1124.conllu#s167_0</t>
  </si>
  <si>
    <t>168</t>
  </si>
  <si>
    <t>история</t>
  </si>
  <si>
    <t>Это история о том , кто изобрёл игры и зачем .</t>
  </si>
  <si>
    <t>file://conllu/ru/teddy-1124.conllu#s168_0</t>
  </si>
  <si>
    <t>169</t>
  </si>
  <si>
    <t>сказать</t>
  </si>
  <si>
    <t>Геродот сказал , что игры , в частности игра в кости , были изобретены в королевстве Лидия во время голода .</t>
  </si>
  <si>
    <t>file://conllu/ru/teddy-1124.conllu#s169_0</t>
  </si>
  <si>
    <t>170</t>
  </si>
  <si>
    <t>быть (быть по-видимому)</t>
  </si>
  <si>
    <t>По-видимому , был такой сильный голод , что король Лидии решил , что придется сделать что-то невообразимое .</t>
  </si>
  <si>
    <t>file://conllu/ru/teddy-1124.conllu#s170_0</t>
  </si>
  <si>
    <t>171</t>
  </si>
  <si>
    <t>страдать</t>
  </si>
  <si>
    <t>Люди страдали , люди воевали .</t>
  </si>
  <si>
    <t>file://conllu/ru/teddy-1124.conllu#s171_0</t>
  </si>
  <si>
    <t>172</t>
  </si>
  <si>
    <t>быть (быть ситуация)</t>
  </si>
  <si>
    <t>Это была экстремальная ситуация .</t>
  </si>
  <si>
    <t>file://conllu/ru/teddy-1124.conllu#s172_0</t>
  </si>
  <si>
    <t>173</t>
  </si>
  <si>
    <t>нуждаться</t>
  </si>
  <si>
    <t>Они нуждались в экстремальном решении .</t>
  </si>
  <si>
    <t>file://conllu/ru/teddy-1124.conllu#s173_0</t>
  </si>
  <si>
    <t>174</t>
  </si>
  <si>
    <t>изобрести</t>
  </si>
  <si>
    <t>Согласно Геродоту , они изобрели игру в кости и установили расширенную королевскую политику .</t>
  </si>
  <si>
    <t>file://conllu/ru/teddy-1124.conllu#s174_0</t>
  </si>
  <si>
    <t>175</t>
  </si>
  <si>
    <t>есть</t>
  </si>
  <si>
    <t>Один день все ели .</t>
  </si>
  <si>
    <t>file://conllu/ru/teddy-1124.conllu#s175_0</t>
  </si>
  <si>
    <t>176</t>
  </si>
  <si>
    <t>быть (быть должен)</t>
  </si>
  <si>
    <t>На следующий день — все должны были играть в игры .</t>
  </si>
  <si>
    <t>file://conllu/ru/teddy-1124.conllu#s176_0</t>
  </si>
  <si>
    <t>177</t>
  </si>
  <si>
    <t>погрузить</t>
  </si>
  <si>
    <t>И они были настолько погружены в игру в кости , поскольку игры так затягивают и внедряют в такую приносящую радость творения деятельность , что это помогало им игнорировать факт отсутствия еды .</t>
  </si>
  <si>
    <t>file://conllu/ru/teddy-1124.conllu#s177_0</t>
  </si>
  <si>
    <t>178</t>
  </si>
  <si>
    <t>игрывать</t>
  </si>
  <si>
    <t>И снова на следующий день они играли , а через день — ели .</t>
  </si>
  <si>
    <t>file://conllu/ru/teddy-1124.conllu#s178_0</t>
  </si>
  <si>
    <t>179</t>
  </si>
  <si>
    <t>жить</t>
  </si>
  <si>
    <t>И , как рассказывает Геродот , так они прожили 18 лет .</t>
  </si>
  <si>
    <t>file://conllu/ru/teddy-1124.conllu#s179_0</t>
  </si>
  <si>
    <t>180</t>
  </si>
  <si>
    <t>выжить</t>
  </si>
  <si>
    <t>Выжили в голод , играли и ели через день .</t>
  </si>
  <si>
    <t>file://conllu/ru/teddy-1124.conllu#s180_0</t>
  </si>
  <si>
    <t>181</t>
  </si>
  <si>
    <t>казаться (казаться использовать)</t>
  </si>
  <si>
    <t>Именно для того же сегодня , как мне кажется , мы используем компьютерные игры .</t>
  </si>
  <si>
    <t>file://conllu/ru/teddy-1124.conllu#s181_0</t>
  </si>
  <si>
    <t>182</t>
  </si>
  <si>
    <t>погружаться</t>
  </si>
  <si>
    <t>Мы погружаемся в них , чтобы убежать от проблем реального мира .</t>
  </si>
  <si>
    <t>file://conllu/ru/teddy-1124.conllu#s182_0</t>
  </si>
  <si>
    <t>183</t>
  </si>
  <si>
    <t>Мы используем игры , чтобы отвлечься от всего , что не так в окружающем мире , от всего , что не удовлетворяет в реальной жизни , и мы получаем всё , что нужно из игры .</t>
  </si>
  <si>
    <t>file://conllu/ru/teddy-1124.conllu#s183_0</t>
  </si>
  <si>
    <t>184</t>
  </si>
  <si>
    <t>стоять</t>
  </si>
  <si>
    <t>Но не стоит на этом останавливаться .</t>
  </si>
  <si>
    <t>file://conllu/ru/teddy-1124.conllu#s184_0</t>
  </si>
  <si>
    <t>185</t>
  </si>
  <si>
    <t>впечатлять</t>
  </si>
  <si>
    <t>Это реально впечатляет .</t>
  </si>
  <si>
    <t>file://conllu/ru/teddy-1124.conllu#s185_0</t>
  </si>
  <si>
    <t>186</t>
  </si>
  <si>
    <t>Геродот</t>
  </si>
  <si>
    <t>По Геродоту , через 18 лет голод не стал легче , и король решил бросить кости в последний раз .</t>
  </si>
  <si>
    <t>file://conllu/ru/teddy-1124.conllu#s186_0</t>
  </si>
  <si>
    <t>187</t>
  </si>
  <si>
    <t>разделить</t>
  </si>
  <si>
    <t>Они разделили всё королевство пополам .</t>
  </si>
  <si>
    <t>file://conllu/ru/teddy-1124.conllu#s187_0</t>
  </si>
  <si>
    <t>188</t>
  </si>
  <si>
    <t>бросить</t>
  </si>
  <si>
    <t>Они бросили кости , и победители той игры должны были отправиться в эпическое приключение .</t>
  </si>
  <si>
    <t>file://conllu/ru/teddy-1124.conllu#s188_0</t>
  </si>
  <si>
    <t>189</t>
  </si>
  <si>
    <t>Они должны были покинуть Лидию , чтобы найти новое место для жизни , оставив за собой столько людей , сколько могло выжить на имеющихся запасах .</t>
  </si>
  <si>
    <t>file://conllu/ru/teddy-1124.conllu#s189_0</t>
  </si>
  <si>
    <t>190</t>
  </si>
  <si>
    <t>надежда</t>
  </si>
  <si>
    <t>В надежде найти цивилизацию там , где они смогли бы процветать .</t>
  </si>
  <si>
    <t>file://conllu/ru/teddy-1124.conllu#s190_0</t>
  </si>
  <si>
    <t>191</t>
  </si>
  <si>
    <t>звучать</t>
  </si>
  <si>
    <t>Звучит странно , так ?</t>
  </si>
  <si>
    <t>file://conllu/ru/teddy-1124.conllu#s191_0</t>
  </si>
  <si>
    <t>192</t>
  </si>
  <si>
    <t>показать</t>
  </si>
  <si>
    <t>Но недавно ДНК анализ показал , что этруски , которые привели к созданию римской империи , действительно имеют ДНК , схожую с древними лидийцами .</t>
  </si>
  <si>
    <t>file://conllu/ru/teddy-1124.conllu#s192_0</t>
  </si>
  <si>
    <t>193</t>
  </si>
  <si>
    <t>предположить</t>
  </si>
  <si>
    <t>В результате , недавно учёные предположили , что безумная история Геродота произошла на самом деле .</t>
  </si>
  <si>
    <t>file://conllu/ru/teddy-1124.conllu#s193_0</t>
  </si>
  <si>
    <t>194</t>
  </si>
  <si>
    <t>найти</t>
  </si>
  <si>
    <t>И геологи нашли подтверждение глобального похолодания , которое длилось приблизительно 20 лет , что могло объяснить голод .</t>
  </si>
  <si>
    <t>file://conllu/ru/teddy-1124.conllu#s194_0</t>
  </si>
  <si>
    <t>195</t>
  </si>
  <si>
    <t>спасти</t>
  </si>
  <si>
    <t>Возможно , эта невероятная история Возможно , они посредством игр спасли свою культуру .</t>
  </si>
  <si>
    <t>file://conllu/ru/teddy-1124.conllu#s195_0</t>
  </si>
  <si>
    <t>196</t>
  </si>
  <si>
    <t>воодушевлить</t>
  </si>
  <si>
    <t>Отвлекаясь от всех бед на игры в течение 18 лет , они впоследствии были настолько воодушевлены и столько почерпнули из игр о силе единства , что позволило им спасти целую цивилизацию .</t>
  </si>
  <si>
    <t>file://conllu/ru/teddy-1124.conllu#s196_0</t>
  </si>
  <si>
    <t>197</t>
  </si>
  <si>
    <t>Хорошо , и мы так можем .</t>
  </si>
  <si>
    <t>file://conllu/ru/teddy-1124.conllu#s197_0</t>
  </si>
  <si>
    <t>198</t>
  </si>
  <si>
    <t>играть</t>
  </si>
  <si>
    <t>Мы играем в Варкрафт с 1994 года .</t>
  </si>
  <si>
    <t>file://conllu/ru/teddy-1124.conllu#s198_0</t>
  </si>
  <si>
    <t>199</t>
  </si>
  <si>
    <t>быть (быть игра-стратегия)</t>
  </si>
  <si>
    <t>Это была первая игра-стратегия в реальном времени из серии Мира Варкрафта .</t>
  </si>
  <si>
    <t>file://conllu/ru/teddy-1124.conllu#s199_0</t>
  </si>
  <si>
    <t>200</t>
  </si>
  <si>
    <t>Это было 16 лет назад .</t>
  </si>
  <si>
    <t>file://conllu/ru/teddy-1124.conllu#s200_0</t>
  </si>
  <si>
    <t>201</t>
  </si>
  <si>
    <t>Они играли в кости 18 лет , а мы играем в Варкрафт 16 лет .</t>
  </si>
  <si>
    <t>file://conllu/ru/teddy-1124.conllu#s201_0</t>
  </si>
  <si>
    <t>202</t>
  </si>
  <si>
    <t>И я говорю , что мы готовы к нашей собственной эпической игре .</t>
  </si>
  <si>
    <t>file://conllu/ru/teddy-1124.conllu#s202_0</t>
  </si>
  <si>
    <t>203</t>
  </si>
  <si>
    <t>отправлять</t>
  </si>
  <si>
    <t>Они отправили половину цивилизации на поиски нового мира .</t>
  </si>
  <si>
    <t>file://conllu/ru/teddy-1124.conllu#s203_0</t>
  </si>
  <si>
    <t>204</t>
  </si>
  <si>
    <t>брать</t>
  </si>
  <si>
    <t>Вот откуда я взяла эти 21 миллиард часов в неделю на игры .</t>
  </si>
  <si>
    <t>file://conllu/ru/teddy-1124.conllu#s204_0</t>
  </si>
  <si>
    <t>205</t>
  </si>
  <si>
    <t>Давайте наберем половину нашего населения , которая согласиться проводить за играми час в сутки , пока мы не решим проблемы реального мира .</t>
  </si>
  <si>
    <t>file://conllu/ru/teddy-1124.conllu#s205_0</t>
  </si>
  <si>
    <t>206</t>
  </si>
  <si>
    <t>спросить (спросить знать)</t>
  </si>
  <si>
    <t>Я знаю , сейчас вы спросите : «Как мы собираемся решить проблемы настоящего мира в играх ? » Ну , так этому и посвящена моя работа в течение последних некольких лет в Институте Будущего .</t>
  </si>
  <si>
    <t>file://conllu/ru/teddy-1124.conllu#s206_0</t>
  </si>
  <si>
    <t>207</t>
  </si>
  <si>
    <t>Пало</t>
  </si>
  <si>
    <t>Вот это плакат из нашего офиса в Пало Альто , который выражает , как , на наш взгляд , мы должны относиться к будущему .</t>
  </si>
  <si>
    <t>file://conllu/ru/teddy-1124.conllu#s207_0</t>
  </si>
  <si>
    <t>208</t>
  </si>
  <si>
    <t>Мы не хотим предсказывать будущее .</t>
  </si>
  <si>
    <t>file://conllu/ru/teddy-1124.conllu#s208_0</t>
  </si>
  <si>
    <t>209</t>
  </si>
  <si>
    <t>Мы хотим создавать будущее .</t>
  </si>
  <si>
    <t>file://conllu/ru/teddy-1124.conllu#s209_0</t>
  </si>
  <si>
    <t>210</t>
  </si>
  <si>
    <t>хотеть (хотеть хотеть)</t>
  </si>
  <si>
    <t>Мы хотим представить лучший возможный сценарий , а затем , мы хотим дать возможность людям сделать этот сценарий реальностью .</t>
  </si>
  <si>
    <t>file://conllu/ru/teddy-1124.conllu#s210_0</t>
  </si>
  <si>
    <t>211</t>
  </si>
  <si>
    <t>представлять (представлять хотеть)</t>
  </si>
  <si>
    <t>Мы хотим представлять эпические победы , и затем давать людям возможности одерживать эпические победы .</t>
  </si>
  <si>
    <t>file://conllu/ru/teddy-1124.conllu#s211_0</t>
  </si>
  <si>
    <t>212</t>
  </si>
  <si>
    <t>Я хочу очень кратко показать три игры , которые я создала , в попытка дать людям возможность создать эпическую победу в их собственном будущем .</t>
  </si>
  <si>
    <t>file://conllu/ru/teddy-1124.conllu#s212_0</t>
  </si>
  <si>
    <t>213</t>
  </si>
  <si>
    <t>Итак , это Мир Без Нефти .</t>
  </si>
  <si>
    <t>file://conllu/ru/teddy-1124.conllu#s213_0</t>
  </si>
  <si>
    <t>214</t>
  </si>
  <si>
    <t>Мы сделали эту игру в 2007-м .</t>
  </si>
  <si>
    <t>file://conllu/ru/teddy-1124.conllu#s214_0</t>
  </si>
  <si>
    <t>215</t>
  </si>
  <si>
    <t>онлайн</t>
  </si>
  <si>
    <t>Это онлайн игра , в которой вы пытаетесь выжить при недостатке нефти .</t>
  </si>
  <si>
    <t>file://conllu/ru/teddy-1124.conllu#s215_0</t>
  </si>
  <si>
    <t>216</t>
  </si>
  <si>
    <t>вымышлеть</t>
  </si>
  <si>
    <t>Нехватка нефти вымышленная , но мы вложили большое количество онлайн контента чтобы вы поверили , что это реально , и жили вашей обычной жизнью , как если бы нефть закончилась .</t>
  </si>
  <si>
    <t>file://conllu/ru/teddy-1124.conllu#s216_0</t>
  </si>
  <si>
    <t>217</t>
  </si>
  <si>
    <t>регистрируться</t>
  </si>
  <si>
    <t>Когда вы входите в игру , вы регистрируетесь , говорите нам где живёте , и мы вам даём видео- новости реального времени , новостные каналы , которые показывают вам точные цены на нефть , доступность товаров , изменения по доставке продуктов питания , перевозок , работу школ и наличие беспорядков .</t>
  </si>
  <si>
    <t>file://conllu/ru/teddy-1124.conllu#s217_0</t>
  </si>
  <si>
    <t>218</t>
  </si>
  <si>
    <t>приходиться</t>
  </si>
  <si>
    <t>И вам приходится решать , как бы вы жили , если бы это было правдой .</t>
  </si>
  <si>
    <t>file://conllu/ru/teddy-1124.conllu#s218_0</t>
  </si>
  <si>
    <t>219</t>
  </si>
  <si>
    <t>писать (писать просить)</t>
  </si>
  <si>
    <t>И мы просим писать об этом в блогах , размещать об этом видео , выставлять фото .</t>
  </si>
  <si>
    <t>file://conllu/ru/teddy-1124.conllu#s219_0</t>
  </si>
  <si>
    <t>220</t>
  </si>
  <si>
    <t>начинать</t>
  </si>
  <si>
    <t>Мы начинали эту игру с 1700 игроками в 2007-м .</t>
  </si>
  <si>
    <t>file://conllu/ru/teddy-1124.conllu#s220_0</t>
  </si>
  <si>
    <t>221</t>
  </si>
  <si>
    <t>следить</t>
  </si>
  <si>
    <t>Мы следили за ними три года .</t>
  </si>
  <si>
    <t>file://conllu/ru/teddy-1124.conllu#s221_0</t>
  </si>
  <si>
    <t>222</t>
  </si>
  <si>
    <t>Могу вам сказать , что это был трансформирующий эксперимент .</t>
  </si>
  <si>
    <t>file://conllu/ru/teddy-1124.conllu#s222_0</t>
  </si>
  <si>
    <t>223</t>
  </si>
  <si>
    <t>Никто не хочет менять свой образ жизни просто потому , что это хорошо для мира или потому , что так надо .</t>
  </si>
  <si>
    <t>file://conllu/ru/teddy-1124.conllu#s223_0</t>
  </si>
  <si>
    <t>224</t>
  </si>
  <si>
    <t>Но если вы погрузите их в эпическое приключение и скажете им : «У нас кончилась нефть» .</t>
  </si>
  <si>
    <t>file://conllu/ru/teddy-1124.conllu#s224_0</t>
  </si>
  <si>
    <t>225</t>
  </si>
  <si>
    <t>приключение</t>
  </si>
  <si>
    <t>Невероятная история и достаточно заманчивое для участия приключение .</t>
  </si>
  <si>
    <t>file://conllu/ru/teddy-1124.conllu#s225_0</t>
  </si>
  <si>
    <t>226</t>
  </si>
  <si>
    <t>Испытать</t>
  </si>
  <si>
    <t>Испытайте себя , чтобы посмотреть , как бы вы справились .</t>
  </si>
  <si>
    <t>file://conllu/ru/teddy-1124.conllu#s226_0</t>
  </si>
  <si>
    <t>227</t>
  </si>
  <si>
    <t>сохранить</t>
  </si>
  <si>
    <t>Большинство наших игроков сохранило привычки , которые они приобрели в этой игре .</t>
  </si>
  <si>
    <t>file://conllu/ru/teddy-1124.conllu#s227_0</t>
  </si>
  <si>
    <t>228</t>
  </si>
  <si>
    <t>поднять</t>
  </si>
  <si>
    <t>Для следующей игры , где можно спасти мир , мы подняли планку , нашли проблему побольше , чем просто нехватка нефти .</t>
  </si>
  <si>
    <t>file://conllu/ru/teddy-1124.conllu#s228_0</t>
  </si>
  <si>
    <t>229</t>
  </si>
  <si>
    <t>разработать</t>
  </si>
  <si>
    <t>Мы разработали игру под названием «Надстройка» В качестве предпосылки , суперкомпьютер подсчитал , что человечеству осталось лишь 23 года на этой планете .</t>
  </si>
  <si>
    <t>file://conllu/ru/teddy-1124.conllu#s229_0</t>
  </si>
  <si>
    <t>230</t>
  </si>
  <si>
    <t>назвать</t>
  </si>
  <si>
    <t>Компьютер назвали Глобальным Вымиранием , осведомлённая система , конечно .</t>
  </si>
  <si>
    <t>file://conllu/ru/teddy-1124.conllu#s230_0</t>
  </si>
  <si>
    <t>231</t>
  </si>
  <si>
    <t>просить</t>
  </si>
  <si>
    <t>Мы просили людей войти в онлайн режим , почти как в фильме Джерри Брукхаймера .</t>
  </si>
  <si>
    <t>file://conllu/ru/teddy-1124.conllu#s231_0</t>
  </si>
  <si>
    <t>232</t>
  </si>
  <si>
    <t>Вы знаете , фильмы Джерри Брукхаймера , где создаёшь команду мечты .</t>
  </si>
  <si>
    <t>file://conllu/ru/teddy-1124.conllu#s232_0</t>
  </si>
  <si>
    <t>233</t>
  </si>
  <si>
    <t>Есть астронавт , учёный , бывший заключённый — и все они работают ради спасения мира .</t>
  </si>
  <si>
    <t>file://conllu/ru/teddy-1124.conllu#s233_0</t>
  </si>
  <si>
    <t>234</t>
  </si>
  <si>
    <t>Но в нашей игре , вместо того , чтобы иметь пятерых в команде , мы сказали , что все входят в её состав , и теперь вашей задачей является создание будущего для энергии , продуктов питания , здоровья , безопасности , и будущего для сети социальной защиты .</t>
  </si>
  <si>
    <t>file://conllu/ru/teddy-1124.conllu#s234_0</t>
  </si>
  <si>
    <t>235</t>
  </si>
  <si>
    <t>участвовать</t>
  </si>
  <si>
    <t>8 тысяч людей участвовали в игре 8 недель .</t>
  </si>
  <si>
    <t>file://conllu/ru/teddy-1124.conllu#s235_0</t>
  </si>
  <si>
    <t>236</t>
  </si>
  <si>
    <t>внести</t>
  </si>
  <si>
    <t>Они внесли 500 невероятно творческих решений , так что можете поискать в Гугле «Superstruct» , сами увидите .</t>
  </si>
  <si>
    <t>file://conllu/ru/teddy-1124.conllu#s236_0</t>
  </si>
  <si>
    <t>237</t>
  </si>
  <si>
    <t>И наконец , последняя игра .</t>
  </si>
  <si>
    <t>file://conllu/ru/teddy-1124.conllu#s237_0</t>
  </si>
  <si>
    <t>238</t>
  </si>
  <si>
    <t>Мы начинаем 3-его марта .</t>
  </si>
  <si>
    <t>file://conllu/ru/teddy-1124.conllu#s238_0</t>
  </si>
  <si>
    <t>239</t>
  </si>
  <si>
    <t>одобрить</t>
  </si>
  <si>
    <t>Эта игра одобрена Институтом Всемирного Банка .</t>
  </si>
  <si>
    <t>file://conllu/ru/teddy-1124.conllu#s239_0</t>
  </si>
  <si>
    <t>240</t>
  </si>
  <si>
    <t>Если вы пройдете игру до конца , то получите сертификат от Института Всемирного Банка , как Социальный Инноватор выпуска 2010 года .</t>
  </si>
  <si>
    <t>file://conllu/ru/teddy-1124.conllu#s240_0</t>
  </si>
  <si>
    <t>241</t>
  </si>
  <si>
    <t>приглашать</t>
  </si>
  <si>
    <t>Работая с университетами Южно-Африканских стран , мы приглашаем их развивать социальные инновационные навыки , Мы создали комикс .</t>
  </si>
  <si>
    <t>file://conllu/ru/teddy-1124.conllu#s241_0</t>
  </si>
  <si>
    <t>242</t>
  </si>
  <si>
    <t>наметить</t>
  </si>
  <si>
    <t>Мы наметили положительную тенденцию в развитии таких навыков , как понимание окружения , распределение знаний , устойчивое развитие , видение и находчивость .</t>
  </si>
  <si>
    <t>file://conllu/ru/teddy-1124.conllu#s242_0</t>
  </si>
  <si>
    <t>243</t>
  </si>
  <si>
    <t>Я хочу пригласить всех вас , пожалуйста , расскажите молодым людям об этой игре , где угодно в мире , особенно в развивающихся странах , тем , кто может получить пользу от объединения для того , чтобы начать представлять свои собственные социальные организации для спасения мира .</t>
  </si>
  <si>
    <t>file://conllu/ru/teddy-1124.conllu#s243_0</t>
  </si>
  <si>
    <t>244</t>
  </si>
  <si>
    <t>собираться</t>
  </si>
  <si>
    <t>Я собираюсь обобщить сказанное , хочу задать вопрос : «Как вы думаете , что произойдёт дальше ? » У нас есть все эти замечательные геймеры , у нас есть эти игры прототипы наших будущих действий , но они пока не спасли мир .</t>
  </si>
  <si>
    <t>file://conllu/ru/teddy-1124.conllu#s244_0</t>
  </si>
  <si>
    <t>245</t>
  </si>
  <si>
    <t>думать (думать согласиться)</t>
  </si>
  <si>
    <t>Думаю , вы все со мной согласитесь что геймеры — это человеческие ресурсы , которые мы можем использовать для работы в реальном мире , и то , что сами игры — это мощная платформа для перемен .</t>
  </si>
  <si>
    <t>file://conllu/ru/teddy-1124.conllu#s245_0</t>
  </si>
  <si>
    <t>246</t>
  </si>
  <si>
    <t>У нас есть эти невероятные «суперсилы» : радость творения , возможность плетения плотной социальной структуры , этот упорный оптимизм и желание обрести эпическую значимость .</t>
  </si>
  <si>
    <t>file://conllu/ru/teddy-1124.conllu#s246_0</t>
  </si>
  <si>
    <t>247</t>
  </si>
  <si>
    <t>надеяться</t>
  </si>
  <si>
    <t>Я правда надеюсь , что мы можем начать вместе играть в важные игры , чтобы выжить на этой планете ещё столетие .</t>
  </si>
  <si>
    <t>file://conllu/ru/teddy-1124.conllu#s247_0</t>
  </si>
  <si>
    <t>248</t>
  </si>
  <si>
    <t>Я надеюсь , что вы поддержите меня в создании игр , подобных этой .</t>
  </si>
  <si>
    <t>file://conllu/ru/teddy-1124.conllu#s248_0</t>
  </si>
  <si>
    <t>249</t>
  </si>
  <si>
    <t>нетерпение</t>
  </si>
  <si>
    <t>Я с нетерпением жду следующего десятилетия .</t>
  </si>
  <si>
    <t>file://conllu/ru/teddy-1124.conllu#s249_0</t>
  </si>
  <si>
    <t>250</t>
  </si>
  <si>
    <t>Я знаю две вещи наверняка : мы можем создать любое будущее , какое пожелаем , и мы можем играть в любую игру , в какую захотим .</t>
  </si>
  <si>
    <t>file://conllu/ru/teddy-1124.conllu#s250_0</t>
  </si>
  <si>
    <t>251</t>
  </si>
  <si>
    <t>Скажу так : «Да начнутся игры , меняющие мир» .</t>
  </si>
  <si>
    <t>file://conllu/ru/teddy-1124.conllu#s251_0</t>
  </si>
  <si>
    <t>252</t>
  </si>
  <si>
    <t>спасибо</t>
  </si>
  <si>
    <t>Спасибо !</t>
  </si>
  <si>
    <t>file://conllu/ru/teddy-1124.conllu#s252_0</t>
  </si>
  <si>
    <t>253</t>
  </si>
  <si>
    <t>аплодисменты</t>
  </si>
  <si>
    <t>( Аплодисменты )</t>
  </si>
  <si>
    <t>file://conllu/ru/teddy-1124.conllu#s253_0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</si>
  <si>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</si>
  <si>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</si>
  <si>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</si>
  <si>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</si>
  <si>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</si>
  <si>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</si>
  <si>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</si>
  <si>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</si>
  <si>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</si>
  <si>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</si>
  <si>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</si>
  <si>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Меня зовут Джейн Макгонигал.</t>
  </si>
  <si>
    <t>Меня</t>
  </si>
  <si>
    <t>OBJ</t>
  </si>
  <si>
    <t>pron</t>
  </si>
  <si>
    <t>?OLD</t>
  </si>
  <si>
    <t>зовут</t>
  </si>
  <si>
    <t>Джейн</t>
  </si>
  <si>
    <t>SBJ</t>
  </si>
  <si>
    <t>ne</t>
  </si>
  <si>
    <t>Макгонигал</t>
  </si>
  <si>
    <t>other_2</t>
  </si>
  <si>
    <t>.</t>
  </si>
  <si>
    <t># text = Я разработчик игр.</t>
  </si>
  <si>
    <t>Я</t>
  </si>
  <si>
    <t>игр</t>
  </si>
  <si>
    <t># text = Я создаю онлайн игры уже на протяжении 10-ти лет.</t>
  </si>
  <si>
    <t>создаю</t>
  </si>
  <si>
    <t>игры</t>
  </si>
  <si>
    <t>уже</t>
  </si>
  <si>
    <t>на</t>
  </si>
  <si>
    <t>протяжении</t>
  </si>
  <si>
    <t>10-ти</t>
  </si>
  <si>
    <t>лет</t>
  </si>
  <si>
    <t>indef-np.quant</t>
  </si>
  <si>
    <t># text = И моя цель на следующее десятилетие — попробовать сделать спасение мира в реальной жизни таким же лёгким, как спасение мира в онлайн игре.</t>
  </si>
  <si>
    <t>И</t>
  </si>
  <si>
    <t>моя</t>
  </si>
  <si>
    <t>other</t>
  </si>
  <si>
    <t>pron.ppos</t>
  </si>
  <si>
    <t>следующее</t>
  </si>
  <si>
    <t>десятилетие</t>
  </si>
  <si>
    <t>—</t>
  </si>
  <si>
    <t>попробовать</t>
  </si>
  <si>
    <t>сделать</t>
  </si>
  <si>
    <t>спасение</t>
  </si>
  <si>
    <t>OBJ_3</t>
  </si>
  <si>
    <t>мира</t>
  </si>
  <si>
    <t>в</t>
  </si>
  <si>
    <t>реальной</t>
  </si>
  <si>
    <t>жизни</t>
  </si>
  <si>
    <t>таким</t>
  </si>
  <si>
    <t>же</t>
  </si>
  <si>
    <t>лёгким</t>
  </si>
  <si>
    <t>other_3</t>
  </si>
  <si>
    <t>pron.pds</t>
  </si>
  <si>
    <t>,</t>
  </si>
  <si>
    <t>как</t>
  </si>
  <si>
    <t>игре</t>
  </si>
  <si>
    <t>OBJ_7</t>
  </si>
  <si>
    <t># text = Для этого у меня есть план: убедить как можно больше людей, включая всех вас, тратить больше времени на улучшенные крупномасштабные онлайн игры.</t>
  </si>
  <si>
    <t>Для</t>
  </si>
  <si>
    <t>этого</t>
  </si>
  <si>
    <t>у</t>
  </si>
  <si>
    <t>меня</t>
  </si>
  <si>
    <t>план</t>
  </si>
  <si>
    <t>:</t>
  </si>
  <si>
    <t>убедить</t>
  </si>
  <si>
    <t>можно</t>
  </si>
  <si>
    <t>больше</t>
  </si>
  <si>
    <t>людей</t>
  </si>
  <si>
    <t>включая</t>
  </si>
  <si>
    <t>всех</t>
  </si>
  <si>
    <t>OBJ_6</t>
  </si>
  <si>
    <t>вас</t>
  </si>
  <si>
    <t>тратить</t>
  </si>
  <si>
    <t>времени</t>
  </si>
  <si>
    <t>other_6</t>
  </si>
  <si>
    <t>улучшенные</t>
  </si>
  <si>
    <t>крупномасштабные</t>
  </si>
  <si>
    <t># text = Уже сегодня мы проводим три миллиарда часов в неделю за онлайн играми.</t>
  </si>
  <si>
    <t>Уже</t>
  </si>
  <si>
    <t>проводим</t>
  </si>
  <si>
    <t>три</t>
  </si>
  <si>
    <t>миллиарда</t>
  </si>
  <si>
    <t>часов</t>
  </si>
  <si>
    <t>неделю</t>
  </si>
  <si>
    <t>за</t>
  </si>
  <si>
    <t>играми</t>
  </si>
  <si>
    <t># text = Некоторые из вас могут подумать: «Это куча времени, чтобы тратить его на игры».</t>
  </si>
  <si>
    <t>Некоторые</t>
  </si>
  <si>
    <t>из</t>
  </si>
  <si>
    <t>могут</t>
  </si>
  <si>
    <t>подумать</t>
  </si>
  <si>
    <t>«Это</t>
  </si>
  <si>
    <t>куча</t>
  </si>
  <si>
    <t>чтобы</t>
  </si>
  <si>
    <t>его</t>
  </si>
  <si>
    <t>OBJ_4</t>
  </si>
  <si>
    <t>игры»</t>
  </si>
  <si>
    <t># text = Возможно даже, слишком много времени, учитывая как много важных проблем требуют решения в реальном мире.</t>
  </si>
  <si>
    <t>Возможно</t>
  </si>
  <si>
    <t>даже</t>
  </si>
  <si>
    <t>слишком</t>
  </si>
  <si>
    <t>много</t>
  </si>
  <si>
    <t>учитывая</t>
  </si>
  <si>
    <t>важных</t>
  </si>
  <si>
    <t>проблем</t>
  </si>
  <si>
    <t>требуют</t>
  </si>
  <si>
    <t>решения</t>
  </si>
  <si>
    <t>реальном</t>
  </si>
  <si>
    <t>мире</t>
  </si>
  <si>
    <t># text = Но на самом деле, согласно моим исследованиям, проведённым в Институте будущего, правда в другом.</t>
  </si>
  <si>
    <t>Но</t>
  </si>
  <si>
    <t>самом</t>
  </si>
  <si>
    <t>деле</t>
  </si>
  <si>
    <t>согласно</t>
  </si>
  <si>
    <t>моим</t>
  </si>
  <si>
    <t>исследованиям</t>
  </si>
  <si>
    <t>проведённым</t>
  </si>
  <si>
    <t>Институте</t>
  </si>
  <si>
    <t>будущего</t>
  </si>
  <si>
    <t>другом</t>
  </si>
  <si>
    <t># text = Три миллиарда часов далеко недостаточно чтобы решить самые важные мировые проблемы.</t>
  </si>
  <si>
    <t>Три</t>
  </si>
  <si>
    <t>решить</t>
  </si>
  <si>
    <t>самые</t>
  </si>
  <si>
    <t>важные</t>
  </si>
  <si>
    <t>мировые</t>
  </si>
  <si>
    <t>проблемы</t>
  </si>
  <si>
    <t>OBJ_2</t>
  </si>
  <si>
    <t># text = Фактически, я верю, что если мы хотим выжить в следующем столетии на этой планете, то мы должны проводить за играми кардинально больше времени.</t>
  </si>
  <si>
    <t>Фактически</t>
  </si>
  <si>
    <t>я</t>
  </si>
  <si>
    <t>верю</t>
  </si>
  <si>
    <t>если</t>
  </si>
  <si>
    <t>SBJ_3</t>
  </si>
  <si>
    <t>хотим</t>
  </si>
  <si>
    <t>следующем</t>
  </si>
  <si>
    <t>столетии</t>
  </si>
  <si>
    <t>этой</t>
  </si>
  <si>
    <t>планете</t>
  </si>
  <si>
    <t>other_5</t>
  </si>
  <si>
    <t>def-np.dem</t>
  </si>
  <si>
    <t>SBJ_2</t>
  </si>
  <si>
    <t>должны</t>
  </si>
  <si>
    <t>кардинально</t>
  </si>
  <si>
    <t># text = Я подсчитала, что нам нужно играть 21 миллиардов часов каждую неделю.</t>
  </si>
  <si>
    <t>подсчитала</t>
  </si>
  <si>
    <t>нам</t>
  </si>
  <si>
    <t>нужно</t>
  </si>
  <si>
    <t>миллиардов</t>
  </si>
  <si>
    <t>каждую</t>
  </si>
  <si>
    <t># text = Наверное, это немного неожиданная идея, так, что я скажу ещё раз, давайте вдумаемся.</t>
  </si>
  <si>
    <t>Наверное</t>
  </si>
  <si>
    <t>это</t>
  </si>
  <si>
    <t>немного</t>
  </si>
  <si>
    <t>неожиданная</t>
  </si>
  <si>
    <t>SBJ_4</t>
  </si>
  <si>
    <t>скажу</t>
  </si>
  <si>
    <t>ещё</t>
  </si>
  <si>
    <t>раз</t>
  </si>
  <si>
    <t>давайте</t>
  </si>
  <si>
    <t>вдумаемся</t>
  </si>
  <si>
    <t># text = Если мы хотим разрешить такие проблемы, как голод нищета, изменение климата, мировые конфликты, ожирение, я верю, что нам необходимо стремиться к тому, чтобы проводить за онлайн играми по крайней мере 21 миллиард часов в неделю до конца следующего десятилетия.</t>
  </si>
  <si>
    <t>Если</t>
  </si>
  <si>
    <t>разрешить</t>
  </si>
  <si>
    <t>такие</t>
  </si>
  <si>
    <t>голод</t>
  </si>
  <si>
    <t>нищета</t>
  </si>
  <si>
    <t>изменение</t>
  </si>
  <si>
    <t>климата</t>
  </si>
  <si>
    <t>конфликты</t>
  </si>
  <si>
    <t>ожирение</t>
  </si>
  <si>
    <t>необходимо</t>
  </si>
  <si>
    <t>стремиться</t>
  </si>
  <si>
    <t>к</t>
  </si>
  <si>
    <t>тому</t>
  </si>
  <si>
    <t>по</t>
  </si>
  <si>
    <t>крайней</t>
  </si>
  <si>
    <t>мере</t>
  </si>
  <si>
    <t>миллиард</t>
  </si>
  <si>
    <t>до</t>
  </si>
  <si>
    <t>конца</t>
  </si>
  <si>
    <t>следующего</t>
  </si>
  <si>
    <t>десятилетия</t>
  </si>
  <si>
    <t># text = (Смех) Нет.</t>
  </si>
  <si>
    <t>(</t>
  </si>
  <si>
    <t>Смех</t>
  </si>
  <si>
    <t>)</t>
  </si>
  <si>
    <t>Нет</t>
  </si>
  <si>
    <t># text = Я серьёзно.</t>
  </si>
  <si>
    <t># text = Без шуток.</t>
  </si>
  <si>
    <t>Без</t>
  </si>
  <si>
    <t>шуток</t>
  </si>
  <si>
    <t># text = И вот почему.</t>
  </si>
  <si>
    <t>вот</t>
  </si>
  <si>
    <t># text = Это фото довольно хорошо отображает, почему я считаю, что игры так важны для будущего выживания рода человеческого.</t>
  </si>
  <si>
    <t>Это</t>
  </si>
  <si>
    <t>фото</t>
  </si>
  <si>
    <t>довольно</t>
  </si>
  <si>
    <t>хорошо</t>
  </si>
  <si>
    <t>отображает</t>
  </si>
  <si>
    <t>считаю</t>
  </si>
  <si>
    <t>важны</t>
  </si>
  <si>
    <t>для</t>
  </si>
  <si>
    <t>выживания</t>
  </si>
  <si>
    <t>рода</t>
  </si>
  <si>
    <t>человеческого</t>
  </si>
  <si>
    <t># text = (Смех).</t>
  </si>
  <si>
    <t># text = Этот портрет, сделан фотографом по имени Фил Толедано.</t>
  </si>
  <si>
    <t>Этот</t>
  </si>
  <si>
    <t>портрет</t>
  </si>
  <si>
    <t>сделан</t>
  </si>
  <si>
    <t>фотографом</t>
  </si>
  <si>
    <t>имени</t>
  </si>
  <si>
    <t>Фил</t>
  </si>
  <si>
    <t>Толедано</t>
  </si>
  <si>
    <t>other_4</t>
  </si>
  <si>
    <t># text = Он хотел запечатлеть эмоции, вызываемые игрой.</t>
  </si>
  <si>
    <t>Он</t>
  </si>
  <si>
    <t>хотел</t>
  </si>
  <si>
    <t>запечатлеть</t>
  </si>
  <si>
    <t>эмоции</t>
  </si>
  <si>
    <t>вызываемые</t>
  </si>
  <si>
    <t>игрой</t>
  </si>
  <si>
    <t># text = Он разместил камеру напротив геймеров, в то время как они играли.</t>
  </si>
  <si>
    <t>разместил</t>
  </si>
  <si>
    <t>камеру</t>
  </si>
  <si>
    <t>напротив</t>
  </si>
  <si>
    <t>геймеров</t>
  </si>
  <si>
    <t>время</t>
  </si>
  <si>
    <t>они</t>
  </si>
  <si>
    <t>играли</t>
  </si>
  <si>
    <t># text = И это классические игровые эмоции.</t>
  </si>
  <si>
    <t>классические</t>
  </si>
  <si>
    <t>игровые</t>
  </si>
  <si>
    <t># text = И если вы не геймер, вы можете упустить некоторые нюансы этого фото.</t>
  </si>
  <si>
    <t>не</t>
  </si>
  <si>
    <t>можете</t>
  </si>
  <si>
    <t>упустить</t>
  </si>
  <si>
    <t>некоторые</t>
  </si>
  <si>
    <t>нюансы</t>
  </si>
  <si>
    <t>def-np.poss</t>
  </si>
  <si>
    <t># text = Возможно, вы видите настойчивость, немного страха, но при этом сильную концентрацию, серьезную сосредоточенность на решении реально сложной проблемы.</t>
  </si>
  <si>
    <t>видите</t>
  </si>
  <si>
    <t>настойчивость</t>
  </si>
  <si>
    <t>страха</t>
  </si>
  <si>
    <t>но</t>
  </si>
  <si>
    <t>при</t>
  </si>
  <si>
    <t>этом</t>
  </si>
  <si>
    <t>сильную</t>
  </si>
  <si>
    <t>концентрацию</t>
  </si>
  <si>
    <t>серьезную</t>
  </si>
  <si>
    <t>сосредоточенность</t>
  </si>
  <si>
    <t>решении</t>
  </si>
  <si>
    <t>реально</t>
  </si>
  <si>
    <t>сложной</t>
  </si>
  <si>
    <t># text = Если же вы геймер, то заметите несколько нюансов: морщинки над глазами и вокруг рта означают оптимизм, и поднятые вверх брови - означают удивление.</t>
  </si>
  <si>
    <t>заметите</t>
  </si>
  <si>
    <t>несколько</t>
  </si>
  <si>
    <t>нюансов</t>
  </si>
  <si>
    <t>морщинки</t>
  </si>
  <si>
    <t>над</t>
  </si>
  <si>
    <t>глазами</t>
  </si>
  <si>
    <t>и</t>
  </si>
  <si>
    <t>вокруг</t>
  </si>
  <si>
    <t>рта</t>
  </si>
  <si>
    <t>означают</t>
  </si>
  <si>
    <t>поднятые</t>
  </si>
  <si>
    <t>вверх</t>
  </si>
  <si>
    <t>брови</t>
  </si>
  <si>
    <t>удивление</t>
  </si>
  <si>
    <t># text = Это геймер, который на пороге того, что называется «эпической победой».</t>
  </si>
  <si>
    <t>который</t>
  </si>
  <si>
    <t>pron.pint</t>
  </si>
  <si>
    <t>пороге</t>
  </si>
  <si>
    <t>того</t>
  </si>
  <si>
    <t>называется</t>
  </si>
  <si>
    <t>«эпической</t>
  </si>
  <si>
    <t>победой»</t>
  </si>
  <si>
    <t># text = (Смех) О, вы уже слышали об этом.</t>
  </si>
  <si>
    <t>О</t>
  </si>
  <si>
    <t>слышали</t>
  </si>
  <si>
    <t>об</t>
  </si>
  <si>
    <t># text = Хорошо.</t>
  </si>
  <si>
    <t>Хорошо</t>
  </si>
  <si>
    <t># text = Значит, среди нас есть геймеры.</t>
  </si>
  <si>
    <t>Значит</t>
  </si>
  <si>
    <t>среди</t>
  </si>
  <si>
    <t>нас</t>
  </si>
  <si>
    <t>геймеры</t>
  </si>
  <si>
    <t># text = Эпическая победа — это результат, который невероятно позитивен, вы даже не могли себе представить, что такое возможно, пока не добились этого.</t>
  </si>
  <si>
    <t>Эпическая</t>
  </si>
  <si>
    <t>победа</t>
  </si>
  <si>
    <t>результат</t>
  </si>
  <si>
    <t>невероятно</t>
  </si>
  <si>
    <t>позитивен</t>
  </si>
  <si>
    <t>могли</t>
  </si>
  <si>
    <t>себе</t>
  </si>
  <si>
    <t>представить</t>
  </si>
  <si>
    <t>такое</t>
  </si>
  <si>
    <t>возможно</t>
  </si>
  <si>
    <t>пока</t>
  </si>
  <si>
    <t>добились</t>
  </si>
  <si>
    <t># text = Это что-то за пределами воображения.</t>
  </si>
  <si>
    <t>пределами</t>
  </si>
  <si>
    <t>воображения</t>
  </si>
  <si>
    <t># text = И когда вы достигаете этого, вы в шоке от того, на что действительно способны.</t>
  </si>
  <si>
    <t>когда</t>
  </si>
  <si>
    <t>достигаете</t>
  </si>
  <si>
    <t>шоке</t>
  </si>
  <si>
    <t>от</t>
  </si>
  <si>
    <t>действительно</t>
  </si>
  <si>
    <t>способны</t>
  </si>
  <si>
    <t># text = Вот что такое эпическая победа.</t>
  </si>
  <si>
    <t>Вот</t>
  </si>
  <si>
    <t>эпическая</t>
  </si>
  <si>
    <t># text = Это геймер на грани эпической победы.</t>
  </si>
  <si>
    <t>грани</t>
  </si>
  <si>
    <t>эпической</t>
  </si>
  <si>
    <t>победы</t>
  </si>
  <si>
    <t># text = А это выражение лица, которое нам необходимо видеть у миллионов людей, решающих проблемы по всему миру, по мере преодоления нами препятствий грядущего столетия.</t>
  </si>
  <si>
    <t>А</t>
  </si>
  <si>
    <t>лица</t>
  </si>
  <si>
    <t>которое</t>
  </si>
  <si>
    <t>миллионов</t>
  </si>
  <si>
    <t>решающих</t>
  </si>
  <si>
    <t>всему</t>
  </si>
  <si>
    <t>миру</t>
  </si>
  <si>
    <t>other_8</t>
  </si>
  <si>
    <t>преодоления</t>
  </si>
  <si>
    <t>нами</t>
  </si>
  <si>
    <t>препятствий</t>
  </si>
  <si>
    <t>грядущего</t>
  </si>
  <si>
    <t>столетия</t>
  </si>
  <si>
    <t># text = Лицо человека, который, несмотря на все трудности, находится на грани эпической победы.</t>
  </si>
  <si>
    <t>Лицо</t>
  </si>
  <si>
    <t>человека</t>
  </si>
  <si>
    <t>несмотря</t>
  </si>
  <si>
    <t>все</t>
  </si>
  <si>
    <t>трудности</t>
  </si>
  <si>
    <t>находится</t>
  </si>
  <si>
    <t># text = Сейчас, к сожалению, мы видим больше вот таких лиц, в повседневной жизни, когда мы пытаемся решать неотложные проблемы.</t>
  </si>
  <si>
    <t>Сейчас</t>
  </si>
  <si>
    <t>сожалению</t>
  </si>
  <si>
    <t>видим</t>
  </si>
  <si>
    <t>таких</t>
  </si>
  <si>
    <t>лиц</t>
  </si>
  <si>
    <t>повседневной</t>
  </si>
  <si>
    <t>пытаемся</t>
  </si>
  <si>
    <t>решать</t>
  </si>
  <si>
    <t>неотложные</t>
  </si>
  <si>
    <t># text = Это выражение лица, я называю: «Я неудачник по жизни».</t>
  </si>
  <si>
    <t>называю</t>
  </si>
  <si>
    <t>«Я</t>
  </si>
  <si>
    <t>неудачник</t>
  </si>
  <si>
    <t>жизни»</t>
  </si>
  <si>
    <t># text = Это я показываю.</t>
  </si>
  <si>
    <t>показываю</t>
  </si>
  <si>
    <t># text = Видите?</t>
  </si>
  <si>
    <t>Видите</t>
  </si>
  <si>
    <t>?</t>
  </si>
  <si>
    <t># text = Это я своим выражением лица показываю: «Я неудачница по жизни».</t>
  </si>
  <si>
    <t>своим</t>
  </si>
  <si>
    <t>выражением</t>
  </si>
  <si>
    <t>неудачница</t>
  </si>
  <si>
    <t># text = Это граффити в моем старом районе в Беркли, Калифорния, где я получила докторскую степень с диссертацией на тему «Почему мы успешнее в играх, чем в реальной жизни».</t>
  </si>
  <si>
    <t>моем</t>
  </si>
  <si>
    <t>старом</t>
  </si>
  <si>
    <t>районе</t>
  </si>
  <si>
    <t>Беркли</t>
  </si>
  <si>
    <t>Калифорния</t>
  </si>
  <si>
    <t>где</t>
  </si>
  <si>
    <t>получила</t>
  </si>
  <si>
    <t>докторскую</t>
  </si>
  <si>
    <t>степень</t>
  </si>
  <si>
    <t>с</t>
  </si>
  <si>
    <t>диссертацией</t>
  </si>
  <si>
    <t>тему</t>
  </si>
  <si>
    <t>«Почему</t>
  </si>
  <si>
    <t>OBJ_5</t>
  </si>
  <si>
    <t>SBJ_5</t>
  </si>
  <si>
    <t>успешнее</t>
  </si>
  <si>
    <t>играх</t>
  </si>
  <si>
    <t>чем</t>
  </si>
  <si>
    <t># text = Это проблема, с которой сталкиваются многие геймеры.</t>
  </si>
  <si>
    <t>которой</t>
  </si>
  <si>
    <t>сталкиваются</t>
  </si>
  <si>
    <t>многие</t>
  </si>
  <si>
    <t># text = Мы чувствуем, что мы не настолько хороши в реальной жизни, как в играх.</t>
  </si>
  <si>
    <t>Мы</t>
  </si>
  <si>
    <t>чувствуем</t>
  </si>
  <si>
    <t>настолько</t>
  </si>
  <si>
    <t>хороши</t>
  </si>
  <si>
    <t># text = Не в смысле, хороши, потому что успешны, хотя успех — это важная составляющая.</t>
  </si>
  <si>
    <t>Не</t>
  </si>
  <si>
    <t>смысле</t>
  </si>
  <si>
    <t>потому</t>
  </si>
  <si>
    <t>успешны</t>
  </si>
  <si>
    <t>хотя</t>
  </si>
  <si>
    <t>успех</t>
  </si>
  <si>
    <t>важная</t>
  </si>
  <si>
    <t>составляющая</t>
  </si>
  <si>
    <t># text = Мы действительно достигаем большего в игровых мирах.</t>
  </si>
  <si>
    <t>достигаем</t>
  </si>
  <si>
    <t>большего</t>
  </si>
  <si>
    <t>игровых</t>
  </si>
  <si>
    <t>мирах</t>
  </si>
  <si>
    <t># text = Там мы хороши, так как мы мотивированы совершать нечто значимое, воодушевлены объединяться и сотрудничать.</t>
  </si>
  <si>
    <t>Там</t>
  </si>
  <si>
    <t>мотивированы</t>
  </si>
  <si>
    <t>совершать</t>
  </si>
  <si>
    <t>нечто</t>
  </si>
  <si>
    <t>значимое</t>
  </si>
  <si>
    <t>воодушевлены</t>
  </si>
  <si>
    <t>объединяться</t>
  </si>
  <si>
    <t>сотрудничать</t>
  </si>
  <si>
    <t># text = И когда мы в игровом мире, я считаю, что многие из нас становятся наилучшим воплощением самих себя, готовыми помочь в любой момент, настолько хорошими, что работают над проблемой столько, сколько потребуется, возвращаются к ней после неудачной попытки и пробуют снова.</t>
  </si>
  <si>
    <t>игровом</t>
  </si>
  <si>
    <t>становятся</t>
  </si>
  <si>
    <t>наилучшим</t>
  </si>
  <si>
    <t>воплощением</t>
  </si>
  <si>
    <t>самих</t>
  </si>
  <si>
    <t>себя</t>
  </si>
  <si>
    <t>готовыми</t>
  </si>
  <si>
    <t>помочь</t>
  </si>
  <si>
    <t>любой</t>
  </si>
  <si>
    <t>момент</t>
  </si>
  <si>
    <t>хорошими</t>
  </si>
  <si>
    <t>SBJ_7</t>
  </si>
  <si>
    <t>работают</t>
  </si>
  <si>
    <t>проблемой</t>
  </si>
  <si>
    <t>столько</t>
  </si>
  <si>
    <t>сколько</t>
  </si>
  <si>
    <t>потребуется</t>
  </si>
  <si>
    <t>возвращаются</t>
  </si>
  <si>
    <t>ней</t>
  </si>
  <si>
    <t>после</t>
  </si>
  <si>
    <t>неудачной</t>
  </si>
  <si>
    <t>попытки</t>
  </si>
  <si>
    <t>пробуют</t>
  </si>
  <si>
    <t>снова</t>
  </si>
  <si>
    <t># text = В жизни же, при встрече с неудачей, когда перед нами возникают препятствия, мы часто ведём себя по-иному.</t>
  </si>
  <si>
    <t>В</t>
  </si>
  <si>
    <t>встрече</t>
  </si>
  <si>
    <t>неудачей</t>
  </si>
  <si>
    <t>перед</t>
  </si>
  <si>
    <t>возникают</t>
  </si>
  <si>
    <t>препятствия</t>
  </si>
  <si>
    <t>часто</t>
  </si>
  <si>
    <t>ведём</t>
  </si>
  <si>
    <t>по-иному</t>
  </si>
  <si>
    <t># text = Мы чувствуем поражение.</t>
  </si>
  <si>
    <t>поражение</t>
  </si>
  <si>
    <t># text = Мы сокрушены.</t>
  </si>
  <si>
    <t>сокрушены</t>
  </si>
  <si>
    <t># text = Мы обеспокоены, может быть в депрессии, разочарованы или настроены скептически.</t>
  </si>
  <si>
    <t>обеспокоены</t>
  </si>
  <si>
    <t>может</t>
  </si>
  <si>
    <t>депрессии</t>
  </si>
  <si>
    <t>разочарованы</t>
  </si>
  <si>
    <t>или</t>
  </si>
  <si>
    <t>настроены</t>
  </si>
  <si>
    <t>скептически</t>
  </si>
  <si>
    <t># text = Мы никогда не ощущаем этих чувств, когда играем в игры, они просто не существуют в играх.</t>
  </si>
  <si>
    <t>никогда</t>
  </si>
  <si>
    <t>ощущаем</t>
  </si>
  <si>
    <t>этих</t>
  </si>
  <si>
    <t>чувств</t>
  </si>
  <si>
    <t>играем</t>
  </si>
  <si>
    <t>просто</t>
  </si>
  <si>
    <t>существуют</t>
  </si>
  <si>
    <t># text = Именно это я и хотела изучать, когда была аспиранткой.</t>
  </si>
  <si>
    <t>Именно</t>
  </si>
  <si>
    <t>хотела</t>
  </si>
  <si>
    <t>изучать</t>
  </si>
  <si>
    <t>была</t>
  </si>
  <si>
    <t>аспиранткой</t>
  </si>
  <si>
    <t># text = Что же такого в играх, что позволяет нам почувствовать, что невозможное возможно?</t>
  </si>
  <si>
    <t>Что</t>
  </si>
  <si>
    <t>такого</t>
  </si>
  <si>
    <t>позволяет</t>
  </si>
  <si>
    <t>почувствовать</t>
  </si>
  <si>
    <t>невозможное</t>
  </si>
  <si>
    <t># text = Как же нам повзаимствовать эти чувства из игр и применить их в реальной работе?</t>
  </si>
  <si>
    <t>Как</t>
  </si>
  <si>
    <t>эти</t>
  </si>
  <si>
    <t>чувства</t>
  </si>
  <si>
    <t>применить</t>
  </si>
  <si>
    <t>их</t>
  </si>
  <si>
    <t>работе</t>
  </si>
  <si>
    <t># text = Так, что я присмотрелась к играм типа Мир Варкрафта, они просто идеальная среда для совместного решения проблем.</t>
  </si>
  <si>
    <t>Так</t>
  </si>
  <si>
    <t>присмотрелась</t>
  </si>
  <si>
    <t>играм</t>
  </si>
  <si>
    <t>типа</t>
  </si>
  <si>
    <t>Мир</t>
  </si>
  <si>
    <t>Варкрафта</t>
  </si>
  <si>
    <t>идеальная</t>
  </si>
  <si>
    <t>совместного</t>
  </si>
  <si>
    <t># text = И я стала замечать несколько моментов, которые делают эпическую победу такой возможной в виртуальных мирах.</t>
  </si>
  <si>
    <t>стала</t>
  </si>
  <si>
    <t>замечать</t>
  </si>
  <si>
    <t>моментов</t>
  </si>
  <si>
    <t>которые</t>
  </si>
  <si>
    <t>делают</t>
  </si>
  <si>
    <t>эпическую</t>
  </si>
  <si>
    <t>победу</t>
  </si>
  <si>
    <t>такой</t>
  </si>
  <si>
    <t>возможной</t>
  </si>
  <si>
    <t>виртуальных</t>
  </si>
  <si>
    <t># text = Во-первых, когда бы вы не оказались в одном из игровых миров, особенно в Мире Варкрафта, там существует великое множество различных персонажей, которые желают доверить вам миссию по спасению мира, прямо сейчас.</t>
  </si>
  <si>
    <t>Во-первых</t>
  </si>
  <si>
    <t>бы</t>
  </si>
  <si>
    <t>оказались</t>
  </si>
  <si>
    <t>одном</t>
  </si>
  <si>
    <t>миров</t>
  </si>
  <si>
    <t>особенно</t>
  </si>
  <si>
    <t>Мире</t>
  </si>
  <si>
    <t>там</t>
  </si>
  <si>
    <t>существует</t>
  </si>
  <si>
    <t>великое</t>
  </si>
  <si>
    <t>множество</t>
  </si>
  <si>
    <t>различных</t>
  </si>
  <si>
    <t>персонажей</t>
  </si>
  <si>
    <t>желают</t>
  </si>
  <si>
    <t>доверить</t>
  </si>
  <si>
    <t>вам</t>
  </si>
  <si>
    <t>миссию</t>
  </si>
  <si>
    <t>спасению</t>
  </si>
  <si>
    <t>прямо</t>
  </si>
  <si>
    <t>сейчас</t>
  </si>
  <si>
    <t># text = Но не просто миссию, а такую миссию, которая идеально соответствует вашему текущему уровню в игре.</t>
  </si>
  <si>
    <t>а</t>
  </si>
  <si>
    <t>такую</t>
  </si>
  <si>
    <t>которая</t>
  </si>
  <si>
    <t>идеально</t>
  </si>
  <si>
    <t>соответствует</t>
  </si>
  <si>
    <t>вашему</t>
  </si>
  <si>
    <t>текущему</t>
  </si>
  <si>
    <t>уровню</t>
  </si>
  <si>
    <t># text = Так?</t>
  </si>
  <si>
    <t># text = Так, что вы можете это сделать.</t>
  </si>
  <si>
    <t># text = Они никогда не дают вам задачу, которую вы не можете выполнить.</t>
  </si>
  <si>
    <t>Они</t>
  </si>
  <si>
    <t>дают</t>
  </si>
  <si>
    <t>задачу</t>
  </si>
  <si>
    <t>которую</t>
  </si>
  <si>
    <t>выполнить</t>
  </si>
  <si>
    <t># text = Но это на грани того, на что вы способны.</t>
  </si>
  <si>
    <t># text = Вы должны очень постараться.</t>
  </si>
  <si>
    <t>Вы</t>
  </si>
  <si>
    <t>очень</t>
  </si>
  <si>
    <t>постараться</t>
  </si>
  <si>
    <t># text = Но в Мире Варкрафта нет безработицы.</t>
  </si>
  <si>
    <t>безработицы</t>
  </si>
  <si>
    <t># text = Никто не выкручивает вам руки.</t>
  </si>
  <si>
    <t>Никто</t>
  </si>
  <si>
    <t>pron.pind</t>
  </si>
  <si>
    <t>выкручивает</t>
  </si>
  <si>
    <t>руки</t>
  </si>
  <si>
    <t># text = Здесь всегда есть какое-то особенное и важное дело.</t>
  </si>
  <si>
    <t>Здесь</t>
  </si>
  <si>
    <t>всегда</t>
  </si>
  <si>
    <t>какое-то</t>
  </si>
  <si>
    <t>особенное</t>
  </si>
  <si>
    <t>важное</t>
  </si>
  <si>
    <t>дело</t>
  </si>
  <si>
    <t>indef-np</t>
  </si>
  <si>
    <t># text = И есть множество партнёров.</t>
  </si>
  <si>
    <t>партнёров</t>
  </si>
  <si>
    <t># text = Куда бы вы не пошли, сотни тысяч людей готовы работать с вами, чтобы вы выполнили свою эпическую миссию.</t>
  </si>
  <si>
    <t>Куда</t>
  </si>
  <si>
    <t>пошли</t>
  </si>
  <si>
    <t>сотни</t>
  </si>
  <si>
    <t>тысяч</t>
  </si>
  <si>
    <t>готовы</t>
  </si>
  <si>
    <t>работать</t>
  </si>
  <si>
    <t>вами</t>
  </si>
  <si>
    <t>выполнили</t>
  </si>
  <si>
    <t>свою</t>
  </si>
  <si>
    <t># text = То, что в настоящей жизни не так легко получить — ощущение подушечками пальцев множества партнёров.</t>
  </si>
  <si>
    <t>То</t>
  </si>
  <si>
    <t>настоящей</t>
  </si>
  <si>
    <t>легко</t>
  </si>
  <si>
    <t>ощущение</t>
  </si>
  <si>
    <t>подушечками</t>
  </si>
  <si>
    <t>пальцев</t>
  </si>
  <si>
    <t>множества</t>
  </si>
  <si>
    <t># text = Да, и всегда есть эпическая история, вдохновляющая история о том, почему мы здесь и что мы делаем.</t>
  </si>
  <si>
    <t>Да</t>
  </si>
  <si>
    <t>вдохновляющая</t>
  </si>
  <si>
    <t>о</t>
  </si>
  <si>
    <t>том</t>
  </si>
  <si>
    <t>SBJ_6</t>
  </si>
  <si>
    <t>здесь</t>
  </si>
  <si>
    <t>делаем</t>
  </si>
  <si>
    <t># text = И, наконец, мы получаем позитивную обратную связь.</t>
  </si>
  <si>
    <t>наконец</t>
  </si>
  <si>
    <t>получаем</t>
  </si>
  <si>
    <t>позитивную</t>
  </si>
  <si>
    <t>обратную</t>
  </si>
  <si>
    <t># text = Вы, конечно, слышали о прохождении уровней, накоплении силы и интеллекта во время игры.</t>
  </si>
  <si>
    <t>конечно</t>
  </si>
  <si>
    <t>прохождении</t>
  </si>
  <si>
    <t>уровней</t>
  </si>
  <si>
    <t>накоплении</t>
  </si>
  <si>
    <t>силы</t>
  </si>
  <si>
    <t>интеллекта</t>
  </si>
  <si>
    <t>во</t>
  </si>
  <si>
    <t># text = В настоящей жизни мы никогда не получаем подобной обратной связи.</t>
  </si>
  <si>
    <t>подобной</t>
  </si>
  <si>
    <t>обратной</t>
  </si>
  <si>
    <t>связи</t>
  </si>
  <si>
    <t># text = Когда спущусь со сцены, я не рассчитываю получить +1 речь и +1 безумную идею, +20 безумных идей.</t>
  </si>
  <si>
    <t>Когда</t>
  </si>
  <si>
    <t>спущусь</t>
  </si>
  <si>
    <t>со</t>
  </si>
  <si>
    <t>сцены</t>
  </si>
  <si>
    <t>рассчитываю</t>
  </si>
  <si>
    <t>+1</t>
  </si>
  <si>
    <t>речь</t>
  </si>
  <si>
    <t>безумную</t>
  </si>
  <si>
    <t>идею</t>
  </si>
  <si>
    <t>+20</t>
  </si>
  <si>
    <t>безумных</t>
  </si>
  <si>
    <t>идей</t>
  </si>
  <si>
    <t># text = У меня нет такой обратной связи в реальном мире.</t>
  </si>
  <si>
    <t>У</t>
  </si>
  <si>
    <t># text = И вот теперь проблема онлайн среды, такой как Мир Варкрафта, в том, что удовольствие быть постоянно на грани эпической победы заставляет нас тратить всё наше время на подобные игровые миры.</t>
  </si>
  <si>
    <t>теперь</t>
  </si>
  <si>
    <t>среды</t>
  </si>
  <si>
    <t>удовольствие</t>
  </si>
  <si>
    <t>постоянно</t>
  </si>
  <si>
    <t>заставляет</t>
  </si>
  <si>
    <t>всё</t>
  </si>
  <si>
    <t>наше</t>
  </si>
  <si>
    <t>подобные</t>
  </si>
  <si>
    <t>миры</t>
  </si>
  <si>
    <t># text = Это просто лучше, чем реальность.</t>
  </si>
  <si>
    <t>лучше</t>
  </si>
  <si>
    <t>реальность</t>
  </si>
  <si>
    <t># text = Так далеко от реальности, что совместно все игроки Мира Варкрафта уже потратили 5,93 миллиона лет на решение виртуальных проблем Азерота.</t>
  </si>
  <si>
    <t>реальности</t>
  </si>
  <si>
    <t>совместно</t>
  </si>
  <si>
    <t>игроки</t>
  </si>
  <si>
    <t>Мира</t>
  </si>
  <si>
    <t>потратили</t>
  </si>
  <si>
    <t>5,93</t>
  </si>
  <si>
    <t>миллиона</t>
  </si>
  <si>
    <t>решение</t>
  </si>
  <si>
    <t>Азерота</t>
  </si>
  <si>
    <t># text = И это не обязательно плохо, в смысле, что это может прозвучать, как что-то негативное.</t>
  </si>
  <si>
    <t>плохо</t>
  </si>
  <si>
    <t>прозвучать</t>
  </si>
  <si>
    <t>негативное</t>
  </si>
  <si>
    <t># text = Но посмотрите на это в контексте того, что 5,93 миллиона лет назад приматы, предки человека, встали на ноги.</t>
  </si>
  <si>
    <t>посмотрите</t>
  </si>
  <si>
    <t>контексте</t>
  </si>
  <si>
    <t>назад</t>
  </si>
  <si>
    <t>приматы</t>
  </si>
  <si>
    <t>предки</t>
  </si>
  <si>
    <t>встали</t>
  </si>
  <si>
    <t>ноги</t>
  </si>
  <si>
    <t># text = Это были первые прямоходящие приматы.</t>
  </si>
  <si>
    <t>были</t>
  </si>
  <si>
    <t>первые</t>
  </si>
  <si>
    <t>прямоходящие</t>
  </si>
  <si>
    <t># text = Итак, когда мы говорим о том, как много времени сейчас вкладываем в игру, есть только один способ даже просто об этом порассуждать — это поговорить о времени, в течении которого эволюционировало человечество, эволюция — это удивительная вещь.</t>
  </si>
  <si>
    <t>Итак</t>
  </si>
  <si>
    <t>говорим</t>
  </si>
  <si>
    <t>вкладываем</t>
  </si>
  <si>
    <t>игру</t>
  </si>
  <si>
    <t>только</t>
  </si>
  <si>
    <t>один</t>
  </si>
  <si>
    <t>способ</t>
  </si>
  <si>
    <t>порассуждать</t>
  </si>
  <si>
    <t>поговорить</t>
  </si>
  <si>
    <t>течении</t>
  </si>
  <si>
    <t>которого</t>
  </si>
  <si>
    <t>эволюционировало</t>
  </si>
  <si>
    <t>человечество</t>
  </si>
  <si>
    <t>эволюция</t>
  </si>
  <si>
    <t>удивительная</t>
  </si>
  <si>
    <t>вещь</t>
  </si>
  <si>
    <t># text = Но также полезная.</t>
  </si>
  <si>
    <t>также</t>
  </si>
  <si>
    <t>полезная</t>
  </si>
  <si>
    <t># text = Потому что, когда мы тратим столько времени на игру, мы реально изменяем человеческие возможности.</t>
  </si>
  <si>
    <t>Потому</t>
  </si>
  <si>
    <t>тратим</t>
  </si>
  <si>
    <t>изменяем</t>
  </si>
  <si>
    <t>человеческие</t>
  </si>
  <si>
    <t>возможности</t>
  </si>
  <si>
    <t># text = Мы эволюционируем, чтобы научиться лучше сотрудничать.</t>
  </si>
  <si>
    <t>эволюционируем</t>
  </si>
  <si>
    <t>научиться</t>
  </si>
  <si>
    <t># text = Это правда.</t>
  </si>
  <si>
    <t># text = Я в это верю.</t>
  </si>
  <si>
    <t># text = Рассмотрим вот такую интересную статистику.</t>
  </si>
  <si>
    <t>Рассмотрим</t>
  </si>
  <si>
    <t>интересную</t>
  </si>
  <si>
    <t>статистику</t>
  </si>
  <si>
    <t># text = Она была опубликована исследователем из университета Карнеги Мелон.</t>
  </si>
  <si>
    <t>Она</t>
  </si>
  <si>
    <t>опубликована</t>
  </si>
  <si>
    <t>исследователем</t>
  </si>
  <si>
    <t>университета</t>
  </si>
  <si>
    <t>Карнеги</t>
  </si>
  <si>
    <t>Мелон</t>
  </si>
  <si>
    <t># text = Сегодня среднестатистический представитель молодежи, живущий в стране с развитой культурой игры, по достижении 21 года проведёт за онлайновыми играми 10 000 часов.</t>
  </si>
  <si>
    <t>Сегодня</t>
  </si>
  <si>
    <t>среднестатистический</t>
  </si>
  <si>
    <t>представитель</t>
  </si>
  <si>
    <t>молодежи</t>
  </si>
  <si>
    <t>живущий</t>
  </si>
  <si>
    <t>стране</t>
  </si>
  <si>
    <t>развитой</t>
  </si>
  <si>
    <t>культурой</t>
  </si>
  <si>
    <t>достижении</t>
  </si>
  <si>
    <t>года</t>
  </si>
  <si>
    <t>проведёт</t>
  </si>
  <si>
    <t>онлайновыми</t>
  </si>
  <si>
    <t>10 000</t>
  </si>
  <si>
    <t># text = На самом деле, 10 000 часов — число интересное по двум причинам.</t>
  </si>
  <si>
    <t>На</t>
  </si>
  <si>
    <t>число</t>
  </si>
  <si>
    <t>интересное</t>
  </si>
  <si>
    <t>двум</t>
  </si>
  <si>
    <t>причинам</t>
  </si>
  <si>
    <t># text = Прежде всего, потому что для детей в США 10.080 часов — это именно то количество времени, которое они проведут в школе с 5-го по 12-й класс, если вообще без пропусков.</t>
  </si>
  <si>
    <t>Прежде</t>
  </si>
  <si>
    <t>всего</t>
  </si>
  <si>
    <t>детей</t>
  </si>
  <si>
    <t>США</t>
  </si>
  <si>
    <t>10.080</t>
  </si>
  <si>
    <t>именно</t>
  </si>
  <si>
    <t>проведут</t>
  </si>
  <si>
    <t>школе</t>
  </si>
  <si>
    <t>5-го</t>
  </si>
  <si>
    <t>12-й</t>
  </si>
  <si>
    <t>класс</t>
  </si>
  <si>
    <t>вообще</t>
  </si>
  <si>
    <t>без</t>
  </si>
  <si>
    <t>пропусков</t>
  </si>
  <si>
    <t># text = Так что у нас есть целый параллельный образовательный курс, где молодёжь изучает, что значит быть «хорошим» геймером так же усердно, как и все остальные предметы в школе.</t>
  </si>
  <si>
    <t>целый</t>
  </si>
  <si>
    <t>параллельный</t>
  </si>
  <si>
    <t>образовательный</t>
  </si>
  <si>
    <t>курс</t>
  </si>
  <si>
    <t>молодёжь</t>
  </si>
  <si>
    <t>изучает</t>
  </si>
  <si>
    <t>значит</t>
  </si>
  <si>
    <t>«хорошим»</t>
  </si>
  <si>
    <t>геймером</t>
  </si>
  <si>
    <t>усердно</t>
  </si>
  <si>
    <t>остальные</t>
  </si>
  <si>
    <t>предметы</t>
  </si>
  <si>
    <t>other_7</t>
  </si>
  <si>
    <t># text = И, возможно, некоторые из вас читали новую книгу Малкольма Гладуэлла «Гении и аутсайдеры».</t>
  </si>
  <si>
    <t>читали</t>
  </si>
  <si>
    <t>новую</t>
  </si>
  <si>
    <t>книгу</t>
  </si>
  <si>
    <t>Малкольма</t>
  </si>
  <si>
    <t>Гладуэлла</t>
  </si>
  <si>
    <t>«Гении</t>
  </si>
  <si>
    <t>аутсайдеры»</t>
  </si>
  <si>
    <t># text = Тогда вы, возможно, слышали о его теории успеха, а именно о правиле 10 000 часов.</t>
  </si>
  <si>
    <t>Тогда</t>
  </si>
  <si>
    <t>теории</t>
  </si>
  <si>
    <t>успеха</t>
  </si>
  <si>
    <t>правиле</t>
  </si>
  <si>
    <t># text = Оно основано на отличном исследовании в области когнитивистики: если мы посвятим 10 000 часов на усиленное обучение в какой бы то ни было области, к 21-му году мы станем в ней виртуозом.</t>
  </si>
  <si>
    <t>Оно</t>
  </si>
  <si>
    <t>основано</t>
  </si>
  <si>
    <t>отличном</t>
  </si>
  <si>
    <t>исследовании</t>
  </si>
  <si>
    <t>области</t>
  </si>
  <si>
    <t>когнитивистики</t>
  </si>
  <si>
    <t>посвятим</t>
  </si>
  <si>
    <t>усиленное</t>
  </si>
  <si>
    <t>обучение</t>
  </si>
  <si>
    <t>какой</t>
  </si>
  <si>
    <t>ни</t>
  </si>
  <si>
    <t>было</t>
  </si>
  <si>
    <t>21-му</t>
  </si>
  <si>
    <t>году</t>
  </si>
  <si>
    <t>станем</t>
  </si>
  <si>
    <t>виртуозом</t>
  </si>
  <si>
    <t># text = Мы достигнем того же уровня мастерства в своем деле, как и самые выдающиеся в мире люди.</t>
  </si>
  <si>
    <t>достигнем</t>
  </si>
  <si>
    <t>уровня</t>
  </si>
  <si>
    <t>мастерства</t>
  </si>
  <si>
    <t>своем</t>
  </si>
  <si>
    <t>выдающиеся</t>
  </si>
  <si>
    <t>люди</t>
  </si>
  <si>
    <t># text = И сейчас перед нами целое поколение молодых людей, виртуозных геймеров.</t>
  </si>
  <si>
    <t>целое</t>
  </si>
  <si>
    <t>поколение</t>
  </si>
  <si>
    <t>молодых</t>
  </si>
  <si>
    <t>виртуозных</t>
  </si>
  <si>
    <t># text = Вопрос: в чём же конкретно геймеры становятся виртуозами?</t>
  </si>
  <si>
    <t>Вопрос</t>
  </si>
  <si>
    <t>чём</t>
  </si>
  <si>
    <t>конкретно</t>
  </si>
  <si>
    <t>виртуозами</t>
  </si>
  <si>
    <t># text = Ведь если бы мы смогли это выяснить, мы бы получили в руки фактически беспрецедентный человеческий ресурс.</t>
  </si>
  <si>
    <t>Ведь</t>
  </si>
  <si>
    <t>смогли</t>
  </si>
  <si>
    <t>выяснить</t>
  </si>
  <si>
    <t>получили</t>
  </si>
  <si>
    <t>фактически</t>
  </si>
  <si>
    <t>беспрецедентный</t>
  </si>
  <si>
    <t>человеческий</t>
  </si>
  <si>
    <t>ресурс</t>
  </si>
  <si>
    <t># text = А сколько в мире людей, играющих в онлайн игры как минимум час в день!</t>
  </si>
  <si>
    <t>играющих</t>
  </si>
  <si>
    <t>минимум</t>
  </si>
  <si>
    <t>день</t>
  </si>
  <si>
    <t>!</t>
  </si>
  <si>
    <t># text = Все они — виртуозные игроки.</t>
  </si>
  <si>
    <t>Все</t>
  </si>
  <si>
    <t>виртуозные</t>
  </si>
  <si>
    <t># text = Эти 500 миллионов человек — виртуозы в своем деле.</t>
  </si>
  <si>
    <t>Эти</t>
  </si>
  <si>
    <t>500</t>
  </si>
  <si>
    <t>виртуозы</t>
  </si>
  <si>
    <t># text = А через 10 лет мы получим еще миллиард геймеров, профессионалов в своём деле.</t>
  </si>
  <si>
    <t>через</t>
  </si>
  <si>
    <t>получим</t>
  </si>
  <si>
    <t>еще</t>
  </si>
  <si>
    <t>профессионалов</t>
  </si>
  <si>
    <t>своём</t>
  </si>
  <si>
    <t># text = Если вы ещё не в курсе дела, это произойдет.</t>
  </si>
  <si>
    <t>курсе</t>
  </si>
  <si>
    <t>дела</t>
  </si>
  <si>
    <t>произойдет</t>
  </si>
  <si>
    <t># text = Индустрия игр разрабатывает игровые консоли, с низким потреблением энергии, работающие в беспроводных сотовых сетях, взамен обчычному высокоскоростному Интернету.</t>
  </si>
  <si>
    <t>Индустрия</t>
  </si>
  <si>
    <t>разрабатывает</t>
  </si>
  <si>
    <t>консоли</t>
  </si>
  <si>
    <t>низким</t>
  </si>
  <si>
    <t>потреблением</t>
  </si>
  <si>
    <t>энергии</t>
  </si>
  <si>
    <t>работающие</t>
  </si>
  <si>
    <t>беспроводных</t>
  </si>
  <si>
    <t>сотовых</t>
  </si>
  <si>
    <t>сетях</t>
  </si>
  <si>
    <t>взамен</t>
  </si>
  <si>
    <t>обчычному</t>
  </si>
  <si>
    <t>высокоскоростному</t>
  </si>
  <si>
    <t>Интернету</t>
  </si>
  <si>
    <t># text = Поэтому, геймеры всего мира, особенно в Индии, Китае, Бразилии могут играть онлайн.</t>
  </si>
  <si>
    <t>Поэтому</t>
  </si>
  <si>
    <t>Индии</t>
  </si>
  <si>
    <t>Китае</t>
  </si>
  <si>
    <t>Бразилии</t>
  </si>
  <si>
    <t># text = В следующей декаде индустрия игр ожидает миллиардного прибавления в рядах геймеров.</t>
  </si>
  <si>
    <t>следующей</t>
  </si>
  <si>
    <t>декаде</t>
  </si>
  <si>
    <t>индустрия</t>
  </si>
  <si>
    <t>ожидает</t>
  </si>
  <si>
    <t>миллиардного</t>
  </si>
  <si>
    <t>прибавления</t>
  </si>
  <si>
    <t>рядах</t>
  </si>
  <si>
    <t># text = Их общее число достигнет 1,5 миллиардов.</t>
  </si>
  <si>
    <t>Их</t>
  </si>
  <si>
    <t>общее</t>
  </si>
  <si>
    <t>достигнет</t>
  </si>
  <si>
    <t>1,5</t>
  </si>
  <si>
    <t># text = Я начала думать о том, в чём же именно эти игры делают нас мастерами.</t>
  </si>
  <si>
    <t>начала</t>
  </si>
  <si>
    <t>думать</t>
  </si>
  <si>
    <t>мастерами</t>
  </si>
  <si>
    <t># text = И вот четыре мысли, к которым я пришла.</t>
  </si>
  <si>
    <t>четыре</t>
  </si>
  <si>
    <t>мысли</t>
  </si>
  <si>
    <t>которым</t>
  </si>
  <si>
    <t>пришла</t>
  </si>
  <si>
    <t># text = Во-первых, упорный оптимизм.</t>
  </si>
  <si>
    <t>упорный</t>
  </si>
  <si>
    <t># text = Да.</t>
  </si>
  <si>
    <t># text = Понимайте это, как усиленную самомотивацию.</t>
  </si>
  <si>
    <t>Понимайте</t>
  </si>
  <si>
    <t>усиленную</t>
  </si>
  <si>
    <t>самомотивацию</t>
  </si>
  <si>
    <t># text = Упорный оптимизм — это желание действовать немедленно, преодолевать препятствия в сочетании с верой в обоснованную надежду на успех.</t>
  </si>
  <si>
    <t>Упорный</t>
  </si>
  <si>
    <t>действовать</t>
  </si>
  <si>
    <t>немедленно</t>
  </si>
  <si>
    <t>преодолевать</t>
  </si>
  <si>
    <t>сочетании</t>
  </si>
  <si>
    <t>верой</t>
  </si>
  <si>
    <t>обоснованную</t>
  </si>
  <si>
    <t>надежду</t>
  </si>
  <si>
    <t># text = Геймеры всегда верят, что эпическая победа возможна, что пробовать стоит всегда, и лучше немедленно.</t>
  </si>
  <si>
    <t>Геймеры</t>
  </si>
  <si>
    <t>верят</t>
  </si>
  <si>
    <t>возможна</t>
  </si>
  <si>
    <t>пробовать</t>
  </si>
  <si>
    <t>стоит</t>
  </si>
  <si>
    <t># text = Геймеры не отсиживаются.</t>
  </si>
  <si>
    <t>отсиживаются</t>
  </si>
  <si>
    <t># text = Геймеры — виртуозы плетения плотной социальной структуры.</t>
  </si>
  <si>
    <t>плетения</t>
  </si>
  <si>
    <t>плотной</t>
  </si>
  <si>
    <t>социальной</t>
  </si>
  <si>
    <t>структуры</t>
  </si>
  <si>
    <t># text = Многие интересные исследования показывают, что после совместной игры люди нам нравятся больше, даже если они нас полностью обыграли.</t>
  </si>
  <si>
    <t>Многие</t>
  </si>
  <si>
    <t>интересные</t>
  </si>
  <si>
    <t>исследования</t>
  </si>
  <si>
    <t>показывают</t>
  </si>
  <si>
    <t>совместной</t>
  </si>
  <si>
    <t>нравятся</t>
  </si>
  <si>
    <t>полностью</t>
  </si>
  <si>
    <t>обыграли</t>
  </si>
  <si>
    <t># text = Причина в том, что источник доверия кроется в совместной игре.</t>
  </si>
  <si>
    <t>Причина</t>
  </si>
  <si>
    <t>источник</t>
  </si>
  <si>
    <t>доверия</t>
  </si>
  <si>
    <t>кроется</t>
  </si>
  <si>
    <t># text = Мы доверяем, ведь они проводят своё время с нами, они играют по тем же правилам, ценят те же самые цели и остаются в игре до конца.</t>
  </si>
  <si>
    <t>доверяем</t>
  </si>
  <si>
    <t>ведь</t>
  </si>
  <si>
    <t>проводят</t>
  </si>
  <si>
    <t>своё</t>
  </si>
  <si>
    <t>играют</t>
  </si>
  <si>
    <t>тем</t>
  </si>
  <si>
    <t>правилам</t>
  </si>
  <si>
    <t>ценят</t>
  </si>
  <si>
    <t>те</t>
  </si>
  <si>
    <t>цели</t>
  </si>
  <si>
    <t>остаются</t>
  </si>
  <si>
    <t># text = Итак, совместное участие в игре действительно формирует связи, доверие и сотрудничество.</t>
  </si>
  <si>
    <t>совместное</t>
  </si>
  <si>
    <t>участие</t>
  </si>
  <si>
    <t>формирует</t>
  </si>
  <si>
    <t>доверие</t>
  </si>
  <si>
    <t>сотрудничество</t>
  </si>
  <si>
    <t># text = И в результате мы действительно создаём сильные социальные связи.</t>
  </si>
  <si>
    <t>результате</t>
  </si>
  <si>
    <t>создаём</t>
  </si>
  <si>
    <t>сильные</t>
  </si>
  <si>
    <t>социальные</t>
  </si>
  <si>
    <t># text = Радость творения.</t>
  </si>
  <si>
    <t>Радость</t>
  </si>
  <si>
    <t>творения</t>
  </si>
  <si>
    <t># text = Мне нравится это.</t>
  </si>
  <si>
    <t>Мне</t>
  </si>
  <si>
    <t>нравится</t>
  </si>
  <si>
    <t># text = Вы знаете, существует причина, почему в среднем игроки Мира Варкрафта играют по 22 часа в неделю, что-то вроде работы на полставки.</t>
  </si>
  <si>
    <t>знаете</t>
  </si>
  <si>
    <t>причина</t>
  </si>
  <si>
    <t>среднем</t>
  </si>
  <si>
    <t>часа</t>
  </si>
  <si>
    <t>вроде</t>
  </si>
  <si>
    <t>работы</t>
  </si>
  <si>
    <t>полставки</t>
  </si>
  <si>
    <t># text = Так как мы осознаем, что процесс игры, как упорный труд, приносит нам больше удовольствия, нежели просто расслабление или общение.</t>
  </si>
  <si>
    <t>осознаем</t>
  </si>
  <si>
    <t>процесс</t>
  </si>
  <si>
    <t>труд</t>
  </si>
  <si>
    <t>приносит</t>
  </si>
  <si>
    <t>удовольствия</t>
  </si>
  <si>
    <t>нежели</t>
  </si>
  <si>
    <t>расслабление</t>
  </si>
  <si>
    <t>общение</t>
  </si>
  <si>
    <t># text = Мы знаем, что мы оптимизированы, насколько это возможно для человека, для выполнения значимой работы.</t>
  </si>
  <si>
    <t>знаем</t>
  </si>
  <si>
    <t>оптимизированы</t>
  </si>
  <si>
    <t>насколько</t>
  </si>
  <si>
    <t>выполнения</t>
  </si>
  <si>
    <t>значимой</t>
  </si>
  <si>
    <t># text = И геймеры желают упорно трудиться всё время, в случае, когда получают правильную работу.</t>
  </si>
  <si>
    <t>упорно</t>
  </si>
  <si>
    <t>трудиться</t>
  </si>
  <si>
    <t>случае</t>
  </si>
  <si>
    <t>получают</t>
  </si>
  <si>
    <t>правильную</t>
  </si>
  <si>
    <t>работу</t>
  </si>
  <si>
    <t># text = Наконец, эпическая значимость.</t>
  </si>
  <si>
    <t>Наконец</t>
  </si>
  <si>
    <t># text = Геймеры любят причастность к впечатляющим миссиям. к историям масштаба человечества и планеты.</t>
  </si>
  <si>
    <t>любят</t>
  </si>
  <si>
    <t>причастность</t>
  </si>
  <si>
    <t>впечатляющим</t>
  </si>
  <si>
    <t>миссиям</t>
  </si>
  <si>
    <t>историям</t>
  </si>
  <si>
    <t>масштаба</t>
  </si>
  <si>
    <t>человечества</t>
  </si>
  <si>
    <t>планеты</t>
  </si>
  <si>
    <t># text = Теперь немного деталей, которые помогут наложить это на будущее.</t>
  </si>
  <si>
    <t>Теперь</t>
  </si>
  <si>
    <t>деталей</t>
  </si>
  <si>
    <t>помогут</t>
  </si>
  <si>
    <t>наложить</t>
  </si>
  <si>
    <t>будущее</t>
  </si>
  <si>
    <t># text = Вы, наверное, знаете, что Википедия — самая большая энциклопедия в мире.</t>
  </si>
  <si>
    <t>наверное</t>
  </si>
  <si>
    <t>Википедия</t>
  </si>
  <si>
    <t>самая</t>
  </si>
  <si>
    <t>большая</t>
  </si>
  <si>
    <t># text = Вторая по величине энциклопедия в мире, насчитывающая около 80 000 статей — это Википедия по Миру Варкрафта.</t>
  </si>
  <si>
    <t>Вторая</t>
  </si>
  <si>
    <t>величине</t>
  </si>
  <si>
    <t>насчитывающая</t>
  </si>
  <si>
    <t>около</t>
  </si>
  <si>
    <t>80 000</t>
  </si>
  <si>
    <t>статей</t>
  </si>
  <si>
    <t>Миру</t>
  </si>
  <si>
    <t># text = Пять миллионов людей используют её ежемесячно.</t>
  </si>
  <si>
    <t>Пять</t>
  </si>
  <si>
    <t>используют</t>
  </si>
  <si>
    <t>её</t>
  </si>
  <si>
    <t>ежемесячно</t>
  </si>
  <si>
    <t># text = Они собрали больше информации о Мире Варкрафта в интернете, чем о любой другой теме в любой энциклопедии в мире.</t>
  </si>
  <si>
    <t>собрали</t>
  </si>
  <si>
    <t>информации</t>
  </si>
  <si>
    <t>интернете</t>
  </si>
  <si>
    <t>теме</t>
  </si>
  <si>
    <t>энциклопедии</t>
  </si>
  <si>
    <t># text = Они создают эпическую историю.</t>
  </si>
  <si>
    <t>создают</t>
  </si>
  <si>
    <t>историю</t>
  </si>
  <si>
    <t># text = Они создают информационный ресурс эпического масштаба о Мире Варкрафта.</t>
  </si>
  <si>
    <t>информационный</t>
  </si>
  <si>
    <t>эпического</t>
  </si>
  <si>
    <t># text = Итак, это были четыре «суперсилы», которые сводятся к одному.</t>
  </si>
  <si>
    <t>«суперсилы»</t>
  </si>
  <si>
    <t>сводятся</t>
  </si>
  <si>
    <t>одному</t>
  </si>
  <si>
    <t># text = Геймеры — это суперзаряженные надеждой личности.</t>
  </si>
  <si>
    <t>суперзаряженные</t>
  </si>
  <si>
    <t>надеждой</t>
  </si>
  <si>
    <t>личности</t>
  </si>
  <si>
    <t># text = Это люди, которые верят, что они в одиночку могут изменить мир.</t>
  </si>
  <si>
    <t>одиночку</t>
  </si>
  <si>
    <t>изменить</t>
  </si>
  <si>
    <t># text = И проблема всего лишь в том, что они верят что способны изменить виртуальный мир, а не реальный.</t>
  </si>
  <si>
    <t>лишь</t>
  </si>
  <si>
    <t>виртуальный</t>
  </si>
  <si>
    <t>реальный</t>
  </si>
  <si>
    <t># text = Это именно та проблема, которую я пытаюсь решить.</t>
  </si>
  <si>
    <t>та</t>
  </si>
  <si>
    <t>пытаюсь</t>
  </si>
  <si>
    <t># text = Есть экономист по имени Эдвард Кастронова.</t>
  </si>
  <si>
    <t>Есть</t>
  </si>
  <si>
    <t>Эдвард</t>
  </si>
  <si>
    <t>Кастронова</t>
  </si>
  <si>
    <t># text = Его работа гениальна.</t>
  </si>
  <si>
    <t>Его</t>
  </si>
  <si>
    <t>работа</t>
  </si>
  <si>
    <t>гениальна</t>
  </si>
  <si>
    <t># text = Он исследует причины, которые побуждают людей вкладывать столько времени, энергии и денег в виртуальные миры.</t>
  </si>
  <si>
    <t>исследует</t>
  </si>
  <si>
    <t>причины</t>
  </si>
  <si>
    <t>побуждают</t>
  </si>
  <si>
    <t>вкладывать</t>
  </si>
  <si>
    <t>денег</t>
  </si>
  <si>
    <t>виртуальные</t>
  </si>
  <si>
    <t># text = Он говорит: «Мы свидетели массовой миграции в виртуальные миры и онлайн игры».</t>
  </si>
  <si>
    <t>говорит</t>
  </si>
  <si>
    <t>«Мы</t>
  </si>
  <si>
    <t>свидетели</t>
  </si>
  <si>
    <t>массовой</t>
  </si>
  <si>
    <t>миграции</t>
  </si>
  <si>
    <t># text = Он экономист, поэтому рационален.</t>
  </si>
  <si>
    <t>поэтому</t>
  </si>
  <si>
    <t>рационален</t>
  </si>
  <si>
    <t># text = И он говорит ...</t>
  </si>
  <si>
    <t>он</t>
  </si>
  <si>
    <t># text = (Смех) Это не то что я — разработчик игр, я — ненормальная.</t>
  </si>
  <si>
    <t>ненормальная</t>
  </si>
  <si>
    <t># text = Однако он говорит, что в этом есть смысл, поскольку геймеры могут добиться большего в виртуальных мирах, чем могут в реальной жизни, Они могут иметь более крепкие социальные связи в игре, нежели в реальной жизни.</t>
  </si>
  <si>
    <t>Однако</t>
  </si>
  <si>
    <t>смысл</t>
  </si>
  <si>
    <t>поскольку</t>
  </si>
  <si>
    <t>добиться</t>
  </si>
  <si>
    <t>иметь</t>
  </si>
  <si>
    <t>более</t>
  </si>
  <si>
    <t>крепкие</t>
  </si>
  <si>
    <t># text = Они получают лучшую обратную связь и чувствуют себя более вознаграждёнными в играх, чем в реальной жизни.</t>
  </si>
  <si>
    <t>лучшую</t>
  </si>
  <si>
    <t>чувствуют</t>
  </si>
  <si>
    <t>вознаграждёнными</t>
  </si>
  <si>
    <t># text = Он говорит, что на сегодня для геймеров абсолютно естественно тратить больше времени в виртуальном мире, чем в реальном.</t>
  </si>
  <si>
    <t>абсолютно</t>
  </si>
  <si>
    <t>естественно</t>
  </si>
  <si>
    <t>виртуальном</t>
  </si>
  <si>
    <t># text = И я согласна, что пока это рационально.</t>
  </si>
  <si>
    <t>согласна</t>
  </si>
  <si>
    <t>рационально</t>
  </si>
  <si>
    <t># text = Но само собой разумеется, что это не оптимальный вариант.</t>
  </si>
  <si>
    <t>само</t>
  </si>
  <si>
    <t>собой</t>
  </si>
  <si>
    <t>разумеется</t>
  </si>
  <si>
    <t>оптимальный</t>
  </si>
  <si>
    <t>вариант</t>
  </si>
  <si>
    <t># text = Нам необходимо начать видоизменять реальный мир, приближая его к игровому.</t>
  </si>
  <si>
    <t>Нам</t>
  </si>
  <si>
    <t>видоизменять</t>
  </si>
  <si>
    <t>приближая</t>
  </si>
  <si>
    <t>игровому</t>
  </si>
  <si>
    <t># text = Итак, я черпаю своё вдохновение из того, что произошло 2 500 лет назад.</t>
  </si>
  <si>
    <t>черпаю</t>
  </si>
  <si>
    <t>вдохновение</t>
  </si>
  <si>
    <t>произошло</t>
  </si>
  <si>
    <t># text = Это старинные игральные кости, изготовленные из овечьей кости.</t>
  </si>
  <si>
    <t>старинные</t>
  </si>
  <si>
    <t>игральные</t>
  </si>
  <si>
    <t>кости</t>
  </si>
  <si>
    <t>изготовленные</t>
  </si>
  <si>
    <t>овечьей</t>
  </si>
  <si>
    <t># text = До того как появились удивительные игровые контроллеры, у нас были овечьи кости.</t>
  </si>
  <si>
    <t>До</t>
  </si>
  <si>
    <t>появились</t>
  </si>
  <si>
    <t>удивительные</t>
  </si>
  <si>
    <t>контроллеры</t>
  </si>
  <si>
    <t>овечьи</t>
  </si>
  <si>
    <t># text = Они представляют собой первое игровое оборудование, сконструированное человеком.</t>
  </si>
  <si>
    <t>представляют</t>
  </si>
  <si>
    <t>первое</t>
  </si>
  <si>
    <t>игровое</t>
  </si>
  <si>
    <t>оборудование</t>
  </si>
  <si>
    <t>сконструированное</t>
  </si>
  <si>
    <t>человеком</t>
  </si>
  <si>
    <t># text = И, если вы знакомы с работой древнегреческого историка Геродота, возможно, вы знаете эту историю.</t>
  </si>
  <si>
    <t>знакомы</t>
  </si>
  <si>
    <t>работой</t>
  </si>
  <si>
    <t>древнегреческого</t>
  </si>
  <si>
    <t>историка</t>
  </si>
  <si>
    <t>Геродота</t>
  </si>
  <si>
    <t>эту</t>
  </si>
  <si>
    <t># text = Это история о том, кто изобрёл игры и зачем.</t>
  </si>
  <si>
    <t>кто</t>
  </si>
  <si>
    <t>изобрёл</t>
  </si>
  <si>
    <t>зачем</t>
  </si>
  <si>
    <t># text = Геродот сказал, что игры, в частности игра в кости, были изобретены в королевстве Лидия во время голода.</t>
  </si>
  <si>
    <t>сказал</t>
  </si>
  <si>
    <t>частности</t>
  </si>
  <si>
    <t>изобретены</t>
  </si>
  <si>
    <t>королевстве</t>
  </si>
  <si>
    <t>Лидия</t>
  </si>
  <si>
    <t>голода</t>
  </si>
  <si>
    <t># text = По-видимому, был такой сильный голод, что король Лидии решил, что придется сделать что-то невообразимое.</t>
  </si>
  <si>
    <t>По-видимому</t>
  </si>
  <si>
    <t>был</t>
  </si>
  <si>
    <t>сильный</t>
  </si>
  <si>
    <t>король</t>
  </si>
  <si>
    <t>Лидии</t>
  </si>
  <si>
    <t>решил</t>
  </si>
  <si>
    <t>придется</t>
  </si>
  <si>
    <t>невообразимое</t>
  </si>
  <si>
    <t># text = Люди страдали, люди воевали.</t>
  </si>
  <si>
    <t>Люди</t>
  </si>
  <si>
    <t>страдали</t>
  </si>
  <si>
    <t>воевали</t>
  </si>
  <si>
    <t># text = Это была экстремальная ситуация.</t>
  </si>
  <si>
    <t>экстремальная</t>
  </si>
  <si>
    <t>ситуация</t>
  </si>
  <si>
    <t># text = Они нуждались в экстремальном решении.</t>
  </si>
  <si>
    <t>нуждались</t>
  </si>
  <si>
    <t>экстремальном</t>
  </si>
  <si>
    <t># text = Согласно Геродоту, они изобрели игру в кости и установили расширенную королевскую политику.</t>
  </si>
  <si>
    <t>Согласно</t>
  </si>
  <si>
    <t>Геродоту</t>
  </si>
  <si>
    <t>изобрели</t>
  </si>
  <si>
    <t>установили</t>
  </si>
  <si>
    <t>расширенную</t>
  </si>
  <si>
    <t>королевскую</t>
  </si>
  <si>
    <t>политику</t>
  </si>
  <si>
    <t># text = Один день все ели.</t>
  </si>
  <si>
    <t>Один</t>
  </si>
  <si>
    <t>ели</t>
  </si>
  <si>
    <t># text = На следующий день — все должны были играть в игры.</t>
  </si>
  <si>
    <t>следующий</t>
  </si>
  <si>
    <t># text = И они были настолько погружены в игру в кости, поскольку игры так затягивают и внедряют в такую приносящую радость творения деятельность, что это помогало им игнорировать факт отсутствия еды.</t>
  </si>
  <si>
    <t>погружены</t>
  </si>
  <si>
    <t>затягивают</t>
  </si>
  <si>
    <t>внедряют</t>
  </si>
  <si>
    <t>приносящую</t>
  </si>
  <si>
    <t>деятельность</t>
  </si>
  <si>
    <t>помогало</t>
  </si>
  <si>
    <t>им</t>
  </si>
  <si>
    <t>игнорировать</t>
  </si>
  <si>
    <t>факт</t>
  </si>
  <si>
    <t>отсутствия</t>
  </si>
  <si>
    <t>еды</t>
  </si>
  <si>
    <t># text = И снова на следующий день они играли, а через день — ели.</t>
  </si>
  <si>
    <t># text = И, как рассказывает Геродот, так они прожили 18 лет.</t>
  </si>
  <si>
    <t>рассказывает</t>
  </si>
  <si>
    <t>прожили</t>
  </si>
  <si>
    <t># text = Выжили в голод, играли и ели через день.</t>
  </si>
  <si>
    <t>Выжили</t>
  </si>
  <si>
    <t># text = Именно для того же сегодня, как мне кажется, мы используем компьютерные игры.</t>
  </si>
  <si>
    <t>мне</t>
  </si>
  <si>
    <t>кажется</t>
  </si>
  <si>
    <t>используем</t>
  </si>
  <si>
    <t>компьютерные</t>
  </si>
  <si>
    <t># text = Мы погружаемся в них, чтобы убежать от проблем реального мира.</t>
  </si>
  <si>
    <t>погружаемся</t>
  </si>
  <si>
    <t>них</t>
  </si>
  <si>
    <t>убежать</t>
  </si>
  <si>
    <t>реального</t>
  </si>
  <si>
    <t># text = Мы используем игры, чтобы отвлечься от всего, что не так в окружающем мире, от всего, что не удовлетворяет в реальной жизни, и мы получаем всё, что нужно из игры.</t>
  </si>
  <si>
    <t>отвлечься</t>
  </si>
  <si>
    <t>окружающем</t>
  </si>
  <si>
    <t>удовлетворяет</t>
  </si>
  <si>
    <t># text = Но не стоит на этом останавливаться.</t>
  </si>
  <si>
    <t>останавливаться</t>
  </si>
  <si>
    <t># text = Это реально впечатляет.</t>
  </si>
  <si>
    <t>впечатляет</t>
  </si>
  <si>
    <t># text = По Геродоту, через 18 лет голод не стал легче, и король решил бросить кости в последний раз.</t>
  </si>
  <si>
    <t>По</t>
  </si>
  <si>
    <t>стал</t>
  </si>
  <si>
    <t>легче</t>
  </si>
  <si>
    <t>последний</t>
  </si>
  <si>
    <t># text = Они разделили всё королевство пополам.</t>
  </si>
  <si>
    <t>разделили</t>
  </si>
  <si>
    <t>королевство</t>
  </si>
  <si>
    <t>пополам</t>
  </si>
  <si>
    <t># text = Они бросили кости, и победители той игры должны были отправиться в эпическое приключение.</t>
  </si>
  <si>
    <t>бросили</t>
  </si>
  <si>
    <t>победители</t>
  </si>
  <si>
    <t>той</t>
  </si>
  <si>
    <t>отправиться</t>
  </si>
  <si>
    <t>эпическое</t>
  </si>
  <si>
    <t># text = Они должны были покинуть Лидию, чтобы найти новое место для жизни, оставив за собой столько людей, сколько могло выжить на имеющихся запасах.</t>
  </si>
  <si>
    <t>покинуть</t>
  </si>
  <si>
    <t>Лидию</t>
  </si>
  <si>
    <t>новое</t>
  </si>
  <si>
    <t>место</t>
  </si>
  <si>
    <t>оставив</t>
  </si>
  <si>
    <t>могло</t>
  </si>
  <si>
    <t>имеющихся</t>
  </si>
  <si>
    <t>запасах</t>
  </si>
  <si>
    <t># text = В надежде найти цивилизацию там, где они смогли бы процветать.</t>
  </si>
  <si>
    <t>надежде</t>
  </si>
  <si>
    <t>цивилизацию</t>
  </si>
  <si>
    <t>процветать</t>
  </si>
  <si>
    <t># text = Звучит странно, так?</t>
  </si>
  <si>
    <t>Звучит</t>
  </si>
  <si>
    <t>странно</t>
  </si>
  <si>
    <t># text = Но недавно ДНК-анализ показал, что этруски, которые привели к созданию римской империи, действительно имеют ДНК, схожую с древними лидийцами.</t>
  </si>
  <si>
    <t>недавно</t>
  </si>
  <si>
    <t>ДНК</t>
  </si>
  <si>
    <t>анализ</t>
  </si>
  <si>
    <t>показал</t>
  </si>
  <si>
    <t>этруски</t>
  </si>
  <si>
    <t>привели</t>
  </si>
  <si>
    <t>созданию</t>
  </si>
  <si>
    <t>римской</t>
  </si>
  <si>
    <t>империи</t>
  </si>
  <si>
    <t>имеют</t>
  </si>
  <si>
    <t>схожую</t>
  </si>
  <si>
    <t>древними</t>
  </si>
  <si>
    <t>лидийцами</t>
  </si>
  <si>
    <t># text = В результате, недавно учёные предположили, что безумная история Геродота произошла на самом деле.</t>
  </si>
  <si>
    <t>учёные</t>
  </si>
  <si>
    <t>предположили</t>
  </si>
  <si>
    <t>безумная</t>
  </si>
  <si>
    <t>произошла</t>
  </si>
  <si>
    <t># text = И геологи нашли подтверждение глобального похолодания, которое длилось приблизительно 20 лет, что могло объяснить голод.</t>
  </si>
  <si>
    <t>геологи</t>
  </si>
  <si>
    <t>нашли</t>
  </si>
  <si>
    <t>подтверждение</t>
  </si>
  <si>
    <t>глобального</t>
  </si>
  <si>
    <t>похолодания</t>
  </si>
  <si>
    <t>длилось</t>
  </si>
  <si>
    <t>приблизительно</t>
  </si>
  <si>
    <t>объяснить</t>
  </si>
  <si>
    <t># text = Возможно, эта невероятная история Возможно, они посредством игр спасли свою культуру.</t>
  </si>
  <si>
    <t>эта</t>
  </si>
  <si>
    <t>невероятная</t>
  </si>
  <si>
    <t>посредством</t>
  </si>
  <si>
    <t>спасли</t>
  </si>
  <si>
    <t>культуру</t>
  </si>
  <si>
    <t># text = Отвлекаясь от всех бед на игры в течение 18 лет, они впоследствии были настолько воодушевлены и столько почерпнули из игр о силе единства, что позволило им спасти целую цивилизацию.</t>
  </si>
  <si>
    <t>Отвлекаясь</t>
  </si>
  <si>
    <t>бед</t>
  </si>
  <si>
    <t>течение</t>
  </si>
  <si>
    <t>впоследствии</t>
  </si>
  <si>
    <t>почерпнули</t>
  </si>
  <si>
    <t>силе</t>
  </si>
  <si>
    <t>единства</t>
  </si>
  <si>
    <t>позволило</t>
  </si>
  <si>
    <t>целую</t>
  </si>
  <si>
    <t># text = Хорошо, и мы так можем.</t>
  </si>
  <si>
    <t>можем</t>
  </si>
  <si>
    <t># text = Мы играем в Варкрафт с 1994 года.</t>
  </si>
  <si>
    <t>Варкрафт</t>
  </si>
  <si>
    <t>1994</t>
  </si>
  <si>
    <t># text = Это была первая игра-стратегия в реальном времени из серии Мира Варкрафта.</t>
  </si>
  <si>
    <t>первая</t>
  </si>
  <si>
    <t>игра-стратегия</t>
  </si>
  <si>
    <t>серии</t>
  </si>
  <si>
    <t># text = Это было 16 лет назад.</t>
  </si>
  <si>
    <t># text = Они играли в кости 18 лет, а мы играем в Варкрафт 16 лет.</t>
  </si>
  <si>
    <t># text = И я говорю, что мы готовы к нашей собственной эпической игре.</t>
  </si>
  <si>
    <t>говорю</t>
  </si>
  <si>
    <t>нашей</t>
  </si>
  <si>
    <t>собственной</t>
  </si>
  <si>
    <t># text = Они отправили половину цивилизации на поиски нового мира.</t>
  </si>
  <si>
    <t>отправили</t>
  </si>
  <si>
    <t>половину</t>
  </si>
  <si>
    <t>цивилизации</t>
  </si>
  <si>
    <t>поиски</t>
  </si>
  <si>
    <t>нового</t>
  </si>
  <si>
    <t># text = Вот откуда я взяла эти 21 миллиард часов в неделю на игры.</t>
  </si>
  <si>
    <t>откуда</t>
  </si>
  <si>
    <t>взяла</t>
  </si>
  <si>
    <t># text = Давайте наберем половину нашего населения, которая согласиться проводить за играми час в сутки, пока мы не решим проблемы реального мира.</t>
  </si>
  <si>
    <t>Давайте</t>
  </si>
  <si>
    <t>наберем</t>
  </si>
  <si>
    <t>нашего</t>
  </si>
  <si>
    <t>населения</t>
  </si>
  <si>
    <t>согласиться</t>
  </si>
  <si>
    <t>сутки</t>
  </si>
  <si>
    <t>решим</t>
  </si>
  <si>
    <t># text = Я знаю, сейчас вы спросите: «Как мы собираемся решить проблемы настоящего мира в играх?» Ну, так этому и посвящена моя работа в течение последних некольких лет в Институте Будущего.</t>
  </si>
  <si>
    <t>знаю</t>
  </si>
  <si>
    <t>спросите</t>
  </si>
  <si>
    <t>«Как</t>
  </si>
  <si>
    <t>собираемся</t>
  </si>
  <si>
    <t>настоящего</t>
  </si>
  <si>
    <t>»</t>
  </si>
  <si>
    <t>Ну</t>
  </si>
  <si>
    <t>этому</t>
  </si>
  <si>
    <t>посвящена</t>
  </si>
  <si>
    <t>последних</t>
  </si>
  <si>
    <t>некольких</t>
  </si>
  <si>
    <t>Будущего</t>
  </si>
  <si>
    <t># text = Вот это плакат из нашего офиса в Пало Альто, который выражает, как, на наш взгляд, мы должны относиться к будущему.</t>
  </si>
  <si>
    <t>плакат</t>
  </si>
  <si>
    <t>офиса</t>
  </si>
  <si>
    <t>Альто</t>
  </si>
  <si>
    <t>выражает</t>
  </si>
  <si>
    <t>наш</t>
  </si>
  <si>
    <t>взгляд</t>
  </si>
  <si>
    <t>относиться</t>
  </si>
  <si>
    <t>будущему</t>
  </si>
  <si>
    <t># text = Мы не хотим предсказывать будущее.</t>
  </si>
  <si>
    <t>предсказывать</t>
  </si>
  <si>
    <t># text = Мы хотим создавать будущее.</t>
  </si>
  <si>
    <t># text = Мы хотим представить лучший возможный сценарий, а затем, мы хотим дать возможность людям сделать этот сценарий реальностью.</t>
  </si>
  <si>
    <t>лучший</t>
  </si>
  <si>
    <t>возможный</t>
  </si>
  <si>
    <t>сценарий</t>
  </si>
  <si>
    <t>затем</t>
  </si>
  <si>
    <t>дать</t>
  </si>
  <si>
    <t>возможность</t>
  </si>
  <si>
    <t>людям</t>
  </si>
  <si>
    <t>этот</t>
  </si>
  <si>
    <t>реальностью</t>
  </si>
  <si>
    <t># text = Мы хотим представлять эпические победы, и затем давать людям возможности одерживать эпические победы.</t>
  </si>
  <si>
    <t>эпические</t>
  </si>
  <si>
    <t>одерживать</t>
  </si>
  <si>
    <t># text = Я хочу очень кратко показать три игры, которые я создала, в попытка дать людям возможность создать эпическую победу в их собственном будущем.</t>
  </si>
  <si>
    <t>хочу</t>
  </si>
  <si>
    <t>кратко</t>
  </si>
  <si>
    <t>создала</t>
  </si>
  <si>
    <t>попытка</t>
  </si>
  <si>
    <t>создать</t>
  </si>
  <si>
    <t>собственном</t>
  </si>
  <si>
    <t>будущем</t>
  </si>
  <si>
    <t># text = Итак, это Мир Без Нефти.</t>
  </si>
  <si>
    <t>Нефти</t>
  </si>
  <si>
    <t># text = Мы сделали эту игру в 2007-м.</t>
  </si>
  <si>
    <t>сделали</t>
  </si>
  <si>
    <t>2007-м</t>
  </si>
  <si>
    <t># text = Это онлайн игра, в которой вы пытаетесь выжить при недостатке нефти.</t>
  </si>
  <si>
    <t>пытаетесь</t>
  </si>
  <si>
    <t>недостатке</t>
  </si>
  <si>
    <t>нефти</t>
  </si>
  <si>
    <t># text = Нехватка нефти вымышленная, но мы вложили большое количество онлайн контента чтобы вы поверили, что это реально, и жили вашей обычной жизнью, как если бы нефть закончилась.</t>
  </si>
  <si>
    <t>Нехватка</t>
  </si>
  <si>
    <t>вымышленная</t>
  </si>
  <si>
    <t>вложили</t>
  </si>
  <si>
    <t>большое</t>
  </si>
  <si>
    <t>контента</t>
  </si>
  <si>
    <t>поверили</t>
  </si>
  <si>
    <t>жили</t>
  </si>
  <si>
    <t>вашей</t>
  </si>
  <si>
    <t>обычной</t>
  </si>
  <si>
    <t>жизнью</t>
  </si>
  <si>
    <t>нефть</t>
  </si>
  <si>
    <t>закончилась</t>
  </si>
  <si>
    <t># text = Когда вы входите в игру, вы регистрируетесь, говорите нам где живёте, и мы вам даём видео-новости реального времени, новостные каналы, которые показывают вам точные цены на нефть, доступность товаров, изменения по доставке продуктов питания, перевозок, работу школ и наличие беспорядков.</t>
  </si>
  <si>
    <t>входите</t>
  </si>
  <si>
    <t>регистрируетесь</t>
  </si>
  <si>
    <t>говорите</t>
  </si>
  <si>
    <t>живёте</t>
  </si>
  <si>
    <t>даём</t>
  </si>
  <si>
    <t>видео-</t>
  </si>
  <si>
    <t>новости</t>
  </si>
  <si>
    <t>новостные</t>
  </si>
  <si>
    <t>каналы</t>
  </si>
  <si>
    <t>точные</t>
  </si>
  <si>
    <t>цены</t>
  </si>
  <si>
    <t>доступность</t>
  </si>
  <si>
    <t>товаров</t>
  </si>
  <si>
    <t>изменения</t>
  </si>
  <si>
    <t>доставке</t>
  </si>
  <si>
    <t>продуктов</t>
  </si>
  <si>
    <t>питания</t>
  </si>
  <si>
    <t>перевозок</t>
  </si>
  <si>
    <t>школ</t>
  </si>
  <si>
    <t>наличие</t>
  </si>
  <si>
    <t>беспорядков</t>
  </si>
  <si>
    <t># text = И вам приходится решать, как бы вы жили, если бы это было правдой.</t>
  </si>
  <si>
    <t>приходится</t>
  </si>
  <si>
    <t>правдой</t>
  </si>
  <si>
    <t># text = И мы просим писать об этом в блогах, размещать об этом видео, выставлять фото.</t>
  </si>
  <si>
    <t>просим</t>
  </si>
  <si>
    <t>писать</t>
  </si>
  <si>
    <t>блогах</t>
  </si>
  <si>
    <t>размещать</t>
  </si>
  <si>
    <t>видео</t>
  </si>
  <si>
    <t>выставлять</t>
  </si>
  <si>
    <t># text = Мы начинали эту игру с 1700 игроками в 2007-м.</t>
  </si>
  <si>
    <t>начинали</t>
  </si>
  <si>
    <t>1700</t>
  </si>
  <si>
    <t>игроками</t>
  </si>
  <si>
    <t># text = Мы следили за ними три года.</t>
  </si>
  <si>
    <t>следили</t>
  </si>
  <si>
    <t>ними</t>
  </si>
  <si>
    <t># text = Могу вам сказать, что это был трансформирующий эксперимент.</t>
  </si>
  <si>
    <t>Могу</t>
  </si>
  <si>
    <t>трансформирующий</t>
  </si>
  <si>
    <t>эксперимент</t>
  </si>
  <si>
    <t># text = Никто не хочет менять свой образ жизни просто потому, что это хорошо для мира или потому, что так надо.</t>
  </si>
  <si>
    <t>хочет</t>
  </si>
  <si>
    <t>менять</t>
  </si>
  <si>
    <t>свой</t>
  </si>
  <si>
    <t>образ</t>
  </si>
  <si>
    <t>надо</t>
  </si>
  <si>
    <t># text = Но если вы погрузите их в эпическое приключение и скажете им: «У нас кончилась нефть».</t>
  </si>
  <si>
    <t>погрузите</t>
  </si>
  <si>
    <t>скажете</t>
  </si>
  <si>
    <t>«У</t>
  </si>
  <si>
    <t>кончилась</t>
  </si>
  <si>
    <t>нефть»</t>
  </si>
  <si>
    <t># text = Невероятная история и достаточно заманчивое для участия приключение.</t>
  </si>
  <si>
    <t>Невероятная</t>
  </si>
  <si>
    <t>достаточно</t>
  </si>
  <si>
    <t>заманчивое</t>
  </si>
  <si>
    <t>участия</t>
  </si>
  <si>
    <t># text = Испытайте себя, чтобы посмотреть, как бы вы справились.</t>
  </si>
  <si>
    <t>Испытайте</t>
  </si>
  <si>
    <t>посмотреть</t>
  </si>
  <si>
    <t>справились</t>
  </si>
  <si>
    <t># text = Большинство наших игроков сохранило привычки, которые они приобрели в этой игре.</t>
  </si>
  <si>
    <t>Большинство</t>
  </si>
  <si>
    <t>наших</t>
  </si>
  <si>
    <t>игроков</t>
  </si>
  <si>
    <t>сохранило</t>
  </si>
  <si>
    <t>привычки</t>
  </si>
  <si>
    <t>приобрели</t>
  </si>
  <si>
    <t># text = Для следующей игры, где можно спасти мир, мы подняли планку, нашли проблему побольше, чем просто нехватка нефти.</t>
  </si>
  <si>
    <t>подняли</t>
  </si>
  <si>
    <t>планку</t>
  </si>
  <si>
    <t>проблему</t>
  </si>
  <si>
    <t>побольше</t>
  </si>
  <si>
    <t>нехватка</t>
  </si>
  <si>
    <t># text = Мы разработали игру под названием «Надстройка» В качестве предпосылки, суперкомпьютер подсчитал, что человечеству осталось лишь 23 года на этой планете.</t>
  </si>
  <si>
    <t>разработали</t>
  </si>
  <si>
    <t>под</t>
  </si>
  <si>
    <t>названием</t>
  </si>
  <si>
    <t>«Надстройка»</t>
  </si>
  <si>
    <t>качестве</t>
  </si>
  <si>
    <t>предпосылки</t>
  </si>
  <si>
    <t>суперкомпьютер</t>
  </si>
  <si>
    <t>подсчитал</t>
  </si>
  <si>
    <t>человечеству</t>
  </si>
  <si>
    <t>осталось</t>
  </si>
  <si>
    <t># text = Компьютер назвали Глобальным Вымиранием, осведомлённая система, конечно.</t>
  </si>
  <si>
    <t>Компьютер</t>
  </si>
  <si>
    <t>назвали</t>
  </si>
  <si>
    <t>Глобальным</t>
  </si>
  <si>
    <t>Вымиранием</t>
  </si>
  <si>
    <t>осведомлённая</t>
  </si>
  <si>
    <t>система</t>
  </si>
  <si>
    <t># text = Мы просили людей войти в онлайн режим, почти как в фильме Джерри Брукхаймера.</t>
  </si>
  <si>
    <t>просили</t>
  </si>
  <si>
    <t>войти</t>
  </si>
  <si>
    <t>режим</t>
  </si>
  <si>
    <t>почти</t>
  </si>
  <si>
    <t>фильме</t>
  </si>
  <si>
    <t>Джерри</t>
  </si>
  <si>
    <t>Брукхаймера</t>
  </si>
  <si>
    <t># text = Вы знаете, фильмы Джерри Брукхаймера, где создаёшь команду мечты.</t>
  </si>
  <si>
    <t>фильмы</t>
  </si>
  <si>
    <t>создаёшь</t>
  </si>
  <si>
    <t>команду</t>
  </si>
  <si>
    <t>мечты</t>
  </si>
  <si>
    <t># text = Есть астронавт, учёный, бывший заключённый — и все они работают ради спасения мира.</t>
  </si>
  <si>
    <t>астронавт</t>
  </si>
  <si>
    <t>учёный</t>
  </si>
  <si>
    <t>бывший</t>
  </si>
  <si>
    <t>заключённый</t>
  </si>
  <si>
    <t>ради</t>
  </si>
  <si>
    <t>спасения</t>
  </si>
  <si>
    <t># text = Но в нашей игре, вместо того, чтобы иметь пятерых в команде, мы сказали, что все входят в её состав, и теперь вашей задачей является создание будущего для энергии, продуктов питания, здоровья, безопасности, и будущего для сети социальной защиты.</t>
  </si>
  <si>
    <t>вместо</t>
  </si>
  <si>
    <t>пятерых</t>
  </si>
  <si>
    <t>команде</t>
  </si>
  <si>
    <t>сказали</t>
  </si>
  <si>
    <t>входят</t>
  </si>
  <si>
    <t>состав</t>
  </si>
  <si>
    <t>задачей</t>
  </si>
  <si>
    <t>является</t>
  </si>
  <si>
    <t>создание</t>
  </si>
  <si>
    <t>здоровья</t>
  </si>
  <si>
    <t>безопасности</t>
  </si>
  <si>
    <t>сети</t>
  </si>
  <si>
    <t>защиты</t>
  </si>
  <si>
    <t># text = 8 тысяч людей участвовали в игре 8 недель.</t>
  </si>
  <si>
    <t>участвовали</t>
  </si>
  <si>
    <t>недель</t>
  </si>
  <si>
    <t># text = Они внесли 500 невероятно творческих решений, так что можете поискать в Гугле «Superstruct», сами увидите.</t>
  </si>
  <si>
    <t>внесли</t>
  </si>
  <si>
    <t>творческих</t>
  </si>
  <si>
    <t>решений</t>
  </si>
  <si>
    <t>поискать</t>
  </si>
  <si>
    <t>Гугле</t>
  </si>
  <si>
    <t>«Superstruct»</t>
  </si>
  <si>
    <t>сами</t>
  </si>
  <si>
    <t>увидите</t>
  </si>
  <si>
    <t># text = И наконец, последняя игра.</t>
  </si>
  <si>
    <t>последняя</t>
  </si>
  <si>
    <t># text = Мы начинаем 3-его марта.</t>
  </si>
  <si>
    <t>начинаем</t>
  </si>
  <si>
    <t>3-его</t>
  </si>
  <si>
    <t>марта</t>
  </si>
  <si>
    <t># text = Эта игра одобрена Институтом Всемирного Банка.</t>
  </si>
  <si>
    <t>Эта</t>
  </si>
  <si>
    <t>одобрена</t>
  </si>
  <si>
    <t>Институтом</t>
  </si>
  <si>
    <t>Всемирного</t>
  </si>
  <si>
    <t>Банка</t>
  </si>
  <si>
    <t># text = Если вы пройдете игру до конца, то получите сертификат от Института Всемирного Банка, как Социальный Инноватор выпуска 2010 года.</t>
  </si>
  <si>
    <t>пройдете</t>
  </si>
  <si>
    <t>получите</t>
  </si>
  <si>
    <t>сертификат</t>
  </si>
  <si>
    <t>Института</t>
  </si>
  <si>
    <t>Социальный</t>
  </si>
  <si>
    <t>Инноватор</t>
  </si>
  <si>
    <t>выпуска</t>
  </si>
  <si>
    <t>2010</t>
  </si>
  <si>
    <t># text = Работая с университетами Южно-Африканских стран, мы приглашаем их развивать социальные инновационные навыки, Мы создали комикс.</t>
  </si>
  <si>
    <t>Работая</t>
  </si>
  <si>
    <t>университетами</t>
  </si>
  <si>
    <t>Южно-Африканских</t>
  </si>
  <si>
    <t>стран</t>
  </si>
  <si>
    <t>приглашаем</t>
  </si>
  <si>
    <t>развивать</t>
  </si>
  <si>
    <t>инновационные</t>
  </si>
  <si>
    <t>навыки</t>
  </si>
  <si>
    <t>создали</t>
  </si>
  <si>
    <t>комикс</t>
  </si>
  <si>
    <t># text = Мы наметили положительную тенденцию в развитии таких навыков, как понимание окружения, распределение знаний, устойчивое развитие, видение и находчивость.</t>
  </si>
  <si>
    <t>наметили</t>
  </si>
  <si>
    <t>положительную</t>
  </si>
  <si>
    <t>тенденцию</t>
  </si>
  <si>
    <t>развитии</t>
  </si>
  <si>
    <t>навыков</t>
  </si>
  <si>
    <t>понимание</t>
  </si>
  <si>
    <t>окружения</t>
  </si>
  <si>
    <t>распределение</t>
  </si>
  <si>
    <t>знаний</t>
  </si>
  <si>
    <t>устойчивое</t>
  </si>
  <si>
    <t>развитие</t>
  </si>
  <si>
    <t>видение</t>
  </si>
  <si>
    <t>находчивость</t>
  </si>
  <si>
    <t># text = Я хочу пригласить всех вас, пожалуйста, расскажите молодым людям об этой игре, где угодно в мире, особенно в развивающихся странах, тем, кто может получить пользу от объединения для того, чтобы начать представлять свои собственные социальные организации для спасения мира.</t>
  </si>
  <si>
    <t>пригласить</t>
  </si>
  <si>
    <t>пожалуйста</t>
  </si>
  <si>
    <t>расскажите</t>
  </si>
  <si>
    <t>молодым</t>
  </si>
  <si>
    <t>угодно</t>
  </si>
  <si>
    <t>развивающихся</t>
  </si>
  <si>
    <t>странах</t>
  </si>
  <si>
    <t>пользу</t>
  </si>
  <si>
    <t>OBJ_8</t>
  </si>
  <si>
    <t>объединения</t>
  </si>
  <si>
    <t>other_9</t>
  </si>
  <si>
    <t>свои</t>
  </si>
  <si>
    <t>собственные</t>
  </si>
  <si>
    <t>организации</t>
  </si>
  <si>
    <t>OBJ_12</t>
  </si>
  <si>
    <t># text = Я собираюсь обобщить сказанное, хочу задать вопрос: «Как вы думаете, что произойдёт дальше?» У нас есть все эти замечательные геймеры, у нас есть эти игры-прототипы наших будущих действий, но они пока не спасли мир.</t>
  </si>
  <si>
    <t>собираюсь</t>
  </si>
  <si>
    <t>обобщить</t>
  </si>
  <si>
    <t>сказанное</t>
  </si>
  <si>
    <t>задать</t>
  </si>
  <si>
    <t>думаете</t>
  </si>
  <si>
    <t>произойдёт</t>
  </si>
  <si>
    <t>дальше</t>
  </si>
  <si>
    <t>замечательные</t>
  </si>
  <si>
    <t>SBJ_8</t>
  </si>
  <si>
    <t>прототипы</t>
  </si>
  <si>
    <t>other_10</t>
  </si>
  <si>
    <t>будущих</t>
  </si>
  <si>
    <t>действий</t>
  </si>
  <si>
    <t>SBJ_10</t>
  </si>
  <si>
    <t>OBJ_10</t>
  </si>
  <si>
    <t># text = Думаю, вы все со мной согласитесь что геймеры — это человеческие ресурсы, которые мы можем использовать для работы в реальном мире, и то, что сами игры — это мощная платформа для перемен.</t>
  </si>
  <si>
    <t>Думаю</t>
  </si>
  <si>
    <t>мной</t>
  </si>
  <si>
    <t>согласитесь</t>
  </si>
  <si>
    <t>ресурсы</t>
  </si>
  <si>
    <t>мощная</t>
  </si>
  <si>
    <t>платформа</t>
  </si>
  <si>
    <t>перемен</t>
  </si>
  <si>
    <t># text = У нас есть эти невероятные «суперсилы»: радость творения, возможность плетения плотной социальной структуры, этот упорный оптимизм и желание обрести эпическую значимость.</t>
  </si>
  <si>
    <t>невероятные</t>
  </si>
  <si>
    <t>обрести</t>
  </si>
  <si>
    <t># text = Я правда надеюсь, что мы можем начать вместе играть в важные игры, чтобы выжить на этой планете ещё столетие.</t>
  </si>
  <si>
    <t>надеюсь</t>
  </si>
  <si>
    <t>вместе</t>
  </si>
  <si>
    <t>столетие</t>
  </si>
  <si>
    <t># text = Я надеюсь, что вы поддержите меня в создании игр, подобных этой.</t>
  </si>
  <si>
    <t>поддержите</t>
  </si>
  <si>
    <t>создании</t>
  </si>
  <si>
    <t>подобных</t>
  </si>
  <si>
    <t># text = Я с нетерпением жду следующего десятилетия.</t>
  </si>
  <si>
    <t>нетерпением</t>
  </si>
  <si>
    <t>жду</t>
  </si>
  <si>
    <t># text = Я знаю две вещи наверняка: мы можем создать любое будущее, какое пожелаем, и мы можем играть в любую игру, в какую захотим.</t>
  </si>
  <si>
    <t>две</t>
  </si>
  <si>
    <t>вещи</t>
  </si>
  <si>
    <t>наверняка</t>
  </si>
  <si>
    <t>любое</t>
  </si>
  <si>
    <t>какое</t>
  </si>
  <si>
    <t>пожелаем</t>
  </si>
  <si>
    <t>любую</t>
  </si>
  <si>
    <t>какую</t>
  </si>
  <si>
    <t>захотим</t>
  </si>
  <si>
    <t># text = Скажу так: «Да начнутся игры, меняющие мир».</t>
  </si>
  <si>
    <t>Скажу</t>
  </si>
  <si>
    <t>«Да</t>
  </si>
  <si>
    <t>начнутся</t>
  </si>
  <si>
    <t>меняющие</t>
  </si>
  <si>
    <t>мир»</t>
  </si>
  <si>
    <t># text = Спасибо!</t>
  </si>
  <si>
    <t>Спасибо</t>
  </si>
  <si>
    <t># text = (Аплодисменты)</t>
  </si>
  <si>
    <t>Аплодисменты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</si>
</sst>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19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27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23</v>
      </c>
      <c r="C7" s="6" t="s">
        <v>12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23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40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27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23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11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40</v>
      </c>
      <c r="B14" s="6" t="s">
        <v>31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19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23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11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45</v>
      </c>
      <c r="B18" s="6" t="s">
        <v>11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19</v>
      </c>
      <c r="C19" s="6" t="s">
        <v>80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27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11</v>
      </c>
      <c r="C22" s="6" t="s">
        <v>12</v>
      </c>
      <c r="D22" s="7" t="s">
        <v>73</v>
      </c>
      <c r="E22" s="8" t="s">
        <v>74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23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11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11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27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39</v>
      </c>
      <c r="C27" s="6" t="s">
        <v>12</v>
      </c>
      <c r="D27" s="7" t="s">
        <v>36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27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35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11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39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10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27</v>
      </c>
      <c r="C33" s="6" t="s">
        <v>12</v>
      </c>
      <c r="D33" s="7" t="s">
        <v>28</v>
      </c>
      <c r="E33" s="8" t="s">
        <v>134</v>
      </c>
      <c r="F33" s="6" t="s">
        <v>135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136</v>
      </c>
      <c r="B34" s="6" t="s">
        <v>23</v>
      </c>
      <c r="C34" s="6" t="s">
        <v>12</v>
      </c>
      <c r="D34" s="7" t="s">
        <v>137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11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35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11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11</v>
      </c>
      <c r="C38" s="6" t="s">
        <v>12</v>
      </c>
      <c r="D38" s="7" t="s">
        <v>122</v>
      </c>
      <c r="E38" s="8" t="s">
        <v>153</v>
      </c>
      <c r="F38" s="6" t="s">
        <v>154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155</v>
      </c>
      <c r="B39" s="6" t="s">
        <v>19</v>
      </c>
      <c r="C39" s="6" t="s">
        <v>12</v>
      </c>
      <c r="D39" s="7" t="s">
        <v>156</v>
      </c>
      <c r="E39" s="8" t="s">
        <v>157</v>
      </c>
      <c r="F39" s="6" t="s">
        <v>158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159</v>
      </c>
      <c r="B40" s="6" t="s">
        <v>10</v>
      </c>
      <c r="C40" s="6" t="s">
        <v>12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163</v>
      </c>
      <c r="B41" s="6" t="s">
        <v>88</v>
      </c>
      <c r="C41" s="6" t="s">
        <v>12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19</v>
      </c>
      <c r="C42" s="6" t="s">
        <v>12</v>
      </c>
      <c r="D42" s="7" t="s">
        <v>160</v>
      </c>
      <c r="E42" s="8" t="s">
        <v>168</v>
      </c>
      <c r="F42" s="6" t="s">
        <v>169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170</v>
      </c>
      <c r="B43" s="6" t="s">
        <v>19</v>
      </c>
      <c r="C43" s="6" t="s">
        <v>12</v>
      </c>
      <c r="D43" s="7" t="s">
        <v>171</v>
      </c>
      <c r="E43" s="8" t="s">
        <v>172</v>
      </c>
      <c r="F43" s="6" t="s">
        <v>173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174</v>
      </c>
      <c r="B44" s="6" t="s">
        <v>10</v>
      </c>
      <c r="C44" s="6" t="s">
        <v>12</v>
      </c>
      <c r="D44" s="7" t="s">
        <v>175</v>
      </c>
      <c r="E44" s="8" t="s">
        <v>176</v>
      </c>
      <c r="F44" s="6" t="s">
        <v>177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178</v>
      </c>
      <c r="B45" s="6" t="s">
        <v>10</v>
      </c>
      <c r="C45" s="6" t="s">
        <v>12</v>
      </c>
      <c r="D45" s="7" t="s">
        <v>130</v>
      </c>
      <c r="E45" s="8" t="s">
        <v>131</v>
      </c>
      <c r="F45" s="6" t="s">
        <v>179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180</v>
      </c>
      <c r="B46" s="6" t="s">
        <v>31</v>
      </c>
      <c r="C46" s="6" t="s">
        <v>12</v>
      </c>
      <c r="D46" s="7" t="s">
        <v>171</v>
      </c>
      <c r="E46" s="8" t="s">
        <v>181</v>
      </c>
      <c r="F46" s="6" t="s">
        <v>182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183</v>
      </c>
      <c r="B47" s="6" t="s">
        <v>11</v>
      </c>
      <c r="C47" s="6" t="s">
        <v>12</v>
      </c>
      <c r="D47" s="7" t="s">
        <v>184</v>
      </c>
      <c r="E47" s="8" t="s">
        <v>185</v>
      </c>
      <c r="F47" s="6" t="s">
        <v>186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187</v>
      </c>
      <c r="B48" s="6" t="s">
        <v>11</v>
      </c>
      <c r="C48" s="6" t="s">
        <v>12</v>
      </c>
      <c r="D48" s="7" t="s">
        <v>188</v>
      </c>
      <c r="E48" s="8" t="s">
        <v>189</v>
      </c>
      <c r="F48" s="6" t="s">
        <v>190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191</v>
      </c>
      <c r="B49" s="6" t="s">
        <v>11</v>
      </c>
      <c r="C49" s="6" t="s">
        <v>12</v>
      </c>
      <c r="D49" s="7" t="s">
        <v>192</v>
      </c>
      <c r="E49" s="8" t="s">
        <v>193</v>
      </c>
      <c r="F49" s="6" t="s">
        <v>194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195</v>
      </c>
      <c r="B50" s="6" t="s">
        <v>27</v>
      </c>
      <c r="C50" s="6" t="s">
        <v>196</v>
      </c>
      <c r="D50" s="7" t="s">
        <v>130</v>
      </c>
      <c r="E50" s="8" t="s">
        <v>197</v>
      </c>
      <c r="F50" s="6" t="s">
        <v>198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199</v>
      </c>
      <c r="B51" s="6" t="s">
        <v>19</v>
      </c>
      <c r="C51" s="6" t="s">
        <v>12</v>
      </c>
      <c r="D51" s="7" t="s">
        <v>200</v>
      </c>
      <c r="E51" s="8" t="s">
        <v>201</v>
      </c>
      <c r="F51" s="6" t="s">
        <v>202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203</v>
      </c>
      <c r="B52" s="6" t="s">
        <v>19</v>
      </c>
      <c r="C52" s="6" t="s">
        <v>12</v>
      </c>
      <c r="D52" s="7" t="s">
        <v>130</v>
      </c>
      <c r="E52" s="8" t="s">
        <v>204</v>
      </c>
      <c r="F52" s="6" t="s">
        <v>205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206</v>
      </c>
      <c r="B53" s="6" t="s">
        <v>44</v>
      </c>
      <c r="C53" s="6" t="s">
        <v>12</v>
      </c>
      <c r="D53" s="7" t="s">
        <v>207</v>
      </c>
      <c r="E53" s="8" t="s">
        <v>208</v>
      </c>
      <c r="F53" s="6" t="s">
        <v>209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210</v>
      </c>
      <c r="B54" s="6" t="s">
        <v>11</v>
      </c>
      <c r="C54" s="6" t="s">
        <v>12</v>
      </c>
      <c r="D54" s="7" t="s">
        <v>211</v>
      </c>
      <c r="E54" s="8" t="s">
        <v>212</v>
      </c>
      <c r="F54" s="6" t="s">
        <v>213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214</v>
      </c>
      <c r="B55" s="6" t="s">
        <v>11</v>
      </c>
      <c r="C55" s="6" t="s">
        <v>12</v>
      </c>
      <c r="D55" s="7" t="s">
        <v>192</v>
      </c>
      <c r="E55" s="8" t="s">
        <v>215</v>
      </c>
      <c r="F55" s="6" t="s">
        <v>216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217</v>
      </c>
      <c r="B56" s="6" t="s">
        <v>11</v>
      </c>
      <c r="C56" s="6" t="s">
        <v>12</v>
      </c>
      <c r="D56" s="7" t="s">
        <v>218</v>
      </c>
      <c r="E56" s="8" t="s">
        <v>219</v>
      </c>
      <c r="F56" s="6" t="s">
        <v>220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221</v>
      </c>
      <c r="B57" s="6" t="s">
        <v>11</v>
      </c>
      <c r="C57" s="6" t="s">
        <v>12</v>
      </c>
      <c r="D57" s="7" t="s">
        <v>222</v>
      </c>
      <c r="E57" s="8" t="s">
        <v>223</v>
      </c>
      <c r="F57" s="6" t="s">
        <v>224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225</v>
      </c>
      <c r="B58" s="6" t="s">
        <v>23</v>
      </c>
      <c r="C58" s="6" t="s">
        <v>12</v>
      </c>
      <c r="D58" s="7" t="s">
        <v>226</v>
      </c>
      <c r="E58" s="8" t="s">
        <v>227</v>
      </c>
      <c r="F58" s="6" t="s">
        <v>228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229</v>
      </c>
      <c r="B59" s="6" t="s">
        <v>27</v>
      </c>
      <c r="C59" s="6" t="s">
        <v>12</v>
      </c>
      <c r="D59" s="7" t="s">
        <v>99</v>
      </c>
      <c r="E59" s="8" t="s">
        <v>230</v>
      </c>
      <c r="F59" s="6" t="s">
        <v>231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232</v>
      </c>
      <c r="B60" s="6" t="s">
        <v>27</v>
      </c>
      <c r="C60" s="6" t="s">
        <v>12</v>
      </c>
      <c r="D60" s="7" t="s">
        <v>233</v>
      </c>
      <c r="E60" s="8" t="s">
        <v>234</v>
      </c>
      <c r="F60" s="6" t="s">
        <v>235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236</v>
      </c>
      <c r="B61" s="6" t="s">
        <v>23</v>
      </c>
      <c r="C61" s="6" t="s">
        <v>12</v>
      </c>
      <c r="D61" s="7" t="s">
        <v>237</v>
      </c>
      <c r="E61" s="8" t="s">
        <v>238</v>
      </c>
      <c r="F61" s="6" t="s">
        <v>239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240</v>
      </c>
      <c r="B62" s="6" t="s">
        <v>68</v>
      </c>
      <c r="C62" s="6" t="s">
        <v>12</v>
      </c>
      <c r="D62" s="7" t="s">
        <v>241</v>
      </c>
      <c r="E62" s="8" t="s">
        <v>242</v>
      </c>
      <c r="F62" s="6" t="s">
        <v>243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244</v>
      </c>
      <c r="B63" s="6" t="s">
        <v>19</v>
      </c>
      <c r="C63" s="6" t="s">
        <v>12</v>
      </c>
      <c r="D63" s="7" t="s">
        <v>245</v>
      </c>
      <c r="E63" s="8" t="s">
        <v>246</v>
      </c>
      <c r="F63" s="6" t="s">
        <v>247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248</v>
      </c>
      <c r="B64" s="6" t="s">
        <v>35</v>
      </c>
      <c r="C64" s="6" t="s">
        <v>12</v>
      </c>
      <c r="D64" s="7" t="s">
        <v>249</v>
      </c>
      <c r="E64" s="8" t="s">
        <v>250</v>
      </c>
      <c r="F64" s="6" t="s">
        <v>251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252</v>
      </c>
      <c r="B65" s="6" t="s">
        <v>23</v>
      </c>
      <c r="C65" s="6" t="s">
        <v>12</v>
      </c>
      <c r="D65" s="7" t="s">
        <v>253</v>
      </c>
      <c r="E65" s="8" t="s">
        <v>254</v>
      </c>
      <c r="F65" s="6" t="s">
        <v>255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256</v>
      </c>
      <c r="B66" s="6" t="s">
        <v>10</v>
      </c>
      <c r="C66" s="6" t="s">
        <v>12</v>
      </c>
      <c r="D66" s="7" t="s">
        <v>257</v>
      </c>
      <c r="E66" s="8" t="s">
        <v>258</v>
      </c>
      <c r="F66" s="6" t="s">
        <v>259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260</v>
      </c>
      <c r="B67" s="6" t="s">
        <v>27</v>
      </c>
      <c r="C67" s="6" t="s">
        <v>12</v>
      </c>
      <c r="D67" s="7" t="s">
        <v>36</v>
      </c>
      <c r="E67" s="8" t="s">
        <v>261</v>
      </c>
      <c r="F67" s="6" t="s">
        <v>262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263</v>
      </c>
      <c r="B68" s="6" t="s">
        <v>23</v>
      </c>
      <c r="C68" s="6" t="s">
        <v>12</v>
      </c>
      <c r="D68" s="7" t="s">
        <v>264</v>
      </c>
      <c r="E68" s="8" t="s">
        <v>265</v>
      </c>
      <c r="F68" s="6" t="s">
        <v>266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267</v>
      </c>
      <c r="B69" s="6" t="s">
        <v>23</v>
      </c>
      <c r="C69" s="6" t="s">
        <v>12</v>
      </c>
      <c r="D69" s="7" t="s">
        <v>268</v>
      </c>
      <c r="E69" s="8" t="s">
        <v>269</v>
      </c>
      <c r="F69" s="6" t="s">
        <v>270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271</v>
      </c>
      <c r="B70" s="6" t="s">
        <v>11</v>
      </c>
      <c r="C70" s="6" t="s">
        <v>12</v>
      </c>
      <c r="D70" s="7" t="s">
        <v>272</v>
      </c>
      <c r="E70" s="8" t="s">
        <v>273</v>
      </c>
      <c r="F70" s="6" t="s">
        <v>274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275</v>
      </c>
      <c r="B71" s="6" t="s">
        <v>27</v>
      </c>
      <c r="C71" s="6" t="s">
        <v>12</v>
      </c>
      <c r="D71" s="7" t="s">
        <v>69</v>
      </c>
      <c r="E71" s="8" t="s">
        <v>276</v>
      </c>
      <c r="F71" s="6" t="s">
        <v>277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278</v>
      </c>
      <c r="B72" s="6" t="s">
        <v>19</v>
      </c>
      <c r="C72" s="6" t="s">
        <v>12</v>
      </c>
      <c r="D72" s="7" t="s">
        <v>279</v>
      </c>
      <c r="E72" s="8" t="s">
        <v>280</v>
      </c>
      <c r="F72" s="6" t="s">
        <v>281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282</v>
      </c>
      <c r="B73" s="6" t="s">
        <v>19</v>
      </c>
      <c r="C73" s="6" t="s">
        <v>12</v>
      </c>
      <c r="D73" s="7" t="s">
        <v>28</v>
      </c>
      <c r="E73" s="8" t="s">
        <v>283</v>
      </c>
      <c r="F73" s="6" t="s">
        <v>284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285</v>
      </c>
      <c r="B74" s="6" t="s">
        <v>11</v>
      </c>
      <c r="C74" s="6" t="s">
        <v>12</v>
      </c>
      <c r="D74" s="7" t="s">
        <v>28</v>
      </c>
      <c r="E74" s="8" t="s">
        <v>286</v>
      </c>
      <c r="F74" s="6" t="s">
        <v>287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288</v>
      </c>
      <c r="B75" s="6" t="s">
        <v>27</v>
      </c>
      <c r="C75" s="6" t="s">
        <v>12</v>
      </c>
      <c r="D75" s="7" t="s">
        <v>289</v>
      </c>
      <c r="E75" s="8" t="s">
        <v>290</v>
      </c>
      <c r="F75" s="6" t="s">
        <v>291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292</v>
      </c>
      <c r="B76" s="6" t="s">
        <v>10</v>
      </c>
      <c r="C76" s="6" t="s">
        <v>12</v>
      </c>
      <c r="D76" s="7" t="s">
        <v>293</v>
      </c>
      <c r="E76" s="8" t="s">
        <v>294</v>
      </c>
      <c r="F76" s="6" t="s">
        <v>295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296</v>
      </c>
      <c r="B77" s="6" t="s">
        <v>27</v>
      </c>
      <c r="C77" s="6" t="s">
        <v>12</v>
      </c>
      <c r="D77" s="7" t="s">
        <v>28</v>
      </c>
      <c r="E77" s="8" t="s">
        <v>297</v>
      </c>
      <c r="F77" s="6" t="s">
        <v>298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299</v>
      </c>
      <c r="B78" s="6" t="s">
        <v>31</v>
      </c>
      <c r="C78" s="6" t="s">
        <v>12</v>
      </c>
      <c r="D78" s="7" t="s">
        <v>300</v>
      </c>
      <c r="E78" s="8" t="s">
        <v>301</v>
      </c>
      <c r="F78" s="6" t="s">
        <v>302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303</v>
      </c>
      <c r="B79" s="6" t="s">
        <v>27</v>
      </c>
      <c r="C79" s="6" t="s">
        <v>12</v>
      </c>
      <c r="D79" s="7" t="s">
        <v>126</v>
      </c>
      <c r="E79" s="8" t="s">
        <v>304</v>
      </c>
      <c r="F79" s="6" t="s">
        <v>305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306</v>
      </c>
      <c r="B80" s="6" t="s">
        <v>35</v>
      </c>
      <c r="C80" s="6" t="s">
        <v>12</v>
      </c>
      <c r="D80" s="7" t="s">
        <v>300</v>
      </c>
      <c r="E80" s="8" t="s">
        <v>307</v>
      </c>
      <c r="F80" s="6" t="s">
        <v>308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309</v>
      </c>
      <c r="B81" s="6" t="s">
        <v>39</v>
      </c>
      <c r="C81" s="6" t="s">
        <v>12</v>
      </c>
      <c r="D81" s="7" t="s">
        <v>310</v>
      </c>
      <c r="E81" s="8" t="s">
        <v>311</v>
      </c>
      <c r="F81" s="6" t="s">
        <v>312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313</v>
      </c>
      <c r="B82" s="6" t="s">
        <v>19</v>
      </c>
      <c r="C82" s="6" t="s">
        <v>12</v>
      </c>
      <c r="D82" s="7" t="s">
        <v>69</v>
      </c>
      <c r="E82" s="8" t="s">
        <v>314</v>
      </c>
      <c r="F82" s="6" t="s">
        <v>315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316</v>
      </c>
      <c r="B83" s="6" t="s">
        <v>64</v>
      </c>
      <c r="C83" s="6" t="s">
        <v>12</v>
      </c>
      <c r="D83" s="7" t="s">
        <v>293</v>
      </c>
      <c r="E83" s="8" t="s">
        <v>317</v>
      </c>
      <c r="F83" s="6" t="s">
        <v>318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319</v>
      </c>
      <c r="B84" s="6" t="s">
        <v>19</v>
      </c>
      <c r="C84" s="6" t="s">
        <v>12</v>
      </c>
      <c r="D84" s="7" t="s">
        <v>130</v>
      </c>
      <c r="E84" s="8" t="s">
        <v>320</v>
      </c>
      <c r="F84" s="6" t="s">
        <v>321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322</v>
      </c>
      <c r="B85" s="6" t="s">
        <v>11</v>
      </c>
      <c r="C85" s="6" t="s">
        <v>12</v>
      </c>
      <c r="D85" s="7" t="s">
        <v>323</v>
      </c>
      <c r="E85" s="8" t="s">
        <v>324</v>
      </c>
      <c r="F85" s="6" t="s">
        <v>325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326</v>
      </c>
      <c r="B86" s="6" t="s">
        <v>23</v>
      </c>
      <c r="C86" s="6" t="s">
        <v>12</v>
      </c>
      <c r="D86" s="7" t="s">
        <v>327</v>
      </c>
      <c r="E86" s="8" t="s">
        <v>328</v>
      </c>
      <c r="F86" s="6" t="s">
        <v>329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330</v>
      </c>
      <c r="B87" s="6" t="s">
        <v>11</v>
      </c>
      <c r="C87" s="6" t="s">
        <v>12</v>
      </c>
      <c r="D87" s="7" t="s">
        <v>331</v>
      </c>
      <c r="E87" s="8" t="s">
        <v>332</v>
      </c>
      <c r="F87" s="6" t="s">
        <v>333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334</v>
      </c>
      <c r="B88" s="6" t="s">
        <v>11</v>
      </c>
      <c r="C88" s="6" t="s">
        <v>12</v>
      </c>
      <c r="D88" s="7" t="s">
        <v>335</v>
      </c>
      <c r="E88" s="8" t="s">
        <v>336</v>
      </c>
      <c r="F88" s="6" t="s">
        <v>337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338</v>
      </c>
      <c r="B89" s="6" t="s">
        <v>45</v>
      </c>
      <c r="C89" s="6" t="s">
        <v>339</v>
      </c>
      <c r="D89" s="7" t="s">
        <v>28</v>
      </c>
      <c r="E89" s="8" t="s">
        <v>340</v>
      </c>
      <c r="F89" s="6" t="s">
        <v>341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342</v>
      </c>
      <c r="B90" s="6" t="s">
        <v>19</v>
      </c>
      <c r="C90" s="6" t="s">
        <v>12</v>
      </c>
      <c r="D90" s="7" t="s">
        <v>343</v>
      </c>
      <c r="E90" s="8" t="s">
        <v>344</v>
      </c>
      <c r="F90" s="6" t="s">
        <v>345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346</v>
      </c>
      <c r="B91" s="6" t="s">
        <v>64</v>
      </c>
      <c r="C91" s="6" t="s">
        <v>196</v>
      </c>
      <c r="D91" s="7" t="s">
        <v>347</v>
      </c>
      <c r="E91" s="8" t="s">
        <v>348</v>
      </c>
      <c r="F91" s="6" t="s">
        <v>349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350</v>
      </c>
      <c r="B92" s="6" t="s">
        <v>11</v>
      </c>
      <c r="C92" s="6" t="s">
        <v>12</v>
      </c>
      <c r="D92" s="7" t="s">
        <v>351</v>
      </c>
      <c r="E92" s="8" t="s">
        <v>352</v>
      </c>
      <c r="F92" s="6" t="s">
        <v>353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354</v>
      </c>
      <c r="B93" s="6" t="s">
        <v>11</v>
      </c>
      <c r="C93" s="6" t="s">
        <v>12</v>
      </c>
      <c r="D93" s="7" t="s">
        <v>355</v>
      </c>
      <c r="E93" s="8" t="s">
        <v>356</v>
      </c>
      <c r="F93" s="6" t="s">
        <v>357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358</v>
      </c>
      <c r="B94" s="6" t="s">
        <v>23</v>
      </c>
      <c r="C94" s="6" t="s">
        <v>12</v>
      </c>
      <c r="D94" s="7" t="s">
        <v>54</v>
      </c>
      <c r="E94" s="8" t="s">
        <v>359</v>
      </c>
      <c r="F94" s="6" t="s">
        <v>360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361</v>
      </c>
      <c r="B95" s="6" t="s">
        <v>10</v>
      </c>
      <c r="C95" s="6" t="s">
        <v>12</v>
      </c>
      <c r="D95" s="7" t="s">
        <v>362</v>
      </c>
      <c r="E95" s="8" t="s">
        <v>363</v>
      </c>
      <c r="F95" s="6" t="s">
        <v>364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365</v>
      </c>
      <c r="B96" s="6" t="s">
        <v>19</v>
      </c>
      <c r="C96" s="6" t="s">
        <v>12</v>
      </c>
      <c r="D96" s="7" t="s">
        <v>366</v>
      </c>
      <c r="E96" s="8" t="s">
        <v>367</v>
      </c>
      <c r="F96" s="6" t="s">
        <v>368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369</v>
      </c>
      <c r="B97" s="6" t="s">
        <v>10</v>
      </c>
      <c r="C97" s="6" t="s">
        <v>12</v>
      </c>
      <c r="D97" s="7" t="s">
        <v>370</v>
      </c>
      <c r="E97" s="8" t="s">
        <v>371</v>
      </c>
      <c r="F97" s="6" t="s">
        <v>372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373</v>
      </c>
      <c r="B98" s="6" t="s">
        <v>31</v>
      </c>
      <c r="C98" s="6" t="s">
        <v>12</v>
      </c>
      <c r="D98" s="7" t="s">
        <v>374</v>
      </c>
      <c r="E98" s="8" t="s">
        <v>375</v>
      </c>
      <c r="F98" s="6" t="s">
        <v>376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377</v>
      </c>
      <c r="B99" s="6" t="s">
        <v>72</v>
      </c>
      <c r="C99" s="6" t="s">
        <v>196</v>
      </c>
      <c r="D99" s="7" t="s">
        <v>378</v>
      </c>
      <c r="E99" s="8" t="s">
        <v>379</v>
      </c>
      <c r="F99" s="6" t="s">
        <v>380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381</v>
      </c>
      <c r="B100" s="6" t="s">
        <v>27</v>
      </c>
      <c r="C100" s="6" t="s">
        <v>12</v>
      </c>
      <c r="D100" s="7" t="s">
        <v>28</v>
      </c>
      <c r="E100" s="8" t="s">
        <v>382</v>
      </c>
      <c r="F100" s="6" t="s">
        <v>383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384</v>
      </c>
      <c r="B101" s="6" t="s">
        <v>39</v>
      </c>
      <c r="C101" s="6" t="s">
        <v>12</v>
      </c>
      <c r="D101" s="7" t="s">
        <v>385</v>
      </c>
      <c r="E101" s="8" t="s">
        <v>386</v>
      </c>
      <c r="F101" s="6" t="s">
        <v>387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388</v>
      </c>
      <c r="B102" s="6" t="s">
        <v>31</v>
      </c>
      <c r="C102" s="6" t="s">
        <v>12</v>
      </c>
      <c r="D102" s="7" t="s">
        <v>126</v>
      </c>
      <c r="E102" s="8" t="s">
        <v>389</v>
      </c>
      <c r="F102" s="6" t="s">
        <v>390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391</v>
      </c>
      <c r="B103" s="6" t="s">
        <v>11</v>
      </c>
      <c r="C103" s="6" t="s">
        <v>12</v>
      </c>
      <c r="D103" s="7" t="s">
        <v>392</v>
      </c>
      <c r="E103" s="8" t="s">
        <v>393</v>
      </c>
      <c r="F103" s="6" t="s">
        <v>394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395</v>
      </c>
      <c r="B104" s="6" t="s">
        <v>11</v>
      </c>
      <c r="C104" s="6" t="s">
        <v>12</v>
      </c>
      <c r="D104" s="7" t="s">
        <v>396</v>
      </c>
      <c r="E104" s="8" t="s">
        <v>397</v>
      </c>
      <c r="F104" s="6" t="s">
        <v>398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399</v>
      </c>
      <c r="B105" s="6" t="s">
        <v>23</v>
      </c>
      <c r="C105" s="6" t="s">
        <v>12</v>
      </c>
      <c r="D105" s="7" t="s">
        <v>400</v>
      </c>
      <c r="E105" s="8" t="s">
        <v>401</v>
      </c>
      <c r="F105" s="6" t="s">
        <v>402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403</v>
      </c>
      <c r="B106" s="6" t="s">
        <v>10</v>
      </c>
      <c r="C106" s="6" t="s">
        <v>12</v>
      </c>
      <c r="D106" s="7" t="s">
        <v>404</v>
      </c>
      <c r="E106" s="8" t="s">
        <v>405</v>
      </c>
      <c r="F106" s="6" t="s">
        <v>406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407</v>
      </c>
      <c r="B107" s="6" t="s">
        <v>53</v>
      </c>
      <c r="C107" s="6" t="s">
        <v>12</v>
      </c>
      <c r="D107" s="7" t="s">
        <v>408</v>
      </c>
      <c r="E107" s="8" t="s">
        <v>409</v>
      </c>
      <c r="F107" s="6" t="s">
        <v>410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411</v>
      </c>
      <c r="B108" s="6" t="s">
        <v>23</v>
      </c>
      <c r="C108" s="6" t="s">
        <v>12</v>
      </c>
      <c r="D108" s="7" t="s">
        <v>412</v>
      </c>
      <c r="E108" s="8" t="s">
        <v>413</v>
      </c>
      <c r="F108" s="6" t="s">
        <v>414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415</v>
      </c>
      <c r="B109" s="6" t="s">
        <v>27</v>
      </c>
      <c r="C109" s="6" t="s">
        <v>12</v>
      </c>
      <c r="D109" s="7" t="s">
        <v>416</v>
      </c>
      <c r="E109" s="8" t="s">
        <v>417</v>
      </c>
      <c r="F109" s="6" t="s">
        <v>418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419</v>
      </c>
      <c r="B110" s="6" t="s">
        <v>19</v>
      </c>
      <c r="C110" s="6" t="s">
        <v>12</v>
      </c>
      <c r="D110" s="7" t="s">
        <v>420</v>
      </c>
      <c r="E110" s="8" t="s">
        <v>421</v>
      </c>
      <c r="F110" s="6" t="s">
        <v>422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423</v>
      </c>
      <c r="B111" s="6" t="s">
        <v>31</v>
      </c>
      <c r="C111" s="6" t="s">
        <v>12</v>
      </c>
      <c r="D111" s="7" t="s">
        <v>408</v>
      </c>
      <c r="E111" s="8" t="s">
        <v>424</v>
      </c>
      <c r="F111" s="6" t="s">
        <v>425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426</v>
      </c>
      <c r="B112" s="6" t="s">
        <v>49</v>
      </c>
      <c r="C112" s="6" t="s">
        <v>12</v>
      </c>
      <c r="D112" s="7" t="s">
        <v>427</v>
      </c>
      <c r="E112" s="8" t="s">
        <v>428</v>
      </c>
      <c r="F112" s="6" t="s">
        <v>429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430</v>
      </c>
      <c r="B113" s="6" t="s">
        <v>19</v>
      </c>
      <c r="C113" s="6" t="s">
        <v>12</v>
      </c>
      <c r="D113" s="7" t="s">
        <v>431</v>
      </c>
      <c r="E113" s="8" t="s">
        <v>432</v>
      </c>
      <c r="F113" s="6" t="s">
        <v>433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434</v>
      </c>
      <c r="B114" s="6" t="s">
        <v>64</v>
      </c>
      <c r="C114" s="6" t="s">
        <v>12</v>
      </c>
      <c r="D114" s="7" t="s">
        <v>36</v>
      </c>
      <c r="E114" s="8" t="s">
        <v>435</v>
      </c>
      <c r="F114" s="6" t="s">
        <v>436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437</v>
      </c>
      <c r="B115" s="6" t="s">
        <v>31</v>
      </c>
      <c r="C115" s="6" t="s">
        <v>12</v>
      </c>
      <c r="D115" s="7" t="s">
        <v>438</v>
      </c>
      <c r="E115" s="8" t="s">
        <v>439</v>
      </c>
      <c r="F115" s="6" t="s">
        <v>440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441</v>
      </c>
      <c r="B116" s="6" t="s">
        <v>23</v>
      </c>
      <c r="C116" s="6" t="s">
        <v>12</v>
      </c>
      <c r="D116" s="7" t="s">
        <v>442</v>
      </c>
      <c r="E116" s="8" t="s">
        <v>443</v>
      </c>
      <c r="F116" s="6" t="s">
        <v>444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445</v>
      </c>
      <c r="B117" s="6" t="s">
        <v>11</v>
      </c>
      <c r="C117" s="6" t="s">
        <v>12</v>
      </c>
      <c r="D117" s="7" t="s">
        <v>446</v>
      </c>
      <c r="E117" s="8" t="s">
        <v>447</v>
      </c>
      <c r="F117" s="6" t="s">
        <v>448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449</v>
      </c>
      <c r="B118" s="6" t="s">
        <v>23</v>
      </c>
      <c r="C118" s="6" t="s">
        <v>12</v>
      </c>
      <c r="D118" s="7" t="s">
        <v>450</v>
      </c>
      <c r="E118" s="8" t="s">
        <v>451</v>
      </c>
      <c r="F118" s="6" t="s">
        <v>452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453</v>
      </c>
      <c r="B119" s="6" t="s">
        <v>23</v>
      </c>
      <c r="C119" s="6" t="s">
        <v>12</v>
      </c>
      <c r="D119" s="7" t="s">
        <v>454</v>
      </c>
      <c r="E119" s="8" t="s">
        <v>455</v>
      </c>
      <c r="F119" s="6" t="s">
        <v>456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457</v>
      </c>
      <c r="B120" s="6" t="s">
        <v>10</v>
      </c>
      <c r="C120" s="6" t="s">
        <v>12</v>
      </c>
      <c r="D120" s="7" t="s">
        <v>458</v>
      </c>
      <c r="E120" s="8" t="s">
        <v>459</v>
      </c>
      <c r="F120" s="6" t="s">
        <v>460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461</v>
      </c>
      <c r="B121" s="6" t="s">
        <v>10</v>
      </c>
      <c r="C121" s="6" t="s">
        <v>12</v>
      </c>
      <c r="D121" s="7" t="s">
        <v>462</v>
      </c>
      <c r="E121" s="8" t="s">
        <v>463</v>
      </c>
      <c r="F121" s="6" t="s">
        <v>464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465</v>
      </c>
      <c r="B122" s="6" t="s">
        <v>27</v>
      </c>
      <c r="C122" s="6" t="s">
        <v>12</v>
      </c>
      <c r="D122" s="7" t="s">
        <v>466</v>
      </c>
      <c r="E122" s="8" t="s">
        <v>467</v>
      </c>
      <c r="F122" s="6" t="s">
        <v>468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469</v>
      </c>
      <c r="B123" s="6" t="s">
        <v>19</v>
      </c>
      <c r="C123" s="6" t="s">
        <v>12</v>
      </c>
      <c r="D123" s="7" t="s">
        <v>54</v>
      </c>
      <c r="E123" s="8" t="s">
        <v>470</v>
      </c>
      <c r="F123" s="6" t="s">
        <v>471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472</v>
      </c>
      <c r="B124" s="6" t="s">
        <v>19</v>
      </c>
      <c r="C124" s="6" t="s">
        <v>12</v>
      </c>
      <c r="D124" s="7" t="s">
        <v>473</v>
      </c>
      <c r="E124" s="8" t="s">
        <v>474</v>
      </c>
      <c r="F124" s="6" t="s">
        <v>475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476</v>
      </c>
      <c r="B125" s="6" t="s">
        <v>10</v>
      </c>
      <c r="C125" s="6" t="s">
        <v>12</v>
      </c>
      <c r="D125" s="7" t="s">
        <v>477</v>
      </c>
      <c r="E125" s="8" t="s">
        <v>478</v>
      </c>
      <c r="F125" s="6" t="s">
        <v>479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480</v>
      </c>
      <c r="B126" s="6" t="s">
        <v>23</v>
      </c>
      <c r="C126" s="6" t="s">
        <v>12</v>
      </c>
      <c r="D126" s="7" t="s">
        <v>171</v>
      </c>
      <c r="E126" s="8" t="s">
        <v>481</v>
      </c>
      <c r="F126" s="6" t="s">
        <v>482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483</v>
      </c>
      <c r="B127" s="6" t="s">
        <v>19</v>
      </c>
      <c r="C127" s="6" t="s">
        <v>12</v>
      </c>
      <c r="D127" s="7" t="s">
        <v>293</v>
      </c>
      <c r="E127" s="8" t="s">
        <v>484</v>
      </c>
      <c r="F127" s="6" t="s">
        <v>485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486</v>
      </c>
      <c r="B128" s="6" t="s">
        <v>11</v>
      </c>
      <c r="C128" s="6" t="s">
        <v>12</v>
      </c>
      <c r="D128" s="7" t="s">
        <v>487</v>
      </c>
      <c r="E128" s="8" t="s">
        <v>488</v>
      </c>
      <c r="F128" s="6" t="s">
        <v>489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490</v>
      </c>
      <c r="B129" s="6" t="s">
        <v>39</v>
      </c>
      <c r="C129" s="6" t="s">
        <v>339</v>
      </c>
      <c r="D129" s="7" t="s">
        <v>491</v>
      </c>
      <c r="E129" s="8" t="s">
        <v>492</v>
      </c>
      <c r="F129" s="6" t="s">
        <v>493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494</v>
      </c>
      <c r="B130" s="6" t="s">
        <v>44</v>
      </c>
      <c r="C130" s="6" t="s">
        <v>12</v>
      </c>
      <c r="D130" s="7" t="s">
        <v>495</v>
      </c>
      <c r="E130" s="8" t="s">
        <v>496</v>
      </c>
      <c r="F130" s="6" t="s">
        <v>497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498</v>
      </c>
      <c r="B131" s="6" t="s">
        <v>10</v>
      </c>
      <c r="C131" s="6" t="s">
        <v>12</v>
      </c>
      <c r="D131" s="7" t="s">
        <v>499</v>
      </c>
      <c r="E131" s="8" t="s">
        <v>500</v>
      </c>
      <c r="F131" s="6" t="s">
        <v>501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502</v>
      </c>
      <c r="B132" s="6" t="s">
        <v>11</v>
      </c>
      <c r="C132" s="6" t="s">
        <v>12</v>
      </c>
      <c r="D132" s="7" t="s">
        <v>503</v>
      </c>
      <c r="E132" s="8" t="s">
        <v>504</v>
      </c>
      <c r="F132" s="6" t="s">
        <v>505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506</v>
      </c>
      <c r="B133" s="6" t="s">
        <v>11</v>
      </c>
      <c r="C133" s="6" t="s">
        <v>12</v>
      </c>
      <c r="D133" s="7" t="s">
        <v>507</v>
      </c>
      <c r="E133" s="8" t="s">
        <v>508</v>
      </c>
      <c r="F133" s="6" t="s">
        <v>509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510</v>
      </c>
      <c r="B134" s="6" t="s">
        <v>23</v>
      </c>
      <c r="C134" s="6" t="s">
        <v>12</v>
      </c>
      <c r="D134" s="7" t="s">
        <v>511</v>
      </c>
      <c r="E134" s="8" t="s">
        <v>512</v>
      </c>
      <c r="F134" s="6" t="s">
        <v>513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514</v>
      </c>
      <c r="B135" s="6" t="s">
        <v>11</v>
      </c>
      <c r="C135" s="6" t="s">
        <v>12</v>
      </c>
      <c r="D135" s="7" t="s">
        <v>515</v>
      </c>
      <c r="E135" s="8" t="s">
        <v>516</v>
      </c>
      <c r="F135" s="6" t="s">
        <v>517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518</v>
      </c>
      <c r="B136" s="6" t="s">
        <v>19</v>
      </c>
      <c r="C136" s="6" t="s">
        <v>12</v>
      </c>
      <c r="D136" s="7" t="s">
        <v>519</v>
      </c>
      <c r="E136" s="8" t="s">
        <v>520</v>
      </c>
      <c r="F136" s="6" t="s">
        <v>521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522</v>
      </c>
      <c r="B137" s="6" t="s">
        <v>23</v>
      </c>
      <c r="C137" s="6" t="s">
        <v>12</v>
      </c>
      <c r="D137" s="7" t="s">
        <v>523</v>
      </c>
      <c r="E137" s="8" t="s">
        <v>524</v>
      </c>
      <c r="F137" s="6" t="s">
        <v>525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526</v>
      </c>
      <c r="B138" s="6" t="s">
        <v>11</v>
      </c>
      <c r="C138" s="6" t="s">
        <v>12</v>
      </c>
      <c r="D138" s="7" t="s">
        <v>527</v>
      </c>
      <c r="E138" s="8" t="s">
        <v>528</v>
      </c>
      <c r="F138" s="6" t="s">
        <v>529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530</v>
      </c>
      <c r="B139" s="6" t="s">
        <v>19</v>
      </c>
      <c r="C139" s="6" t="s">
        <v>12</v>
      </c>
      <c r="D139" s="7" t="s">
        <v>531</v>
      </c>
      <c r="E139" s="8" t="s">
        <v>532</v>
      </c>
      <c r="F139" s="6" t="s">
        <v>533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534</v>
      </c>
      <c r="B140" s="6" t="s">
        <v>27</v>
      </c>
      <c r="C140" s="6" t="s">
        <v>12</v>
      </c>
      <c r="D140" s="7" t="s">
        <v>515</v>
      </c>
      <c r="E140" s="8" t="s">
        <v>535</v>
      </c>
      <c r="F140" s="6" t="s">
        <v>536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537</v>
      </c>
      <c r="B141" s="6" t="s">
        <v>23</v>
      </c>
      <c r="C141" s="6" t="s">
        <v>12</v>
      </c>
      <c r="D141" s="7" t="s">
        <v>538</v>
      </c>
      <c r="E141" s="8" t="s">
        <v>539</v>
      </c>
      <c r="F141" s="6" t="s">
        <v>540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541</v>
      </c>
      <c r="B142" s="6" t="s">
        <v>23</v>
      </c>
      <c r="C142" s="6" t="s">
        <v>12</v>
      </c>
      <c r="D142" s="7" t="s">
        <v>542</v>
      </c>
      <c r="E142" s="8" t="s">
        <v>543</v>
      </c>
      <c r="F142" s="6" t="s">
        <v>544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545</v>
      </c>
      <c r="B143" s="6" t="s">
        <v>11</v>
      </c>
      <c r="C143" s="6" t="s">
        <v>12</v>
      </c>
      <c r="D143" s="7" t="s">
        <v>546</v>
      </c>
      <c r="E143" s="8" t="s">
        <v>547</v>
      </c>
      <c r="F143" s="6" t="s">
        <v>548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549</v>
      </c>
      <c r="B144" s="6" t="s">
        <v>11</v>
      </c>
      <c r="C144" s="6" t="s">
        <v>12</v>
      </c>
      <c r="D144" s="7" t="s">
        <v>20</v>
      </c>
      <c r="E144" s="8" t="s">
        <v>550</v>
      </c>
      <c r="F144" s="6" t="s">
        <v>551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552</v>
      </c>
      <c r="B145" s="6" t="s">
        <v>11</v>
      </c>
      <c r="C145" s="6" t="s">
        <v>12</v>
      </c>
      <c r="D145" s="7" t="s">
        <v>20</v>
      </c>
      <c r="E145" s="8" t="s">
        <v>553</v>
      </c>
      <c r="F145" s="6" t="s">
        <v>554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555</v>
      </c>
      <c r="B146" s="6" t="s">
        <v>23</v>
      </c>
      <c r="C146" s="6" t="s">
        <v>339</v>
      </c>
      <c r="D146" s="7" t="s">
        <v>556</v>
      </c>
      <c r="E146" s="8" t="s">
        <v>557</v>
      </c>
      <c r="F146" s="6" t="s">
        <v>558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559</v>
      </c>
      <c r="B147" s="6" t="s">
        <v>19</v>
      </c>
      <c r="C147" s="6" t="s">
        <v>12</v>
      </c>
      <c r="D147" s="7" t="s">
        <v>560</v>
      </c>
      <c r="E147" s="8" t="s">
        <v>561</v>
      </c>
      <c r="F147" s="6" t="s">
        <v>562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563</v>
      </c>
      <c r="B148" s="6" t="s">
        <v>11</v>
      </c>
      <c r="C148" s="6" t="s">
        <v>12</v>
      </c>
      <c r="D148" s="7" t="s">
        <v>564</v>
      </c>
      <c r="E148" s="8" t="s">
        <v>565</v>
      </c>
      <c r="F148" s="6" t="s">
        <v>566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567</v>
      </c>
      <c r="B149" s="6" t="s">
        <v>31</v>
      </c>
      <c r="C149" s="6" t="s">
        <v>12</v>
      </c>
      <c r="D149" s="7" t="s">
        <v>293</v>
      </c>
      <c r="E149" s="8" t="s">
        <v>568</v>
      </c>
      <c r="F149" s="6" t="s">
        <v>569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570</v>
      </c>
      <c r="B150" s="6" t="s">
        <v>23</v>
      </c>
      <c r="C150" s="6" t="s">
        <v>12</v>
      </c>
      <c r="D150" s="7" t="s">
        <v>188</v>
      </c>
      <c r="E150" s="8" t="s">
        <v>571</v>
      </c>
      <c r="F150" s="6" t="s">
        <v>572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573</v>
      </c>
      <c r="B151" s="6" t="s">
        <v>10</v>
      </c>
      <c r="C151" s="6" t="s">
        <v>12</v>
      </c>
      <c r="D151" s="7" t="s">
        <v>28</v>
      </c>
      <c r="E151" s="8" t="s">
        <v>574</v>
      </c>
      <c r="F151" s="6" t="s">
        <v>575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576</v>
      </c>
      <c r="B152" s="6" t="s">
        <v>19</v>
      </c>
      <c r="C152" s="6" t="s">
        <v>12</v>
      </c>
      <c r="D152" s="7" t="s">
        <v>577</v>
      </c>
      <c r="E152" s="8" t="s">
        <v>578</v>
      </c>
      <c r="F152" s="6" t="s">
        <v>579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580</v>
      </c>
      <c r="B153" s="6" t="s">
        <v>11</v>
      </c>
      <c r="C153" s="6" t="s">
        <v>12</v>
      </c>
      <c r="D153" s="7" t="s">
        <v>581</v>
      </c>
      <c r="E153" s="8" t="s">
        <v>582</v>
      </c>
      <c r="F153" s="6" t="s">
        <v>583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584</v>
      </c>
      <c r="B154" s="6" t="s">
        <v>11</v>
      </c>
      <c r="C154" s="6" t="s">
        <v>12</v>
      </c>
      <c r="D154" s="7" t="s">
        <v>585</v>
      </c>
      <c r="E154" s="8" t="s">
        <v>586</v>
      </c>
      <c r="F154" s="6" t="s">
        <v>587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588</v>
      </c>
      <c r="B155" s="6" t="s">
        <v>11</v>
      </c>
      <c r="C155" s="6" t="s">
        <v>12</v>
      </c>
      <c r="D155" s="7" t="s">
        <v>589</v>
      </c>
      <c r="E155" s="8" t="s">
        <v>590</v>
      </c>
      <c r="F155" s="6" t="s">
        <v>591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592</v>
      </c>
      <c r="B156" s="6" t="s">
        <v>19</v>
      </c>
      <c r="C156" s="6" t="s">
        <v>12</v>
      </c>
      <c r="D156" s="7" t="s">
        <v>585</v>
      </c>
      <c r="E156" s="8" t="s">
        <v>593</v>
      </c>
      <c r="F156" s="6" t="s">
        <v>594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595</v>
      </c>
      <c r="B157" s="6" t="s">
        <v>31</v>
      </c>
      <c r="C157" s="6" t="s">
        <v>12</v>
      </c>
      <c r="D157" s="7" t="s">
        <v>293</v>
      </c>
      <c r="E157" s="8" t="s">
        <v>596</v>
      </c>
      <c r="F157" s="6" t="s">
        <v>597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598</v>
      </c>
      <c r="B158" s="6" t="s">
        <v>19</v>
      </c>
      <c r="C158" s="6" t="s">
        <v>599</v>
      </c>
      <c r="D158" s="7" t="s">
        <v>585</v>
      </c>
      <c r="E158" s="8" t="s">
        <v>600</v>
      </c>
      <c r="F158" s="6" t="s">
        <v>601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602</v>
      </c>
      <c r="B159" s="6" t="s">
        <v>11</v>
      </c>
      <c r="C159" s="6" t="s">
        <v>12</v>
      </c>
      <c r="D159" s="7" t="s">
        <v>300</v>
      </c>
      <c r="E159" s="8" t="s">
        <v>603</v>
      </c>
      <c r="F159" s="6" t="s">
        <v>604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605</v>
      </c>
      <c r="B160" s="6" t="s">
        <v>11</v>
      </c>
      <c r="C160" s="6" t="s">
        <v>12</v>
      </c>
      <c r="D160" s="7" t="s">
        <v>585</v>
      </c>
      <c r="E160" s="8" t="s">
        <v>606</v>
      </c>
      <c r="F160" s="6" t="s">
        <v>607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608</v>
      </c>
      <c r="B161" s="6" t="s">
        <v>19</v>
      </c>
      <c r="C161" s="6" t="s">
        <v>609</v>
      </c>
      <c r="D161" s="7" t="s">
        <v>610</v>
      </c>
      <c r="E161" s="8" t="s">
        <v>611</v>
      </c>
      <c r="F161" s="6" t="s">
        <v>612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613</v>
      </c>
      <c r="B162" s="6" t="s">
        <v>23</v>
      </c>
      <c r="C162" s="6" t="s">
        <v>12</v>
      </c>
      <c r="D162" s="7" t="s">
        <v>614</v>
      </c>
      <c r="E162" s="8" t="s">
        <v>615</v>
      </c>
      <c r="F162" s="6" t="s">
        <v>616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617</v>
      </c>
      <c r="B163" s="6" t="s">
        <v>11</v>
      </c>
      <c r="C163" s="6" t="s">
        <v>12</v>
      </c>
      <c r="D163" s="7" t="s">
        <v>618</v>
      </c>
      <c r="E163" s="8" t="s">
        <v>619</v>
      </c>
      <c r="F163" s="6" t="s">
        <v>620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621</v>
      </c>
      <c r="B164" s="6" t="s">
        <v>23</v>
      </c>
      <c r="C164" s="6" t="s">
        <v>339</v>
      </c>
      <c r="D164" s="7" t="s">
        <v>622</v>
      </c>
      <c r="E164" s="8" t="s">
        <v>623</v>
      </c>
      <c r="F164" s="6" t="s">
        <v>624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625</v>
      </c>
      <c r="B165" s="6" t="s">
        <v>23</v>
      </c>
      <c r="C165" s="6" t="s">
        <v>12</v>
      </c>
      <c r="D165" s="7" t="s">
        <v>626</v>
      </c>
      <c r="E165" s="8" t="s">
        <v>627</v>
      </c>
      <c r="F165" s="6" t="s">
        <v>628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629</v>
      </c>
      <c r="B166" s="6" t="s">
        <v>53</v>
      </c>
      <c r="C166" s="6" t="s">
        <v>12</v>
      </c>
      <c r="D166" s="7" t="s">
        <v>28</v>
      </c>
      <c r="E166" s="8" t="s">
        <v>630</v>
      </c>
      <c r="F166" s="6" t="s">
        <v>631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632</v>
      </c>
      <c r="B167" s="6" t="s">
        <v>11</v>
      </c>
      <c r="C167" s="6" t="s">
        <v>12</v>
      </c>
      <c r="D167" s="7" t="s">
        <v>633</v>
      </c>
      <c r="E167" s="8" t="s">
        <v>634</v>
      </c>
      <c r="F167" s="6" t="s">
        <v>635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636</v>
      </c>
      <c r="B168" s="6" t="s">
        <v>68</v>
      </c>
      <c r="C168" s="6" t="s">
        <v>12</v>
      </c>
      <c r="D168" s="7" t="s">
        <v>515</v>
      </c>
      <c r="E168" s="8" t="s">
        <v>637</v>
      </c>
      <c r="F168" s="6" t="s">
        <v>638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639</v>
      </c>
      <c r="B169" s="6" t="s">
        <v>11</v>
      </c>
      <c r="C169" s="6" t="s">
        <v>12</v>
      </c>
      <c r="D169" s="7" t="s">
        <v>640</v>
      </c>
      <c r="E169" s="8" t="s">
        <v>641</v>
      </c>
      <c r="F169" s="6" t="s">
        <v>642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643</v>
      </c>
      <c r="B170" s="6" t="s">
        <v>11</v>
      </c>
      <c r="C170" s="6" t="s">
        <v>12</v>
      </c>
      <c r="D170" s="7" t="s">
        <v>644</v>
      </c>
      <c r="E170" s="8" t="s">
        <v>645</v>
      </c>
      <c r="F170" s="6" t="s">
        <v>646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647</v>
      </c>
      <c r="B171" s="6" t="s">
        <v>19</v>
      </c>
      <c r="C171" s="6" t="s">
        <v>12</v>
      </c>
      <c r="D171" s="7" t="s">
        <v>648</v>
      </c>
      <c r="E171" s="8" t="s">
        <v>649</v>
      </c>
      <c r="F171" s="6" t="s">
        <v>650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651</v>
      </c>
      <c r="B172" s="6" t="s">
        <v>11</v>
      </c>
      <c r="C172" s="6" t="s">
        <v>12</v>
      </c>
      <c r="D172" s="7" t="s">
        <v>652</v>
      </c>
      <c r="E172" s="8" t="s">
        <v>653</v>
      </c>
      <c r="F172" s="6" t="s">
        <v>654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655</v>
      </c>
      <c r="B173" s="6" t="s">
        <v>11</v>
      </c>
      <c r="C173" s="6" t="s">
        <v>12</v>
      </c>
      <c r="D173" s="7" t="s">
        <v>656</v>
      </c>
      <c r="E173" s="8" t="s">
        <v>657</v>
      </c>
      <c r="F173" s="6" t="s">
        <v>658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659</v>
      </c>
      <c r="B174" s="6" t="s">
        <v>11</v>
      </c>
      <c r="C174" s="6" t="s">
        <v>12</v>
      </c>
      <c r="D174" s="7" t="s">
        <v>660</v>
      </c>
      <c r="E174" s="8" t="s">
        <v>661</v>
      </c>
      <c r="F174" s="6" t="s">
        <v>662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663</v>
      </c>
      <c r="B175" s="6" t="s">
        <v>27</v>
      </c>
      <c r="C175" s="6" t="s">
        <v>12</v>
      </c>
      <c r="D175" s="7" t="s">
        <v>664</v>
      </c>
      <c r="E175" s="8" t="s">
        <v>665</v>
      </c>
      <c r="F175" s="6" t="s">
        <v>666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667</v>
      </c>
      <c r="B176" s="6" t="s">
        <v>23</v>
      </c>
      <c r="C176" s="6" t="s">
        <v>12</v>
      </c>
      <c r="D176" s="7" t="s">
        <v>668</v>
      </c>
      <c r="E176" s="8" t="s">
        <v>669</v>
      </c>
      <c r="F176" s="6" t="s">
        <v>670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671</v>
      </c>
      <c r="B177" s="6" t="s">
        <v>35</v>
      </c>
      <c r="C177" s="6" t="s">
        <v>12</v>
      </c>
      <c r="D177" s="7" t="s">
        <v>672</v>
      </c>
      <c r="E177" s="8" t="s">
        <v>673</v>
      </c>
      <c r="F177" s="6" t="s">
        <v>674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675</v>
      </c>
      <c r="B178" s="6" t="s">
        <v>27</v>
      </c>
      <c r="C178" s="6" t="s">
        <v>12</v>
      </c>
      <c r="D178" s="7" t="s">
        <v>676</v>
      </c>
      <c r="E178" s="8" t="s">
        <v>677</v>
      </c>
      <c r="F178" s="6" t="s">
        <v>678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679</v>
      </c>
      <c r="B179" s="6" t="s">
        <v>35</v>
      </c>
      <c r="C179" s="6" t="s">
        <v>12</v>
      </c>
      <c r="D179" s="7" t="s">
        <v>680</v>
      </c>
      <c r="E179" s="8" t="s">
        <v>681</v>
      </c>
      <c r="F179" s="6" t="s">
        <v>682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683</v>
      </c>
      <c r="B180" s="6" t="s">
        <v>44</v>
      </c>
      <c r="C180" s="6" t="s">
        <v>12</v>
      </c>
      <c r="D180" s="7" t="s">
        <v>684</v>
      </c>
      <c r="E180" s="8" t="s">
        <v>685</v>
      </c>
      <c r="F180" s="6" t="s">
        <v>686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687</v>
      </c>
      <c r="B181" s="6" t="s">
        <v>10</v>
      </c>
      <c r="C181" s="6" t="s">
        <v>12</v>
      </c>
      <c r="D181" s="7" t="s">
        <v>688</v>
      </c>
      <c r="E181" s="8" t="s">
        <v>689</v>
      </c>
      <c r="F181" s="6" t="s">
        <v>690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691</v>
      </c>
      <c r="B182" s="6" t="s">
        <v>44</v>
      </c>
      <c r="C182" s="6" t="s">
        <v>12</v>
      </c>
      <c r="D182" s="7" t="s">
        <v>692</v>
      </c>
      <c r="E182" s="8" t="s">
        <v>693</v>
      </c>
      <c r="F182" s="6" t="s">
        <v>694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695</v>
      </c>
      <c r="B183" s="6" t="s">
        <v>11</v>
      </c>
      <c r="C183" s="6" t="s">
        <v>12</v>
      </c>
      <c r="D183" s="7" t="s">
        <v>696</v>
      </c>
      <c r="E183" s="8" t="s">
        <v>697</v>
      </c>
      <c r="F183" s="6" t="s">
        <v>698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699</v>
      </c>
      <c r="B184" s="6" t="s">
        <v>11</v>
      </c>
      <c r="C184" s="6" t="s">
        <v>12</v>
      </c>
      <c r="D184" s="7" t="s">
        <v>542</v>
      </c>
      <c r="E184" s="8" t="s">
        <v>700</v>
      </c>
      <c r="F184" s="6" t="s">
        <v>701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702</v>
      </c>
      <c r="B185" s="6" t="s">
        <v>19</v>
      </c>
      <c r="C185" s="6" t="s">
        <v>12</v>
      </c>
      <c r="D185" s="7" t="s">
        <v>703</v>
      </c>
      <c r="E185" s="8" t="s">
        <v>704</v>
      </c>
      <c r="F185" s="6" t="s">
        <v>705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706</v>
      </c>
      <c r="B186" s="6" t="s">
        <v>19</v>
      </c>
      <c r="C186" s="6" t="s">
        <v>12</v>
      </c>
      <c r="D186" s="7" t="s">
        <v>707</v>
      </c>
      <c r="E186" s="8" t="s">
        <v>708</v>
      </c>
      <c r="F186" s="6" t="s">
        <v>709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710</v>
      </c>
      <c r="B187" s="6" t="s">
        <v>11</v>
      </c>
      <c r="C187" s="6" t="s">
        <v>12</v>
      </c>
      <c r="D187" s="7" t="s">
        <v>711</v>
      </c>
      <c r="E187" s="8" t="s">
        <v>712</v>
      </c>
      <c r="F187" s="6" t="s">
        <v>713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714</v>
      </c>
      <c r="B188" s="6" t="s">
        <v>11</v>
      </c>
      <c r="C188" s="6" t="s">
        <v>12</v>
      </c>
      <c r="D188" s="7" t="s">
        <v>715</v>
      </c>
      <c r="E188" s="8" t="s">
        <v>716</v>
      </c>
      <c r="F188" s="6" t="s">
        <v>717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718</v>
      </c>
      <c r="B189" s="6" t="s">
        <v>11</v>
      </c>
      <c r="C189" s="6" t="s">
        <v>12</v>
      </c>
      <c r="D189" s="7" t="s">
        <v>719</v>
      </c>
      <c r="E189" s="8" t="s">
        <v>720</v>
      </c>
      <c r="F189" s="6" t="s">
        <v>721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722</v>
      </c>
      <c r="B190" s="6" t="s">
        <v>19</v>
      </c>
      <c r="C190" s="6" t="s">
        <v>12</v>
      </c>
      <c r="D190" s="7" t="s">
        <v>672</v>
      </c>
      <c r="E190" s="8" t="s">
        <v>723</v>
      </c>
      <c r="F190" s="6" t="s">
        <v>724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725</v>
      </c>
      <c r="B191" s="6" t="s">
        <v>11</v>
      </c>
      <c r="C191" s="6" t="s">
        <v>12</v>
      </c>
      <c r="D191" s="7" t="s">
        <v>726</v>
      </c>
      <c r="E191" s="8" t="s">
        <v>727</v>
      </c>
      <c r="F191" s="6" t="s">
        <v>728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729</v>
      </c>
      <c r="B192" s="6" t="s">
        <v>10</v>
      </c>
      <c r="C192" s="6" t="s">
        <v>12</v>
      </c>
      <c r="D192" s="7" t="s">
        <v>730</v>
      </c>
      <c r="E192" s="8" t="s">
        <v>731</v>
      </c>
      <c r="F192" s="6" t="s">
        <v>732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733</v>
      </c>
      <c r="B193" s="6" t="s">
        <v>31</v>
      </c>
      <c r="C193" s="6" t="s">
        <v>12</v>
      </c>
      <c r="D193" s="7" t="s">
        <v>734</v>
      </c>
      <c r="E193" s="8" t="s">
        <v>735</v>
      </c>
      <c r="F193" s="6" t="s">
        <v>736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737</v>
      </c>
      <c r="B194" s="6" t="s">
        <v>31</v>
      </c>
      <c r="C194" s="6" t="s">
        <v>12</v>
      </c>
      <c r="D194" s="7" t="s">
        <v>738</v>
      </c>
      <c r="E194" s="8" t="s">
        <v>739</v>
      </c>
      <c r="F194" s="6" t="s">
        <v>740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  <row r="195" spans="1:10" ht="60" customHeight="1">
      <c r="A195" s="6" t="s">
        <v>741</v>
      </c>
      <c r="B195" s="6" t="s">
        <v>19</v>
      </c>
      <c r="C195" s="6" t="s">
        <v>12</v>
      </c>
      <c r="D195" s="7" t="s">
        <v>742</v>
      </c>
      <c r="E195" s="8" t="s">
        <v>743</v>
      </c>
      <c r="F195" s="6" t="s">
        <v>744</v>
      </c>
      <c r="G195" s="9">
        <f>IF(A195=1,"_",IF(C195="_","???",C195))</f>
        <v/>
      </c>
      <c r="H195" s="10" t="s">
        <v>12</v>
      </c>
      <c r="I195" s="11" t="s">
        <v>12</v>
      </c>
      <c r="J195" s="12"/>
    </row>
    <row r="196" spans="1:10" ht="60" customHeight="1">
      <c r="A196" s="6" t="s">
        <v>745</v>
      </c>
      <c r="B196" s="6" t="s">
        <v>53</v>
      </c>
      <c r="C196" s="6" t="s">
        <v>12</v>
      </c>
      <c r="D196" s="7" t="s">
        <v>746</v>
      </c>
      <c r="E196" s="8" t="s">
        <v>747</v>
      </c>
      <c r="F196" s="6" t="s">
        <v>748</v>
      </c>
      <c r="G196" s="9">
        <f>IF(A196=1,"_",IF(C196="_","???",C196))</f>
        <v/>
      </c>
      <c r="H196" s="10" t="s">
        <v>12</v>
      </c>
      <c r="I196" s="11" t="s">
        <v>12</v>
      </c>
      <c r="J196" s="12"/>
    </row>
    <row r="197" spans="1:10" ht="60" customHeight="1">
      <c r="A197" s="6" t="s">
        <v>749</v>
      </c>
      <c r="B197" s="6" t="s">
        <v>72</v>
      </c>
      <c r="C197" s="6" t="s">
        <v>12</v>
      </c>
      <c r="D197" s="7" t="s">
        <v>750</v>
      </c>
      <c r="E197" s="8" t="s">
        <v>751</v>
      </c>
      <c r="F197" s="6" t="s">
        <v>752</v>
      </c>
      <c r="G197" s="9">
        <f>IF(A197=1,"_",IF(C197="_","???",C197))</f>
        <v/>
      </c>
      <c r="H197" s="10" t="s">
        <v>12</v>
      </c>
      <c r="I197" s="11" t="s">
        <v>12</v>
      </c>
      <c r="J197" s="12"/>
    </row>
    <row r="198" spans="1:10" ht="60" customHeight="1">
      <c r="A198" s="6" t="s">
        <v>753</v>
      </c>
      <c r="B198" s="6" t="s">
        <v>10</v>
      </c>
      <c r="C198" s="6" t="s">
        <v>12</v>
      </c>
      <c r="D198" s="7" t="s">
        <v>130</v>
      </c>
      <c r="E198" s="8" t="s">
        <v>754</v>
      </c>
      <c r="F198" s="6" t="s">
        <v>755</v>
      </c>
      <c r="G198" s="9">
        <f>IF(A198=1,"_",IF(C198="_","???",C198))</f>
        <v/>
      </c>
      <c r="H198" s="10" t="s">
        <v>12</v>
      </c>
      <c r="I198" s="11" t="s">
        <v>12</v>
      </c>
      <c r="J198" s="12"/>
    </row>
    <row r="199" spans="1:10" ht="60" customHeight="1">
      <c r="A199" s="6" t="s">
        <v>756</v>
      </c>
      <c r="B199" s="6" t="s">
        <v>11</v>
      </c>
      <c r="C199" s="6" t="s">
        <v>12</v>
      </c>
      <c r="D199" s="7" t="s">
        <v>757</v>
      </c>
      <c r="E199" s="8" t="s">
        <v>758</v>
      </c>
      <c r="F199" s="6" t="s">
        <v>759</v>
      </c>
      <c r="G199" s="9">
        <f>IF(A199=1,"_",IF(C199="_","???",C199))</f>
        <v/>
      </c>
      <c r="H199" s="10" t="s">
        <v>12</v>
      </c>
      <c r="I199" s="11" t="s">
        <v>12</v>
      </c>
      <c r="J199" s="12"/>
    </row>
    <row r="200" spans="1:10" ht="60" customHeight="1">
      <c r="A200" s="6" t="s">
        <v>760</v>
      </c>
      <c r="B200" s="6" t="s">
        <v>11</v>
      </c>
      <c r="C200" s="6" t="s">
        <v>12</v>
      </c>
      <c r="D200" s="7" t="s">
        <v>761</v>
      </c>
      <c r="E200" s="8" t="s">
        <v>762</v>
      </c>
      <c r="F200" s="6" t="s">
        <v>763</v>
      </c>
      <c r="G200" s="9">
        <f>IF(A200=1,"_",IF(C200="_","???",C200))</f>
        <v/>
      </c>
      <c r="H200" s="10" t="s">
        <v>12</v>
      </c>
      <c r="I200" s="11" t="s">
        <v>12</v>
      </c>
      <c r="J200" s="12"/>
    </row>
    <row r="201" spans="1:10" ht="60" customHeight="1">
      <c r="A201" s="6" t="s">
        <v>764</v>
      </c>
      <c r="B201" s="6" t="s">
        <v>11</v>
      </c>
      <c r="C201" s="6" t="s">
        <v>12</v>
      </c>
      <c r="D201" s="7" t="s">
        <v>28</v>
      </c>
      <c r="E201" s="8" t="s">
        <v>765</v>
      </c>
      <c r="F201" s="6" t="s">
        <v>766</v>
      </c>
      <c r="G201" s="9">
        <f>IF(A201=1,"_",IF(C201="_","???",C201))</f>
        <v/>
      </c>
      <c r="H201" s="10" t="s">
        <v>12</v>
      </c>
      <c r="I201" s="11" t="s">
        <v>12</v>
      </c>
      <c r="J201" s="12"/>
    </row>
    <row r="202" spans="1:10" ht="60" customHeight="1">
      <c r="A202" s="6" t="s">
        <v>767</v>
      </c>
      <c r="B202" s="6" t="s">
        <v>11</v>
      </c>
      <c r="C202" s="6" t="s">
        <v>12</v>
      </c>
      <c r="D202" s="7" t="s">
        <v>757</v>
      </c>
      <c r="E202" s="8" t="s">
        <v>768</v>
      </c>
      <c r="F202" s="6" t="s">
        <v>769</v>
      </c>
      <c r="G202" s="9">
        <f>IF(A202=1,"_",IF(C202="_","???",C202))</f>
        <v/>
      </c>
      <c r="H202" s="10" t="s">
        <v>12</v>
      </c>
      <c r="I202" s="11" t="s">
        <v>12</v>
      </c>
      <c r="J202" s="12"/>
    </row>
    <row r="203" spans="1:10" ht="60" customHeight="1">
      <c r="A203" s="6" t="s">
        <v>770</v>
      </c>
      <c r="B203" s="6" t="s">
        <v>19</v>
      </c>
      <c r="C203" s="6" t="s">
        <v>12</v>
      </c>
      <c r="D203" s="7" t="s">
        <v>585</v>
      </c>
      <c r="E203" s="8" t="s">
        <v>771</v>
      </c>
      <c r="F203" s="6" t="s">
        <v>772</v>
      </c>
      <c r="G203" s="9">
        <f>IF(A203=1,"_",IF(C203="_","???",C203))</f>
        <v/>
      </c>
      <c r="H203" s="10" t="s">
        <v>12</v>
      </c>
      <c r="I203" s="11" t="s">
        <v>12</v>
      </c>
      <c r="J203" s="12"/>
    </row>
    <row r="204" spans="1:10" ht="60" customHeight="1">
      <c r="A204" s="6" t="s">
        <v>773</v>
      </c>
      <c r="B204" s="6" t="s">
        <v>11</v>
      </c>
      <c r="C204" s="6" t="s">
        <v>12</v>
      </c>
      <c r="D204" s="7" t="s">
        <v>774</v>
      </c>
      <c r="E204" s="8" t="s">
        <v>775</v>
      </c>
      <c r="F204" s="6" t="s">
        <v>776</v>
      </c>
      <c r="G204" s="9">
        <f>IF(A204=1,"_",IF(C204="_","???",C204))</f>
        <v/>
      </c>
      <c r="H204" s="10" t="s">
        <v>12</v>
      </c>
      <c r="I204" s="11" t="s">
        <v>12</v>
      </c>
      <c r="J204" s="12"/>
    </row>
    <row r="205" spans="1:10" ht="60" customHeight="1">
      <c r="A205" s="6" t="s">
        <v>777</v>
      </c>
      <c r="B205" s="6" t="s">
        <v>23</v>
      </c>
      <c r="C205" s="6" t="s">
        <v>12</v>
      </c>
      <c r="D205" s="7" t="s">
        <v>778</v>
      </c>
      <c r="E205" s="8" t="s">
        <v>779</v>
      </c>
      <c r="F205" s="6" t="s">
        <v>780</v>
      </c>
      <c r="G205" s="9">
        <f>IF(A205=1,"_",IF(C205="_","???",C205))</f>
        <v/>
      </c>
      <c r="H205" s="10" t="s">
        <v>12</v>
      </c>
      <c r="I205" s="11" t="s">
        <v>12</v>
      </c>
      <c r="J205" s="12"/>
    </row>
    <row r="206" spans="1:10" ht="60" customHeight="1">
      <c r="A206" s="6" t="s">
        <v>781</v>
      </c>
      <c r="B206" s="6" t="s">
        <v>10</v>
      </c>
      <c r="C206" s="6" t="s">
        <v>12</v>
      </c>
      <c r="D206" s="7" t="s">
        <v>264</v>
      </c>
      <c r="E206" s="8" t="s">
        <v>782</v>
      </c>
      <c r="F206" s="6" t="s">
        <v>783</v>
      </c>
      <c r="G206" s="9">
        <f>IF(A206=1,"_",IF(C206="_","???",C206))</f>
        <v/>
      </c>
      <c r="H206" s="10" t="s">
        <v>12</v>
      </c>
      <c r="I206" s="11" t="s">
        <v>12</v>
      </c>
      <c r="J206" s="12"/>
    </row>
    <row r="207" spans="1:10" ht="60" customHeight="1">
      <c r="A207" s="6" t="s">
        <v>784</v>
      </c>
      <c r="B207" s="6" t="s">
        <v>31</v>
      </c>
      <c r="C207" s="6" t="s">
        <v>12</v>
      </c>
      <c r="D207" s="7" t="s">
        <v>785</v>
      </c>
      <c r="E207" s="8" t="s">
        <v>786</v>
      </c>
      <c r="F207" s="6" t="s">
        <v>787</v>
      </c>
      <c r="G207" s="9">
        <f>IF(A207=1,"_",IF(C207="_","???",C207))</f>
        <v/>
      </c>
      <c r="H207" s="10" t="s">
        <v>12</v>
      </c>
      <c r="I207" s="11" t="s">
        <v>12</v>
      </c>
      <c r="J207" s="12"/>
    </row>
    <row r="208" spans="1:10" ht="60" customHeight="1">
      <c r="A208" s="6" t="s">
        <v>788</v>
      </c>
      <c r="B208" s="6" t="s">
        <v>39</v>
      </c>
      <c r="C208" s="6" t="s">
        <v>12</v>
      </c>
      <c r="D208" s="7" t="s">
        <v>789</v>
      </c>
      <c r="E208" s="8" t="s">
        <v>790</v>
      </c>
      <c r="F208" s="6" t="s">
        <v>791</v>
      </c>
      <c r="G208" s="9">
        <f>IF(A208=1,"_",IF(C208="_","???",C208))</f>
        <v/>
      </c>
      <c r="H208" s="10" t="s">
        <v>12</v>
      </c>
      <c r="I208" s="11" t="s">
        <v>12</v>
      </c>
      <c r="J208" s="12"/>
    </row>
    <row r="209" spans="1:10" ht="60" customHeight="1">
      <c r="A209" s="6" t="s">
        <v>792</v>
      </c>
      <c r="B209" s="6" t="s">
        <v>19</v>
      </c>
      <c r="C209" s="6" t="s">
        <v>12</v>
      </c>
      <c r="D209" s="7" t="s">
        <v>99</v>
      </c>
      <c r="E209" s="8" t="s">
        <v>793</v>
      </c>
      <c r="F209" s="6" t="s">
        <v>794</v>
      </c>
      <c r="G209" s="9">
        <f>IF(A209=1,"_",IF(C209="_","???",C209))</f>
        <v/>
      </c>
      <c r="H209" s="10" t="s">
        <v>12</v>
      </c>
      <c r="I209" s="11" t="s">
        <v>12</v>
      </c>
      <c r="J209" s="12"/>
    </row>
    <row r="210" spans="1:10" ht="60" customHeight="1">
      <c r="A210" s="6" t="s">
        <v>795</v>
      </c>
      <c r="B210" s="6" t="s">
        <v>11</v>
      </c>
      <c r="C210" s="6" t="s">
        <v>12</v>
      </c>
      <c r="D210" s="7" t="s">
        <v>99</v>
      </c>
      <c r="E210" s="8" t="s">
        <v>796</v>
      </c>
      <c r="F210" s="6" t="s">
        <v>797</v>
      </c>
      <c r="G210" s="9">
        <f>IF(A210=1,"_",IF(C210="_","???",C210))</f>
        <v/>
      </c>
      <c r="H210" s="10" t="s">
        <v>12</v>
      </c>
      <c r="I210" s="11" t="s">
        <v>12</v>
      </c>
      <c r="J210" s="12"/>
    </row>
    <row r="211" spans="1:10" ht="60" customHeight="1">
      <c r="A211" s="6" t="s">
        <v>798</v>
      </c>
      <c r="B211" s="6" t="s">
        <v>57</v>
      </c>
      <c r="C211" s="6" t="s">
        <v>12</v>
      </c>
      <c r="D211" s="7" t="s">
        <v>799</v>
      </c>
      <c r="E211" s="8" t="s">
        <v>800</v>
      </c>
      <c r="F211" s="6" t="s">
        <v>801</v>
      </c>
      <c r="G211" s="9">
        <f>IF(A211=1,"_",IF(C211="_","???",C211))</f>
        <v/>
      </c>
      <c r="H211" s="10" t="s">
        <v>12</v>
      </c>
      <c r="I211" s="11" t="s">
        <v>12</v>
      </c>
      <c r="J211" s="12"/>
    </row>
    <row r="212" spans="1:10" ht="60" customHeight="1">
      <c r="A212" s="6" t="s">
        <v>802</v>
      </c>
      <c r="B212" s="6" t="s">
        <v>19</v>
      </c>
      <c r="C212" s="6" t="s">
        <v>12</v>
      </c>
      <c r="D212" s="7" t="s">
        <v>803</v>
      </c>
      <c r="E212" s="8" t="s">
        <v>804</v>
      </c>
      <c r="F212" s="6" t="s">
        <v>805</v>
      </c>
      <c r="G212" s="9">
        <f>IF(A212=1,"_",IF(C212="_","???",C212))</f>
        <v/>
      </c>
      <c r="H212" s="10" t="s">
        <v>12</v>
      </c>
      <c r="I212" s="11" t="s">
        <v>12</v>
      </c>
      <c r="J212" s="12"/>
    </row>
    <row r="213" spans="1:10" ht="60" customHeight="1">
      <c r="A213" s="6" t="s">
        <v>806</v>
      </c>
      <c r="B213" s="6" t="s">
        <v>11</v>
      </c>
      <c r="C213" s="6" t="s">
        <v>12</v>
      </c>
      <c r="D213" s="7" t="s">
        <v>99</v>
      </c>
      <c r="E213" s="8" t="s">
        <v>807</v>
      </c>
      <c r="F213" s="6" t="s">
        <v>808</v>
      </c>
      <c r="G213" s="9">
        <f>IF(A213=1,"_",IF(C213="_","???",C213))</f>
        <v/>
      </c>
      <c r="H213" s="10" t="s">
        <v>12</v>
      </c>
      <c r="I213" s="11" t="s">
        <v>12</v>
      </c>
      <c r="J213" s="12"/>
    </row>
    <row r="214" spans="1:10" ht="60" customHeight="1">
      <c r="A214" s="6" t="s">
        <v>809</v>
      </c>
      <c r="B214" s="6" t="s">
        <v>23</v>
      </c>
      <c r="C214" s="6" t="s">
        <v>339</v>
      </c>
      <c r="D214" s="7" t="s">
        <v>412</v>
      </c>
      <c r="E214" s="8" t="s">
        <v>810</v>
      </c>
      <c r="F214" s="6" t="s">
        <v>811</v>
      </c>
      <c r="G214" s="9">
        <f>IF(A214=1,"_",IF(C214="_","???",C214))</f>
        <v/>
      </c>
      <c r="H214" s="10" t="s">
        <v>12</v>
      </c>
      <c r="I214" s="11" t="s">
        <v>12</v>
      </c>
      <c r="J214" s="12"/>
    </row>
    <row r="215" spans="1:10" ht="60" customHeight="1">
      <c r="A215" s="6" t="s">
        <v>812</v>
      </c>
      <c r="B215" s="6" t="s">
        <v>11</v>
      </c>
      <c r="C215" s="6" t="s">
        <v>12</v>
      </c>
      <c r="D215" s="7" t="s">
        <v>95</v>
      </c>
      <c r="E215" s="8" t="s">
        <v>813</v>
      </c>
      <c r="F215" s="6" t="s">
        <v>814</v>
      </c>
      <c r="G215" s="9">
        <f>IF(A215=1,"_",IF(C215="_","???",C215))</f>
        <v/>
      </c>
      <c r="H215" s="10" t="s">
        <v>12</v>
      </c>
      <c r="I215" s="11" t="s">
        <v>12</v>
      </c>
      <c r="J215" s="12"/>
    </row>
    <row r="216" spans="1:10" ht="60" customHeight="1">
      <c r="A216" s="6" t="s">
        <v>815</v>
      </c>
      <c r="B216" s="6" t="s">
        <v>11</v>
      </c>
      <c r="C216" s="6" t="s">
        <v>12</v>
      </c>
      <c r="D216" s="7" t="s">
        <v>816</v>
      </c>
      <c r="E216" s="8" t="s">
        <v>817</v>
      </c>
      <c r="F216" s="6" t="s">
        <v>818</v>
      </c>
      <c r="G216" s="9">
        <f>IF(A216=1,"_",IF(C216="_","???",C216))</f>
        <v/>
      </c>
      <c r="H216" s="10" t="s">
        <v>12</v>
      </c>
      <c r="I216" s="11" t="s">
        <v>12</v>
      </c>
      <c r="J216" s="12"/>
    </row>
    <row r="217" spans="1:10" ht="60" customHeight="1">
      <c r="A217" s="6" t="s">
        <v>819</v>
      </c>
      <c r="B217" s="6" t="s">
        <v>19</v>
      </c>
      <c r="C217" s="6" t="s">
        <v>12</v>
      </c>
      <c r="D217" s="7" t="s">
        <v>820</v>
      </c>
      <c r="E217" s="8" t="s">
        <v>821</v>
      </c>
      <c r="F217" s="6" t="s">
        <v>822</v>
      </c>
      <c r="G217" s="9">
        <f>IF(A217=1,"_",IF(C217="_","???",C217))</f>
        <v/>
      </c>
      <c r="H217" s="10" t="s">
        <v>12</v>
      </c>
      <c r="I217" s="11" t="s">
        <v>12</v>
      </c>
      <c r="J217" s="12"/>
    </row>
    <row r="218" spans="1:10" ht="60" customHeight="1">
      <c r="A218" s="6" t="s">
        <v>823</v>
      </c>
      <c r="B218" s="6" t="s">
        <v>39</v>
      </c>
      <c r="C218" s="6" t="s">
        <v>12</v>
      </c>
      <c r="D218" s="7" t="s">
        <v>824</v>
      </c>
      <c r="E218" s="8" t="s">
        <v>825</v>
      </c>
      <c r="F218" s="6" t="s">
        <v>826</v>
      </c>
      <c r="G218" s="9">
        <f>IF(A218=1,"_",IF(C218="_","???",C218))</f>
        <v/>
      </c>
      <c r="H218" s="10" t="s">
        <v>12</v>
      </c>
      <c r="I218" s="11" t="s">
        <v>12</v>
      </c>
      <c r="J218" s="12"/>
    </row>
    <row r="219" spans="1:10" ht="60" customHeight="1">
      <c r="A219" s="6" t="s">
        <v>827</v>
      </c>
      <c r="B219" s="6" t="s">
        <v>19</v>
      </c>
      <c r="C219" s="6" t="s">
        <v>12</v>
      </c>
      <c r="D219" s="7" t="s">
        <v>828</v>
      </c>
      <c r="E219" s="8" t="s">
        <v>829</v>
      </c>
      <c r="F219" s="6" t="s">
        <v>830</v>
      </c>
      <c r="G219" s="9">
        <f>IF(A219=1,"_",IF(C219="_","???",C219))</f>
        <v/>
      </c>
      <c r="H219" s="10" t="s">
        <v>12</v>
      </c>
      <c r="I219" s="11" t="s">
        <v>12</v>
      </c>
      <c r="J219" s="12"/>
    </row>
    <row r="220" spans="1:10" ht="60" customHeight="1">
      <c r="A220" s="6" t="s">
        <v>831</v>
      </c>
      <c r="B220" s="6" t="s">
        <v>23</v>
      </c>
      <c r="C220" s="6" t="s">
        <v>12</v>
      </c>
      <c r="D220" s="7" t="s">
        <v>832</v>
      </c>
      <c r="E220" s="8" t="s">
        <v>833</v>
      </c>
      <c r="F220" s="6" t="s">
        <v>834</v>
      </c>
      <c r="G220" s="9">
        <f>IF(A220=1,"_",IF(C220="_","???",C220))</f>
        <v/>
      </c>
      <c r="H220" s="10" t="s">
        <v>12</v>
      </c>
      <c r="I220" s="11" t="s">
        <v>12</v>
      </c>
      <c r="J220" s="12"/>
    </row>
    <row r="221" spans="1:10" ht="60" customHeight="1">
      <c r="A221" s="6" t="s">
        <v>835</v>
      </c>
      <c r="B221" s="6" t="s">
        <v>11</v>
      </c>
      <c r="C221" s="6" t="s">
        <v>12</v>
      </c>
      <c r="D221" s="7" t="s">
        <v>836</v>
      </c>
      <c r="E221" s="8" t="s">
        <v>837</v>
      </c>
      <c r="F221" s="6" t="s">
        <v>838</v>
      </c>
      <c r="G221" s="9">
        <f>IF(A221=1,"_",IF(C221="_","???",C221))</f>
        <v/>
      </c>
      <c r="H221" s="10" t="s">
        <v>12</v>
      </c>
      <c r="I221" s="11" t="s">
        <v>12</v>
      </c>
      <c r="J221" s="12"/>
    </row>
    <row r="222" spans="1:10" ht="60" customHeight="1">
      <c r="A222" s="6" t="s">
        <v>839</v>
      </c>
      <c r="B222" s="6" t="s">
        <v>11</v>
      </c>
      <c r="C222" s="6" t="s">
        <v>12</v>
      </c>
      <c r="D222" s="7" t="s">
        <v>840</v>
      </c>
      <c r="E222" s="8" t="s">
        <v>841</v>
      </c>
      <c r="F222" s="6" t="s">
        <v>842</v>
      </c>
      <c r="G222" s="9">
        <f>IF(A222=1,"_",IF(C222="_","???",C222))</f>
        <v/>
      </c>
      <c r="H222" s="10" t="s">
        <v>12</v>
      </c>
      <c r="I222" s="11" t="s">
        <v>12</v>
      </c>
      <c r="J222" s="12"/>
    </row>
    <row r="223" spans="1:10" ht="60" customHeight="1">
      <c r="A223" s="6" t="s">
        <v>843</v>
      </c>
      <c r="B223" s="6" t="s">
        <v>10</v>
      </c>
      <c r="C223" s="6" t="s">
        <v>12</v>
      </c>
      <c r="D223" s="7" t="s">
        <v>36</v>
      </c>
      <c r="E223" s="8" t="s">
        <v>844</v>
      </c>
      <c r="F223" s="6" t="s">
        <v>845</v>
      </c>
      <c r="G223" s="9">
        <f>IF(A223=1,"_",IF(C223="_","???",C223))</f>
        <v/>
      </c>
      <c r="H223" s="10" t="s">
        <v>12</v>
      </c>
      <c r="I223" s="11" t="s">
        <v>12</v>
      </c>
      <c r="J223" s="12"/>
    </row>
    <row r="224" spans="1:10" ht="60" customHeight="1">
      <c r="A224" s="6" t="s">
        <v>846</v>
      </c>
      <c r="B224" s="6" t="s">
        <v>19</v>
      </c>
      <c r="C224" s="6" t="s">
        <v>196</v>
      </c>
      <c r="D224" s="7" t="s">
        <v>99</v>
      </c>
      <c r="E224" s="8" t="s">
        <v>847</v>
      </c>
      <c r="F224" s="6" t="s">
        <v>848</v>
      </c>
      <c r="G224" s="9">
        <f>IF(A224=1,"_",IF(C224="_","???",C224))</f>
        <v/>
      </c>
      <c r="H224" s="10" t="s">
        <v>12</v>
      </c>
      <c r="I224" s="11" t="s">
        <v>12</v>
      </c>
      <c r="J224" s="12"/>
    </row>
    <row r="225" spans="1:10" ht="60" customHeight="1">
      <c r="A225" s="6" t="s">
        <v>849</v>
      </c>
      <c r="B225" s="6" t="s">
        <v>23</v>
      </c>
      <c r="C225" s="6" t="s">
        <v>12</v>
      </c>
      <c r="D225" s="7" t="s">
        <v>676</v>
      </c>
      <c r="E225" s="8" t="s">
        <v>850</v>
      </c>
      <c r="F225" s="6" t="s">
        <v>851</v>
      </c>
      <c r="G225" s="9">
        <f>IF(A225=1,"_",IF(C225="_","???",C225))</f>
        <v/>
      </c>
      <c r="H225" s="10" t="s">
        <v>12</v>
      </c>
      <c r="I225" s="11" t="s">
        <v>12</v>
      </c>
      <c r="J225" s="12"/>
    </row>
    <row r="226" spans="1:10" ht="60" customHeight="1">
      <c r="A226" s="6" t="s">
        <v>852</v>
      </c>
      <c r="B226" s="6" t="s">
        <v>39</v>
      </c>
      <c r="C226" s="6" t="s">
        <v>12</v>
      </c>
      <c r="D226" s="7" t="s">
        <v>853</v>
      </c>
      <c r="E226" s="8" t="s">
        <v>854</v>
      </c>
      <c r="F226" s="6" t="s">
        <v>855</v>
      </c>
      <c r="G226" s="9">
        <f>IF(A226=1,"_",IF(C226="_","???",C226))</f>
        <v/>
      </c>
      <c r="H226" s="10" t="s">
        <v>12</v>
      </c>
      <c r="I226" s="11" t="s">
        <v>12</v>
      </c>
      <c r="J226" s="12"/>
    </row>
    <row r="227" spans="1:10" ht="60" customHeight="1">
      <c r="A227" s="6" t="s">
        <v>856</v>
      </c>
      <c r="B227" s="6" t="s">
        <v>10</v>
      </c>
      <c r="C227" s="6" t="s">
        <v>12</v>
      </c>
      <c r="D227" s="7" t="s">
        <v>857</v>
      </c>
      <c r="E227" s="8" t="s">
        <v>858</v>
      </c>
      <c r="F227" s="6" t="s">
        <v>859</v>
      </c>
      <c r="G227" s="9">
        <f>IF(A227=1,"_",IF(C227="_","???",C227))</f>
        <v/>
      </c>
      <c r="H227" s="10" t="s">
        <v>12</v>
      </c>
      <c r="I227" s="11" t="s">
        <v>12</v>
      </c>
      <c r="J227" s="12"/>
    </row>
    <row r="228" spans="1:10" ht="60" customHeight="1">
      <c r="A228" s="6" t="s">
        <v>860</v>
      </c>
      <c r="B228" s="6" t="s">
        <v>23</v>
      </c>
      <c r="C228" s="6" t="s">
        <v>12</v>
      </c>
      <c r="D228" s="7" t="s">
        <v>861</v>
      </c>
      <c r="E228" s="8" t="s">
        <v>862</v>
      </c>
      <c r="F228" s="6" t="s">
        <v>863</v>
      </c>
      <c r="G228" s="9">
        <f>IF(A228=1,"_",IF(C228="_","???",C228))</f>
        <v/>
      </c>
      <c r="H228" s="10" t="s">
        <v>12</v>
      </c>
      <c r="I228" s="11" t="s">
        <v>12</v>
      </c>
      <c r="J228" s="12"/>
    </row>
    <row r="229" spans="1:10" ht="60" customHeight="1">
      <c r="A229" s="6" t="s">
        <v>864</v>
      </c>
      <c r="B229" s="6" t="s">
        <v>53</v>
      </c>
      <c r="C229" s="6" t="s">
        <v>12</v>
      </c>
      <c r="D229" s="7" t="s">
        <v>865</v>
      </c>
      <c r="E229" s="8" t="s">
        <v>866</v>
      </c>
      <c r="F229" s="6" t="s">
        <v>867</v>
      </c>
      <c r="G229" s="9">
        <f>IF(A229=1,"_",IF(C229="_","???",C229))</f>
        <v/>
      </c>
      <c r="H229" s="10" t="s">
        <v>12</v>
      </c>
      <c r="I229" s="11" t="s">
        <v>12</v>
      </c>
      <c r="J229" s="12"/>
    </row>
    <row r="230" spans="1:10" ht="60" customHeight="1">
      <c r="A230" s="6" t="s">
        <v>868</v>
      </c>
      <c r="B230" s="6" t="s">
        <v>11</v>
      </c>
      <c r="C230" s="6" t="s">
        <v>12</v>
      </c>
      <c r="D230" s="7" t="s">
        <v>869</v>
      </c>
      <c r="E230" s="8" t="s">
        <v>870</v>
      </c>
      <c r="F230" s="6" t="s">
        <v>871</v>
      </c>
      <c r="G230" s="9">
        <f>IF(A230=1,"_",IF(C230="_","???",C230))</f>
        <v/>
      </c>
      <c r="H230" s="10" t="s">
        <v>12</v>
      </c>
      <c r="I230" s="11" t="s">
        <v>12</v>
      </c>
      <c r="J230" s="12"/>
    </row>
    <row r="231" spans="1:10" ht="60" customHeight="1">
      <c r="A231" s="6" t="s">
        <v>872</v>
      </c>
      <c r="B231" s="6" t="s">
        <v>11</v>
      </c>
      <c r="C231" s="6" t="s">
        <v>12</v>
      </c>
      <c r="D231" s="7" t="s">
        <v>873</v>
      </c>
      <c r="E231" s="8" t="s">
        <v>874</v>
      </c>
      <c r="F231" s="6" t="s">
        <v>875</v>
      </c>
      <c r="G231" s="9">
        <f>IF(A231=1,"_",IF(C231="_","???",C231))</f>
        <v/>
      </c>
      <c r="H231" s="10" t="s">
        <v>12</v>
      </c>
      <c r="I231" s="11" t="s">
        <v>12</v>
      </c>
      <c r="J231" s="12"/>
    </row>
    <row r="232" spans="1:10" ht="60" customHeight="1">
      <c r="A232" s="6" t="s">
        <v>876</v>
      </c>
      <c r="B232" s="6" t="s">
        <v>11</v>
      </c>
      <c r="C232" s="6" t="s">
        <v>12</v>
      </c>
      <c r="D232" s="7" t="s">
        <v>877</v>
      </c>
      <c r="E232" s="8" t="s">
        <v>878</v>
      </c>
      <c r="F232" s="6" t="s">
        <v>879</v>
      </c>
      <c r="G232" s="9">
        <f>IF(A232=1,"_",IF(C232="_","???",C232))</f>
        <v/>
      </c>
      <c r="H232" s="10" t="s">
        <v>12</v>
      </c>
      <c r="I232" s="11" t="s">
        <v>12</v>
      </c>
      <c r="J232" s="12"/>
    </row>
    <row r="233" spans="1:10" ht="60" customHeight="1">
      <c r="A233" s="6" t="s">
        <v>880</v>
      </c>
      <c r="B233" s="6" t="s">
        <v>11</v>
      </c>
      <c r="C233" s="6" t="s">
        <v>12</v>
      </c>
      <c r="D233" s="7" t="s">
        <v>515</v>
      </c>
      <c r="E233" s="8" t="s">
        <v>881</v>
      </c>
      <c r="F233" s="6" t="s">
        <v>882</v>
      </c>
      <c r="G233" s="9">
        <f>IF(A233=1,"_",IF(C233="_","???",C233))</f>
        <v/>
      </c>
      <c r="H233" s="10" t="s">
        <v>12</v>
      </c>
      <c r="I233" s="11" t="s">
        <v>12</v>
      </c>
      <c r="J233" s="12"/>
    </row>
    <row r="234" spans="1:10" ht="60" customHeight="1">
      <c r="A234" s="6" t="s">
        <v>883</v>
      </c>
      <c r="B234" s="6" t="s">
        <v>10</v>
      </c>
      <c r="C234" s="6" t="s">
        <v>12</v>
      </c>
      <c r="D234" s="7" t="s">
        <v>28</v>
      </c>
      <c r="E234" s="8" t="s">
        <v>884</v>
      </c>
      <c r="F234" s="6" t="s">
        <v>885</v>
      </c>
      <c r="G234" s="9">
        <f>IF(A234=1,"_",IF(C234="_","???",C234))</f>
        <v/>
      </c>
      <c r="H234" s="10" t="s">
        <v>12</v>
      </c>
      <c r="I234" s="11" t="s">
        <v>12</v>
      </c>
      <c r="J234" s="12"/>
    </row>
    <row r="235" spans="1:10" ht="60" customHeight="1">
      <c r="A235" s="6" t="s">
        <v>886</v>
      </c>
      <c r="B235" s="6" t="s">
        <v>72</v>
      </c>
      <c r="C235" s="6" t="s">
        <v>12</v>
      </c>
      <c r="D235" s="7" t="s">
        <v>644</v>
      </c>
      <c r="E235" s="8" t="s">
        <v>887</v>
      </c>
      <c r="F235" s="6" t="s">
        <v>888</v>
      </c>
      <c r="G235" s="9">
        <f>IF(A235=1,"_",IF(C235="_","???",C235))</f>
        <v/>
      </c>
      <c r="H235" s="10" t="s">
        <v>12</v>
      </c>
      <c r="I235" s="11" t="s">
        <v>12</v>
      </c>
      <c r="J235" s="12"/>
    </row>
    <row r="236" spans="1:10" ht="60" customHeight="1">
      <c r="A236" s="6" t="s">
        <v>889</v>
      </c>
      <c r="B236" s="6" t="s">
        <v>23</v>
      </c>
      <c r="C236" s="6" t="s">
        <v>12</v>
      </c>
      <c r="D236" s="7" t="s">
        <v>890</v>
      </c>
      <c r="E236" s="8" t="s">
        <v>891</v>
      </c>
      <c r="F236" s="6" t="s">
        <v>892</v>
      </c>
      <c r="G236" s="9">
        <f>IF(A236=1,"_",IF(C236="_","???",C236))</f>
        <v/>
      </c>
      <c r="H236" s="10" t="s">
        <v>12</v>
      </c>
      <c r="I236" s="11" t="s">
        <v>12</v>
      </c>
      <c r="J236" s="12"/>
    </row>
    <row r="237" spans="1:10" ht="60" customHeight="1">
      <c r="A237" s="6" t="s">
        <v>893</v>
      </c>
      <c r="B237" s="6" t="s">
        <v>11</v>
      </c>
      <c r="C237" s="6" t="s">
        <v>12</v>
      </c>
      <c r="D237" s="7" t="s">
        <v>894</v>
      </c>
      <c r="E237" s="8" t="s">
        <v>895</v>
      </c>
      <c r="F237" s="6" t="s">
        <v>896</v>
      </c>
      <c r="G237" s="9">
        <f>IF(A237=1,"_",IF(C237="_","???",C237))</f>
        <v/>
      </c>
      <c r="H237" s="10" t="s">
        <v>12</v>
      </c>
      <c r="I237" s="11" t="s">
        <v>12</v>
      </c>
      <c r="J237" s="12"/>
    </row>
    <row r="238" spans="1:10" ht="60" customHeight="1">
      <c r="A238" s="6" t="s">
        <v>897</v>
      </c>
      <c r="B238" s="6" t="s">
        <v>27</v>
      </c>
      <c r="C238" s="6" t="s">
        <v>12</v>
      </c>
      <c r="D238" s="7" t="s">
        <v>233</v>
      </c>
      <c r="E238" s="8" t="s">
        <v>898</v>
      </c>
      <c r="F238" s="6" t="s">
        <v>899</v>
      </c>
      <c r="G238" s="9">
        <f>IF(A238=1,"_",IF(C238="_","???",C238))</f>
        <v/>
      </c>
      <c r="H238" s="10" t="s">
        <v>12</v>
      </c>
      <c r="I238" s="11" t="s">
        <v>12</v>
      </c>
      <c r="J238" s="12"/>
    </row>
    <row r="239" spans="1:10" ht="60" customHeight="1">
      <c r="A239" s="6" t="s">
        <v>900</v>
      </c>
      <c r="B239" s="6" t="s">
        <v>11</v>
      </c>
      <c r="C239" s="6" t="s">
        <v>12</v>
      </c>
      <c r="D239" s="7" t="s">
        <v>836</v>
      </c>
      <c r="E239" s="8" t="s">
        <v>901</v>
      </c>
      <c r="F239" s="6" t="s">
        <v>902</v>
      </c>
      <c r="G239" s="9">
        <f>IF(A239=1,"_",IF(C239="_","???",C239))</f>
        <v/>
      </c>
      <c r="H239" s="10" t="s">
        <v>12</v>
      </c>
      <c r="I239" s="11" t="s">
        <v>12</v>
      </c>
      <c r="J239" s="12"/>
    </row>
    <row r="240" spans="1:10" ht="60" customHeight="1">
      <c r="A240" s="6" t="s">
        <v>903</v>
      </c>
      <c r="B240" s="6" t="s">
        <v>19</v>
      </c>
      <c r="C240" s="6" t="s">
        <v>12</v>
      </c>
      <c r="D240" s="7" t="s">
        <v>904</v>
      </c>
      <c r="E240" s="8" t="s">
        <v>905</v>
      </c>
      <c r="F240" s="6" t="s">
        <v>906</v>
      </c>
      <c r="G240" s="9">
        <f>IF(A240=1,"_",IF(C240="_","???",C240))</f>
        <v/>
      </c>
      <c r="H240" s="10" t="s">
        <v>12</v>
      </c>
      <c r="I240" s="11" t="s">
        <v>12</v>
      </c>
      <c r="J240" s="12"/>
    </row>
    <row r="241" spans="1:10" ht="60" customHeight="1">
      <c r="A241" s="6" t="s">
        <v>907</v>
      </c>
      <c r="B241" s="6" t="s">
        <v>44</v>
      </c>
      <c r="C241" s="6" t="s">
        <v>12</v>
      </c>
      <c r="D241" s="7" t="s">
        <v>408</v>
      </c>
      <c r="E241" s="8" t="s">
        <v>908</v>
      </c>
      <c r="F241" s="6" t="s">
        <v>909</v>
      </c>
      <c r="G241" s="9">
        <f>IF(A241=1,"_",IF(C241="_","???",C241))</f>
        <v/>
      </c>
      <c r="H241" s="10" t="s">
        <v>12</v>
      </c>
      <c r="I241" s="11" t="s">
        <v>12</v>
      </c>
      <c r="J241" s="12"/>
    </row>
    <row r="242" spans="1:10" ht="60" customHeight="1">
      <c r="A242" s="6" t="s">
        <v>910</v>
      </c>
      <c r="B242" s="6" t="s">
        <v>39</v>
      </c>
      <c r="C242" s="6" t="s">
        <v>12</v>
      </c>
      <c r="D242" s="7" t="s">
        <v>911</v>
      </c>
      <c r="E242" s="8" t="s">
        <v>912</v>
      </c>
      <c r="F242" s="6" t="s">
        <v>913</v>
      </c>
      <c r="G242" s="9">
        <f>IF(A242=1,"_",IF(C242="_","???",C242))</f>
        <v/>
      </c>
      <c r="H242" s="10" t="s">
        <v>12</v>
      </c>
      <c r="I242" s="11" t="s">
        <v>12</v>
      </c>
      <c r="J242" s="12"/>
    </row>
    <row r="243" spans="1:10" ht="60" customHeight="1">
      <c r="A243" s="6" t="s">
        <v>914</v>
      </c>
      <c r="B243" s="6" t="s">
        <v>11</v>
      </c>
      <c r="C243" s="6" t="s">
        <v>12</v>
      </c>
      <c r="D243" s="7" t="s">
        <v>915</v>
      </c>
      <c r="E243" s="8" t="s">
        <v>916</v>
      </c>
      <c r="F243" s="6" t="s">
        <v>917</v>
      </c>
      <c r="G243" s="9">
        <f>IF(A243=1,"_",IF(C243="_","???",C243))</f>
        <v/>
      </c>
      <c r="H243" s="10" t="s">
        <v>12</v>
      </c>
      <c r="I243" s="11" t="s">
        <v>12</v>
      </c>
      <c r="J243" s="12"/>
    </row>
    <row r="244" spans="1:10" ht="60" customHeight="1">
      <c r="A244" s="6" t="s">
        <v>918</v>
      </c>
      <c r="B244" s="6" t="s">
        <v>11</v>
      </c>
      <c r="C244" s="6" t="s">
        <v>12</v>
      </c>
      <c r="D244" s="7" t="s">
        <v>99</v>
      </c>
      <c r="E244" s="8" t="s">
        <v>919</v>
      </c>
      <c r="F244" s="6" t="s">
        <v>920</v>
      </c>
      <c r="G244" s="9">
        <f>IF(A244=1,"_",IF(C244="_","???",C244))</f>
        <v/>
      </c>
      <c r="H244" s="10" t="s">
        <v>12</v>
      </c>
      <c r="I244" s="11" t="s">
        <v>12</v>
      </c>
      <c r="J244" s="12"/>
    </row>
    <row r="245" spans="1:10" ht="60" customHeight="1">
      <c r="A245" s="6" t="s">
        <v>921</v>
      </c>
      <c r="B245" s="6" t="s">
        <v>11</v>
      </c>
      <c r="C245" s="6" t="s">
        <v>12</v>
      </c>
      <c r="D245" s="7" t="s">
        <v>922</v>
      </c>
      <c r="E245" s="8" t="s">
        <v>923</v>
      </c>
      <c r="F245" s="6" t="s">
        <v>924</v>
      </c>
      <c r="G245" s="9">
        <f>IF(A245=1,"_",IF(C245="_","???",C245))</f>
        <v/>
      </c>
      <c r="H245" s="10" t="s">
        <v>12</v>
      </c>
      <c r="I245" s="11" t="s">
        <v>12</v>
      </c>
      <c r="J245" s="12"/>
    </row>
    <row r="246" spans="1:10" ht="60" customHeight="1">
      <c r="A246" s="6" t="s">
        <v>925</v>
      </c>
      <c r="B246" s="6" t="s">
        <v>10</v>
      </c>
      <c r="C246" s="6" t="s">
        <v>12</v>
      </c>
      <c r="D246" s="7" t="s">
        <v>926</v>
      </c>
      <c r="E246" s="8" t="s">
        <v>927</v>
      </c>
      <c r="F246" s="6" t="s">
        <v>928</v>
      </c>
      <c r="G246" s="9">
        <f>IF(A246=1,"_",IF(C246="_","???",C246))</f>
        <v/>
      </c>
      <c r="H246" s="10" t="s">
        <v>12</v>
      </c>
      <c r="I246" s="11" t="s">
        <v>12</v>
      </c>
      <c r="J246" s="12"/>
    </row>
    <row r="247" spans="1:10" ht="60" customHeight="1">
      <c r="A247" s="6" t="s">
        <v>929</v>
      </c>
      <c r="B247" s="6" t="s">
        <v>19</v>
      </c>
      <c r="C247" s="6" t="s">
        <v>12</v>
      </c>
      <c r="D247" s="7" t="s">
        <v>28</v>
      </c>
      <c r="E247" s="8" t="s">
        <v>930</v>
      </c>
      <c r="F247" s="6" t="s">
        <v>931</v>
      </c>
      <c r="G247" s="9">
        <f>IF(A247=1,"_",IF(C247="_","???",C247))</f>
        <v/>
      </c>
      <c r="H247" s="10" t="s">
        <v>12</v>
      </c>
      <c r="I247" s="11" t="s">
        <v>12</v>
      </c>
      <c r="J247" s="12"/>
    </row>
    <row r="248" spans="1:10" ht="60" customHeight="1">
      <c r="A248" s="6" t="s">
        <v>932</v>
      </c>
      <c r="B248" s="6" t="s">
        <v>19</v>
      </c>
      <c r="C248" s="6" t="s">
        <v>12</v>
      </c>
      <c r="D248" s="7" t="s">
        <v>933</v>
      </c>
      <c r="E248" s="8" t="s">
        <v>934</v>
      </c>
      <c r="F248" s="6" t="s">
        <v>935</v>
      </c>
      <c r="G248" s="9">
        <f>IF(A248=1,"_",IF(C248="_","???",C248))</f>
        <v/>
      </c>
      <c r="H248" s="10" t="s">
        <v>12</v>
      </c>
      <c r="I248" s="11" t="s">
        <v>12</v>
      </c>
      <c r="J248" s="12"/>
    </row>
    <row r="249" spans="1:10" ht="60" customHeight="1">
      <c r="A249" s="6" t="s">
        <v>936</v>
      </c>
      <c r="B249" s="6" t="s">
        <v>11</v>
      </c>
      <c r="C249" s="6" t="s">
        <v>12</v>
      </c>
      <c r="D249" s="7" t="s">
        <v>933</v>
      </c>
      <c r="E249" s="8" t="s">
        <v>937</v>
      </c>
      <c r="F249" s="6" t="s">
        <v>938</v>
      </c>
      <c r="G249" s="9">
        <f>IF(A249=1,"_",IF(C249="_","???",C249))</f>
        <v/>
      </c>
      <c r="H249" s="10" t="s">
        <v>12</v>
      </c>
      <c r="I249" s="11" t="s">
        <v>12</v>
      </c>
      <c r="J249" s="12"/>
    </row>
    <row r="250" spans="1:10" ht="60" customHeight="1">
      <c r="A250" s="6" t="s">
        <v>939</v>
      </c>
      <c r="B250" s="6" t="s">
        <v>19</v>
      </c>
      <c r="C250" s="6" t="s">
        <v>12</v>
      </c>
      <c r="D250" s="7" t="s">
        <v>940</v>
      </c>
      <c r="E250" s="8" t="s">
        <v>941</v>
      </c>
      <c r="F250" s="6" t="s">
        <v>942</v>
      </c>
      <c r="G250" s="9">
        <f>IF(A250=1,"_",IF(C250="_","???",C250))</f>
        <v/>
      </c>
      <c r="H250" s="10" t="s">
        <v>12</v>
      </c>
      <c r="I250" s="11" t="s">
        <v>12</v>
      </c>
      <c r="J250" s="12"/>
    </row>
    <row r="251" spans="1:10" ht="60" customHeight="1">
      <c r="A251" s="6" t="s">
        <v>943</v>
      </c>
      <c r="B251" s="6" t="s">
        <v>11</v>
      </c>
      <c r="C251" s="6" t="s">
        <v>12</v>
      </c>
      <c r="D251" s="7" t="s">
        <v>515</v>
      </c>
      <c r="E251" s="8" t="s">
        <v>944</v>
      </c>
      <c r="F251" s="6" t="s">
        <v>945</v>
      </c>
      <c r="G251" s="9">
        <f>IF(A251=1,"_",IF(C251="_","???",C251))</f>
        <v/>
      </c>
      <c r="H251" s="10" t="s">
        <v>12</v>
      </c>
      <c r="I251" s="11" t="s">
        <v>12</v>
      </c>
      <c r="J251" s="12"/>
    </row>
    <row r="252" spans="1:10" ht="60" customHeight="1">
      <c r="A252" s="6" t="s">
        <v>946</v>
      </c>
      <c r="B252" s="6" t="s">
        <v>10</v>
      </c>
      <c r="C252" s="6" t="s">
        <v>12</v>
      </c>
      <c r="D252" s="7" t="s">
        <v>644</v>
      </c>
      <c r="E252" s="8" t="s">
        <v>947</v>
      </c>
      <c r="F252" s="6" t="s">
        <v>948</v>
      </c>
      <c r="G252" s="9">
        <f>IF(A252=1,"_",IF(C252="_","???",C252))</f>
        <v/>
      </c>
      <c r="H252" s="10" t="s">
        <v>12</v>
      </c>
      <c r="I252" s="11" t="s">
        <v>12</v>
      </c>
      <c r="J252" s="12"/>
    </row>
    <row r="253" spans="1:10" ht="60" customHeight="1">
      <c r="A253" s="6" t="s">
        <v>949</v>
      </c>
      <c r="B253" s="6" t="s">
        <v>10</v>
      </c>
      <c r="C253" s="6" t="s">
        <v>12</v>
      </c>
      <c r="D253" s="7" t="s">
        <v>950</v>
      </c>
      <c r="E253" s="8" t="s">
        <v>951</v>
      </c>
      <c r="F253" s="6" t="s">
        <v>952</v>
      </c>
      <c r="G253" s="9">
        <f>IF(A253=1,"_",IF(C253="_","???",C253))</f>
        <v/>
      </c>
      <c r="H253" s="10" t="s">
        <v>12</v>
      </c>
      <c r="I253" s="11" t="s">
        <v>12</v>
      </c>
      <c r="J253" s="12"/>
    </row>
    <row r="254" spans="1:10" ht="60" customHeight="1">
      <c r="A254" s="6" t="s">
        <v>953</v>
      </c>
      <c r="B254" s="6" t="s">
        <v>11</v>
      </c>
      <c r="C254" s="6" t="s">
        <v>12</v>
      </c>
      <c r="D254" s="7" t="s">
        <v>954</v>
      </c>
      <c r="E254" s="8" t="s">
        <v>955</v>
      </c>
      <c r="F254" s="6" t="s">
        <v>956</v>
      </c>
      <c r="G254" s="9">
        <f>IF(A254=1,"_",IF(C254="_","???",C254))</f>
        <v/>
      </c>
      <c r="H254" s="10" t="s">
        <v>12</v>
      </c>
      <c r="I254" s="11" t="s">
        <v>12</v>
      </c>
      <c r="J25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957</v>
      </c>
      <c r="B1" s="13" t="s">
        <v>958</v>
      </c>
      <c r="C1" s="13" t="s">
        <v>959</v>
      </c>
      <c r="D1" s="13" t="s">
        <v>960</v>
      </c>
      <c r="E1" s="14" t="s">
        <v>961</v>
      </c>
      <c r="F1" s="15" t="s">
        <v>962</v>
      </c>
      <c r="G1" s="16" t="s">
        <v>963</v>
      </c>
      <c r="H1" s="17" t="s">
        <v>964</v>
      </c>
      <c r="I1" s="18" t="s">
        <v>965</v>
      </c>
      <c r="J1" s="18" t="s">
        <v>966</v>
      </c>
      <c r="K1" s="18" t="s">
        <v>967</v>
      </c>
      <c r="L1" s="19" t="s">
        <v>9</v>
      </c>
    </row>
    <row r="2" spans="1:12">
      <c r="A2" s="20" t="s">
        <v>968</v>
      </c>
    </row>
    <row r="3" spans="1:12">
      <c r="A3" s="20" t="s">
        <v>969</v>
      </c>
      <c r="B3" s="21" t="s">
        <v>970</v>
      </c>
      <c r="C3" s="21" t="s">
        <v>971</v>
      </c>
      <c r="D3" s="21" t="s">
        <v>972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973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974</v>
      </c>
      <c r="B5" s="21" t="s">
        <v>975</v>
      </c>
      <c r="C5" s="21" t="s">
        <v>976</v>
      </c>
      <c r="D5" s="21" t="s">
        <v>972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977</v>
      </c>
      <c r="B6" s="21" t="s">
        <v>978</v>
      </c>
      <c r="C6" s="21" t="s">
        <v>976</v>
      </c>
      <c r="D6" s="21" t="s">
        <v>972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979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/>
    </row>
    <row r="9" spans="1:12">
      <c r="A9" s="20" t="s">
        <v>980</v>
      </c>
    </row>
    <row r="10" spans="1:12">
      <c r="A10" s="20" t="s">
        <v>981</v>
      </c>
      <c r="B10" s="21" t="s">
        <v>975</v>
      </c>
      <c r="C10" s="21" t="s">
        <v>971</v>
      </c>
      <c r="D10" s="21" t="s">
        <v>972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982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979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983</v>
      </c>
    </row>
    <row r="16" spans="1:12">
      <c r="A16" s="20" t="s">
        <v>981</v>
      </c>
      <c r="B16" s="21" t="s">
        <v>975</v>
      </c>
      <c r="C16" s="21" t="s">
        <v>971</v>
      </c>
      <c r="D16" s="21" t="s">
        <v>972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984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816</v>
      </c>
      <c r="B18" s="21" t="s">
        <v>970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985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986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987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988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989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990</v>
      </c>
      <c r="B24" s="21" t="s">
        <v>978</v>
      </c>
      <c r="C24" s="21" t="s">
        <v>991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979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/>
    </row>
    <row r="27" spans="1:12">
      <c r="A27" s="20" t="s">
        <v>992</v>
      </c>
    </row>
    <row r="28" spans="1:12">
      <c r="A28" s="20" t="s">
        <v>993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994</v>
      </c>
      <c r="B29" s="21" t="s">
        <v>995</v>
      </c>
      <c r="C29" s="21" t="s">
        <v>996</v>
      </c>
      <c r="D29" s="21" t="s">
        <v>972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24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987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997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998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999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1000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1001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1002</v>
      </c>
      <c r="B37" s="21" t="s">
        <v>1003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1004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1005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1006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1007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1008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1009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1010</v>
      </c>
      <c r="B44" s="21" t="s">
        <v>1011</v>
      </c>
      <c r="C44" s="21" t="s">
        <v>1012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1013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1014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1002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1004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1005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816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1015</v>
      </c>
      <c r="B51" s="21" t="s">
        <v>1016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979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1017</v>
      </c>
    </row>
    <row r="55" spans="1:12">
      <c r="A55" s="20" t="s">
        <v>1018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1019</v>
      </c>
      <c r="B56" s="21" t="s">
        <v>995</v>
      </c>
      <c r="C56" s="21" t="s">
        <v>1012</v>
      </c>
      <c r="D56" s="21" t="s">
        <v>972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1020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1021</v>
      </c>
      <c r="B58" s="21" t="s">
        <v>995</v>
      </c>
      <c r="C58" s="21" t="s">
        <v>971</v>
      </c>
      <c r="D58" s="21" t="s">
        <v>972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668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1022</v>
      </c>
      <c r="B60" s="21" t="s">
        <v>975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1023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1024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1014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1025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1026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1027</v>
      </c>
      <c r="B66" s="21" t="s">
        <v>1011</v>
      </c>
      <c r="C66" s="21" t="s">
        <v>991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1013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1028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1029</v>
      </c>
      <c r="B69" s="21" t="s">
        <v>1030</v>
      </c>
      <c r="C69" s="21" t="s">
        <v>971</v>
      </c>
      <c r="D69" s="21" t="s">
        <v>972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1031</v>
      </c>
      <c r="B70" s="21" t="s">
        <v>1030</v>
      </c>
      <c r="C70" s="21" t="s">
        <v>971</v>
      </c>
      <c r="D70" s="21" t="s">
        <v>972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1013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1032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1026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1033</v>
      </c>
      <c r="B74" s="21" t="s">
        <v>1034</v>
      </c>
      <c r="C74" s="21" t="s">
        <v>991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987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1035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1036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816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985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979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/>
    </row>
    <row r="82" spans="1:12">
      <c r="A82" s="20" t="s">
        <v>1037</v>
      </c>
    </row>
    <row r="83" spans="1:12">
      <c r="A83" s="20" t="s">
        <v>1038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370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400</v>
      </c>
      <c r="B85" s="21" t="s">
        <v>975</v>
      </c>
      <c r="C85" s="21" t="s">
        <v>971</v>
      </c>
      <c r="D85" s="21" t="s">
        <v>972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1039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1040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1041</v>
      </c>
      <c r="B88" s="21" t="s">
        <v>978</v>
      </c>
      <c r="C88" s="21" t="s">
        <v>991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1042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1005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1043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1044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816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1045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979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1046</v>
      </c>
    </row>
    <row r="98" spans="1:12">
      <c r="A98" s="20" t="s">
        <v>1047</v>
      </c>
      <c r="B98" s="21" t="s">
        <v>975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1048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1031</v>
      </c>
      <c r="B100" s="21" t="s">
        <v>978</v>
      </c>
      <c r="C100" s="21" t="s">
        <v>971</v>
      </c>
      <c r="D100" s="21" t="s">
        <v>972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1049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1050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1023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1051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1052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1033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1013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1053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1032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1054</v>
      </c>
      <c r="B110" s="21" t="s">
        <v>1055</v>
      </c>
      <c r="C110" s="21" t="s">
        <v>971</v>
      </c>
      <c r="D110" s="21" t="s">
        <v>972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987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1056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979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1057</v>
      </c>
    </row>
    <row r="116" spans="1:12">
      <c r="A116" s="20" t="s">
        <v>1058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1059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1013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1060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1061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1033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1013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1062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1014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1061</v>
      </c>
      <c r="B125" s="21" t="s">
        <v>975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1063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1064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1065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1066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1005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1067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1068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979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/>
    </row>
    <row r="135" spans="1:12">
      <c r="A135" s="20" t="s">
        <v>1069</v>
      </c>
    </row>
    <row r="136" spans="1:12">
      <c r="A136" s="20" t="s">
        <v>1070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987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1071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1072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1013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1073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1074</v>
      </c>
      <c r="B142" s="21" t="s">
        <v>978</v>
      </c>
      <c r="C142" s="21" t="s">
        <v>996</v>
      </c>
      <c r="D142" s="21" t="s">
        <v>972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1075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1013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1076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1005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1077</v>
      </c>
      <c r="B147" s="21" t="s">
        <v>1011</v>
      </c>
      <c r="C147" s="21" t="s">
        <v>976</v>
      </c>
      <c r="D147" s="21" t="s">
        <v>972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1078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1013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355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1005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1079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979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/>
    </row>
    <row r="155" spans="1:12">
      <c r="A155" s="20" t="s">
        <v>1080</v>
      </c>
    </row>
    <row r="156" spans="1:12">
      <c r="A156" s="20" t="s">
        <v>1081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1041</v>
      </c>
      <c r="B157" s="21" t="s">
        <v>978</v>
      </c>
      <c r="C157" s="21" t="s">
        <v>991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1042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50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1053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1082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1083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1084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1085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1086</v>
      </c>
      <c r="B166" s="21" t="s">
        <v>1087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979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1088</v>
      </c>
    </row>
    <row r="170" spans="1:12">
      <c r="A170" s="20" t="s">
        <v>1089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1013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1090</v>
      </c>
      <c r="B172" s="21" t="s">
        <v>975</v>
      </c>
      <c r="C172" s="21" t="s">
        <v>971</v>
      </c>
      <c r="D172" s="21" t="s">
        <v>972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1091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1013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149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1092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400</v>
      </c>
      <c r="B177" s="21" t="s">
        <v>1093</v>
      </c>
      <c r="C177" s="21" t="s">
        <v>971</v>
      </c>
      <c r="D177" s="21" t="s">
        <v>972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1094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688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1005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1095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1096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987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1097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1098</v>
      </c>
      <c r="B185" s="21" t="s">
        <v>1099</v>
      </c>
      <c r="C185" s="21" t="s">
        <v>1100</v>
      </c>
      <c r="D185" s="21" t="s">
        <v>972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1013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293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400</v>
      </c>
      <c r="B188" s="21" t="s">
        <v>1101</v>
      </c>
      <c r="C188" s="21" t="s">
        <v>971</v>
      </c>
      <c r="D188" s="21" t="s">
        <v>972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1102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32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1044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1045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1103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1026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1033</v>
      </c>
      <c r="B195" s="21" t="s">
        <v>1011</v>
      </c>
      <c r="C195" s="21" t="s">
        <v>991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979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1104</v>
      </c>
    </row>
    <row r="199" spans="1:12">
      <c r="A199" s="20" t="s">
        <v>981</v>
      </c>
      <c r="B199" s="21" t="s">
        <v>975</v>
      </c>
      <c r="C199" s="21" t="s">
        <v>971</v>
      </c>
      <c r="D199" s="21" t="s">
        <v>972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1105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1013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149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1106</v>
      </c>
      <c r="B203" s="21" t="s">
        <v>1087</v>
      </c>
      <c r="C203" s="21" t="s">
        <v>971</v>
      </c>
      <c r="D203" s="21" t="s">
        <v>972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1107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757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92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1108</v>
      </c>
      <c r="B207" s="21" t="s">
        <v>1011</v>
      </c>
      <c r="C207" s="21" t="s">
        <v>991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1042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1109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1043</v>
      </c>
      <c r="B210" s="21" t="s">
        <v>1099</v>
      </c>
      <c r="C210" s="21" t="s">
        <v>991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979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/>
    </row>
    <row r="213" spans="1:12">
      <c r="A213" s="20" t="s">
        <v>1110</v>
      </c>
    </row>
    <row r="214" spans="1:12">
      <c r="A214" s="20" t="s">
        <v>1111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1013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1112</v>
      </c>
      <c r="B216" s="21" t="s">
        <v>975</v>
      </c>
      <c r="C216" s="21" t="s">
        <v>1012</v>
      </c>
      <c r="D216" s="21" t="s">
        <v>972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1113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1114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61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1013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257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1013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149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1090</v>
      </c>
      <c r="B224" s="21" t="s">
        <v>1115</v>
      </c>
      <c r="C224" s="21" t="s">
        <v>971</v>
      </c>
      <c r="D224" s="21" t="s">
        <v>972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1116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1117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1118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1013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1119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1120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979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1121</v>
      </c>
    </row>
    <row r="234" spans="1:12">
      <c r="A234" s="20" t="s">
        <v>1122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400</v>
      </c>
      <c r="B235" s="21" t="s">
        <v>1101</v>
      </c>
      <c r="C235" s="21" t="s">
        <v>971</v>
      </c>
      <c r="D235" s="21" t="s">
        <v>972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1094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1123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1124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1086</v>
      </c>
      <c r="B239" s="21" t="s">
        <v>1003</v>
      </c>
      <c r="C239" s="21" t="s">
        <v>1012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1013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1014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1125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1126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1013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1127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1128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1013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1085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1129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1013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1130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1013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1090</v>
      </c>
      <c r="B253" s="21" t="s">
        <v>975</v>
      </c>
      <c r="C253" s="21" t="s">
        <v>971</v>
      </c>
      <c r="D253" s="21" t="s">
        <v>972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1091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1013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149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1106</v>
      </c>
      <c r="B257" s="21" t="s">
        <v>1087</v>
      </c>
      <c r="C257" s="21" t="s">
        <v>971</v>
      </c>
      <c r="D257" s="21" t="s">
        <v>972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1131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1132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1133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1134</v>
      </c>
      <c r="B261" s="21" t="s">
        <v>1011</v>
      </c>
      <c r="C261" s="21" t="s">
        <v>1012</v>
      </c>
      <c r="D261" s="21" t="s">
        <v>972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1013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1053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1044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816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1045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1135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1136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1137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92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1138</v>
      </c>
      <c r="B272" s="21" t="s">
        <v>1034</v>
      </c>
      <c r="C272" s="21" t="s">
        <v>991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1042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1005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1043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1139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1140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1141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1142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979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1143</v>
      </c>
    </row>
    <row r="283" spans="1:12">
      <c r="A283" s="20" t="s">
        <v>1144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1145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1146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1147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979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1148</v>
      </c>
    </row>
    <row r="290" spans="1:12">
      <c r="A290" s="20" t="s">
        <v>981</v>
      </c>
      <c r="B290" s="21" t="s">
        <v>975</v>
      </c>
      <c r="C290" s="21" t="s">
        <v>971</v>
      </c>
      <c r="D290" s="21" t="s">
        <v>972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73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979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/>
    </row>
    <row r="294" spans="1:12">
      <c r="A294" s="20" t="s">
        <v>1149</v>
      </c>
    </row>
    <row r="295" spans="1:12">
      <c r="A295" s="20" t="s">
        <v>1150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1151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979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1152</v>
      </c>
    </row>
    <row r="300" spans="1:12">
      <c r="A300" s="20" t="s">
        <v>993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1153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81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979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/>
    </row>
    <row r="305" spans="1:12">
      <c r="A305" s="20" t="s">
        <v>1154</v>
      </c>
    </row>
    <row r="306" spans="1:12">
      <c r="A306" s="20" t="s">
        <v>1155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1156</v>
      </c>
      <c r="B307" s="21" t="s">
        <v>975</v>
      </c>
      <c r="C307" s="21" t="s">
        <v>1100</v>
      </c>
      <c r="D307" s="21" t="s">
        <v>972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1157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1158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1159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1013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81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1090</v>
      </c>
      <c r="B313" s="21" t="s">
        <v>1101</v>
      </c>
      <c r="C313" s="21" t="s">
        <v>971</v>
      </c>
      <c r="D313" s="21" t="s">
        <v>972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1160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1013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149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985</v>
      </c>
      <c r="B317" s="21" t="s">
        <v>1093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257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1161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1162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1078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1163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1164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1165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979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/>
    </row>
    <row r="327" spans="1:12">
      <c r="A327" s="20" t="s">
        <v>1166</v>
      </c>
    </row>
    <row r="328" spans="1:12">
      <c r="A328" s="20" t="s">
        <v>1144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1145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1146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979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/>
    </row>
    <row r="333" spans="1:12">
      <c r="A333" s="20" t="s">
        <v>1148</v>
      </c>
    </row>
    <row r="334" spans="1:12">
      <c r="A334" s="20" t="s">
        <v>981</v>
      </c>
      <c r="B334" s="21" t="s">
        <v>975</v>
      </c>
      <c r="C334" s="21" t="s">
        <v>971</v>
      </c>
      <c r="D334" s="21" t="s">
        <v>972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73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979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/>
    </row>
    <row r="338" spans="1:12">
      <c r="A338" s="20" t="s">
        <v>1167</v>
      </c>
    </row>
    <row r="339" spans="1:12">
      <c r="A339" s="20" t="s">
        <v>1168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1169</v>
      </c>
      <c r="B340" s="21" t="s">
        <v>975</v>
      </c>
      <c r="C340" s="21" t="s">
        <v>1100</v>
      </c>
      <c r="D340" s="21" t="s">
        <v>972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1013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1170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1171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1135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1172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1173</v>
      </c>
      <c r="B346" s="21" t="s">
        <v>1011</v>
      </c>
      <c r="C346" s="21" t="s">
        <v>976</v>
      </c>
      <c r="D346" s="21" t="s">
        <v>972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1174</v>
      </c>
      <c r="B347" s="21" t="s">
        <v>1175</v>
      </c>
      <c r="C347" s="21" t="s">
        <v>976</v>
      </c>
      <c r="D347" s="21" t="s">
        <v>972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979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1176</v>
      </c>
    </row>
    <row r="351" spans="1:12">
      <c r="A351" s="20" t="s">
        <v>1177</v>
      </c>
      <c r="B351" s="21" t="s">
        <v>975</v>
      </c>
      <c r="C351" s="21" t="s">
        <v>971</v>
      </c>
      <c r="D351" s="21" t="s">
        <v>972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1178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1179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1180</v>
      </c>
      <c r="B354" s="21" t="s">
        <v>1087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1013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1181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1182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979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/>
    </row>
    <row r="360" spans="1:12">
      <c r="A360" s="20" t="s">
        <v>1183</v>
      </c>
    </row>
    <row r="361" spans="1:12">
      <c r="A361" s="20" t="s">
        <v>1177</v>
      </c>
      <c r="B361" s="21" t="s">
        <v>975</v>
      </c>
      <c r="C361" s="21" t="s">
        <v>971</v>
      </c>
      <c r="D361" s="21" t="s">
        <v>972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1184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1185</v>
      </c>
      <c r="B363" s="21" t="s">
        <v>970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1186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1187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1013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1005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293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1188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1014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1189</v>
      </c>
      <c r="B371" s="21" t="s">
        <v>1093</v>
      </c>
      <c r="C371" s="21" t="s">
        <v>971</v>
      </c>
      <c r="D371" s="21" t="s">
        <v>972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1190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979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/>
    </row>
    <row r="375" spans="1:12">
      <c r="A375" s="20" t="s">
        <v>1191</v>
      </c>
    </row>
    <row r="376" spans="1:12">
      <c r="A376" s="20" t="s">
        <v>993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1112</v>
      </c>
      <c r="B377" s="21" t="s">
        <v>975</v>
      </c>
      <c r="C377" s="21" t="s">
        <v>1012</v>
      </c>
      <c r="D377" s="21" t="s">
        <v>972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1192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1193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1180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979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1194</v>
      </c>
    </row>
    <row r="384" spans="1:12">
      <c r="A384" s="20" t="s">
        <v>993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1092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145</v>
      </c>
      <c r="B386" s="21" t="s">
        <v>1101</v>
      </c>
      <c r="C386" s="21" t="s">
        <v>971</v>
      </c>
      <c r="D386" s="21" t="s">
        <v>972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1195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122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1013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145</v>
      </c>
      <c r="B390" s="21" t="s">
        <v>975</v>
      </c>
      <c r="C390" s="21" t="s">
        <v>971</v>
      </c>
      <c r="D390" s="21" t="s">
        <v>972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1196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1197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1198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1199</v>
      </c>
      <c r="B394" s="21" t="s">
        <v>1087</v>
      </c>
      <c r="C394" s="21" t="s">
        <v>1200</v>
      </c>
      <c r="D394" s="21" t="s">
        <v>972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1019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1156</v>
      </c>
      <c r="B396" s="21" t="s">
        <v>1011</v>
      </c>
      <c r="C396" s="21" t="s">
        <v>1100</v>
      </c>
      <c r="D396" s="21" t="s">
        <v>972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979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1201</v>
      </c>
    </row>
    <row r="400" spans="1:12">
      <c r="A400" s="20" t="s">
        <v>1058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1013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145</v>
      </c>
      <c r="B402" s="21" t="s">
        <v>975</v>
      </c>
      <c r="C402" s="21" t="s">
        <v>971</v>
      </c>
      <c r="D402" s="21" t="s">
        <v>972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1202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1203</v>
      </c>
      <c r="B404" s="21" t="s">
        <v>970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1013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1113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1204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1013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1205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1206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1207</v>
      </c>
      <c r="B411" s="21" t="s">
        <v>978</v>
      </c>
      <c r="C411" s="21" t="s">
        <v>1012</v>
      </c>
      <c r="D411" s="21" t="s">
        <v>972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1208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1209</v>
      </c>
      <c r="B413" s="21" t="s">
        <v>995</v>
      </c>
      <c r="C413" s="21" t="s">
        <v>1200</v>
      </c>
      <c r="D413" s="21" t="s">
        <v>972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1013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1210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1211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987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1212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1213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1214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1086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979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/>
    </row>
    <row r="424" spans="1:12">
      <c r="A424" s="20" t="s">
        <v>1215</v>
      </c>
    </row>
    <row r="425" spans="1:12">
      <c r="A425" s="20" t="s">
        <v>1122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1009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145</v>
      </c>
      <c r="B427" s="21" t="s">
        <v>1101</v>
      </c>
      <c r="C427" s="21" t="s">
        <v>971</v>
      </c>
      <c r="D427" s="21" t="s">
        <v>972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122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1013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293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1216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1217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1218</v>
      </c>
      <c r="B433" s="21" t="s">
        <v>975</v>
      </c>
      <c r="C433" s="21" t="s">
        <v>991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1023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1219</v>
      </c>
      <c r="B435" s="21" t="s">
        <v>1093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1220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1221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1222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1223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1224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1225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454</v>
      </c>
      <c r="B442" s="21" t="s">
        <v>1003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1013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1222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1226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1227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1228</v>
      </c>
      <c r="B447" s="21" t="s">
        <v>1115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1225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1229</v>
      </c>
      <c r="B450" s="21" t="s">
        <v>1055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979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/>
    </row>
    <row r="453" spans="1:12">
      <c r="A453" s="20" t="s">
        <v>1230</v>
      </c>
    </row>
    <row r="454" spans="1:12">
      <c r="A454" s="20" t="s">
        <v>1155</v>
      </c>
      <c r="B454" s="21" t="s">
        <v>975</v>
      </c>
      <c r="C454" s="21" t="s">
        <v>1012</v>
      </c>
      <c r="D454" s="21" t="s">
        <v>972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122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1013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1231</v>
      </c>
      <c r="B457" s="21" t="s">
        <v>1101</v>
      </c>
      <c r="C457" s="21" t="s">
        <v>1232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987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1233</v>
      </c>
      <c r="B459" s="21" t="s">
        <v>995</v>
      </c>
      <c r="C459" s="21" t="s">
        <v>1200</v>
      </c>
      <c r="D459" s="21" t="s">
        <v>972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1234</v>
      </c>
      <c r="B460" s="21" t="s">
        <v>978</v>
      </c>
      <c r="C460" s="21" t="s">
        <v>1012</v>
      </c>
      <c r="D460" s="21" t="s">
        <v>972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1013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149</v>
      </c>
      <c r="B462" s="21" t="s">
        <v>1115</v>
      </c>
      <c r="C462" s="21" t="s">
        <v>1232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1235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1236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1237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979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/>
    </row>
    <row r="468" spans="1:12">
      <c r="A468" s="20" t="s">
        <v>1238</v>
      </c>
    </row>
    <row r="469" spans="1:12">
      <c r="A469" s="20" t="s">
        <v>1144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1145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1146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1239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1013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145</v>
      </c>
      <c r="B474" s="21" t="s">
        <v>975</v>
      </c>
      <c r="C474" s="21" t="s">
        <v>971</v>
      </c>
      <c r="D474" s="21" t="s">
        <v>972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986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1240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1241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1207</v>
      </c>
      <c r="B478" s="21" t="s">
        <v>995</v>
      </c>
      <c r="C478" s="21" t="s">
        <v>1012</v>
      </c>
      <c r="D478" s="21" t="s">
        <v>972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979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/>
    </row>
    <row r="481" spans="1:12">
      <c r="A481" s="20" t="s">
        <v>1242</v>
      </c>
    </row>
    <row r="482" spans="1:12">
      <c r="A482" s="20" t="s">
        <v>1243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979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/>
    </row>
    <row r="485" spans="1:12">
      <c r="A485" s="20" t="s">
        <v>1244</v>
      </c>
    </row>
    <row r="486" spans="1:12">
      <c r="A486" s="20" t="s">
        <v>1245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1013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1246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1247</v>
      </c>
      <c r="B489" s="21" t="s">
        <v>995</v>
      </c>
      <c r="C489" s="21" t="s">
        <v>971</v>
      </c>
      <c r="D489" s="21" t="s">
        <v>972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668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1248</v>
      </c>
      <c r="B491" s="21" t="s">
        <v>975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979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/>
    </row>
    <row r="494" spans="1:12">
      <c r="A494" s="20" t="s">
        <v>1249</v>
      </c>
    </row>
    <row r="495" spans="1:12">
      <c r="A495" s="20" t="s">
        <v>1250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1251</v>
      </c>
      <c r="B496" s="21" t="s">
        <v>975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999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1112</v>
      </c>
      <c r="B498" s="21" t="s">
        <v>995</v>
      </c>
      <c r="C498" s="21" t="s">
        <v>1012</v>
      </c>
      <c r="D498" s="21" t="s">
        <v>972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1252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1013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1231</v>
      </c>
      <c r="B501" s="21" t="s">
        <v>1101</v>
      </c>
      <c r="C501" s="21" t="s">
        <v>1232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1253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1254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1013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145</v>
      </c>
      <c r="B505" s="21" t="s">
        <v>1101</v>
      </c>
      <c r="C505" s="21" t="s">
        <v>971</v>
      </c>
      <c r="D505" s="21" t="s">
        <v>972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1059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1195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1255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1256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1257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1013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149</v>
      </c>
      <c r="B512" s="21" t="s">
        <v>1115</v>
      </c>
      <c r="C512" s="21" t="s">
        <v>1232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1258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1259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1013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1260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1195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1261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1019</v>
      </c>
      <c r="B519" s="21" t="s">
        <v>1099</v>
      </c>
      <c r="C519" s="21" t="s">
        <v>1012</v>
      </c>
      <c r="D519" s="21" t="s">
        <v>972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979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1262</v>
      </c>
    </row>
    <row r="523" spans="1:12">
      <c r="A523" s="20" t="s">
        <v>1155</v>
      </c>
      <c r="B523" s="21" t="s">
        <v>975</v>
      </c>
      <c r="C523" s="21" t="s">
        <v>1012</v>
      </c>
      <c r="D523" s="21" t="s">
        <v>972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141</v>
      </c>
      <c r="B524" s="21" t="s">
        <v>995</v>
      </c>
      <c r="C524" s="21" t="s">
        <v>1232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1044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1263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1264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979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/>
    </row>
    <row r="530" spans="1:12">
      <c r="A530" s="20" t="s">
        <v>1265</v>
      </c>
    </row>
    <row r="531" spans="1:12">
      <c r="A531" s="20" t="s">
        <v>993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1266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145</v>
      </c>
      <c r="B533" s="21" t="s">
        <v>1101</v>
      </c>
      <c r="C533" s="21" t="s">
        <v>971</v>
      </c>
      <c r="D533" s="21" t="s">
        <v>972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1267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1019</v>
      </c>
      <c r="B535" s="21" t="s">
        <v>978</v>
      </c>
      <c r="C535" s="21" t="s">
        <v>1012</v>
      </c>
      <c r="D535" s="21" t="s">
        <v>972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1013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145</v>
      </c>
      <c r="B537" s="21" t="s">
        <v>995</v>
      </c>
      <c r="C537" s="21" t="s">
        <v>971</v>
      </c>
      <c r="D537" s="21" t="s">
        <v>972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1005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1268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1269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1234</v>
      </c>
      <c r="B541" s="21" t="s">
        <v>995</v>
      </c>
      <c r="C541" s="21" t="s">
        <v>1012</v>
      </c>
      <c r="D541" s="21" t="s">
        <v>972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1013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987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149</v>
      </c>
      <c r="B544" s="21" t="s">
        <v>1011</v>
      </c>
      <c r="C544" s="21" t="s">
        <v>1232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1270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1271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979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1272</v>
      </c>
    </row>
    <row r="550" spans="1:12">
      <c r="A550" s="20" t="s">
        <v>1273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149</v>
      </c>
      <c r="B551" s="21" t="s">
        <v>995</v>
      </c>
      <c r="C551" s="21" t="s">
        <v>1232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1258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1274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1251</v>
      </c>
      <c r="B554" s="21" t="s">
        <v>975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979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/>
    </row>
    <row r="557" spans="1:12">
      <c r="A557" s="20" t="s">
        <v>1275</v>
      </c>
    </row>
    <row r="558" spans="1:12">
      <c r="A558" s="20" t="s">
        <v>1155</v>
      </c>
      <c r="B558" s="21" t="s">
        <v>975</v>
      </c>
      <c r="C558" s="21" t="s">
        <v>1012</v>
      </c>
      <c r="D558" s="21" t="s">
        <v>972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122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987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1276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1277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1278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979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1279</v>
      </c>
    </row>
    <row r="567" spans="1:12">
      <c r="A567" s="20" t="s">
        <v>1280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1112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156</v>
      </c>
      <c r="B569" s="21" t="s">
        <v>995</v>
      </c>
      <c r="C569" s="21" t="s">
        <v>1100</v>
      </c>
      <c r="D569" s="21" t="s">
        <v>972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1281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1013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1282</v>
      </c>
      <c r="B572" s="21" t="s">
        <v>1055</v>
      </c>
      <c r="C572" s="21" t="s">
        <v>1232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1106</v>
      </c>
      <c r="B573" s="21" t="s">
        <v>1003</v>
      </c>
      <c r="C573" s="21" t="s">
        <v>971</v>
      </c>
      <c r="D573" s="21" t="s">
        <v>972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1131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175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1020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1283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1027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1013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1284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1086</v>
      </c>
      <c r="B581" s="21" t="s">
        <v>1016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1135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1285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1286</v>
      </c>
      <c r="B584" s="21" t="s">
        <v>1287</v>
      </c>
      <c r="C584" s="21" t="s">
        <v>991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1013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1135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1137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1288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1289</v>
      </c>
      <c r="B589" s="21" t="s">
        <v>1175</v>
      </c>
      <c r="C589" s="21" t="s">
        <v>971</v>
      </c>
      <c r="D589" s="21" t="s">
        <v>972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1290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1291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1292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979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/>
    </row>
    <row r="595" spans="1:12">
      <c r="A595" s="20" t="s">
        <v>1293</v>
      </c>
    </row>
    <row r="596" spans="1:12">
      <c r="A596" s="20" t="s">
        <v>1294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1295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1013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1231</v>
      </c>
      <c r="B599" s="21" t="s">
        <v>1093</v>
      </c>
      <c r="C599" s="21" t="s">
        <v>1232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1013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1296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987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1297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1298</v>
      </c>
      <c r="B604" s="21" t="s">
        <v>1011</v>
      </c>
      <c r="C604" s="21" t="s">
        <v>991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1013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1299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987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1276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1277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1278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979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/>
    </row>
    <row r="613" spans="1:12">
      <c r="A613" s="20" t="s">
        <v>1300</v>
      </c>
    </row>
    <row r="614" spans="1:12">
      <c r="A614" s="20" t="s">
        <v>1301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1013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1133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1302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1013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400</v>
      </c>
      <c r="B619" s="21" t="s">
        <v>975</v>
      </c>
      <c r="C619" s="21" t="s">
        <v>971</v>
      </c>
      <c r="D619" s="21" t="s">
        <v>972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1303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1026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1153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1304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1305</v>
      </c>
      <c r="B624" s="21" t="s">
        <v>995</v>
      </c>
      <c r="C624" s="21" t="s">
        <v>1012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1013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1005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1306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1007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1013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1266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400</v>
      </c>
      <c r="B631" s="21" t="s">
        <v>1101</v>
      </c>
      <c r="C631" s="21" t="s">
        <v>971</v>
      </c>
      <c r="D631" s="21" t="s">
        <v>972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1307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1308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1309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1086</v>
      </c>
      <c r="B635" s="21" t="s">
        <v>1003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979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/>
    </row>
    <row r="638" spans="1:12">
      <c r="A638" s="20" t="s">
        <v>1310</v>
      </c>
    </row>
    <row r="639" spans="1:12">
      <c r="A639" s="20" t="s">
        <v>1155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156</v>
      </c>
      <c r="B640" s="21" t="s">
        <v>995</v>
      </c>
      <c r="C640" s="21" t="s">
        <v>1100</v>
      </c>
      <c r="D640" s="21" t="s">
        <v>972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1281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1013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1090</v>
      </c>
      <c r="B643" s="21" t="s">
        <v>1101</v>
      </c>
      <c r="C643" s="21" t="s">
        <v>971</v>
      </c>
      <c r="D643" s="21" t="s">
        <v>972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1311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1023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1312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1313</v>
      </c>
      <c r="B647" s="21" t="s">
        <v>1003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1135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1314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979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1315</v>
      </c>
    </row>
    <row r="653" spans="1:12">
      <c r="A653" s="20" t="s">
        <v>1155</v>
      </c>
      <c r="B653" s="21" t="s">
        <v>970</v>
      </c>
      <c r="C653" s="21" t="s">
        <v>1012</v>
      </c>
      <c r="D653" s="21" t="s">
        <v>972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1090</v>
      </c>
      <c r="B654" s="21" t="s">
        <v>975</v>
      </c>
      <c r="C654" s="21" t="s">
        <v>971</v>
      </c>
      <c r="D654" s="21" t="s">
        <v>972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1316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979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/>
    </row>
    <row r="658" spans="1:12">
      <c r="A658" s="20" t="s">
        <v>1317</v>
      </c>
    </row>
    <row r="659" spans="1:12">
      <c r="A659" s="20" t="s">
        <v>1318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1319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/>
    </row>
    <row r="662" spans="1:12">
      <c r="A662" s="20" t="s">
        <v>1242</v>
      </c>
    </row>
    <row r="663" spans="1:12">
      <c r="A663" s="20" t="s">
        <v>1243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979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/>
    </row>
    <row r="666" spans="1:12">
      <c r="A666" s="20" t="s">
        <v>1320</v>
      </c>
    </row>
    <row r="667" spans="1:12">
      <c r="A667" s="20" t="s">
        <v>1155</v>
      </c>
      <c r="B667" s="21" t="s">
        <v>970</v>
      </c>
      <c r="C667" s="21" t="s">
        <v>1012</v>
      </c>
      <c r="D667" s="21" t="s">
        <v>972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1090</v>
      </c>
      <c r="B668" s="21" t="s">
        <v>975</v>
      </c>
      <c r="C668" s="21" t="s">
        <v>971</v>
      </c>
      <c r="D668" s="21" t="s">
        <v>972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1321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1322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1281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1316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1023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1312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1323</v>
      </c>
      <c r="B675" s="21" t="s">
        <v>1087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1135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1314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979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/>
    </row>
    <row r="680" spans="1:12">
      <c r="A680" s="20" t="s">
        <v>1324</v>
      </c>
    </row>
    <row r="681" spans="1:12">
      <c r="A681" s="20" t="s">
        <v>1155</v>
      </c>
      <c r="B681" s="21" t="s">
        <v>975</v>
      </c>
      <c r="C681" s="21" t="s">
        <v>1012</v>
      </c>
      <c r="D681" s="21" t="s">
        <v>972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184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1005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1325</v>
      </c>
      <c r="B684" s="21" t="s">
        <v>978</v>
      </c>
      <c r="C684" s="21" t="s">
        <v>996</v>
      </c>
      <c r="D684" s="21" t="s">
        <v>972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1326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1327</v>
      </c>
      <c r="B686" s="21" t="s">
        <v>995</v>
      </c>
      <c r="C686" s="21" t="s">
        <v>1200</v>
      </c>
      <c r="D686" s="21" t="s">
        <v>972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1005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1328</v>
      </c>
      <c r="B688" s="21" t="s">
        <v>978</v>
      </c>
      <c r="C688" s="21" t="s">
        <v>976</v>
      </c>
      <c r="D688" s="21" t="s">
        <v>972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1013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1329</v>
      </c>
      <c r="B690" s="21" t="s">
        <v>978</v>
      </c>
      <c r="C690" s="21" t="s">
        <v>976</v>
      </c>
      <c r="D690" s="21" t="s">
        <v>972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1013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1330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1090</v>
      </c>
      <c r="B693" s="21" t="s">
        <v>1115</v>
      </c>
      <c r="C693" s="21" t="s">
        <v>971</v>
      </c>
      <c r="D693" s="21" t="s">
        <v>972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1331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1332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1333</v>
      </c>
      <c r="B696" s="21" t="s">
        <v>1055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1334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1335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987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1336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1337</v>
      </c>
      <c r="B701" s="21" t="s">
        <v>1338</v>
      </c>
      <c r="C701" s="21" t="s">
        <v>971</v>
      </c>
      <c r="D701" s="21" t="s">
        <v>972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400</v>
      </c>
      <c r="B702" s="21" t="s">
        <v>1339</v>
      </c>
      <c r="C702" s="21" t="s">
        <v>971</v>
      </c>
      <c r="D702" s="21" t="s">
        <v>972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1340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1005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1341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1013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1342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1005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1006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1314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979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/>
    </row>
    <row r="713" spans="1:12">
      <c r="A713" s="20" t="s">
        <v>1343</v>
      </c>
    </row>
    <row r="714" spans="1:12">
      <c r="A714" s="20" t="s">
        <v>1155</v>
      </c>
      <c r="B714" s="21" t="s">
        <v>975</v>
      </c>
      <c r="C714" s="21" t="s">
        <v>1012</v>
      </c>
      <c r="D714" s="21" t="s">
        <v>972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188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1013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1334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1344</v>
      </c>
      <c r="B718" s="21" t="s">
        <v>978</v>
      </c>
      <c r="C718" s="21" t="s">
        <v>1232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1345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1346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1248</v>
      </c>
      <c r="B721" s="21" t="s">
        <v>1101</v>
      </c>
      <c r="C721" s="21" t="s">
        <v>991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979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/>
    </row>
    <row r="724" spans="1:12">
      <c r="A724" s="20" t="s">
        <v>1347</v>
      </c>
    </row>
    <row r="725" spans="1:12">
      <c r="A725" s="20" t="s">
        <v>1348</v>
      </c>
      <c r="B725" s="21" t="s">
        <v>975</v>
      </c>
      <c r="C725" s="21" t="s">
        <v>971</v>
      </c>
      <c r="D725" s="21" t="s">
        <v>972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1349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1013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149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400</v>
      </c>
      <c r="B729" s="21" t="s">
        <v>1101</v>
      </c>
      <c r="C729" s="21" t="s">
        <v>971</v>
      </c>
      <c r="D729" s="21" t="s">
        <v>972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1195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1350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1351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1005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1006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1007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1013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1014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1005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1341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979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/>
    </row>
    <row r="742" spans="1:12">
      <c r="A742" s="20" t="s">
        <v>1352</v>
      </c>
    </row>
    <row r="743" spans="1:12">
      <c r="A743" s="20" t="s">
        <v>1353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1005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1354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1013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1351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1013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1355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149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1356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1013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1357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1358</v>
      </c>
      <c r="B754" s="21" t="s">
        <v>1093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999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1112</v>
      </c>
      <c r="B756" s="21" t="s">
        <v>1093</v>
      </c>
      <c r="C756" s="21" t="s">
        <v>1012</v>
      </c>
      <c r="D756" s="21" t="s">
        <v>972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1359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1360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979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/>
    </row>
    <row r="761" spans="1:12">
      <c r="A761" s="20" t="s">
        <v>1361</v>
      </c>
    </row>
    <row r="762" spans="1:12">
      <c r="A762" s="20" t="s">
        <v>1348</v>
      </c>
      <c r="B762" s="21" t="s">
        <v>975</v>
      </c>
      <c r="C762" s="21" t="s">
        <v>971</v>
      </c>
      <c r="D762" s="21" t="s">
        <v>972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1270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1362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1363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1005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1364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1365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979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/>
    </row>
    <row r="771" spans="1:12">
      <c r="A771" s="20" t="s">
        <v>1366</v>
      </c>
    </row>
    <row r="772" spans="1:12">
      <c r="A772" s="20" t="s">
        <v>1367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400</v>
      </c>
      <c r="B773" s="21" t="s">
        <v>975</v>
      </c>
      <c r="C773" s="21" t="s">
        <v>971</v>
      </c>
      <c r="D773" s="21" t="s">
        <v>972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1351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1013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257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1014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400</v>
      </c>
      <c r="B778" s="21" t="s">
        <v>1101</v>
      </c>
      <c r="C778" s="21" t="s">
        <v>971</v>
      </c>
      <c r="D778" s="21" t="s">
        <v>972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1368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1369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1370</v>
      </c>
      <c r="B781" s="21" t="s">
        <v>1003</v>
      </c>
      <c r="C781" s="21" t="s">
        <v>1012</v>
      </c>
      <c r="D781" s="21" t="s">
        <v>972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1371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1013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1372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1373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1222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1374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979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/>
    </row>
    <row r="790" spans="1:12">
      <c r="A790" s="20" t="s">
        <v>1375</v>
      </c>
    </row>
    <row r="791" spans="1:12">
      <c r="A791" s="20" t="s">
        <v>993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1266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400</v>
      </c>
      <c r="B793" s="21" t="s">
        <v>995</v>
      </c>
      <c r="C793" s="21" t="s">
        <v>971</v>
      </c>
      <c r="D793" s="21" t="s">
        <v>972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1005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1376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1068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1013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1090</v>
      </c>
      <c r="B798" s="21" t="s">
        <v>975</v>
      </c>
      <c r="C798" s="21" t="s">
        <v>971</v>
      </c>
      <c r="D798" s="21" t="s">
        <v>972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1160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1013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149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1346</v>
      </c>
      <c r="B802" s="21" t="s">
        <v>1101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1048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1247</v>
      </c>
      <c r="B804" s="21" t="s">
        <v>1011</v>
      </c>
      <c r="C804" s="21" t="s">
        <v>971</v>
      </c>
      <c r="D804" s="21" t="s">
        <v>972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1377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1378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1379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1380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1381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1013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1382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1383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1005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1384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1385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1013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1350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1386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1013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149</v>
      </c>
      <c r="B820" s="21" t="s">
        <v>1387</v>
      </c>
      <c r="C820" s="21" t="s">
        <v>1232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1388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1220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1389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1390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1013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1391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1392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1013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1393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1133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1394</v>
      </c>
      <c r="B831" s="21" t="s">
        <v>978</v>
      </c>
      <c r="C831" s="21" t="s">
        <v>971</v>
      </c>
      <c r="D831" s="21" t="s">
        <v>972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1395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1396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1397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1222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1398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1399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979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/>
    </row>
    <row r="840" spans="1:12">
      <c r="A840" s="20" t="s">
        <v>1400</v>
      </c>
    </row>
    <row r="841" spans="1:12">
      <c r="A841" s="20" t="s">
        <v>1401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1007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1009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1013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1206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1402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1334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1403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1013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1266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1404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1289</v>
      </c>
      <c r="B852" s="21" t="s">
        <v>1011</v>
      </c>
      <c r="C852" s="21" t="s">
        <v>971</v>
      </c>
      <c r="D852" s="21" t="s">
        <v>972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1405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1406</v>
      </c>
      <c r="B854" s="21" t="s">
        <v>1093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1013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400</v>
      </c>
      <c r="B856" s="21" t="s">
        <v>1115</v>
      </c>
      <c r="C856" s="21" t="s">
        <v>971</v>
      </c>
      <c r="D856" s="21" t="s">
        <v>972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1407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1408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1381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1409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979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/>
    </row>
    <row r="863" spans="1:12">
      <c r="A863" s="20" t="s">
        <v>1410</v>
      </c>
    </row>
    <row r="864" spans="1:12">
      <c r="A864" s="20" t="s">
        <v>1348</v>
      </c>
      <c r="B864" s="21" t="s">
        <v>975</v>
      </c>
      <c r="C864" s="21" t="s">
        <v>971</v>
      </c>
      <c r="D864" s="21" t="s">
        <v>972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1349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1411</v>
      </c>
      <c r="B866" s="21" t="s">
        <v>970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979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/>
    </row>
    <row r="869" spans="1:12">
      <c r="A869" s="20" t="s">
        <v>1412</v>
      </c>
    </row>
    <row r="870" spans="1:12">
      <c r="A870" s="20" t="s">
        <v>1348</v>
      </c>
      <c r="B870" s="21" t="s">
        <v>975</v>
      </c>
      <c r="C870" s="21" t="s">
        <v>971</v>
      </c>
      <c r="D870" s="21" t="s">
        <v>972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1413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979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/>
    </row>
    <row r="874" spans="1:12">
      <c r="A874" s="20" t="s">
        <v>1414</v>
      </c>
    </row>
    <row r="875" spans="1:12">
      <c r="A875" s="20" t="s">
        <v>1348</v>
      </c>
      <c r="B875" s="21" t="s">
        <v>975</v>
      </c>
      <c r="C875" s="21" t="s">
        <v>971</v>
      </c>
      <c r="D875" s="21" t="s">
        <v>972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1415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1013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1416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28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1005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1417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1013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1418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1419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1420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1421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979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/>
    </row>
    <row r="889" spans="1:12">
      <c r="A889" s="20" t="s">
        <v>1422</v>
      </c>
    </row>
    <row r="890" spans="1:12">
      <c r="A890" s="20" t="s">
        <v>1348</v>
      </c>
      <c r="B890" s="21" t="s">
        <v>975</v>
      </c>
      <c r="C890" s="21" t="s">
        <v>971</v>
      </c>
      <c r="D890" s="21" t="s">
        <v>972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1423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1195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1424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1425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1426</v>
      </c>
      <c r="B895" s="21" t="s">
        <v>995</v>
      </c>
      <c r="C895" s="21" t="s">
        <v>1100</v>
      </c>
      <c r="D895" s="21" t="s">
        <v>972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1013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1266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1427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1005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985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1013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1189</v>
      </c>
      <c r="B902" s="21" t="s">
        <v>1093</v>
      </c>
      <c r="C902" s="21" t="s">
        <v>971</v>
      </c>
      <c r="D902" s="21" t="s">
        <v>972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1428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1195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1429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1005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1341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979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/>
    </row>
    <row r="910" spans="1:12">
      <c r="A910" s="20" t="s">
        <v>1430</v>
      </c>
    </row>
    <row r="911" spans="1:12">
      <c r="A911" s="20" t="s">
        <v>1431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1112</v>
      </c>
      <c r="B912" s="21" t="s">
        <v>1087</v>
      </c>
      <c r="C912" s="21" t="s">
        <v>1012</v>
      </c>
      <c r="D912" s="21" t="s">
        <v>972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1090</v>
      </c>
      <c r="B913" s="21" t="s">
        <v>975</v>
      </c>
      <c r="C913" s="21" t="s">
        <v>971</v>
      </c>
      <c r="D913" s="21" t="s">
        <v>972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1222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1432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1433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1013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1266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1434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1435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979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/>
    </row>
    <row r="923" spans="1:12">
      <c r="A923" s="20" t="s">
        <v>1436</v>
      </c>
    </row>
    <row r="924" spans="1:12">
      <c r="A924" s="20" t="s">
        <v>1437</v>
      </c>
      <c r="B924" s="21" t="s">
        <v>975</v>
      </c>
      <c r="C924" s="21" t="s">
        <v>1232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1009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1438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1005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1341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1013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149</v>
      </c>
      <c r="B930" s="21" t="s">
        <v>1101</v>
      </c>
      <c r="C930" s="21" t="s">
        <v>1232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1439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1106</v>
      </c>
      <c r="B932" s="21" t="s">
        <v>1087</v>
      </c>
      <c r="C932" s="21" t="s">
        <v>971</v>
      </c>
      <c r="D932" s="21" t="s">
        <v>972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1440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1013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149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1441</v>
      </c>
      <c r="B936" s="21" t="s">
        <v>1115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1259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1319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/>
    </row>
    <row r="940" spans="1:12">
      <c r="A940" s="20" t="s">
        <v>1442</v>
      </c>
    </row>
    <row r="941" spans="1:12">
      <c r="A941" s="20" t="s">
        <v>1443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1009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1106</v>
      </c>
      <c r="B943" s="21" t="s">
        <v>970</v>
      </c>
      <c r="C943" s="21" t="s">
        <v>971</v>
      </c>
      <c r="D943" s="21" t="s">
        <v>972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237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1444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1445</v>
      </c>
      <c r="B946" s="21" t="s">
        <v>970</v>
      </c>
      <c r="C946" s="21" t="s">
        <v>1100</v>
      </c>
      <c r="D946" s="21" t="s">
        <v>972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1048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982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1222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1446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1447</v>
      </c>
      <c r="B951" s="21" t="s">
        <v>1087</v>
      </c>
      <c r="C951" s="21" t="s">
        <v>971</v>
      </c>
      <c r="D951" s="21" t="s">
        <v>972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1005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1006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1448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1319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/>
    </row>
    <row r="957" spans="1:12">
      <c r="A957" s="20" t="s">
        <v>1449</v>
      </c>
    </row>
    <row r="958" spans="1:12">
      <c r="A958" s="20" t="s">
        <v>1450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1013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149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1090</v>
      </c>
      <c r="B961" s="21" t="s">
        <v>1093</v>
      </c>
      <c r="C961" s="21" t="s">
        <v>971</v>
      </c>
      <c r="D961" s="21" t="s">
        <v>972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1451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1133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1452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1453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1454</v>
      </c>
      <c r="B966" s="21" t="s">
        <v>1175</v>
      </c>
      <c r="C966" s="21" t="s">
        <v>1200</v>
      </c>
      <c r="D966" s="21" t="s">
        <v>972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1455</v>
      </c>
      <c r="B967" s="21" t="s">
        <v>1099</v>
      </c>
      <c r="C967" s="21" t="s">
        <v>976</v>
      </c>
      <c r="D967" s="21" t="s">
        <v>972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1013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1189</v>
      </c>
      <c r="B969" s="21" t="s">
        <v>975</v>
      </c>
      <c r="C969" s="21" t="s">
        <v>971</v>
      </c>
      <c r="D969" s="21" t="s">
        <v>972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1428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1456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241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1162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1457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1066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1064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979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/>
    </row>
    <row r="979" spans="1:12">
      <c r="A979" s="20" t="s">
        <v>1458</v>
      </c>
    </row>
    <row r="980" spans="1:12">
      <c r="A980" s="20" t="s">
        <v>993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1090</v>
      </c>
      <c r="B981" s="21" t="s">
        <v>975</v>
      </c>
      <c r="C981" s="21" t="s">
        <v>971</v>
      </c>
      <c r="D981" s="21" t="s">
        <v>972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1459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1460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1217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1461</v>
      </c>
      <c r="B985" s="21" t="s">
        <v>978</v>
      </c>
      <c r="C985" s="21" t="s">
        <v>991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1013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1462</v>
      </c>
      <c r="B987" s="21" t="s">
        <v>1115</v>
      </c>
      <c r="C987" s="21" t="s">
        <v>1232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1463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1464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1465</v>
      </c>
      <c r="B990" s="21" t="s">
        <v>1055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1466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1467</v>
      </c>
      <c r="B992" s="21" t="s">
        <v>1175</v>
      </c>
      <c r="C992" s="21" t="s">
        <v>1012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1005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1468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1365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979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/>
    </row>
    <row r="998" spans="1:12">
      <c r="A998" s="20" t="s">
        <v>1469</v>
      </c>
    </row>
    <row r="999" spans="1:12">
      <c r="A999" s="20" t="s">
        <v>1470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1013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1266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1471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145</v>
      </c>
      <c r="B1003" s="21" t="s">
        <v>975</v>
      </c>
      <c r="C1003" s="21" t="s">
        <v>971</v>
      </c>
      <c r="D1003" s="21" t="s">
        <v>972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1195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1472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1005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1473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1048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1364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1474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1013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1475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1005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1476</v>
      </c>
      <c r="B1014" s="21" t="s">
        <v>995</v>
      </c>
      <c r="C1014" s="21" t="s">
        <v>976</v>
      </c>
      <c r="D1014" s="21" t="s">
        <v>972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1455</v>
      </c>
      <c r="B1015" s="21" t="s">
        <v>978</v>
      </c>
      <c r="C1015" s="21" t="s">
        <v>976</v>
      </c>
      <c r="D1015" s="21" t="s">
        <v>972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1013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1477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1478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1479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1480</v>
      </c>
      <c r="B1020" s="21" t="s">
        <v>1101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1481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1482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1013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1462</v>
      </c>
      <c r="B1024" s="21" t="s">
        <v>1115</v>
      </c>
      <c r="C1024" s="21" t="s">
        <v>1232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1483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1484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1485</v>
      </c>
      <c r="B1027" s="21" t="s">
        <v>1338</v>
      </c>
      <c r="C1027" s="21" t="s">
        <v>971</v>
      </c>
      <c r="D1027" s="21" t="s">
        <v>972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1486</v>
      </c>
      <c r="B1028" s="21" t="s">
        <v>1338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1135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1487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1004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1013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1488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1489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979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/>
    </row>
    <row r="1037" spans="1:12">
      <c r="A1037" s="20" t="s">
        <v>1490</v>
      </c>
    </row>
    <row r="1038" spans="1:12">
      <c r="A1038" s="20" t="s">
        <v>1070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1195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1428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1486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1013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1491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1492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1486</v>
      </c>
      <c r="B1045" s="21" t="s">
        <v>995</v>
      </c>
      <c r="C1045" s="21" t="s">
        <v>1012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1013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1493</v>
      </c>
      <c r="B1047" s="21" t="s">
        <v>1093</v>
      </c>
      <c r="C1047" s="21" t="s">
        <v>1232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1494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1495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1496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1497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1498</v>
      </c>
      <c r="B1052" s="21" t="s">
        <v>1003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1005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1015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979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/>
    </row>
    <row r="1057" spans="1:12">
      <c r="A1057" s="20" t="s">
        <v>1499</v>
      </c>
    </row>
    <row r="1058" spans="1:12">
      <c r="A1058" s="20" t="s">
        <v>1450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1319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/>
    </row>
    <row r="1061" spans="1:12">
      <c r="A1061" s="20" t="s">
        <v>1500</v>
      </c>
    </row>
    <row r="1062" spans="1:12">
      <c r="A1062" s="20" t="s">
        <v>1450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1013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149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145</v>
      </c>
      <c r="B1065" s="21" t="s">
        <v>975</v>
      </c>
      <c r="C1065" s="21" t="s">
        <v>971</v>
      </c>
      <c r="D1065" s="21" t="s">
        <v>972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1196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1112</v>
      </c>
      <c r="B1067" s="21" t="s">
        <v>1087</v>
      </c>
      <c r="C1067" s="21" t="s">
        <v>1012</v>
      </c>
      <c r="D1067" s="21" t="s">
        <v>972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1001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979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/>
    </row>
    <row r="1071" spans="1:12">
      <c r="A1071" s="20" t="s">
        <v>1501</v>
      </c>
    </row>
    <row r="1072" spans="1:12">
      <c r="A1072" s="20" t="s">
        <v>1502</v>
      </c>
      <c r="B1072" s="21" t="s">
        <v>975</v>
      </c>
      <c r="C1072" s="21" t="s">
        <v>971</v>
      </c>
      <c r="D1072" s="21" t="s">
        <v>972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1423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1195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1503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1485</v>
      </c>
      <c r="B1076" s="21" t="s">
        <v>970</v>
      </c>
      <c r="C1076" s="21" t="s">
        <v>971</v>
      </c>
      <c r="D1076" s="21" t="s">
        <v>972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1504</v>
      </c>
      <c r="B1077" s="21" t="s">
        <v>970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1013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1505</v>
      </c>
      <c r="B1079" s="21" t="s">
        <v>1055</v>
      </c>
      <c r="C1079" s="21" t="s">
        <v>1232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145</v>
      </c>
      <c r="B1080" s="21" t="s">
        <v>1093</v>
      </c>
      <c r="C1080" s="21" t="s">
        <v>971</v>
      </c>
      <c r="D1080" s="21" t="s">
        <v>972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1195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1196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1506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979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/>
    </row>
    <row r="1086" spans="1:12">
      <c r="A1086" s="20" t="s">
        <v>1507</v>
      </c>
    </row>
    <row r="1087" spans="1:12">
      <c r="A1087" s="20" t="s">
        <v>1070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1112</v>
      </c>
      <c r="B1088" s="21" t="s">
        <v>975</v>
      </c>
      <c r="C1088" s="21" t="s">
        <v>1012</v>
      </c>
      <c r="D1088" s="21" t="s">
        <v>972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987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1276</v>
      </c>
      <c r="B1090" s="21" t="s">
        <v>995</v>
      </c>
      <c r="C1090" s="21" t="s">
        <v>1200</v>
      </c>
      <c r="D1090" s="21" t="s">
        <v>972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1234</v>
      </c>
      <c r="B1091" s="21" t="s">
        <v>995</v>
      </c>
      <c r="C1091" s="21" t="s">
        <v>1012</v>
      </c>
      <c r="D1091" s="21" t="s">
        <v>972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1013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987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149</v>
      </c>
      <c r="B1094" s="21" t="s">
        <v>1011</v>
      </c>
      <c r="C1094" s="21" t="s">
        <v>1232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145</v>
      </c>
      <c r="B1095" s="21" t="s">
        <v>1093</v>
      </c>
      <c r="C1095" s="21" t="s">
        <v>971</v>
      </c>
      <c r="D1095" s="21" t="s">
        <v>972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1271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979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/>
    </row>
    <row r="1099" spans="1:12">
      <c r="A1099" s="20" t="s">
        <v>1508</v>
      </c>
    </row>
    <row r="1100" spans="1:12">
      <c r="A1100" s="20" t="s">
        <v>1509</v>
      </c>
      <c r="B1100" s="21" t="s">
        <v>975</v>
      </c>
      <c r="C1100" s="21" t="s">
        <v>971</v>
      </c>
      <c r="D1100" s="21" t="s">
        <v>972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1102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1510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1511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979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/>
    </row>
    <row r="1106" spans="1:12">
      <c r="A1106" s="20" t="s">
        <v>1512</v>
      </c>
    </row>
    <row r="1107" spans="1:12">
      <c r="A1107" s="20" t="s">
        <v>1070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1005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1476</v>
      </c>
      <c r="B1109" s="21" t="s">
        <v>995</v>
      </c>
      <c r="C1109" s="21" t="s">
        <v>976</v>
      </c>
      <c r="D1109" s="21" t="s">
        <v>972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1455</v>
      </c>
      <c r="B1110" s="21" t="s">
        <v>975</v>
      </c>
      <c r="C1110" s="21" t="s">
        <v>976</v>
      </c>
      <c r="D1110" s="21" t="s">
        <v>972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69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1513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979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/>
    </row>
    <row r="1115" spans="1:12">
      <c r="A1115" s="20" t="s">
        <v>1514</v>
      </c>
    </row>
    <row r="1116" spans="1:12">
      <c r="A1116" s="20" t="s">
        <v>1515</v>
      </c>
      <c r="B1116" s="21" t="s">
        <v>975</v>
      </c>
      <c r="C1116" s="21" t="s">
        <v>1516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1195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1517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1485</v>
      </c>
      <c r="B1119" s="21" t="s">
        <v>970</v>
      </c>
      <c r="C1119" s="21" t="s">
        <v>971</v>
      </c>
      <c r="D1119" s="21" t="s">
        <v>972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1518</v>
      </c>
      <c r="B1120" s="21" t="s">
        <v>970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979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/>
    </row>
    <row r="1123" spans="1:12">
      <c r="A1123" s="20" t="s">
        <v>1519</v>
      </c>
    </row>
    <row r="1124" spans="1:12">
      <c r="A1124" s="20" t="s">
        <v>1520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1521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668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1522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1523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1222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1524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1525</v>
      </c>
      <c r="B1131" s="21" t="s">
        <v>975</v>
      </c>
      <c r="C1131" s="21" t="s">
        <v>1526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979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/>
    </row>
    <row r="1134" spans="1:12">
      <c r="A1134" s="20" t="s">
        <v>1527</v>
      </c>
    </row>
    <row r="1135" spans="1:12">
      <c r="A1135" s="20" t="s">
        <v>993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668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1480</v>
      </c>
      <c r="B1137" s="21" t="s">
        <v>975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1528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979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/>
    </row>
    <row r="1141" spans="1:12">
      <c r="A1141" s="20" t="s">
        <v>1529</v>
      </c>
    </row>
    <row r="1142" spans="1:12">
      <c r="A1142" s="20" t="s">
        <v>1530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1471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145</v>
      </c>
      <c r="B1144" s="21" t="s">
        <v>975</v>
      </c>
      <c r="C1144" s="21" t="s">
        <v>971</v>
      </c>
      <c r="D1144" s="21" t="s">
        <v>972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1195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1531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1013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1532</v>
      </c>
      <c r="B1148" s="21" t="s">
        <v>1101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1533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1027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1534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1535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1334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1536</v>
      </c>
      <c r="B1154" s="21" t="s">
        <v>1011</v>
      </c>
      <c r="C1154" s="21" t="s">
        <v>971</v>
      </c>
      <c r="D1154" s="21" t="s">
        <v>972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1013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1053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145</v>
      </c>
      <c r="B1157" s="21" t="s">
        <v>1101</v>
      </c>
      <c r="C1157" s="21" t="s">
        <v>971</v>
      </c>
      <c r="D1157" s="21" t="s">
        <v>972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1537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1538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1464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1486</v>
      </c>
      <c r="B1161" s="21" t="s">
        <v>1087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979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/>
    </row>
    <row r="1164" spans="1:12">
      <c r="A1164" s="20" t="s">
        <v>1539</v>
      </c>
    </row>
    <row r="1165" spans="1:12">
      <c r="A1165" s="20" t="s">
        <v>1540</v>
      </c>
      <c r="B1165" s="21" t="s">
        <v>995</v>
      </c>
      <c r="C1165" s="21" t="s">
        <v>1012</v>
      </c>
      <c r="D1165" s="21" t="s">
        <v>972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1013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149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1005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1541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1007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1195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257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1542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408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999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1543</v>
      </c>
      <c r="B1176" s="21" t="s">
        <v>1003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1544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1545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1546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1528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979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/>
    </row>
    <row r="1183" spans="1:12">
      <c r="A1183" s="20" t="s">
        <v>1547</v>
      </c>
    </row>
    <row r="1184" spans="1:12">
      <c r="A1184" s="20" t="s">
        <v>1548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1013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1222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1521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668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1274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640</v>
      </c>
      <c r="B1190" s="21" t="s">
        <v>975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1013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1549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640</v>
      </c>
      <c r="B1193" s="21" t="s">
        <v>1011</v>
      </c>
      <c r="C1193" s="21" t="s">
        <v>1200</v>
      </c>
      <c r="D1193" s="21" t="s">
        <v>972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1550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1551</v>
      </c>
      <c r="B1195" s="21" t="s">
        <v>1175</v>
      </c>
      <c r="C1195" s="21" t="s">
        <v>1012</v>
      </c>
      <c r="D1195" s="21" t="s">
        <v>972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1013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81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400</v>
      </c>
      <c r="B1198" s="21" t="s">
        <v>1552</v>
      </c>
      <c r="C1198" s="21" t="s">
        <v>971</v>
      </c>
      <c r="D1198" s="21" t="s">
        <v>972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1553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1222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149</v>
      </c>
      <c r="B1201" s="21" t="s">
        <v>1030</v>
      </c>
      <c r="C1201" s="21" t="s">
        <v>1232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400</v>
      </c>
      <c r="B1202" s="21" t="s">
        <v>1552</v>
      </c>
      <c r="C1202" s="21" t="s">
        <v>971</v>
      </c>
      <c r="D1202" s="21" t="s">
        <v>972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1554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979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/>
    </row>
    <row r="1206" spans="1:12">
      <c r="A1206" s="20" t="s">
        <v>1555</v>
      </c>
    </row>
    <row r="1207" spans="1:12">
      <c r="A1207" s="20" t="s">
        <v>993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1013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1556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1013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400</v>
      </c>
      <c r="B1211" s="21" t="s">
        <v>975</v>
      </c>
      <c r="C1211" s="21" t="s">
        <v>971</v>
      </c>
      <c r="D1211" s="21" t="s">
        <v>972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1557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1558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1559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495</v>
      </c>
      <c r="B1215" s="21" t="s">
        <v>970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979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/>
    </row>
    <row r="1218" spans="1:12">
      <c r="A1218" s="20" t="s">
        <v>1560</v>
      </c>
    </row>
    <row r="1219" spans="1:12">
      <c r="A1219" s="20" t="s">
        <v>1509</v>
      </c>
      <c r="B1219" s="21" t="s">
        <v>975</v>
      </c>
      <c r="C1219" s="21" t="s">
        <v>971</v>
      </c>
      <c r="D1219" s="21" t="s">
        <v>972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1013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1561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1013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1240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1550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1562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1563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1013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1564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1565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1222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1566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1567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1188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985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979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/>
    </row>
    <row r="1237" spans="1:12">
      <c r="A1237" s="20" t="s">
        <v>1568</v>
      </c>
    </row>
    <row r="1238" spans="1:12">
      <c r="A1238" s="20" t="s">
        <v>1401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1541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1007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400</v>
      </c>
      <c r="B1241" s="21" t="s">
        <v>975</v>
      </c>
      <c r="C1241" s="21" t="s">
        <v>971</v>
      </c>
      <c r="D1241" s="21" t="s">
        <v>972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1423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1195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1557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1569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1570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1571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979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/>
    </row>
    <row r="1250" spans="1:12">
      <c r="A1250" s="20" t="s">
        <v>1572</v>
      </c>
    </row>
    <row r="1251" spans="1:12">
      <c r="A1251" s="20" t="s">
        <v>1573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1574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1575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1576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1013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1090</v>
      </c>
      <c r="B1256" s="21" t="s">
        <v>975</v>
      </c>
      <c r="C1256" s="21" t="s">
        <v>971</v>
      </c>
      <c r="D1256" s="21" t="s">
        <v>972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1195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1577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408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1578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1579</v>
      </c>
      <c r="B1261" s="21" t="s">
        <v>1087</v>
      </c>
      <c r="C1261" s="21" t="s">
        <v>991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1222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1578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1580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1581</v>
      </c>
      <c r="B1265" s="21" t="s">
        <v>1011</v>
      </c>
      <c r="C1265" s="21" t="s">
        <v>991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1013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1582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1583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1584</v>
      </c>
      <c r="B1269" s="21" t="s">
        <v>1011</v>
      </c>
      <c r="C1269" s="21" t="s">
        <v>991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979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/>
    </row>
    <row r="1272" spans="1:12">
      <c r="A1272" s="20" t="s">
        <v>1585</v>
      </c>
    </row>
    <row r="1273" spans="1:12">
      <c r="A1273" s="20" t="s">
        <v>1586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1021</v>
      </c>
      <c r="B1274" s="21" t="s">
        <v>995</v>
      </c>
      <c r="C1274" s="21" t="s">
        <v>971</v>
      </c>
      <c r="D1274" s="21" t="s">
        <v>972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69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1466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1570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1571</v>
      </c>
      <c r="B1278" s="21" t="s">
        <v>975</v>
      </c>
      <c r="C1278" s="21" t="s">
        <v>1012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1005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1067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1068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979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/>
    </row>
    <row r="1284" spans="1:12">
      <c r="A1284" s="20" t="s">
        <v>1587</v>
      </c>
    </row>
    <row r="1285" spans="1:12">
      <c r="A1285" s="20" t="s">
        <v>993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1153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1588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188</v>
      </c>
      <c r="B1288" s="21" t="s">
        <v>975</v>
      </c>
      <c r="C1288" s="21" t="s">
        <v>1012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816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1589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1013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1466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1014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1454</v>
      </c>
      <c r="B1294" s="21" t="s">
        <v>1011</v>
      </c>
      <c r="C1294" s="21" t="s">
        <v>976</v>
      </c>
      <c r="D1294" s="21" t="s">
        <v>972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1455</v>
      </c>
      <c r="B1295" s="21" t="s">
        <v>1175</v>
      </c>
      <c r="C1295" s="21" t="s">
        <v>976</v>
      </c>
      <c r="D1295" s="21" t="s">
        <v>972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 t="s">
        <v>1013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1005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1551</v>
      </c>
      <c r="B1298" s="21" t="s">
        <v>995</v>
      </c>
      <c r="C1298" s="21" t="s">
        <v>1012</v>
      </c>
      <c r="D1298" s="21" t="s">
        <v>972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1013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149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1590</v>
      </c>
      <c r="B1301" s="21" t="s">
        <v>1093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28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1591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987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1276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1277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1278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1592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1247</v>
      </c>
      <c r="B1309" s="21" t="s">
        <v>1087</v>
      </c>
      <c r="C1309" s="21" t="s">
        <v>971</v>
      </c>
      <c r="D1309" s="21" t="s">
        <v>972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1032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1593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1594</v>
      </c>
      <c r="B1312" s="21" t="s">
        <v>1175</v>
      </c>
      <c r="C1312" s="21" t="s">
        <v>996</v>
      </c>
      <c r="D1312" s="21" t="s">
        <v>972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1188</v>
      </c>
      <c r="B1313" s="21" t="s">
        <v>1011</v>
      </c>
      <c r="C1313" s="21" t="s">
        <v>991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987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1595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1193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1596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979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/>
    </row>
    <row r="1320" spans="1:12">
      <c r="A1320" s="20" t="s">
        <v>1597</v>
      </c>
    </row>
    <row r="1321" spans="1:12">
      <c r="A1321" s="20" t="s">
        <v>1155</v>
      </c>
      <c r="B1321" s="21" t="s">
        <v>975</v>
      </c>
      <c r="C1321" s="21" t="s">
        <v>1012</v>
      </c>
      <c r="D1321" s="21" t="s">
        <v>972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1428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1598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1013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1342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1599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979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/>
    </row>
    <row r="1329" spans="1:12">
      <c r="A1329" s="20" t="s">
        <v>1600</v>
      </c>
    </row>
    <row r="1330" spans="1:12">
      <c r="A1330" s="20" t="s">
        <v>1450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323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1269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1601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1013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149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1602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1297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1603</v>
      </c>
      <c r="B1338" s="21" t="s">
        <v>1101</v>
      </c>
      <c r="C1338" s="21" t="s">
        <v>1200</v>
      </c>
      <c r="D1338" s="21" t="s">
        <v>972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1604</v>
      </c>
      <c r="B1339" s="21" t="s">
        <v>1011</v>
      </c>
      <c r="C1339" s="21" t="s">
        <v>976</v>
      </c>
      <c r="D1339" s="21" t="s">
        <v>972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1455</v>
      </c>
      <c r="B1340" s="21" t="s">
        <v>1175</v>
      </c>
      <c r="C1340" s="21" t="s">
        <v>976</v>
      </c>
      <c r="D1340" s="21" t="s">
        <v>972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986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1605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1606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1607</v>
      </c>
      <c r="B1344" s="21" t="s">
        <v>1011</v>
      </c>
      <c r="C1344" s="21" t="s">
        <v>991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990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987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1608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1468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1064</v>
      </c>
      <c r="B1349" s="21" t="s">
        <v>1011</v>
      </c>
      <c r="C1349" s="21" t="s">
        <v>1200</v>
      </c>
      <c r="D1349" s="21" t="s">
        <v>972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1609</v>
      </c>
      <c r="B1350" s="21" t="s">
        <v>1175</v>
      </c>
      <c r="C1350" s="21" t="s">
        <v>976</v>
      </c>
      <c r="D1350" s="21" t="s">
        <v>972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979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/>
    </row>
    <row r="1353" spans="1:12">
      <c r="A1353" s="20" t="s">
        <v>1610</v>
      </c>
    </row>
    <row r="1354" spans="1:12">
      <c r="A1354" s="20" t="s">
        <v>993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1112</v>
      </c>
      <c r="B1355" s="21" t="s">
        <v>975</v>
      </c>
      <c r="C1355" s="21" t="s">
        <v>1012</v>
      </c>
      <c r="D1355" s="21" t="s">
        <v>972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1195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327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1611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1013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1005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1354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1013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149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1112</v>
      </c>
      <c r="B1364" s="21" t="s">
        <v>1115</v>
      </c>
      <c r="C1364" s="21" t="s">
        <v>1012</v>
      </c>
      <c r="D1364" s="21" t="s">
        <v>972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1416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1612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1013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1014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141</v>
      </c>
      <c r="B1369" s="21" t="s">
        <v>1099</v>
      </c>
      <c r="C1369" s="21" t="s">
        <v>1232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1613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979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/>
    </row>
    <row r="1373" spans="1:12">
      <c r="A1373" s="20" t="s">
        <v>1614</v>
      </c>
    </row>
    <row r="1374" spans="1:12">
      <c r="A1374" s="20" t="s">
        <v>1070</v>
      </c>
      <c r="E1374" s="22">
        <f>IF(D1374="?OLD","!!!","")</f>
        <v/>
      </c>
      <c r="F1374" s="23" t="str">
        <f>IF(OR(E1374="",E1374="!!!"),"",IF(NOT(ISNA(VLOOKUP(E1374,E$1:E1373,1,FALSE()))),"OLD",IF(AND(E1374&lt;&gt;"",E1374&lt;&gt;"!!!"),"NEW","")))</f>
        <v> </v>
      </c>
      <c r="G1374" s="24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5" t="str">
        <f>IF(J1374&lt;&gt;1,"",IF(I1374="SBJ","CB","?"))</f>
        <v> </v>
      </c>
      <c r="I1374" s="26" t="str">
        <f>IF(OR(E1374="",E1374="!!!",F1374="NEW"),"",INDEX(B1373:B$2,-1+SUMPRODUCT(MAX(ROW(E1373:E$2)*(E1374=E1373:E$2)))))</f>
        <v> </v>
      </c>
      <c r="J1374" s="26" t="str">
        <f>IF(OR(E1374="",E1374="!!!",F1374="NEW"),"",COUNTBLANK(OFFSET(A$1,,,SUMPRODUCT(MAX(ROW(E$2:E1374)*(E1374=E$2:E1374)))))-COUNTBLANK(OFFSET(A$1,,,SUMPRODUCT(MAX(ROW(E$1:E1373)*(E2=E$1:E1373))))))</f>
        <v> </v>
      </c>
      <c r="K1374" s="26" t="str">
        <f>IF(OR(E1374="",E1374="!!!",F1374="NEW"),"",INDEX(J$1:J1373,SUMPRODUCT(MAX(ROW(E$1:E1373)*(E1374=E$1:E1373)))))</f>
        <v> </v>
      </c>
      <c r="L1374" s="27"/>
    </row>
    <row r="1375" spans="1:12">
      <c r="A1375" s="20" t="s">
        <v>1615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987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1112</v>
      </c>
      <c r="B1377" s="21" t="s">
        <v>995</v>
      </c>
      <c r="C1377" s="21" t="s">
        <v>1012</v>
      </c>
      <c r="D1377" s="21" t="s">
        <v>972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1005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1616</v>
      </c>
      <c r="B1379" s="21" t="s">
        <v>995</v>
      </c>
      <c r="C1379" s="21" t="s">
        <v>1200</v>
      </c>
      <c r="D1379" s="21" t="s">
        <v>972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1234</v>
      </c>
      <c r="B1380" s="21" t="s">
        <v>978</v>
      </c>
      <c r="C1380" s="21" t="s">
        <v>1012</v>
      </c>
      <c r="D1380" s="21" t="s">
        <v>972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1013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149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1606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1607</v>
      </c>
      <c r="B1384" s="21" t="s">
        <v>1099</v>
      </c>
      <c r="C1384" s="21" t="s">
        <v>991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990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1617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1618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1013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1619</v>
      </c>
      <c r="B1389" s="21" t="s">
        <v>1339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1295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1013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1620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987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1621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979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/>
    </row>
    <row r="1397" spans="1:12">
      <c r="A1397" s="20" t="s">
        <v>1622</v>
      </c>
    </row>
    <row r="1398" spans="1:12">
      <c r="A1398" s="20" t="s">
        <v>1155</v>
      </c>
      <c r="B1398" s="21" t="s">
        <v>975</v>
      </c>
      <c r="C1398" s="21" t="s">
        <v>1012</v>
      </c>
      <c r="D1398" s="21" t="s">
        <v>972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1623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1624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1625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1618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979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/>
    </row>
    <row r="1405" spans="1:12">
      <c r="A1405" s="20" t="s">
        <v>1626</v>
      </c>
    </row>
    <row r="1406" spans="1:12">
      <c r="A1406" s="20" t="s">
        <v>1627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1013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1266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400</v>
      </c>
      <c r="B1409" s="21" t="s">
        <v>1101</v>
      </c>
      <c r="C1409" s="21" t="s">
        <v>971</v>
      </c>
      <c r="D1409" s="21" t="s">
        <v>972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1628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1550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1551</v>
      </c>
      <c r="B1412" s="21" t="s">
        <v>978</v>
      </c>
      <c r="C1412" s="21" t="s">
        <v>1012</v>
      </c>
      <c r="D1412" s="21" t="s">
        <v>972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1013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1014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1061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1033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1489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1629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1005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1630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1013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668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1631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1632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1633</v>
      </c>
      <c r="B1425" s="21" t="s">
        <v>975</v>
      </c>
      <c r="C1425" s="21" t="s">
        <v>991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1059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1428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1241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1207</v>
      </c>
      <c r="B1429" s="21" t="s">
        <v>1011</v>
      </c>
      <c r="C1429" s="21" t="s">
        <v>1012</v>
      </c>
      <c r="D1429" s="21" t="s">
        <v>972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1634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999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1112</v>
      </c>
      <c r="B1432" s="21" t="s">
        <v>1003</v>
      </c>
      <c r="C1432" s="21" t="s">
        <v>1012</v>
      </c>
      <c r="D1432" s="21" t="s">
        <v>972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1635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1550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1033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1013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1005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1636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1637</v>
      </c>
      <c r="B1439" s="21" t="s">
        <v>1099</v>
      </c>
      <c r="C1439" s="21" t="s">
        <v>1232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1638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1639</v>
      </c>
      <c r="B1441" s="21" t="s">
        <v>1115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1013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1640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999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1112</v>
      </c>
      <c r="B1445" s="21" t="s">
        <v>1339</v>
      </c>
      <c r="C1445" s="21" t="s">
        <v>1012</v>
      </c>
      <c r="D1445" s="21" t="s">
        <v>972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1641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1642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979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/>
    </row>
    <row r="1450" spans="1:12">
      <c r="A1450" s="20" t="s">
        <v>1643</v>
      </c>
    </row>
    <row r="1451" spans="1:12">
      <c r="A1451" s="20" t="s">
        <v>1070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1644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1645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979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/>
    </row>
    <row r="1456" spans="1:12">
      <c r="A1456" s="20" t="s">
        <v>1646</v>
      </c>
    </row>
    <row r="1457" spans="1:12">
      <c r="A1457" s="20" t="s">
        <v>1647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149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1013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1266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400</v>
      </c>
      <c r="B1461" s="21" t="s">
        <v>1101</v>
      </c>
      <c r="C1461" s="21" t="s">
        <v>971</v>
      </c>
      <c r="D1461" s="21" t="s">
        <v>972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1648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1390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1033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987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1630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1013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400</v>
      </c>
      <c r="B1468" s="21" t="s">
        <v>975</v>
      </c>
      <c r="C1468" s="21" t="s">
        <v>971</v>
      </c>
      <c r="D1468" s="21" t="s">
        <v>972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1213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1649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1650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1651</v>
      </c>
      <c r="B1472" s="21" t="s">
        <v>970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979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/>
    </row>
    <row r="1475" spans="1:12">
      <c r="A1475" s="20" t="s">
        <v>1652</v>
      </c>
    </row>
    <row r="1476" spans="1:12">
      <c r="A1476" s="20" t="s">
        <v>1348</v>
      </c>
      <c r="B1476" s="21" t="s">
        <v>975</v>
      </c>
      <c r="C1476" s="21" t="s">
        <v>971</v>
      </c>
      <c r="D1476" s="21" t="s">
        <v>972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1653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1013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1053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1654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1598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1374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979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/>
    </row>
    <row r="1485" spans="1:12">
      <c r="A1485" s="20" t="s">
        <v>1655</v>
      </c>
    </row>
    <row r="1486" spans="1:12">
      <c r="A1486" s="20" t="s">
        <v>1155</v>
      </c>
      <c r="B1486" s="21" t="s">
        <v>975</v>
      </c>
      <c r="C1486" s="21" t="s">
        <v>1012</v>
      </c>
      <c r="D1486" s="21" t="s">
        <v>972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355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979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/>
    </row>
    <row r="1490" spans="1:12">
      <c r="A1490" s="20" t="s">
        <v>1656</v>
      </c>
    </row>
    <row r="1491" spans="1:12">
      <c r="A1491" s="20" t="s">
        <v>981</v>
      </c>
      <c r="B1491" s="21" t="s">
        <v>975</v>
      </c>
      <c r="C1491" s="21" t="s">
        <v>971</v>
      </c>
      <c r="D1491" s="21" t="s">
        <v>972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1005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1112</v>
      </c>
      <c r="B1493" s="21" t="s">
        <v>995</v>
      </c>
      <c r="C1493" s="21" t="s">
        <v>1012</v>
      </c>
      <c r="D1493" s="21" t="s">
        <v>972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1091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979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/>
    </row>
    <row r="1497" spans="1:12">
      <c r="A1497" s="20" t="s">
        <v>1657</v>
      </c>
    </row>
    <row r="1498" spans="1:12">
      <c r="A1498" s="20" t="s">
        <v>1658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1153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1492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1659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1660</v>
      </c>
      <c r="B1502" s="21" t="s">
        <v>970</v>
      </c>
      <c r="C1502" s="21" t="s">
        <v>1012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979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/>
    </row>
    <row r="1505" spans="1:12">
      <c r="A1505" s="20" t="s">
        <v>1661</v>
      </c>
    </row>
    <row r="1506" spans="1:12">
      <c r="A1506" s="20" t="s">
        <v>1662</v>
      </c>
      <c r="B1506" s="21" t="s">
        <v>975</v>
      </c>
      <c r="C1506" s="21" t="s">
        <v>971</v>
      </c>
      <c r="D1506" s="21" t="s">
        <v>972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1434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1663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1664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1048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1665</v>
      </c>
      <c r="B1511" s="21" t="s">
        <v>995</v>
      </c>
      <c r="C1511" s="21" t="s">
        <v>1200</v>
      </c>
      <c r="D1511" s="21" t="s">
        <v>972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1666</v>
      </c>
      <c r="B1512" s="21" t="s">
        <v>978</v>
      </c>
      <c r="C1512" s="21" t="s">
        <v>976</v>
      </c>
      <c r="D1512" s="21" t="s">
        <v>972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1667</v>
      </c>
      <c r="B1513" s="21" t="s">
        <v>1011</v>
      </c>
      <c r="C1513" s="21" t="s">
        <v>976</v>
      </c>
      <c r="D1513" s="21" t="s">
        <v>972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979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/>
    </row>
    <row r="1516" spans="1:12">
      <c r="A1516" s="20" t="s">
        <v>1668</v>
      </c>
    </row>
    <row r="1517" spans="1:12">
      <c r="A1517" s="20" t="s">
        <v>1669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1670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1671</v>
      </c>
      <c r="B1519" s="21" t="s">
        <v>975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1672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1013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1673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1005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1674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1334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1675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1676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985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1013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1135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1677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92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1678</v>
      </c>
      <c r="B1533" s="21" t="s">
        <v>1034</v>
      </c>
      <c r="C1533" s="21" t="s">
        <v>991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1679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1044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1680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1045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1681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1042</v>
      </c>
      <c r="B1539" s="21" t="s">
        <v>1034</v>
      </c>
      <c r="C1539" s="21" t="s">
        <v>991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979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/>
    </row>
    <row r="1542" spans="1:12">
      <c r="A1542" s="20" t="s">
        <v>1682</v>
      </c>
    </row>
    <row r="1543" spans="1:12">
      <c r="A1543" s="20" t="s">
        <v>1683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1071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1072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1013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1681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1042</v>
      </c>
      <c r="B1548" s="21" t="s">
        <v>995</v>
      </c>
      <c r="C1548" s="21" t="s">
        <v>991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999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1684</v>
      </c>
      <c r="B1550" s="21" t="s">
        <v>975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1685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1135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1686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1687</v>
      </c>
      <c r="B1554" s="21" t="s">
        <v>1011</v>
      </c>
      <c r="C1554" s="21" t="s">
        <v>991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979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/>
    </row>
    <row r="1557" spans="1:12">
      <c r="A1557" s="20" t="s">
        <v>1688</v>
      </c>
    </row>
    <row r="1558" spans="1:12">
      <c r="A1558" s="20" t="s">
        <v>1689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1690</v>
      </c>
      <c r="B1559" s="21" t="s">
        <v>978</v>
      </c>
      <c r="C1559" s="21" t="s">
        <v>971</v>
      </c>
      <c r="D1559" s="21" t="s">
        <v>972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1013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1355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149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1162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1691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1005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1692</v>
      </c>
      <c r="B1566" s="21" t="s">
        <v>978</v>
      </c>
      <c r="C1566" s="21" t="s">
        <v>976</v>
      </c>
      <c r="D1566" s="21" t="s">
        <v>972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1693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1042</v>
      </c>
      <c r="B1568" s="21" t="s">
        <v>978</v>
      </c>
      <c r="C1568" s="21" t="s">
        <v>991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999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1112</v>
      </c>
      <c r="B1570" s="21" t="s">
        <v>975</v>
      </c>
      <c r="C1570" s="21" t="s">
        <v>1012</v>
      </c>
      <c r="D1570" s="21" t="s">
        <v>972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1694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293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378</v>
      </c>
      <c r="B1573" s="21" t="s">
        <v>995</v>
      </c>
      <c r="C1573" s="21" t="s">
        <v>1100</v>
      </c>
      <c r="D1573" s="21" t="s">
        <v>972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1033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1013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1282</v>
      </c>
      <c r="B1576" s="21" t="s">
        <v>1087</v>
      </c>
      <c r="C1576" s="21" t="s">
        <v>1232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1189</v>
      </c>
      <c r="B1577" s="21" t="s">
        <v>1101</v>
      </c>
      <c r="C1577" s="21" t="s">
        <v>971</v>
      </c>
      <c r="D1577" s="21" t="s">
        <v>972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1695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1005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1696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1334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1697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1135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1698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1699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1013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1092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1700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1701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1702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979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/>
    </row>
    <row r="1593" spans="1:12">
      <c r="A1593" s="20" t="s">
        <v>1703</v>
      </c>
    </row>
    <row r="1594" spans="1:12">
      <c r="A1594" s="20" t="s">
        <v>1450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149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1020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1247</v>
      </c>
      <c r="B1597" s="21" t="s">
        <v>995</v>
      </c>
      <c r="C1597" s="21" t="s">
        <v>971</v>
      </c>
      <c r="D1597" s="21" t="s">
        <v>972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668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1704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1705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1706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1707</v>
      </c>
      <c r="B1602" s="21" t="s">
        <v>975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1013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1330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1708</v>
      </c>
      <c r="B1605" s="21" t="s">
        <v>1093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1709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1013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149</v>
      </c>
      <c r="B1608" s="21" t="s">
        <v>1115</v>
      </c>
      <c r="C1608" s="21" t="s">
        <v>1232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1710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28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1711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1712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257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1009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1713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1013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1014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1222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1297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1714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1715</v>
      </c>
      <c r="B1621" s="21" t="s">
        <v>1716</v>
      </c>
      <c r="C1621" s="21" t="s">
        <v>991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1005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1696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979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/>
    </row>
    <row r="1626" spans="1:12">
      <c r="A1626" s="20" t="s">
        <v>1717</v>
      </c>
    </row>
    <row r="1627" spans="1:12">
      <c r="A1627" s="20" t="s">
        <v>993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1013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1259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1013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1198</v>
      </c>
      <c r="B1631" s="21" t="s">
        <v>975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1048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1031</v>
      </c>
      <c r="B1633" s="21" t="s">
        <v>978</v>
      </c>
      <c r="C1633" s="21" t="s">
        <v>971</v>
      </c>
      <c r="D1633" s="21" t="s">
        <v>972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1718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1719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1720</v>
      </c>
      <c r="B1636" s="21" t="s">
        <v>970</v>
      </c>
      <c r="C1636" s="21" t="s">
        <v>1200</v>
      </c>
      <c r="D1636" s="21" t="s">
        <v>972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1721</v>
      </c>
      <c r="B1637" s="21" t="s">
        <v>978</v>
      </c>
      <c r="C1637" s="21" t="s">
        <v>976</v>
      </c>
      <c r="D1637" s="21" t="s">
        <v>972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1722</v>
      </c>
      <c r="B1638" s="21" t="s">
        <v>1011</v>
      </c>
      <c r="C1638" s="21" t="s">
        <v>976</v>
      </c>
      <c r="D1638" s="21" t="s">
        <v>972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1723</v>
      </c>
      <c r="B1639" s="21" t="s">
        <v>1175</v>
      </c>
      <c r="C1639" s="21" t="s">
        <v>976</v>
      </c>
      <c r="D1639" s="21" t="s">
        <v>972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1222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1724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979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/>
    </row>
    <row r="1644" spans="1:12">
      <c r="A1644" s="20" t="s">
        <v>1725</v>
      </c>
    </row>
    <row r="1645" spans="1:12">
      <c r="A1645" s="20" t="s">
        <v>1726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145</v>
      </c>
      <c r="B1646" s="21" t="s">
        <v>975</v>
      </c>
      <c r="C1646" s="21" t="s">
        <v>971</v>
      </c>
      <c r="D1646" s="21" t="s">
        <v>972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1013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1259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1013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1240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1550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1054</v>
      </c>
      <c r="B1652" s="21" t="s">
        <v>978</v>
      </c>
      <c r="C1652" s="21" t="s">
        <v>996</v>
      </c>
      <c r="D1652" s="21" t="s">
        <v>972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1727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1728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1013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1491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1694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1550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1729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1681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1042</v>
      </c>
      <c r="B1661" s="21" t="s">
        <v>978</v>
      </c>
      <c r="C1661" s="21" t="s">
        <v>991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979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/>
    </row>
    <row r="1664" spans="1:12">
      <c r="A1664" s="20" t="s">
        <v>1730</v>
      </c>
    </row>
    <row r="1665" spans="1:12">
      <c r="A1665" s="20" t="s">
        <v>1731</v>
      </c>
      <c r="B1665" s="21" t="s">
        <v>975</v>
      </c>
      <c r="C1665" s="21" t="s">
        <v>971</v>
      </c>
      <c r="D1665" s="21" t="s">
        <v>972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1732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987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1733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1734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1005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1735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1736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1023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1092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400</v>
      </c>
      <c r="B1675" s="21" t="s">
        <v>1093</v>
      </c>
      <c r="C1675" s="21" t="s">
        <v>971</v>
      </c>
      <c r="D1675" s="21" t="s">
        <v>972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1737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1681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1042</v>
      </c>
      <c r="B1678" s="21" t="s">
        <v>1011</v>
      </c>
      <c r="C1678" s="21" t="s">
        <v>991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987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1738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1739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1005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1740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1471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293</v>
      </c>
      <c r="B1685" s="21" t="s">
        <v>1099</v>
      </c>
      <c r="C1685" s="21" t="s">
        <v>1012</v>
      </c>
      <c r="D1685" s="21" t="s">
        <v>972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1741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1742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1735</v>
      </c>
      <c r="B1688" s="21" t="s">
        <v>1011</v>
      </c>
      <c r="C1688" s="21" t="s">
        <v>1526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1013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1133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1743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1744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 t="s">
        <v>400</v>
      </c>
      <c r="B1693" s="21" t="s">
        <v>1101</v>
      </c>
      <c r="C1693" s="21" t="s">
        <v>971</v>
      </c>
      <c r="D1693" s="21" t="s">
        <v>972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1745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1005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1394</v>
      </c>
      <c r="B1696" s="21" t="s">
        <v>1011</v>
      </c>
      <c r="C1696" s="21" t="s">
        <v>971</v>
      </c>
      <c r="D1696" s="21" t="s">
        <v>972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1746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979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/>
    </row>
    <row r="1700" spans="1:12">
      <c r="A1700" s="20" t="s">
        <v>1747</v>
      </c>
    </row>
    <row r="1701" spans="1:12">
      <c r="A1701" s="20" t="s">
        <v>1348</v>
      </c>
      <c r="B1701" s="21" t="s">
        <v>975</v>
      </c>
      <c r="C1701" s="21" t="s">
        <v>971</v>
      </c>
      <c r="D1701" s="21" t="s">
        <v>972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1748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1234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1009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1749</v>
      </c>
      <c r="B1705" s="21" t="s">
        <v>995</v>
      </c>
      <c r="C1705" s="21" t="s">
        <v>1100</v>
      </c>
      <c r="D1705" s="21" t="s">
        <v>972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1750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1005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1751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1072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1013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1014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1222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1083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1752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1005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1068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1753</v>
      </c>
      <c r="B1717" s="21" t="s">
        <v>1101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979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/>
    </row>
    <row r="1720" spans="1:12">
      <c r="A1720" s="20" t="s">
        <v>1754</v>
      </c>
    </row>
    <row r="1721" spans="1:12">
      <c r="A1721" s="20" t="s">
        <v>993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1489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1404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1289</v>
      </c>
      <c r="B1724" s="21" t="s">
        <v>995</v>
      </c>
      <c r="C1724" s="21" t="s">
        <v>971</v>
      </c>
      <c r="D1724" s="21" t="s">
        <v>972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1755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1756</v>
      </c>
      <c r="B1726" s="21" t="s">
        <v>975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1757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1027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1013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1758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1187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979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/>
    </row>
    <row r="1734" spans="1:12">
      <c r="A1734" s="20" t="s">
        <v>1759</v>
      </c>
    </row>
    <row r="1735" spans="1:12">
      <c r="A1735" s="20" t="s">
        <v>1760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1023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1005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1761</v>
      </c>
      <c r="B1738" s="21" t="s">
        <v>978</v>
      </c>
      <c r="C1738" s="21" t="s">
        <v>1232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1009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1762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1248</v>
      </c>
      <c r="B1741" s="21" t="s">
        <v>1101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1377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1763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1319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/>
    </row>
    <row r="1746" spans="1:12">
      <c r="A1746" s="20" t="s">
        <v>1764</v>
      </c>
    </row>
    <row r="1747" spans="1:12">
      <c r="A1747" s="20" t="s">
        <v>1765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1092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1471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400</v>
      </c>
      <c r="B1750" s="21" t="s">
        <v>1101</v>
      </c>
      <c r="C1750" s="21" t="s">
        <v>971</v>
      </c>
      <c r="D1750" s="21" t="s">
        <v>972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1766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1112</v>
      </c>
      <c r="B1752" s="21" t="s">
        <v>1003</v>
      </c>
      <c r="C1752" s="21" t="s">
        <v>1012</v>
      </c>
      <c r="D1752" s="21" t="s">
        <v>972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1767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1013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400</v>
      </c>
      <c r="B1755" s="21" t="s">
        <v>975</v>
      </c>
      <c r="C1755" s="21" t="s">
        <v>971</v>
      </c>
      <c r="D1755" s="21" t="s">
        <v>972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1471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1768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1005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1518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1769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1770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1771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1772</v>
      </c>
      <c r="B1763" s="21" t="s">
        <v>970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979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/>
    </row>
    <row r="1766" spans="1:12">
      <c r="A1766" s="20" t="s">
        <v>1773</v>
      </c>
    </row>
    <row r="1767" spans="1:12">
      <c r="A1767" s="20" t="s">
        <v>1280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1391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1005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1068</v>
      </c>
      <c r="B1770" s="21" t="s">
        <v>995</v>
      </c>
      <c r="C1770" s="21" t="s">
        <v>991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1027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1013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1774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1005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816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985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1014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1775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374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1005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1776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1777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/>
    </row>
    <row r="1784" spans="1:12">
      <c r="A1784" s="20" t="s">
        <v>1778</v>
      </c>
    </row>
    <row r="1785" spans="1:12">
      <c r="A1785" s="20" t="s">
        <v>1779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1189</v>
      </c>
      <c r="B1786" s="21" t="s">
        <v>975</v>
      </c>
      <c r="C1786" s="21" t="s">
        <v>971</v>
      </c>
      <c r="D1786" s="21" t="s">
        <v>972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999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1780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1603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979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/>
    </row>
    <row r="1792" spans="1:12">
      <c r="A1792" s="20" t="s">
        <v>1781</v>
      </c>
    </row>
    <row r="1793" spans="1:12">
      <c r="A1793" s="20" t="s">
        <v>1782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1783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1283</v>
      </c>
      <c r="B1795" s="21" t="s">
        <v>995</v>
      </c>
      <c r="C1795" s="21" t="s">
        <v>991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564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999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1784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1005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1751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1072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979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/>
    </row>
    <row r="1804" spans="1:12">
      <c r="A1804" s="20" t="s">
        <v>1785</v>
      </c>
    </row>
    <row r="1805" spans="1:12">
      <c r="A1805" s="20" t="s">
        <v>1280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1786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49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990</v>
      </c>
      <c r="B1808" s="21" t="s">
        <v>995</v>
      </c>
      <c r="C1808" s="21" t="s">
        <v>991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400</v>
      </c>
      <c r="B1809" s="21" t="s">
        <v>975</v>
      </c>
      <c r="C1809" s="21" t="s">
        <v>971</v>
      </c>
      <c r="D1809" s="21" t="s">
        <v>972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1787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1788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1138</v>
      </c>
      <c r="B1812" s="21" t="s">
        <v>970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1187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1013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1789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1005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1790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1072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979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/>
    </row>
    <row r="1821" spans="1:12">
      <c r="A1821" s="20" t="s">
        <v>1791</v>
      </c>
    </row>
    <row r="1822" spans="1:12">
      <c r="A1822" s="20" t="s">
        <v>1122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145</v>
      </c>
      <c r="B1823" s="21" t="s">
        <v>1101</v>
      </c>
      <c r="C1823" s="21" t="s">
        <v>971</v>
      </c>
      <c r="D1823" s="21" t="s">
        <v>972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1117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1195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1005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1792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1793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1013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1112</v>
      </c>
      <c r="B1830" s="21" t="s">
        <v>975</v>
      </c>
      <c r="C1830" s="21" t="s">
        <v>1012</v>
      </c>
      <c r="D1830" s="21" t="s">
        <v>972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1794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979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/>
    </row>
    <row r="1834" spans="1:12">
      <c r="A1834" s="20" t="s">
        <v>1795</v>
      </c>
    </row>
    <row r="1835" spans="1:12">
      <c r="A1835" s="20" t="s">
        <v>1796</v>
      </c>
      <c r="B1835" s="21" t="s">
        <v>975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982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1797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1193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1798</v>
      </c>
      <c r="B1839" s="21" t="s">
        <v>970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1013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1334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1799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1800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1801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1013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1802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1005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1803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1804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1805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1013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1806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1807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1808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1809</v>
      </c>
      <c r="B1855" s="21" t="s">
        <v>1011</v>
      </c>
      <c r="C1855" s="21" t="s">
        <v>976</v>
      </c>
      <c r="D1855" s="21" t="s">
        <v>972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979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/>
    </row>
    <row r="1858" spans="1:12">
      <c r="A1858" s="20" t="s">
        <v>1810</v>
      </c>
    </row>
    <row r="1859" spans="1:12">
      <c r="A1859" s="20" t="s">
        <v>1811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1013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1248</v>
      </c>
      <c r="B1861" s="21" t="s">
        <v>975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1690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1004</v>
      </c>
      <c r="B1863" s="21" t="s">
        <v>978</v>
      </c>
      <c r="C1863" s="21" t="s">
        <v>991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1013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1475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1005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1812</v>
      </c>
      <c r="B1867" s="21" t="s">
        <v>1011</v>
      </c>
      <c r="C1867" s="21" t="s">
        <v>976</v>
      </c>
      <c r="D1867" s="21" t="s">
        <v>972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1013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1813</v>
      </c>
      <c r="B1869" s="21" t="s">
        <v>1175</v>
      </c>
      <c r="C1869" s="21" t="s">
        <v>976</v>
      </c>
      <c r="D1869" s="21" t="s">
        <v>972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1013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1814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1049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757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816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979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/>
    </row>
    <row r="1877" spans="1:12">
      <c r="A1877" s="20" t="s">
        <v>1815</v>
      </c>
    </row>
    <row r="1878" spans="1:12">
      <c r="A1878" s="20" t="s">
        <v>1401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1816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1817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1818</v>
      </c>
      <c r="B1881" s="21" t="s">
        <v>975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982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1819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1820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1821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1005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1822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1187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979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/>
    </row>
    <row r="1891" spans="1:12">
      <c r="A1891" s="20" t="s">
        <v>1823</v>
      </c>
    </row>
    <row r="1892" spans="1:12">
      <c r="A1892" s="20" t="s">
        <v>1824</v>
      </c>
      <c r="B1892" s="21" t="s">
        <v>978</v>
      </c>
      <c r="C1892" s="21" t="s">
        <v>996</v>
      </c>
      <c r="D1892" s="21" t="s">
        <v>972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1825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1684</v>
      </c>
      <c r="B1894" s="21" t="s">
        <v>975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1826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1827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1108</v>
      </c>
      <c r="B1897" s="21" t="s">
        <v>995</v>
      </c>
      <c r="C1897" s="21" t="s">
        <v>991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979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/>
    </row>
    <row r="1900" spans="1:12">
      <c r="A1900" s="20" t="s">
        <v>1828</v>
      </c>
    </row>
    <row r="1901" spans="1:12">
      <c r="A1901" s="20" t="s">
        <v>981</v>
      </c>
      <c r="B1901" s="21" t="s">
        <v>975</v>
      </c>
      <c r="C1901" s="21" t="s">
        <v>971</v>
      </c>
      <c r="D1901" s="21" t="s">
        <v>972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1829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1830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1550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1551</v>
      </c>
      <c r="B1905" s="21" t="s">
        <v>978</v>
      </c>
      <c r="C1905" s="21" t="s">
        <v>1012</v>
      </c>
      <c r="D1905" s="21" t="s">
        <v>972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1013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1005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1761</v>
      </c>
      <c r="B1908" s="21" t="s">
        <v>1175</v>
      </c>
      <c r="C1908" s="21" t="s">
        <v>1232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1009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1694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1444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985</v>
      </c>
      <c r="B1912" s="21" t="s">
        <v>1055</v>
      </c>
      <c r="C1912" s="21" t="s">
        <v>1100</v>
      </c>
      <c r="D1912" s="21" t="s">
        <v>972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1463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1247</v>
      </c>
      <c r="B1914" s="21" t="s">
        <v>1055</v>
      </c>
      <c r="C1914" s="21" t="s">
        <v>971</v>
      </c>
      <c r="D1914" s="21" t="s">
        <v>972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1831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979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/>
    </row>
    <row r="1918" spans="1:12">
      <c r="A1918" s="20" t="s">
        <v>1832</v>
      </c>
    </row>
    <row r="1919" spans="1:12">
      <c r="A1919" s="20" t="s">
        <v>993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1153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1833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1834</v>
      </c>
      <c r="B1922" s="21" t="s">
        <v>995</v>
      </c>
      <c r="C1922" s="21" t="s">
        <v>991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1013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1133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1835</v>
      </c>
      <c r="B1925" s="21" t="s">
        <v>978</v>
      </c>
      <c r="C1925" s="21" t="s">
        <v>1232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1090</v>
      </c>
      <c r="B1926" s="21" t="s">
        <v>1101</v>
      </c>
      <c r="C1926" s="21" t="s">
        <v>971</v>
      </c>
      <c r="D1926" s="21" t="s">
        <v>972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1836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979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/>
    </row>
    <row r="1930" spans="1:12">
      <c r="A1930" s="20" t="s">
        <v>1837</v>
      </c>
    </row>
    <row r="1931" spans="1:12">
      <c r="A1931" s="20" t="s">
        <v>1470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1013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1838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454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979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/>
    </row>
    <row r="1937" spans="1:12">
      <c r="A1937" s="20" t="s">
        <v>1839</v>
      </c>
    </row>
    <row r="1938" spans="1:12">
      <c r="A1938" s="20" t="s">
        <v>1548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979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/>
    </row>
    <row r="1941" spans="1:12">
      <c r="A1941" s="20" t="s">
        <v>1840</v>
      </c>
    </row>
    <row r="1942" spans="1:12">
      <c r="A1942" s="20" t="s">
        <v>1841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1112</v>
      </c>
      <c r="B1943" s="21" t="s">
        <v>975</v>
      </c>
      <c r="C1943" s="21" t="s">
        <v>1012</v>
      </c>
      <c r="D1943" s="21" t="s">
        <v>972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1013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1014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1842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1843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979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/>
    </row>
    <row r="1950" spans="1:12">
      <c r="A1950" s="20" t="s">
        <v>1844</v>
      </c>
    </row>
    <row r="1951" spans="1:12">
      <c r="A1951" s="20" t="s">
        <v>1845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454</v>
      </c>
      <c r="B1952" s="21" t="s">
        <v>975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999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1112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466</v>
      </c>
      <c r="B1955" s="21" t="s">
        <v>995</v>
      </c>
      <c r="C1955" s="21" t="s">
        <v>1100</v>
      </c>
      <c r="D1955" s="21" t="s">
        <v>972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1846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1847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1013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1848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1406</v>
      </c>
      <c r="B1960" s="21" t="s">
        <v>1003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1005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1849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1334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1850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1005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1851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1852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987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1358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979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/>
    </row>
    <row r="1972" spans="1:12">
      <c r="A1972" s="20" t="s">
        <v>1853</v>
      </c>
    </row>
    <row r="1973" spans="1:12">
      <c r="A1973" s="20" t="s">
        <v>1854</v>
      </c>
      <c r="B1973" s="21" t="s">
        <v>975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1521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1855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1013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149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1274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1251</v>
      </c>
      <c r="B1979" s="21" t="s">
        <v>1101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1856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1013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149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1857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1858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1521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1013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1222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1598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1847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979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/>
    </row>
    <row r="1992" spans="1:12">
      <c r="A1992" s="20" t="s">
        <v>1859</v>
      </c>
    </row>
    <row r="1993" spans="1:12">
      <c r="A1993" s="20" t="s">
        <v>1854</v>
      </c>
      <c r="B1993" s="21" t="s">
        <v>975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1195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1860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979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/>
    </row>
    <row r="1998" spans="1:12">
      <c r="A1998" s="20" t="s">
        <v>1861</v>
      </c>
    </row>
    <row r="1999" spans="1:12">
      <c r="A1999" s="20" t="s">
        <v>1854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999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1784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1862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1863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1864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1865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979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/>
    </row>
    <row r="2008" spans="1:12">
      <c r="A2008" s="20" t="s">
        <v>1866</v>
      </c>
    </row>
    <row r="2009" spans="1:12">
      <c r="A2009" s="20" t="s">
        <v>1867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1868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1869</v>
      </c>
      <c r="B2011" s="21" t="s">
        <v>975</v>
      </c>
      <c r="C2011" s="21" t="s">
        <v>991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1870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1013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149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1395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1871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985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1753</v>
      </c>
      <c r="B2018" s="21" t="s">
        <v>1101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1106</v>
      </c>
      <c r="B2019" s="21" t="s">
        <v>1087</v>
      </c>
      <c r="C2019" s="21" t="s">
        <v>971</v>
      </c>
      <c r="D2019" s="21" t="s">
        <v>972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1872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1026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1013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1059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1092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1189</v>
      </c>
      <c r="B2025" s="21" t="s">
        <v>1093</v>
      </c>
      <c r="C2025" s="21" t="s">
        <v>971</v>
      </c>
      <c r="D2025" s="21" t="s">
        <v>972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1247</v>
      </c>
      <c r="B2026" s="21" t="s">
        <v>1003</v>
      </c>
      <c r="C2026" s="21" t="s">
        <v>971</v>
      </c>
      <c r="D2026" s="21" t="s">
        <v>972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1873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1874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979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/>
    </row>
    <row r="2031" spans="1:12">
      <c r="A2031" s="20" t="s">
        <v>1875</v>
      </c>
    </row>
    <row r="2032" spans="1:12">
      <c r="A2032" s="20" t="s">
        <v>1876</v>
      </c>
      <c r="B2032" s="21" t="s">
        <v>975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1005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1551</v>
      </c>
      <c r="B2034" s="21" t="s">
        <v>995</v>
      </c>
      <c r="C2034" s="21" t="s">
        <v>1012</v>
      </c>
      <c r="D2034" s="21" t="s">
        <v>972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1013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149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1877</v>
      </c>
      <c r="B2037" s="21" t="s">
        <v>1101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1878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1879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1005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1871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1015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979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/>
    </row>
    <row r="2045" spans="1:12">
      <c r="A2045" s="20" t="s">
        <v>1880</v>
      </c>
    </row>
    <row r="2046" spans="1:12">
      <c r="A2046" s="20" t="s">
        <v>1348</v>
      </c>
      <c r="B2046" s="21" t="s">
        <v>975</v>
      </c>
      <c r="C2046" s="21" t="s">
        <v>971</v>
      </c>
      <c r="D2046" s="21" t="s">
        <v>972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1881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1013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1882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1189</v>
      </c>
      <c r="B2050" s="21" t="s">
        <v>1101</v>
      </c>
      <c r="C2050" s="21" t="s">
        <v>971</v>
      </c>
      <c r="D2050" s="21" t="s">
        <v>972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1883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1884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1188</v>
      </c>
      <c r="B2053" s="21" t="s">
        <v>1087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1334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1289</v>
      </c>
      <c r="B2055" s="21" t="s">
        <v>978</v>
      </c>
      <c r="C2055" s="21" t="s">
        <v>971</v>
      </c>
      <c r="D2055" s="21" t="s">
        <v>972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1013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1189</v>
      </c>
      <c r="B2057" s="21" t="s">
        <v>1101</v>
      </c>
      <c r="C2057" s="21" t="s">
        <v>971</v>
      </c>
      <c r="D2057" s="21" t="s">
        <v>972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1885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1135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1886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1009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1887</v>
      </c>
      <c r="B2062" s="21" t="s">
        <v>978</v>
      </c>
      <c r="C2062" s="21" t="s">
        <v>1100</v>
      </c>
      <c r="D2062" s="21" t="s">
        <v>972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1013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1888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1889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1009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1083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1890</v>
      </c>
      <c r="B2068" s="21" t="s">
        <v>1101</v>
      </c>
      <c r="C2068" s="21" t="s">
        <v>1100</v>
      </c>
      <c r="D2068" s="21" t="s">
        <v>972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1222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1891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1005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1015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1139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1140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979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/>
    </row>
    <row r="2077" spans="1:12">
      <c r="A2077" s="20" t="s">
        <v>1892</v>
      </c>
    </row>
    <row r="2078" spans="1:12">
      <c r="A2078" s="20" t="s">
        <v>1627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1013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1893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1894</v>
      </c>
      <c r="B2081" s="21" t="s">
        <v>975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1005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1015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1270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1895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1571</v>
      </c>
      <c r="B2086" s="21" t="s">
        <v>970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1013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1896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1222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1897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979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/>
    </row>
    <row r="2093" spans="1:12">
      <c r="A2093" s="20" t="s">
        <v>1898</v>
      </c>
    </row>
    <row r="2094" spans="1:12">
      <c r="A2094" s="20" t="s">
        <v>993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1005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1899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400</v>
      </c>
      <c r="B2097" s="21" t="s">
        <v>975</v>
      </c>
      <c r="C2097" s="21" t="s">
        <v>971</v>
      </c>
      <c r="D2097" s="21" t="s">
        <v>972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1270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1900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1901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1902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1571</v>
      </c>
      <c r="B2102" s="21" t="s">
        <v>995</v>
      </c>
      <c r="C2102" s="21" t="s">
        <v>991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979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/>
    </row>
    <row r="2105" spans="1:12">
      <c r="A2105" s="20" t="s">
        <v>1903</v>
      </c>
    </row>
    <row r="2106" spans="1:12">
      <c r="A2106" s="20" t="s">
        <v>1904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1905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979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/>
    </row>
    <row r="2110" spans="1:12">
      <c r="A2110" s="20" t="s">
        <v>1906</v>
      </c>
    </row>
    <row r="2111" spans="1:12">
      <c r="A2111" s="20" t="s">
        <v>1907</v>
      </c>
      <c r="B2111" s="21" t="s">
        <v>970</v>
      </c>
      <c r="C2111" s="21" t="s">
        <v>971</v>
      </c>
      <c r="D2111" s="21" t="s">
        <v>972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1908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1112</v>
      </c>
      <c r="B2113" s="21" t="s">
        <v>975</v>
      </c>
      <c r="C2113" s="21" t="s">
        <v>1012</v>
      </c>
      <c r="D2113" s="21" t="s">
        <v>972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979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/>
    </row>
    <row r="2116" spans="1:12">
      <c r="A2116" s="20" t="s">
        <v>1909</v>
      </c>
    </row>
    <row r="2117" spans="1:12">
      <c r="A2117" s="20" t="s">
        <v>1509</v>
      </c>
      <c r="B2117" s="21" t="s">
        <v>1101</v>
      </c>
      <c r="C2117" s="21" t="s">
        <v>971</v>
      </c>
      <c r="D2117" s="21" t="s">
        <v>972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1910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1013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1478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1911</v>
      </c>
      <c r="B2121" s="21" t="s">
        <v>975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1013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81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1005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1912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1603</v>
      </c>
      <c r="B2126" s="21" t="s">
        <v>1101</v>
      </c>
      <c r="C2126" s="21" t="s">
        <v>1200</v>
      </c>
      <c r="D2126" s="21" t="s">
        <v>972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1604</v>
      </c>
      <c r="B2127" s="21" t="s">
        <v>1011</v>
      </c>
      <c r="C2127" s="21" t="s">
        <v>976</v>
      </c>
      <c r="D2127" s="21" t="s">
        <v>972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1455</v>
      </c>
      <c r="B2128" s="21" t="s">
        <v>1175</v>
      </c>
      <c r="C2128" s="21" t="s">
        <v>976</v>
      </c>
      <c r="D2128" s="21" t="s">
        <v>972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1885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1135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94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1913</v>
      </c>
      <c r="B2132" s="21" t="s">
        <v>978</v>
      </c>
      <c r="C2132" s="21" t="s">
        <v>991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1005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1043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1013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141</v>
      </c>
      <c r="B2136" s="21" t="s">
        <v>995</v>
      </c>
      <c r="C2136" s="21" t="s">
        <v>1232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1914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1915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987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1916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979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/>
    </row>
    <row r="2143" spans="1:12">
      <c r="A2143" s="20" t="s">
        <v>1917</v>
      </c>
    </row>
    <row r="2144" spans="1:12">
      <c r="A2144" s="20" t="s">
        <v>1450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1014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400</v>
      </c>
      <c r="B2146" s="21" t="s">
        <v>975</v>
      </c>
      <c r="C2146" s="21" t="s">
        <v>971</v>
      </c>
      <c r="D2146" s="21" t="s">
        <v>972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1918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1013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149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1919</v>
      </c>
      <c r="B2150" s="21" t="s">
        <v>1101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985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1013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1014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1838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1920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1013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1921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1106</v>
      </c>
      <c r="B2158" s="21" t="s">
        <v>1087</v>
      </c>
      <c r="C2158" s="21" t="s">
        <v>971</v>
      </c>
      <c r="D2158" s="21" t="s">
        <v>972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1026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1922</v>
      </c>
      <c r="B2160" s="21" t="s">
        <v>978</v>
      </c>
      <c r="C2160" s="21" t="s">
        <v>991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1013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1923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1428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1924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1419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1925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979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/>
    </row>
    <row r="2169" spans="1:12">
      <c r="A2169" s="20" t="s">
        <v>1926</v>
      </c>
    </row>
    <row r="2170" spans="1:12">
      <c r="A2170" s="20" t="s">
        <v>1348</v>
      </c>
      <c r="B2170" s="21" t="s">
        <v>975</v>
      </c>
      <c r="C2170" s="21" t="s">
        <v>971</v>
      </c>
      <c r="D2170" s="21" t="s">
        <v>972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1927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1013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149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400</v>
      </c>
      <c r="B2174" s="21" t="s">
        <v>1101</v>
      </c>
      <c r="C2174" s="21" t="s">
        <v>971</v>
      </c>
      <c r="D2174" s="21" t="s">
        <v>972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1928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1013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1929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1112</v>
      </c>
      <c r="B2178" s="21" t="s">
        <v>1093</v>
      </c>
      <c r="C2178" s="21" t="s">
        <v>1012</v>
      </c>
      <c r="D2178" s="21" t="s">
        <v>972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1259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1162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1295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1013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1162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1930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1931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1915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979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/>
    </row>
    <row r="2189" spans="1:12">
      <c r="A2189" s="20" t="s">
        <v>1932</v>
      </c>
    </row>
    <row r="2190" spans="1:12">
      <c r="A2190" s="20" t="s">
        <v>993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1248</v>
      </c>
      <c r="B2191" s="21" t="s">
        <v>975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1483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1933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1934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1593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1188</v>
      </c>
      <c r="B2196" s="21" t="s">
        <v>1087</v>
      </c>
      <c r="C2196" s="21" t="s">
        <v>991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1013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1005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1935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1013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1266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1936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1937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1938</v>
      </c>
      <c r="B2204" s="21" t="s">
        <v>1055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979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/>
    </row>
    <row r="2207" spans="1:12">
      <c r="A2207" s="20" t="s">
        <v>1939</v>
      </c>
    </row>
    <row r="2208" spans="1:12">
      <c r="A2208" s="20" t="s">
        <v>1940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1013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1274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523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979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/>
    </row>
    <row r="2214" spans="1:12">
      <c r="A2214" s="20" t="s">
        <v>1941</v>
      </c>
    </row>
    <row r="2215" spans="1:12">
      <c r="A2215" s="20" t="s">
        <v>1854</v>
      </c>
      <c r="B2215" s="21" t="s">
        <v>975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1942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1943</v>
      </c>
      <c r="B2217" s="21" t="s">
        <v>970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1133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1944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1945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979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1133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1946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1947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1948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1222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1949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979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/>
    </row>
    <row r="2230" spans="1:12">
      <c r="A2230" s="20" t="s">
        <v>1950</v>
      </c>
    </row>
    <row r="2231" spans="1:12">
      <c r="A2231" s="20" t="s">
        <v>1951</v>
      </c>
      <c r="E2231" s="22">
        <f>IF(D2231="?OLD","!!!","")</f>
        <v/>
      </c>
      <c r="F2231" s="23" t="str">
        <f>IF(OR(E2231="",E2231="!!!"),"",IF(NOT(ISNA(VLOOKUP(E2231,E$1:E2230,1,FALSE()))),"OLD",IF(AND(E2231&lt;&gt;"",E2231&lt;&gt;"!!!"),"NEW","")))</f>
        <v> </v>
      </c>
      <c r="G2231" s="24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5" t="str">
        <f>IF(J2231&lt;&gt;1,"",IF(I2231="SBJ","CB","?"))</f>
        <v> </v>
      </c>
      <c r="I2231" s="26" t="str">
        <f>IF(OR(E2231="",E2231="!!!",F2231="NEW"),"",INDEX(B2230:B$2,-1+SUMPRODUCT(MAX(ROW(E2230:E$2)*(E2231=E2230:E$2)))))</f>
        <v> </v>
      </c>
      <c r="J2231" s="26" t="str">
        <f>IF(OR(E2231="",E2231="!!!",F2231="NEW"),"",COUNTBLANK(OFFSET(A$1,,,SUMPRODUCT(MAX(ROW(E$2:E2231)*(E2231=E$2:E2231)))))-COUNTBLANK(OFFSET(A$1,,,SUMPRODUCT(MAX(ROW(E$1:E2230)*(E2=E$1:E2230))))))</f>
        <v> </v>
      </c>
      <c r="K2231" s="26" t="str">
        <f>IF(OR(E2231="",E2231="!!!",F2231="NEW"),"",INDEX(J$1:J2230,SUMPRODUCT(MAX(ROW(E$1:E2230)*(E2231=E$1:E2230)))))</f>
        <v> </v>
      </c>
      <c r="L2231" s="27"/>
    </row>
    <row r="2232" spans="1:12">
      <c r="A2232" s="20" t="s">
        <v>1113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1952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1013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1462</v>
      </c>
      <c r="B2235" s="21" t="s">
        <v>1101</v>
      </c>
      <c r="C2235" s="21" t="s">
        <v>1232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1953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1954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1112</v>
      </c>
      <c r="B2238" s="21" t="s">
        <v>1003</v>
      </c>
      <c r="C2238" s="21" t="s">
        <v>1012</v>
      </c>
      <c r="D2238" s="21" t="s">
        <v>972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987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1955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979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/>
    </row>
    <row r="2243" spans="1:12">
      <c r="A2243" s="20" t="s">
        <v>1956</v>
      </c>
    </row>
    <row r="2244" spans="1:12">
      <c r="A2244" s="20" t="s">
        <v>1509</v>
      </c>
      <c r="B2244" s="21" t="s">
        <v>975</v>
      </c>
      <c r="C2244" s="21" t="s">
        <v>971</v>
      </c>
      <c r="D2244" s="21" t="s">
        <v>972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1013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1957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1013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1910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1013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149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1958</v>
      </c>
      <c r="B2251" s="21" t="s">
        <v>1101</v>
      </c>
      <c r="C2251" s="21" t="s">
        <v>976</v>
      </c>
      <c r="D2251" s="21" t="s">
        <v>972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999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 t="s">
        <v>1959</v>
      </c>
      <c r="E2253" s="22">
        <f>IF(D2253="?OLD","!!!","")</f>
        <v/>
      </c>
      <c r="F2253" s="23" t="str">
        <f>IF(OR(E2253="",E2253="!!!"),"",IF(NOT(ISNA(VLOOKUP(E2253,E$1:E2252,1,FALSE()))),"OLD",IF(AND(E2253&lt;&gt;"",E2253&lt;&gt;"!!!"),"NEW","")))</f>
        <v> </v>
      </c>
      <c r="G2253" s="24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5" t="str">
        <f>IF(J2253&lt;&gt;1,"",IF(I2253="SBJ","CB","?"))</f>
        <v> </v>
      </c>
      <c r="I2253" s="26" t="str">
        <f>IF(OR(E2253="",E2253="!!!",F2253="NEW"),"",INDEX(B2252:B$2,-1+SUMPRODUCT(MAX(ROW(E2252:E$2)*(E2253=E2252:E$2)))))</f>
        <v> </v>
      </c>
      <c r="J2253" s="26" t="str">
        <f>IF(OR(E2253="",E2253="!!!",F2253="NEW"),"",COUNTBLANK(OFFSET(A$1,,,SUMPRODUCT(MAX(ROW(E$2:E2253)*(E2253=E$2:E2253)))))-COUNTBLANK(OFFSET(A$1,,,SUMPRODUCT(MAX(ROW(E$1:E2252)*(E2=E$1:E2252))))))</f>
        <v> </v>
      </c>
      <c r="K2253" s="26" t="str">
        <f>IF(OR(E2253="",E2253="!!!",F2253="NEW"),"",INDEX(J$1:J2252,SUMPRODUCT(MAX(ROW(E$1:E2252)*(E2253=E$1:E2252)))))</f>
        <v> </v>
      </c>
      <c r="L2253" s="27"/>
    </row>
    <row r="2254" spans="1:12">
      <c r="A2254" s="20" t="s">
        <v>1960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538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1005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1068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979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/>
    </row>
    <row r="2260" spans="1:12">
      <c r="A2260" s="20" t="s">
        <v>1961</v>
      </c>
    </row>
    <row r="2261" spans="1:12">
      <c r="A2261" s="20" t="s">
        <v>1962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1135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1963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538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1005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1068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1013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1964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1965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1966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1967</v>
      </c>
      <c r="B2271" s="21" t="s">
        <v>978</v>
      </c>
      <c r="C2271" s="21" t="s">
        <v>991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999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1112</v>
      </c>
      <c r="B2273" s="21" t="s">
        <v>1115</v>
      </c>
      <c r="C2273" s="21" t="s">
        <v>1012</v>
      </c>
      <c r="D2273" s="21" t="s">
        <v>972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1958</v>
      </c>
      <c r="B2274" s="21" t="s">
        <v>1011</v>
      </c>
      <c r="C2274" s="21" t="s">
        <v>976</v>
      </c>
      <c r="D2274" s="21" t="s">
        <v>972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1135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1968</v>
      </c>
      <c r="B2276" s="21" t="s">
        <v>1175</v>
      </c>
      <c r="C2276" s="21" t="s">
        <v>976</v>
      </c>
      <c r="D2276" s="21" t="s">
        <v>972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1455</v>
      </c>
      <c r="B2277" s="21" t="s">
        <v>1099</v>
      </c>
      <c r="C2277" s="21" t="s">
        <v>976</v>
      </c>
      <c r="D2277" s="21" t="s">
        <v>972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979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/>
    </row>
    <row r="2280" spans="1:12">
      <c r="A2280" s="20" t="s">
        <v>1969</v>
      </c>
    </row>
    <row r="2281" spans="1:12">
      <c r="A2281" s="20" t="s">
        <v>1970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1283</v>
      </c>
      <c r="B2282" s="21" t="s">
        <v>975</v>
      </c>
      <c r="C2282" s="21" t="s">
        <v>991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1027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1971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1972</v>
      </c>
      <c r="B2285" s="21" t="s">
        <v>970</v>
      </c>
      <c r="C2285" s="21" t="s">
        <v>971</v>
      </c>
      <c r="D2285" s="21" t="s">
        <v>972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1973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979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/>
    </row>
    <row r="2289" spans="1:12">
      <c r="A2289" s="20" t="s">
        <v>1974</v>
      </c>
    </row>
    <row r="2290" spans="1:12">
      <c r="A2290" s="20" t="s">
        <v>1502</v>
      </c>
      <c r="B2290" s="21" t="s">
        <v>975</v>
      </c>
      <c r="C2290" s="21" t="s">
        <v>971</v>
      </c>
      <c r="D2290" s="21" t="s">
        <v>972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1975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1026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1976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1550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1476</v>
      </c>
      <c r="B2295" s="21" t="s">
        <v>978</v>
      </c>
      <c r="C2295" s="21" t="s">
        <v>976</v>
      </c>
      <c r="D2295" s="21" t="s">
        <v>972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1455</v>
      </c>
      <c r="B2296" s="21" t="s">
        <v>1011</v>
      </c>
      <c r="C2296" s="21" t="s">
        <v>976</v>
      </c>
      <c r="D2296" s="21" t="s">
        <v>972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1005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1977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1013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1342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1550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1384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46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1978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1005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1384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1979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1005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1068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979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/>
    </row>
    <row r="2312" spans="1:12">
      <c r="A2312" s="20" t="s">
        <v>1980</v>
      </c>
    </row>
    <row r="2313" spans="1:12">
      <c r="A2313" s="20" t="s">
        <v>1502</v>
      </c>
      <c r="B2313" s="21" t="s">
        <v>975</v>
      </c>
      <c r="C2313" s="21" t="s">
        <v>971</v>
      </c>
      <c r="D2313" s="21" t="s">
        <v>972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1981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1464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1982</v>
      </c>
      <c r="B2316" s="21" t="s">
        <v>970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979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/>
    </row>
    <row r="2319" spans="1:12">
      <c r="A2319" s="20" t="s">
        <v>1983</v>
      </c>
    </row>
    <row r="2320" spans="1:12">
      <c r="A2320" s="20" t="s">
        <v>1502</v>
      </c>
      <c r="B2320" s="21" t="s">
        <v>975</v>
      </c>
      <c r="C2320" s="21" t="s">
        <v>971</v>
      </c>
      <c r="D2320" s="21" t="s">
        <v>972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1981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1984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1772</v>
      </c>
      <c r="B2323" s="21" t="s">
        <v>970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1985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1947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1550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1476</v>
      </c>
      <c r="B2327" s="21" t="s">
        <v>1011</v>
      </c>
      <c r="C2327" s="21" t="s">
        <v>976</v>
      </c>
      <c r="D2327" s="21" t="s">
        <v>972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1455</v>
      </c>
      <c r="B2328" s="21" t="s">
        <v>1175</v>
      </c>
      <c r="C2328" s="21" t="s">
        <v>976</v>
      </c>
      <c r="D2328" s="21" t="s">
        <v>972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979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/>
    </row>
    <row r="2331" spans="1:12">
      <c r="A2331" s="20" t="s">
        <v>1986</v>
      </c>
    </row>
    <row r="2332" spans="1:12">
      <c r="A2332" s="20" t="s">
        <v>1627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1013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1112</v>
      </c>
      <c r="B2334" s="21" t="s">
        <v>975</v>
      </c>
      <c r="C2334" s="21" t="s">
        <v>1012</v>
      </c>
      <c r="D2334" s="21" t="s">
        <v>972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1623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1833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1987</v>
      </c>
      <c r="B2337" s="21" t="s">
        <v>995</v>
      </c>
      <c r="C2337" s="21" t="s">
        <v>991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1013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1462</v>
      </c>
      <c r="B2339" s="21" t="s">
        <v>1101</v>
      </c>
      <c r="C2339" s="21" t="s">
        <v>1232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1988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1133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1989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979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/>
    </row>
    <row r="2345" spans="1:12">
      <c r="A2345" s="20" t="s">
        <v>1990</v>
      </c>
    </row>
    <row r="2346" spans="1:12">
      <c r="A2346" s="20" t="s">
        <v>1854</v>
      </c>
      <c r="B2346" s="21" t="s">
        <v>975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999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1112</v>
      </c>
      <c r="B2348" s="21" t="s">
        <v>995</v>
      </c>
      <c r="C2348" s="21" t="s">
        <v>1012</v>
      </c>
      <c r="D2348" s="21" t="s">
        <v>972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1991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1992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1993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979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/>
    </row>
    <row r="2354" spans="1:12">
      <c r="A2354" s="20" t="s">
        <v>1994</v>
      </c>
    </row>
    <row r="2355" spans="1:12">
      <c r="A2355" s="20" t="s">
        <v>1155</v>
      </c>
      <c r="B2355" s="21" t="s">
        <v>975</v>
      </c>
      <c r="C2355" s="21" t="s">
        <v>1012</v>
      </c>
      <c r="D2355" s="21" t="s">
        <v>972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1753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1013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1462</v>
      </c>
      <c r="B2358" s="21" t="s">
        <v>1101</v>
      </c>
      <c r="C2358" s="21" t="s">
        <v>1232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1855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1013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 t="s">
        <v>149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1189</v>
      </c>
      <c r="B2362" s="21" t="s">
        <v>1093</v>
      </c>
      <c r="C2362" s="21" t="s">
        <v>971</v>
      </c>
      <c r="D2362" s="21" t="s">
        <v>972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1005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1995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1049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1996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412</v>
      </c>
      <c r="B2367" s="21" t="s">
        <v>1055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979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/>
    </row>
    <row r="2370" spans="1:12">
      <c r="A2370" s="20" t="s">
        <v>1997</v>
      </c>
    </row>
    <row r="2371" spans="1:12">
      <c r="A2371" s="20" t="s">
        <v>993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188</v>
      </c>
      <c r="B2372" s="21" t="s">
        <v>975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1690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1998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1005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1551</v>
      </c>
      <c r="B2376" s="21" t="s">
        <v>995</v>
      </c>
      <c r="C2376" s="21" t="s">
        <v>1012</v>
      </c>
      <c r="D2376" s="21" t="s">
        <v>972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1013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149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1189</v>
      </c>
      <c r="B2379" s="21" t="s">
        <v>1101</v>
      </c>
      <c r="C2379" s="21" t="s">
        <v>971</v>
      </c>
      <c r="D2379" s="21" t="s">
        <v>972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1855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149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1271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1996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1999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412</v>
      </c>
      <c r="B2385" s="21" t="s">
        <v>1055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1013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1491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1195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2000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979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/>
    </row>
    <row r="2392" spans="1:12">
      <c r="A2392" s="20" t="s">
        <v>2001</v>
      </c>
    </row>
    <row r="2393" spans="1:12">
      <c r="A2393" s="20" t="s">
        <v>1155</v>
      </c>
      <c r="B2393" s="21" t="s">
        <v>975</v>
      </c>
      <c r="C2393" s="21" t="s">
        <v>1012</v>
      </c>
      <c r="D2393" s="21" t="s">
        <v>972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1694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2002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188</v>
      </c>
      <c r="B2396" s="21" t="s">
        <v>995</v>
      </c>
      <c r="C2396" s="21" t="s">
        <v>1100</v>
      </c>
      <c r="D2396" s="21" t="s">
        <v>972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1013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1505</v>
      </c>
      <c r="B2398" s="21" t="s">
        <v>1003</v>
      </c>
      <c r="C2398" s="21" t="s">
        <v>1232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1090</v>
      </c>
      <c r="B2399" s="21" t="s">
        <v>1101</v>
      </c>
      <c r="C2399" s="21" t="s">
        <v>971</v>
      </c>
      <c r="D2399" s="21" t="s">
        <v>972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2003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1082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979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/>
    </row>
    <row r="2404" spans="1:12">
      <c r="A2404" s="20" t="s">
        <v>2004</v>
      </c>
    </row>
    <row r="2405" spans="1:12">
      <c r="A2405" s="20" t="s">
        <v>2005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589</v>
      </c>
      <c r="B2406" s="21" t="s">
        <v>975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1135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1172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2006</v>
      </c>
      <c r="B2409" s="21" t="s">
        <v>1011</v>
      </c>
      <c r="C2409" s="21" t="s">
        <v>976</v>
      </c>
      <c r="D2409" s="21" t="s">
        <v>972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2007</v>
      </c>
      <c r="B2410" s="21" t="s">
        <v>1175</v>
      </c>
      <c r="C2410" s="21" t="s">
        <v>976</v>
      </c>
      <c r="D2410" s="21" t="s">
        <v>972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979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/>
    </row>
    <row r="2413" spans="1:12">
      <c r="A2413" s="20" t="s">
        <v>2008</v>
      </c>
    </row>
    <row r="2414" spans="1:12">
      <c r="A2414" s="20" t="s">
        <v>2009</v>
      </c>
      <c r="B2414" s="21" t="s">
        <v>978</v>
      </c>
      <c r="C2414" s="21" t="s">
        <v>996</v>
      </c>
      <c r="D2414" s="21" t="s">
        <v>972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2010</v>
      </c>
      <c r="B2415" s="21" t="s">
        <v>975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2011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979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/>
    </row>
    <row r="2419" spans="1:12">
      <c r="A2419" s="20" t="s">
        <v>2012</v>
      </c>
    </row>
    <row r="2420" spans="1:12">
      <c r="A2420" s="20" t="s">
        <v>1177</v>
      </c>
      <c r="B2420" s="21" t="s">
        <v>975</v>
      </c>
      <c r="C2420" s="21" t="s">
        <v>971</v>
      </c>
      <c r="D2420" s="21" t="s">
        <v>972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2013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2014</v>
      </c>
      <c r="B2422" s="21" t="s">
        <v>970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1013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1462</v>
      </c>
      <c r="B2424" s="21" t="s">
        <v>1093</v>
      </c>
      <c r="C2424" s="21" t="s">
        <v>1232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2015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1027</v>
      </c>
      <c r="B2426" s="21" t="s">
        <v>1003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 t="s">
        <v>2016</v>
      </c>
      <c r="E2427" s="22">
        <f>IF(D2427="?OLD","!!!","")</f>
        <v/>
      </c>
      <c r="F2427" s="23" t="str">
        <f>IF(OR(E2427="",E2427="!!!"),"",IF(NOT(ISNA(VLOOKUP(E2427,E$1:E2426,1,FALSE()))),"OLD",IF(AND(E2427&lt;&gt;"",E2427&lt;&gt;"!!!"),"NEW","")))</f>
        <v> </v>
      </c>
      <c r="G2427" s="24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5" t="str">
        <f>IF(J2427&lt;&gt;1,"",IF(I2427="SBJ","CB","?"))</f>
        <v> </v>
      </c>
      <c r="I2427" s="26" t="str">
        <f>IF(OR(E2427="",E2427="!!!",F2427="NEW"),"",INDEX(B2426:B$2,-1+SUMPRODUCT(MAX(ROW(E2426:E$2)*(E2427=E2426:E$2)))))</f>
        <v> </v>
      </c>
      <c r="J2427" s="26" t="str">
        <f>IF(OR(E2427="",E2427="!!!",F2427="NEW"),"",COUNTBLANK(OFFSET(A$1,,,SUMPRODUCT(MAX(ROW(E$2:E2427)*(E2427=E$2:E2427)))))-COUNTBLANK(OFFSET(A$1,,,SUMPRODUCT(MAX(ROW(E$1:E2426)*(E2=E$1:E2426))))))</f>
        <v> </v>
      </c>
      <c r="K2427" s="26" t="str">
        <f>IF(OR(E2427="",E2427="!!!",F2427="NEW"),"",INDEX(J$1:J2426,SUMPRODUCT(MAX(ROW(E$1:E2426)*(E2427=E$1:E2426)))))</f>
        <v> </v>
      </c>
      <c r="L2427" s="27"/>
    </row>
    <row r="2428" spans="1:12">
      <c r="A2428" s="20" t="s">
        <v>1390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1033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1013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1801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1222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2017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1005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2018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1596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979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/>
    </row>
    <row r="2439" spans="1:12">
      <c r="A2439" s="20" t="s">
        <v>2019</v>
      </c>
    </row>
    <row r="2440" spans="1:12">
      <c r="A2440" s="20" t="s">
        <v>1177</v>
      </c>
      <c r="B2440" s="21" t="s">
        <v>975</v>
      </c>
      <c r="C2440" s="21" t="s">
        <v>971</v>
      </c>
      <c r="D2440" s="21" t="s">
        <v>972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2020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1023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2021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2022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2023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2024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1005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2018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1596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1222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816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1056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979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/>
    </row>
    <row r="2455" spans="1:12">
      <c r="A2455" s="20" t="s">
        <v>2025</v>
      </c>
    </row>
    <row r="2456" spans="1:12">
      <c r="A2456" s="20" t="s">
        <v>1177</v>
      </c>
      <c r="B2456" s="21" t="s">
        <v>975</v>
      </c>
      <c r="C2456" s="21" t="s">
        <v>971</v>
      </c>
      <c r="D2456" s="21" t="s">
        <v>972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589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1013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2026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2027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979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/>
    </row>
    <row r="2463" spans="1:12">
      <c r="A2463" s="20" t="s">
        <v>2028</v>
      </c>
    </row>
    <row r="2464" spans="1:12">
      <c r="A2464" s="20" t="s">
        <v>993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 t="s">
        <v>2029</v>
      </c>
      <c r="B2465" s="21" t="s">
        <v>975</v>
      </c>
      <c r="C2465" s="21" t="s">
        <v>971</v>
      </c>
      <c r="D2465" s="21" t="s">
        <v>972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2020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979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979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979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/>
    </row>
    <row r="2471" spans="1:12">
      <c r="A2471" s="20" t="s">
        <v>2030</v>
      </c>
    </row>
    <row r="2472" spans="1:12">
      <c r="A2472" s="20" t="s">
        <v>1144</v>
      </c>
      <c r="E2472" s="22">
        <f>IF(D2472="?OLD","!!!","")</f>
        <v/>
      </c>
      <c r="F2472" s="23" t="str">
        <f>IF(OR(E2472="",E2472="!!!"),"",IF(NOT(ISNA(VLOOKUP(E2472,E$1:E2471,1,FALSE()))),"OLD",IF(AND(E2472&lt;&gt;"",E2472&lt;&gt;"!!!"),"NEW","")))</f>
        <v> </v>
      </c>
      <c r="G2472" s="24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5" t="str">
        <f>IF(J2472&lt;&gt;1,"",IF(I2472="SBJ","CB","?"))</f>
        <v> </v>
      </c>
      <c r="I2472" s="26" t="str">
        <f>IF(OR(E2472="",E2472="!!!",F2472="NEW"),"",INDEX(B2471:B$2,-1+SUMPRODUCT(MAX(ROW(E2471:E$2)*(E2472=E2471:E$2)))))</f>
        <v> </v>
      </c>
      <c r="J2472" s="26" t="str">
        <f>IF(OR(E2472="",E2472="!!!",F2472="NEW"),"",COUNTBLANK(OFFSET(A$1,,,SUMPRODUCT(MAX(ROW(E$2:E2472)*(E2472=E$2:E2472)))))-COUNTBLANK(OFFSET(A$1,,,SUMPRODUCT(MAX(ROW(E$1:E2471)*(E2=E$1:E2471))))))</f>
        <v> </v>
      </c>
      <c r="K2472" s="26" t="str">
        <f>IF(OR(E2472="",E2472="!!!",F2472="NEW"),"",INDEX(J$1:J2471,SUMPRODUCT(MAX(ROW(E$1:E2471)*(E2472=E$1:E2471)))))</f>
        <v> </v>
      </c>
      <c r="L2472" s="27"/>
    </row>
    <row r="2473" spans="1:12">
      <c r="A2473" s="20" t="s">
        <v>1145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1146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1155</v>
      </c>
      <c r="B2475" s="21" t="s">
        <v>975</v>
      </c>
      <c r="C2475" s="21" t="s">
        <v>1012</v>
      </c>
      <c r="D2475" s="21" t="s">
        <v>972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1195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293</v>
      </c>
      <c r="B2477" s="21" t="s">
        <v>995</v>
      </c>
      <c r="C2477" s="21" t="s">
        <v>1012</v>
      </c>
      <c r="D2477" s="21" t="s">
        <v>972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149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1090</v>
      </c>
      <c r="B2479" s="21" t="s">
        <v>1101</v>
      </c>
      <c r="C2479" s="21" t="s">
        <v>971</v>
      </c>
      <c r="D2479" s="21" t="s">
        <v>972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999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16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982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1013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1090</v>
      </c>
      <c r="B2484" s="21" t="s">
        <v>978</v>
      </c>
      <c r="C2484" s="21" t="s">
        <v>971</v>
      </c>
      <c r="D2484" s="21" t="s">
        <v>972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999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2031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979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/>
    </row>
    <row r="2489" spans="1:12">
      <c r="A2489" s="20" t="s">
        <v>2032</v>
      </c>
    </row>
    <row r="2490" spans="1:12">
      <c r="A2490" s="20" t="s">
        <v>2033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2029</v>
      </c>
      <c r="B2491" s="21" t="s">
        <v>975</v>
      </c>
      <c r="C2491" s="21" t="s">
        <v>971</v>
      </c>
      <c r="D2491" s="21" t="s">
        <v>972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2020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1013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149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1005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1207</v>
      </c>
      <c r="B2496" s="21" t="s">
        <v>978</v>
      </c>
      <c r="C2496" s="21" t="s">
        <v>1012</v>
      </c>
      <c r="D2496" s="21" t="s">
        <v>972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668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2034</v>
      </c>
      <c r="B2498" s="21" t="s">
        <v>1101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1013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 t="s">
        <v>2035</v>
      </c>
      <c r="E2500" s="22">
        <f>IF(D2500="?OLD","!!!","")</f>
        <v/>
      </c>
      <c r="F2500" s="23" t="str">
        <f>IF(OR(E2500="",E2500="!!!"),"",IF(NOT(ISNA(VLOOKUP(E2500,E$1:E2499,1,FALSE()))),"OLD",IF(AND(E2500&lt;&gt;"",E2500&lt;&gt;"!!!"),"NEW","")))</f>
        <v> </v>
      </c>
      <c r="G2500" s="24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5" t="str">
        <f>IF(J2500&lt;&gt;1,"",IF(I2500="SBJ","CB","?"))</f>
        <v> </v>
      </c>
      <c r="I2500" s="26" t="str">
        <f>IF(OR(E2500="",E2500="!!!",F2500="NEW"),"",INDEX(B2499:B$2,-1+SUMPRODUCT(MAX(ROW(E2499:E$2)*(E2500=E2499:E$2)))))</f>
        <v> </v>
      </c>
      <c r="J2500" s="26" t="str">
        <f>IF(OR(E2500="",E2500="!!!",F2500="NEW"),"",COUNTBLANK(OFFSET(A$1,,,SUMPRODUCT(MAX(ROW(E$2:E2500)*(E2500=E$2:E2500)))))-COUNTBLANK(OFFSET(A$1,,,SUMPRODUCT(MAX(ROW(E$1:E2499)*(E2=E$1:E2499))))))</f>
        <v> </v>
      </c>
      <c r="K2500" s="26" t="str">
        <f>IF(OR(E2500="",E2500="!!!",F2500="NEW"),"",INDEX(J$1:J2499,SUMPRODUCT(MAX(ROW(E$1:E2499)*(E2500=E$1:E2499)))))</f>
        <v> </v>
      </c>
      <c r="L2500" s="27"/>
    </row>
    <row r="2501" spans="1:12">
      <c r="A2501" s="20" t="s">
        <v>1248</v>
      </c>
      <c r="B2501" s="21" t="s">
        <v>1093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1049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2036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1363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1005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1468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1365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 t="s">
        <v>1013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 t="s">
        <v>1342</v>
      </c>
      <c r="B2509" s="21" t="s">
        <v>1175</v>
      </c>
      <c r="C2509" s="21" t="s">
        <v>1516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1049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1005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1006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1007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1013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1502</v>
      </c>
      <c r="B2515" s="21" t="s">
        <v>1339</v>
      </c>
      <c r="C2515" s="21" t="s">
        <v>971</v>
      </c>
      <c r="D2515" s="21" t="s">
        <v>972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1049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2037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2038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2039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1902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1571</v>
      </c>
      <c r="B2521" s="21" t="s">
        <v>1030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1005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1015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1013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 t="s">
        <v>1923</v>
      </c>
      <c r="E2525" s="22">
        <f>IF(D2525="?OLD","!!!","")</f>
        <v/>
      </c>
      <c r="F2525" s="23" t="str">
        <f>IF(OR(E2525="",E2525="!!!"),"",IF(NOT(ISNA(VLOOKUP(E2525,E$1:E2524,1,FALSE()))),"OLD",IF(AND(E2525&lt;&gt;"",E2525&lt;&gt;"!!!"),"NEW","")))</f>
        <v> </v>
      </c>
      <c r="G2525" s="24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5" t="str">
        <f>IF(J2525&lt;&gt;1,"",IF(I2525="SBJ","CB","?"))</f>
        <v> </v>
      </c>
      <c r="I2525" s="26" t="str">
        <f>IF(OR(E2525="",E2525="!!!",F2525="NEW"),"",INDEX(B2524:B$2,-1+SUMPRODUCT(MAX(ROW(E2524:E$2)*(E2525=E2524:E$2)))))</f>
        <v> </v>
      </c>
      <c r="J2525" s="26" t="str">
        <f>IF(OR(E2525="",E2525="!!!",F2525="NEW"),"",COUNTBLANK(OFFSET(A$1,,,SUMPRODUCT(MAX(ROW(E$2:E2525)*(E2525=E$2:E2525)))))-COUNTBLANK(OFFSET(A$1,,,SUMPRODUCT(MAX(ROW(E$1:E2524)*(E2=E$1:E2524))))))</f>
        <v> </v>
      </c>
      <c r="K2525" s="26" t="str">
        <f>IF(OR(E2525="",E2525="!!!",F2525="NEW"),"",INDEX(J$1:J2524,SUMPRODUCT(MAX(ROW(E$1:E2524)*(E2525=E$1:E2524)))))</f>
        <v> </v>
      </c>
      <c r="L2525" s="27"/>
    </row>
    <row r="2526" spans="1:12">
      <c r="A2526" s="20" t="s">
        <v>1005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 t="s">
        <v>1006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1007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 t="s">
        <v>979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/>
    </row>
    <row r="2531" spans="1:12">
      <c r="A2531" s="20" t="s">
        <v>2040</v>
      </c>
    </row>
    <row r="2532" spans="1:12">
      <c r="A2532" s="20" t="s">
        <v>1502</v>
      </c>
      <c r="B2532" s="21" t="s">
        <v>975</v>
      </c>
      <c r="C2532" s="21" t="s">
        <v>971</v>
      </c>
      <c r="D2532" s="21" t="s">
        <v>972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1936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2041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1559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495</v>
      </c>
      <c r="B2536" s="21" t="s">
        <v>970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1222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2042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1381</v>
      </c>
      <c r="B2539" s="21" t="s">
        <v>1087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2038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2043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1005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1341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1013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1342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1005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1006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1007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979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/>
    </row>
    <row r="2551" spans="1:12">
      <c r="A2551" s="20" t="s">
        <v>2044</v>
      </c>
    </row>
    <row r="2552" spans="1:12">
      <c r="A2552" s="20" t="s">
        <v>1177</v>
      </c>
      <c r="B2552" s="21" t="s">
        <v>975</v>
      </c>
      <c r="C2552" s="21" t="s">
        <v>971</v>
      </c>
      <c r="D2552" s="21" t="s">
        <v>972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2020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1013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149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987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370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1162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1187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2045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2046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1032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1026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 t="s">
        <v>1033</v>
      </c>
      <c r="B2564" s="21" t="s">
        <v>1011</v>
      </c>
      <c r="C2564" s="21" t="s">
        <v>991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1005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 t="s">
        <v>2047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1068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1013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1342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1005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1067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979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/>
    </row>
    <row r="2574" spans="1:12">
      <c r="A2574" s="20" t="s">
        <v>2048</v>
      </c>
    </row>
    <row r="2575" spans="1:12">
      <c r="A2575" s="20" t="s">
        <v>993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1090</v>
      </c>
      <c r="B2576" s="21" t="s">
        <v>975</v>
      </c>
      <c r="C2576" s="21" t="s">
        <v>971</v>
      </c>
      <c r="D2576" s="21" t="s">
        <v>972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2049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1013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149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1260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1112</v>
      </c>
      <c r="B2581" s="21" t="s">
        <v>1101</v>
      </c>
      <c r="C2581" s="21" t="s">
        <v>1012</v>
      </c>
      <c r="D2581" s="21" t="s">
        <v>972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2050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979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/>
    </row>
    <row r="2585" spans="1:12">
      <c r="A2585" s="20" t="s">
        <v>2051</v>
      </c>
    </row>
    <row r="2586" spans="1:12">
      <c r="A2586" s="20" t="s">
        <v>1070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2052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2053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 t="s">
        <v>2054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1013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149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1112</v>
      </c>
      <c r="B2592" s="21" t="s">
        <v>1101</v>
      </c>
      <c r="C2592" s="21" t="s">
        <v>1012</v>
      </c>
      <c r="D2592" s="21" t="s">
        <v>972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 t="s">
        <v>1195</v>
      </c>
      <c r="E2593" s="22">
        <f>IF(D2593="?OLD","!!!","")</f>
        <v/>
      </c>
      <c r="F2593" s="23" t="str">
        <f>IF(OR(E2593="",E2593="!!!"),"",IF(NOT(ISNA(VLOOKUP(E2593,E$1:E2592,1,FALSE()))),"OLD",IF(AND(E2593&lt;&gt;"",E2593&lt;&gt;"!!!"),"NEW","")))</f>
        <v> </v>
      </c>
      <c r="G2593" s="24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5" t="str">
        <f>IF(J2593&lt;&gt;1,"",IF(I2593="SBJ","CB","?"))</f>
        <v> </v>
      </c>
      <c r="I2593" s="26" t="str">
        <f>IF(OR(E2593="",E2593="!!!",F2593="NEW"),"",INDEX(B2592:B$2,-1+SUMPRODUCT(MAX(ROW(E2592:E$2)*(E2593=E2592:E$2)))))</f>
        <v> </v>
      </c>
      <c r="J2593" s="26" t="str">
        <f>IF(OR(E2593="",E2593="!!!",F2593="NEW"),"",COUNTBLANK(OFFSET(A$1,,,SUMPRODUCT(MAX(ROW(E$2:E2593)*(E2593=E$2:E2593)))))-COUNTBLANK(OFFSET(A$1,,,SUMPRODUCT(MAX(ROW(E$1:E2592)*(E2=E$1:E2592))))))</f>
        <v> </v>
      </c>
      <c r="K2593" s="26" t="str">
        <f>IF(OR(E2593="",E2593="!!!",F2593="NEW"),"",INDEX(J$1:J2592,SUMPRODUCT(MAX(ROW(E$1:E2592)*(E2593=E$1:E2592)))))</f>
        <v> </v>
      </c>
      <c r="L2593" s="27"/>
    </row>
    <row r="2594" spans="1:12">
      <c r="A2594" s="20" t="s">
        <v>2055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 t="s">
        <v>2056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979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/>
    </row>
    <row r="2598" spans="1:12">
      <c r="A2598" s="20" t="s">
        <v>2057</v>
      </c>
    </row>
    <row r="2599" spans="1:12">
      <c r="A2599" s="20" t="s">
        <v>2058</v>
      </c>
      <c r="B2599" s="21" t="s">
        <v>970</v>
      </c>
      <c r="C2599" s="21" t="s">
        <v>971</v>
      </c>
      <c r="D2599" s="21" t="s">
        <v>972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1131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 t="s">
        <v>446</v>
      </c>
      <c r="E2601" s="22">
        <f>IF(D2601="?OLD","!!!","")</f>
        <v/>
      </c>
      <c r="F2601" s="23" t="str">
        <f>IF(OR(E2601="",E2601="!!!"),"",IF(NOT(ISNA(VLOOKUP(E2601,E$1:E2600,1,FALSE()))),"OLD",IF(AND(E2601&lt;&gt;"",E2601&lt;&gt;"!!!"),"NEW","")))</f>
        <v> </v>
      </c>
      <c r="G2601" s="24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5" t="str">
        <f>IF(J2601&lt;&gt;1,"",IF(I2601="SBJ","CB","?"))</f>
        <v> </v>
      </c>
      <c r="I2601" s="26" t="str">
        <f>IF(OR(E2601="",E2601="!!!",F2601="NEW"),"",INDEX(B2600:B$2,-1+SUMPRODUCT(MAX(ROW(E2600:E$2)*(E2601=E2600:E$2)))))</f>
        <v> </v>
      </c>
      <c r="J2601" s="26" t="str">
        <f>IF(OR(E2601="",E2601="!!!",F2601="NEW"),"",COUNTBLANK(OFFSET(A$1,,,SUMPRODUCT(MAX(ROW(E$2:E2601)*(E2601=E$2:E2601)))))-COUNTBLANK(OFFSET(A$1,,,SUMPRODUCT(MAX(ROW(E$1:E2600)*(E2=E$1:E2600))))))</f>
        <v> </v>
      </c>
      <c r="K2601" s="26" t="str">
        <f>IF(OR(E2601="",E2601="!!!",F2601="NEW"),"",INDEX(J$1:J2600,SUMPRODUCT(MAX(ROW(E$1:E2600)*(E2601=E$1:E2600)))))</f>
        <v> </v>
      </c>
      <c r="L2601" s="27"/>
    </row>
    <row r="2602" spans="1:12">
      <c r="A2602" s="20" t="s">
        <v>2059</v>
      </c>
      <c r="E2602" s="22">
        <f>IF(D2602="?OLD","!!!","")</f>
        <v/>
      </c>
      <c r="F2602" s="23" t="str">
        <f>IF(OR(E2602="",E2602="!!!"),"",IF(NOT(ISNA(VLOOKUP(E2602,E$1:E2601,1,FALSE()))),"OLD",IF(AND(E2602&lt;&gt;"",E2602&lt;&gt;"!!!"),"NEW","")))</f>
        <v> </v>
      </c>
      <c r="G2602" s="24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5" t="str">
        <f>IF(J2602&lt;&gt;1,"",IF(I2602="SBJ","CB","?"))</f>
        <v> </v>
      </c>
      <c r="I2602" s="26" t="str">
        <f>IF(OR(E2602="",E2602="!!!",F2602="NEW"),"",INDEX(B2601:B$2,-1+SUMPRODUCT(MAX(ROW(E2601:E$2)*(E2602=E2601:E$2)))))</f>
        <v> </v>
      </c>
      <c r="J2602" s="26" t="str">
        <f>IF(OR(E2602="",E2602="!!!",F2602="NEW"),"",COUNTBLANK(OFFSET(A$1,,,SUMPRODUCT(MAX(ROW(E$2:E2602)*(E2602=E$2:E2602)))))-COUNTBLANK(OFFSET(A$1,,,SUMPRODUCT(MAX(ROW(E$1:E2601)*(E2=E$1:E2601))))))</f>
        <v> </v>
      </c>
      <c r="K2602" s="26" t="str">
        <f>IF(OR(E2602="",E2602="!!!",F2602="NEW"),"",INDEX(J$1:J2601,SUMPRODUCT(MAX(ROW(E$1:E2601)*(E2602=E$1:E2601)))))</f>
        <v> </v>
      </c>
      <c r="L2602" s="27"/>
    </row>
    <row r="2603" spans="1:12">
      <c r="A2603" s="20" t="s">
        <v>2000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 t="s">
        <v>412</v>
      </c>
      <c r="B2604" s="21" t="s">
        <v>1003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1013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2060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1054</v>
      </c>
      <c r="B2607" s="21" t="s">
        <v>1055</v>
      </c>
      <c r="C2607" s="21" t="s">
        <v>971</v>
      </c>
      <c r="D2607" s="21" t="s">
        <v>972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1133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2061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979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/>
    </row>
    <row r="2612" spans="1:12">
      <c r="A2612" s="20" t="s">
        <v>2062</v>
      </c>
    </row>
    <row r="2613" spans="1:12">
      <c r="A2613" s="20" t="s">
        <v>1627</v>
      </c>
      <c r="E2613" s="22">
        <f>IF(D2613="?OLD","!!!","")</f>
        <v/>
      </c>
      <c r="F2613" s="23" t="str">
        <f>IF(OR(E2613="",E2613="!!!"),"",IF(NOT(ISNA(VLOOKUP(E2613,E$1:E2612,1,FALSE()))),"OLD",IF(AND(E2613&lt;&gt;"",E2613&lt;&gt;"!!!"),"NEW","")))</f>
        <v> </v>
      </c>
      <c r="G2613" s="24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5" t="str">
        <f>IF(J2613&lt;&gt;1,"",IF(I2613="SBJ","CB","?"))</f>
        <v> </v>
      </c>
      <c r="I2613" s="26" t="str">
        <f>IF(OR(E2613="",E2613="!!!",F2613="NEW"),"",INDEX(B2612:B$2,-1+SUMPRODUCT(MAX(ROW(E2612:E$2)*(E2613=E2612:E$2)))))</f>
        <v> </v>
      </c>
      <c r="J2613" s="26" t="str">
        <f>IF(OR(E2613="",E2613="!!!",F2613="NEW"),"",COUNTBLANK(OFFSET(A$1,,,SUMPRODUCT(MAX(ROW(E$2:E2613)*(E2613=E$2:E2613)))))-COUNTBLANK(OFFSET(A$1,,,SUMPRODUCT(MAX(ROW(E$1:E2612)*(E2=E$1:E2612))))))</f>
        <v> </v>
      </c>
      <c r="K2613" s="26" t="str">
        <f>IF(OR(E2613="",E2613="!!!",F2613="NEW"),"",INDEX(J$1:J2612,SUMPRODUCT(MAX(ROW(E$1:E2612)*(E2613=E$1:E2612)))))</f>
        <v> </v>
      </c>
      <c r="L2613" s="27"/>
    </row>
    <row r="2614" spans="1:12">
      <c r="A2614" s="20" t="s">
        <v>1013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1090</v>
      </c>
      <c r="B2615" s="21" t="s">
        <v>975</v>
      </c>
      <c r="C2615" s="21" t="s">
        <v>971</v>
      </c>
      <c r="D2615" s="21" t="s">
        <v>972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2063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1884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2064</v>
      </c>
      <c r="B2618" s="21" t="s">
        <v>970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1048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 t="s">
        <v>1234</v>
      </c>
      <c r="B2620" s="21" t="s">
        <v>995</v>
      </c>
      <c r="C2620" s="21" t="s">
        <v>1012</v>
      </c>
      <c r="D2620" s="21" t="s">
        <v>972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1013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149</v>
      </c>
      <c r="B2622" s="21" t="s">
        <v>1093</v>
      </c>
      <c r="C2622" s="21" t="s">
        <v>1232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2065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11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1783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990</v>
      </c>
      <c r="B2626" s="21" t="s">
        <v>1011</v>
      </c>
      <c r="C2626" s="21" t="s">
        <v>991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1617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979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/>
    </row>
    <row r="2630" spans="1:12">
      <c r="A2630" s="20" t="s">
        <v>2066</v>
      </c>
    </row>
    <row r="2631" spans="1:12">
      <c r="A2631" s="20" t="s">
        <v>1155</v>
      </c>
      <c r="B2631" s="21" t="s">
        <v>975</v>
      </c>
      <c r="C2631" s="21" t="s">
        <v>1012</v>
      </c>
      <c r="D2631" s="21" t="s">
        <v>972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2067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2068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2069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1013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2070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1048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2071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2069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979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/>
    </row>
    <row r="2642" spans="1:12">
      <c r="A2642" s="20" t="s">
        <v>2072</v>
      </c>
    </row>
    <row r="2643" spans="1:12">
      <c r="A2643" s="20" t="s">
        <v>2073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1234</v>
      </c>
      <c r="B2644" s="21" t="s">
        <v>995</v>
      </c>
      <c r="C2644" s="21" t="s">
        <v>1012</v>
      </c>
      <c r="D2644" s="21" t="s">
        <v>972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1014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2074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2075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1193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2076</v>
      </c>
      <c r="B2649" s="21" t="s">
        <v>1093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1013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 t="s">
        <v>1020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1247</v>
      </c>
      <c r="B2652" s="21" t="s">
        <v>995</v>
      </c>
      <c r="C2652" s="21" t="s">
        <v>971</v>
      </c>
      <c r="D2652" s="21" t="s">
        <v>972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1623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2077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2069</v>
      </c>
      <c r="B2655" s="21" t="s">
        <v>975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979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/>
    </row>
    <row r="2658" spans="1:12">
      <c r="A2658" s="20" t="s">
        <v>2078</v>
      </c>
    </row>
    <row r="2659" spans="1:12">
      <c r="A2659" s="20" t="s">
        <v>1502</v>
      </c>
      <c r="B2659" s="21" t="s">
        <v>975</v>
      </c>
      <c r="C2659" s="21" t="s">
        <v>971</v>
      </c>
      <c r="D2659" s="21" t="s">
        <v>972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2079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2053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2080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2081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2082</v>
      </c>
      <c r="B2664" s="21" t="s">
        <v>970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1013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2083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2084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979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/>
    </row>
    <row r="2670" spans="1:12">
      <c r="A2670" s="20" t="s">
        <v>2085</v>
      </c>
    </row>
    <row r="2671" spans="1:12">
      <c r="A2671" s="20" t="s">
        <v>993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1013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1092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145</v>
      </c>
      <c r="B2674" s="21" t="s">
        <v>1101</v>
      </c>
      <c r="C2674" s="21" t="s">
        <v>971</v>
      </c>
      <c r="D2674" s="21" t="s">
        <v>972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2086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1334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2087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2088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2089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2090</v>
      </c>
      <c r="B2680" s="21" t="s">
        <v>1175</v>
      </c>
      <c r="C2680" s="21" t="s">
        <v>976</v>
      </c>
      <c r="D2680" s="21" t="s">
        <v>972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1013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1259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1013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145</v>
      </c>
      <c r="B2684" s="21" t="s">
        <v>975</v>
      </c>
      <c r="C2684" s="21" t="s">
        <v>971</v>
      </c>
      <c r="D2684" s="21" t="s">
        <v>972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1910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2091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1982</v>
      </c>
      <c r="B2687" s="21" t="s">
        <v>970</v>
      </c>
      <c r="C2687" s="21" t="s">
        <v>1100</v>
      </c>
      <c r="D2687" s="21" t="s">
        <v>972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979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/>
    </row>
    <row r="2690" spans="1:12">
      <c r="A2690" s="20" t="s">
        <v>2092</v>
      </c>
    </row>
    <row r="2691" spans="1:12">
      <c r="A2691" s="20" t="s">
        <v>1155</v>
      </c>
      <c r="B2691" s="21" t="s">
        <v>975</v>
      </c>
      <c r="C2691" s="21" t="s">
        <v>1012</v>
      </c>
      <c r="D2691" s="21" t="s">
        <v>972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640</v>
      </c>
      <c r="B2692" s="21" t="s">
        <v>995</v>
      </c>
      <c r="C2692" s="21" t="s">
        <v>1200</v>
      </c>
      <c r="D2692" s="21" t="s">
        <v>972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1550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1551</v>
      </c>
      <c r="B2694" s="21" t="s">
        <v>995</v>
      </c>
      <c r="C2694" s="21" t="s">
        <v>1012</v>
      </c>
      <c r="D2694" s="21" t="s">
        <v>972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1013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2093</v>
      </c>
      <c r="B2696" s="21" t="s">
        <v>1093</v>
      </c>
      <c r="C2696" s="21" t="s">
        <v>1232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2094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985</v>
      </c>
      <c r="B2698" s="21" t="s">
        <v>1003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1222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2095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979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/>
    </row>
    <row r="2703" spans="1:12">
      <c r="A2703" s="20" t="s">
        <v>2096</v>
      </c>
    </row>
    <row r="2704" spans="1:12">
      <c r="A2704" s="20" t="s">
        <v>711</v>
      </c>
      <c r="B2704" s="21" t="s">
        <v>975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2097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1013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149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985</v>
      </c>
      <c r="B2708" s="21" t="s">
        <v>1101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 t="s">
        <v>1013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1005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2098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233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1005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2069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1013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1623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2099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1005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2100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2101</v>
      </c>
      <c r="B2720" s="21" t="s">
        <v>1011</v>
      </c>
      <c r="C2720" s="21" t="s">
        <v>976</v>
      </c>
      <c r="D2720" s="21" t="s">
        <v>972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1567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1188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2102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979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/>
    </row>
    <row r="2726" spans="1:12">
      <c r="A2726" s="20" t="s">
        <v>2103</v>
      </c>
    </row>
    <row r="2727" spans="1:12">
      <c r="A2727" s="20" t="s">
        <v>2104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1013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2105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1466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2106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1125</v>
      </c>
      <c r="B2732" s="21" t="s">
        <v>975</v>
      </c>
      <c r="C2732" s="21" t="s">
        <v>1012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1013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149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2107</v>
      </c>
      <c r="B2735" s="21" t="s">
        <v>1101</v>
      </c>
      <c r="C2735" s="21" t="s">
        <v>1200</v>
      </c>
      <c r="D2735" s="21" t="s">
        <v>972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2108</v>
      </c>
      <c r="B2736" s="21" t="s">
        <v>1011</v>
      </c>
      <c r="C2736" s="21" t="s">
        <v>976</v>
      </c>
      <c r="D2736" s="21" t="s">
        <v>972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2109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1013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149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2110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1001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141</v>
      </c>
      <c r="B2742" s="21" t="s">
        <v>1055</v>
      </c>
      <c r="C2742" s="21" t="s">
        <v>1232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2111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979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/>
    </row>
    <row r="2746" spans="1:12">
      <c r="A2746" s="20" t="s">
        <v>2112</v>
      </c>
    </row>
    <row r="2747" spans="1:12">
      <c r="A2747" s="20" t="s">
        <v>2113</v>
      </c>
      <c r="B2747" s="21" t="s">
        <v>975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2114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1013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1753</v>
      </c>
      <c r="B2750" s="21" t="s">
        <v>1101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2115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979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/>
    </row>
    <row r="2754" spans="1:12">
      <c r="A2754" s="20" t="s">
        <v>2116</v>
      </c>
    </row>
    <row r="2755" spans="1:12">
      <c r="A2755" s="20" t="s">
        <v>1155</v>
      </c>
      <c r="B2755" s="21" t="s">
        <v>975</v>
      </c>
      <c r="C2755" s="21" t="s">
        <v>1012</v>
      </c>
      <c r="D2755" s="21" t="s">
        <v>972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1434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2117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 t="s">
        <v>2118</v>
      </c>
      <c r="E2758" s="22">
        <f>IF(D2758="?OLD","!!!","")</f>
        <v/>
      </c>
      <c r="F2758" s="23" t="str">
        <f>IF(OR(E2758="",E2758="!!!"),"",IF(NOT(ISNA(VLOOKUP(E2758,E$1:E2757,1,FALSE()))),"OLD",IF(AND(E2758&lt;&gt;"",E2758&lt;&gt;"!!!"),"NEW","")))</f>
        <v> </v>
      </c>
      <c r="G2758" s="24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5" t="str">
        <f>IF(J2758&lt;&gt;1,"",IF(I2758="SBJ","CB","?"))</f>
        <v> </v>
      </c>
      <c r="I2758" s="26" t="str">
        <f>IF(OR(E2758="",E2758="!!!",F2758="NEW"),"",INDEX(B2757:B$2,-1+SUMPRODUCT(MAX(ROW(E2757:E$2)*(E2758=E2757:E$2)))))</f>
        <v> </v>
      </c>
      <c r="J2758" s="26" t="str">
        <f>IF(OR(E2758="",E2758="!!!",F2758="NEW"),"",COUNTBLANK(OFFSET(A$1,,,SUMPRODUCT(MAX(ROW(E$2:E2758)*(E2758=E$2:E2758)))))-COUNTBLANK(OFFSET(A$1,,,SUMPRODUCT(MAX(ROW(E$1:E2757)*(E2=E$1:E2757))))))</f>
        <v> </v>
      </c>
      <c r="K2758" s="26" t="str">
        <f>IF(OR(E2758="",E2758="!!!",F2758="NEW"),"",INDEX(J$1:J2757,SUMPRODUCT(MAX(ROW(E$1:E2757)*(E2758=E$1:E2757)))))</f>
        <v> </v>
      </c>
      <c r="L2758" s="27"/>
    </row>
    <row r="2759" spans="1:12">
      <c r="A2759" s="20" t="s">
        <v>979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/>
    </row>
    <row r="2761" spans="1:12">
      <c r="A2761" s="20" t="s">
        <v>2119</v>
      </c>
    </row>
    <row r="2762" spans="1:12">
      <c r="A2762" s="20" t="s">
        <v>1502</v>
      </c>
      <c r="B2762" s="21" t="s">
        <v>975</v>
      </c>
      <c r="C2762" s="21" t="s">
        <v>971</v>
      </c>
      <c r="D2762" s="21" t="s">
        <v>972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2120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1005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2121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1212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979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/>
    </row>
    <row r="2769" spans="1:12">
      <c r="A2769" s="20" t="s">
        <v>2122</v>
      </c>
    </row>
    <row r="2770" spans="1:12">
      <c r="A2770" s="20" t="s">
        <v>2123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2124</v>
      </c>
      <c r="B2771" s="21" t="s">
        <v>995</v>
      </c>
      <c r="C2771" s="21" t="s">
        <v>976</v>
      </c>
      <c r="D2771" s="21" t="s">
        <v>972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1013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1189</v>
      </c>
      <c r="B2773" s="21" t="s">
        <v>975</v>
      </c>
      <c r="C2773" s="21" t="s">
        <v>971</v>
      </c>
      <c r="D2773" s="21" t="s">
        <v>972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2125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1630</v>
      </c>
      <c r="B2775" s="21" t="s">
        <v>970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1005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2069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1222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2126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2127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2128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2129</v>
      </c>
      <c r="B2782" s="21" t="s">
        <v>1087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979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/>
    </row>
    <row r="2785" spans="1:12">
      <c r="A2785" s="20" t="s">
        <v>2130</v>
      </c>
    </row>
    <row r="2786" spans="1:12">
      <c r="A2786" s="20" t="s">
        <v>2131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1776</v>
      </c>
      <c r="B2787" s="21" t="s">
        <v>975</v>
      </c>
      <c r="C2787" s="21" t="s">
        <v>991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1297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2132</v>
      </c>
      <c r="B2789" s="21" t="s">
        <v>995</v>
      </c>
      <c r="C2789" s="21" t="s">
        <v>991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979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/>
    </row>
    <row r="2792" spans="1:12">
      <c r="A2792" s="20" t="s">
        <v>2133</v>
      </c>
    </row>
    <row r="2793" spans="1:12">
      <c r="A2793" s="20" t="s">
        <v>1683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2134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1776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 t="s">
        <v>999</v>
      </c>
      <c r="E2796" s="22">
        <f>IF(D2796="?OLD","!!!","")</f>
        <v/>
      </c>
      <c r="F2796" s="23" t="str">
        <f>IF(OR(E2796="",E2796="!!!"),"",IF(NOT(ISNA(VLOOKUP(E2796,E$1:E2795,1,FALSE()))),"OLD",IF(AND(E2796&lt;&gt;"",E2796&lt;&gt;"!!!"),"NEW","")))</f>
        <v> </v>
      </c>
      <c r="G2796" s="24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5" t="str">
        <f>IF(J2796&lt;&gt;1,"",IF(I2796="SBJ","CB","?"))</f>
        <v> </v>
      </c>
      <c r="I2796" s="26" t="str">
        <f>IF(OR(E2796="",E2796="!!!",F2796="NEW"),"",INDEX(B2795:B$2,-1+SUMPRODUCT(MAX(ROW(E2795:E$2)*(E2796=E2795:E$2)))))</f>
        <v> </v>
      </c>
      <c r="J2796" s="26" t="str">
        <f>IF(OR(E2796="",E2796="!!!",F2796="NEW"),"",COUNTBLANK(OFFSET(A$1,,,SUMPRODUCT(MAX(ROW(E$2:E2796)*(E2796=E$2:E2796)))))-COUNTBLANK(OFFSET(A$1,,,SUMPRODUCT(MAX(ROW(E$1:E2795)*(E2=E$1:E2795))))))</f>
        <v> </v>
      </c>
      <c r="K2796" s="26" t="str">
        <f>IF(OR(E2796="",E2796="!!!",F2796="NEW"),"",INDEX(J$1:J2795,SUMPRODUCT(MAX(ROW(E$1:E2795)*(E2796=E$1:E2795)))))</f>
        <v> </v>
      </c>
      <c r="L2796" s="27"/>
    </row>
    <row r="2797" spans="1:12">
      <c r="A2797" s="20" t="s">
        <v>1297</v>
      </c>
      <c r="B2797" s="21" t="s">
        <v>975</v>
      </c>
      <c r="C2797" s="21" t="s">
        <v>971</v>
      </c>
      <c r="D2797" s="21" t="s">
        <v>972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1102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1623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757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1005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985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979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/>
    </row>
    <row r="2805" spans="1:12">
      <c r="A2805" s="20" t="s">
        <v>2135</v>
      </c>
    </row>
    <row r="2806" spans="1:12">
      <c r="A2806" s="20" t="s">
        <v>993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1189</v>
      </c>
      <c r="B2807" s="21" t="s">
        <v>975</v>
      </c>
      <c r="C2807" s="21" t="s">
        <v>971</v>
      </c>
      <c r="D2807" s="21" t="s">
        <v>972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1623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1350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2136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1005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1630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1005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2069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1013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 t="s">
        <v>2035</v>
      </c>
      <c r="E2816" s="22">
        <f>IF(D2816="?OLD","!!!","")</f>
        <v/>
      </c>
      <c r="F2816" s="23" t="str">
        <f>IF(OR(E2816="",E2816="!!!"),"",IF(NOT(ISNA(VLOOKUP(E2816,E$1:E2815,1,FALSE()))),"OLD",IF(AND(E2816&lt;&gt;"",E2816&lt;&gt;"!!!"),"NEW","")))</f>
        <v> </v>
      </c>
      <c r="G2816" s="24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5" t="str">
        <f>IF(J2816&lt;&gt;1,"",IF(I2816="SBJ","CB","?"))</f>
        <v> </v>
      </c>
      <c r="I2816" s="26" t="str">
        <f>IF(OR(E2816="",E2816="!!!",F2816="NEW"),"",INDEX(B2815:B$2,-1+SUMPRODUCT(MAX(ROW(E2815:E$2)*(E2816=E2815:E$2)))))</f>
        <v> </v>
      </c>
      <c r="J2816" s="26" t="str">
        <f>IF(OR(E2816="",E2816="!!!",F2816="NEW"),"",COUNTBLANK(OFFSET(A$1,,,SUMPRODUCT(MAX(ROW(E$2:E2816)*(E2816=E$2:E2816)))))-COUNTBLANK(OFFSET(A$1,,,SUMPRODUCT(MAX(ROW(E$1:E2815)*(E2=E$1:E2815))))))</f>
        <v> </v>
      </c>
      <c r="K2816" s="26" t="str">
        <f>IF(OR(E2816="",E2816="!!!",F2816="NEW"),"",INDEX(J$1:J2815,SUMPRODUCT(MAX(ROW(E$1:E2815)*(E2816=E$1:E2815)))))</f>
        <v> </v>
      </c>
      <c r="L2816" s="27"/>
    </row>
    <row r="2817" spans="1:12">
      <c r="A2817" s="20" t="s">
        <v>985</v>
      </c>
      <c r="B2817" s="21" t="s">
        <v>1101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257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2137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1222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2138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1005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1492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2139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499</v>
      </c>
      <c r="B2825" s="21" t="s">
        <v>1011</v>
      </c>
      <c r="C2825" s="21" t="s">
        <v>1012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1905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2140</v>
      </c>
      <c r="B2827" s="21" t="s">
        <v>1093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1013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149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1112</v>
      </c>
      <c r="B2830" s="21" t="s">
        <v>1115</v>
      </c>
      <c r="C2830" s="21" t="s">
        <v>1012</v>
      </c>
      <c r="D2830" s="21" t="s">
        <v>972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2141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2142</v>
      </c>
      <c r="B2832" s="21" t="s">
        <v>1055</v>
      </c>
      <c r="C2832" s="21" t="s">
        <v>971</v>
      </c>
      <c r="D2832" s="21" t="s">
        <v>972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2143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2144</v>
      </c>
      <c r="B2834" s="21" t="s">
        <v>1338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 t="s">
        <v>2145</v>
      </c>
      <c r="E2835" s="22">
        <f>IF(D2835="?OLD","!!!","")</f>
        <v/>
      </c>
      <c r="F2835" s="23" t="str">
        <f>IF(OR(E2835="",E2835="!!!"),"",IF(NOT(ISNA(VLOOKUP(E2835,E$1:E2834,1,FALSE()))),"OLD",IF(AND(E2835&lt;&gt;"",E2835&lt;&gt;"!!!"),"NEW","")))</f>
        <v> </v>
      </c>
      <c r="G2835" s="24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5" t="str">
        <f>IF(J2835&lt;&gt;1,"",IF(I2835="SBJ","CB","?"))</f>
        <v> </v>
      </c>
      <c r="I2835" s="26" t="str">
        <f>IF(OR(E2835="",E2835="!!!",F2835="NEW"),"",INDEX(B2834:B$2,-1+SUMPRODUCT(MAX(ROW(E2834:E$2)*(E2835=E2834:E$2)))))</f>
        <v> </v>
      </c>
      <c r="J2835" s="26" t="str">
        <f>IF(OR(E2835="",E2835="!!!",F2835="NEW"),"",COUNTBLANK(OFFSET(A$1,,,SUMPRODUCT(MAX(ROW(E$2:E2835)*(E2835=E$2:E2835)))))-COUNTBLANK(OFFSET(A$1,,,SUMPRODUCT(MAX(ROW(E$1:E2834)*(E2=E$1:E2834))))))</f>
        <v> </v>
      </c>
      <c r="K2835" s="26" t="str">
        <f>IF(OR(E2835="",E2835="!!!",F2835="NEW"),"",INDEX(J$1:J2834,SUMPRODUCT(MAX(ROW(E$1:E2834)*(E2835=E$1:E2834)))))</f>
        <v> </v>
      </c>
      <c r="L2835" s="27"/>
    </row>
    <row r="2836" spans="1:12">
      <c r="A2836" s="20" t="s">
        <v>2146</v>
      </c>
      <c r="E2836" s="22">
        <f>IF(D2836="?OLD","!!!","")</f>
        <v/>
      </c>
      <c r="F2836" s="23" t="str">
        <f>IF(OR(E2836="",E2836="!!!"),"",IF(NOT(ISNA(VLOOKUP(E2836,E$1:E2835,1,FALSE()))),"OLD",IF(AND(E2836&lt;&gt;"",E2836&lt;&gt;"!!!"),"NEW","")))</f>
        <v> </v>
      </c>
      <c r="G2836" s="24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5" t="str">
        <f>IF(J2836&lt;&gt;1,"",IF(I2836="SBJ","CB","?"))</f>
        <v> </v>
      </c>
      <c r="I2836" s="26" t="str">
        <f>IF(OR(E2836="",E2836="!!!",F2836="NEW"),"",INDEX(B2835:B$2,-1+SUMPRODUCT(MAX(ROW(E2835:E$2)*(E2836=E2835:E$2)))))</f>
        <v> </v>
      </c>
      <c r="J2836" s="26" t="str">
        <f>IF(OR(E2836="",E2836="!!!",F2836="NEW"),"",COUNTBLANK(OFFSET(A$1,,,SUMPRODUCT(MAX(ROW(E$2:E2836)*(E2836=E$2:E2836)))))-COUNTBLANK(OFFSET(A$1,,,SUMPRODUCT(MAX(ROW(E$1:E2835)*(E2=E$1:E2835))))))</f>
        <v> </v>
      </c>
      <c r="K2836" s="26" t="str">
        <f>IF(OR(E2836="",E2836="!!!",F2836="NEW"),"",INDEX(J$1:J2835,SUMPRODUCT(MAX(ROW(E$1:E2835)*(E2836=E$1:E2835)))))</f>
        <v> </v>
      </c>
      <c r="L2836" s="27"/>
    </row>
    <row r="2837" spans="1:12">
      <c r="A2837" s="20" t="s">
        <v>979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/>
    </row>
    <row r="2839" spans="1:12">
      <c r="A2839" s="20" t="s">
        <v>2147</v>
      </c>
    </row>
    <row r="2840" spans="1:12">
      <c r="A2840" s="20" t="s">
        <v>993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1399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987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2134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 t="s">
        <v>1776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1189</v>
      </c>
      <c r="B2845" s="21" t="s">
        <v>975</v>
      </c>
      <c r="C2845" s="21" t="s">
        <v>971</v>
      </c>
      <c r="D2845" s="21" t="s">
        <v>972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1190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1013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1491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1786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1776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999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2132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 t="s">
        <v>979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/>
    </row>
    <row r="2855" spans="1:12">
      <c r="A2855" s="20" t="s">
        <v>2148</v>
      </c>
    </row>
    <row r="2856" spans="1:12">
      <c r="A2856" s="20" t="s">
        <v>993</v>
      </c>
      <c r="E2856" s="22">
        <f>IF(D2856="?OLD","!!!","")</f>
        <v/>
      </c>
      <c r="F2856" s="23" t="str">
        <f>IF(OR(E2856="",E2856="!!!"),"",IF(NOT(ISNA(VLOOKUP(E2856,E$1:E2855,1,FALSE()))),"OLD",IF(AND(E2856&lt;&gt;"",E2856&lt;&gt;"!!!"),"NEW","")))</f>
        <v> </v>
      </c>
      <c r="G2856" s="24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5" t="str">
        <f>IF(J2856&lt;&gt;1,"",IF(I2856="SBJ","CB","?"))</f>
        <v> </v>
      </c>
      <c r="I2856" s="26" t="str">
        <f>IF(OR(E2856="",E2856="!!!",F2856="NEW"),"",INDEX(B2855:B$2,-1+SUMPRODUCT(MAX(ROW(E2855:E$2)*(E2856=E2855:E$2)))))</f>
        <v> </v>
      </c>
      <c r="J2856" s="26" t="str">
        <f>IF(OR(E2856="",E2856="!!!",F2856="NEW"),"",COUNTBLANK(OFFSET(A$1,,,SUMPRODUCT(MAX(ROW(E$2:E2856)*(E2856=E$2:E2856)))))-COUNTBLANK(OFFSET(A$1,,,SUMPRODUCT(MAX(ROW(E$1:E2855)*(E2=E$1:E2855))))))</f>
        <v> </v>
      </c>
      <c r="K2856" s="26" t="str">
        <f>IF(OR(E2856="",E2856="!!!",F2856="NEW"),"",INDEX(J$1:J2855,SUMPRODUCT(MAX(ROW(E$1:E2855)*(E2856=E$1:E2855)))))</f>
        <v> </v>
      </c>
      <c r="L2856" s="27"/>
    </row>
    <row r="2857" spans="1:12">
      <c r="A2857" s="20" t="s">
        <v>1013</v>
      </c>
      <c r="E2857" s="22">
        <f>IF(D2857="?OLD","!!!","")</f>
        <v/>
      </c>
      <c r="F2857" s="23" t="str">
        <f>IF(OR(E2857="",E2857="!!!"),"",IF(NOT(ISNA(VLOOKUP(E2857,E$1:E2856,1,FALSE()))),"OLD",IF(AND(E2857&lt;&gt;"",E2857&lt;&gt;"!!!"),"NEW","")))</f>
        <v> </v>
      </c>
      <c r="G2857" s="24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5" t="str">
        <f>IF(J2857&lt;&gt;1,"",IF(I2857="SBJ","CB","?"))</f>
        <v> </v>
      </c>
      <c r="I2857" s="26" t="str">
        <f>IF(OR(E2857="",E2857="!!!",F2857="NEW"),"",INDEX(B2856:B$2,-1+SUMPRODUCT(MAX(ROW(E2856:E$2)*(E2857=E2856:E$2)))))</f>
        <v> </v>
      </c>
      <c r="J2857" s="26" t="str">
        <f>IF(OR(E2857="",E2857="!!!",F2857="NEW"),"",COUNTBLANK(OFFSET(A$1,,,SUMPRODUCT(MAX(ROW(E$2:E2857)*(E2857=E$2:E2857)))))-COUNTBLANK(OFFSET(A$1,,,SUMPRODUCT(MAX(ROW(E$1:E2856)*(E2=E$1:E2856))))))</f>
        <v> </v>
      </c>
      <c r="K2857" s="26" t="str">
        <f>IF(OR(E2857="",E2857="!!!",F2857="NEW"),"",INDEX(J$1:J2856,SUMPRODUCT(MAX(ROW(E$1:E2856)*(E2857=E$1:E2856)))))</f>
        <v> </v>
      </c>
      <c r="L2857" s="27"/>
    </row>
    <row r="2858" spans="1:12">
      <c r="A2858" s="20" t="s">
        <v>1014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 t="s">
        <v>2149</v>
      </c>
      <c r="E2859" s="22">
        <f>IF(D2859="?OLD","!!!","")</f>
        <v/>
      </c>
      <c r="F2859" s="23" t="str">
        <f>IF(OR(E2859="",E2859="!!!"),"",IF(NOT(ISNA(VLOOKUP(E2859,E$1:E2858,1,FALSE()))),"OLD",IF(AND(E2859&lt;&gt;"",E2859&lt;&gt;"!!!"),"NEW","")))</f>
        <v> </v>
      </c>
      <c r="G2859" s="24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5" t="str">
        <f>IF(J2859&lt;&gt;1,"",IF(I2859="SBJ","CB","?"))</f>
        <v> </v>
      </c>
      <c r="I2859" s="26" t="str">
        <f>IF(OR(E2859="",E2859="!!!",F2859="NEW"),"",INDEX(B2858:B$2,-1+SUMPRODUCT(MAX(ROW(E2858:E$2)*(E2859=E2858:E$2)))))</f>
        <v> </v>
      </c>
      <c r="J2859" s="26" t="str">
        <f>IF(OR(E2859="",E2859="!!!",F2859="NEW"),"",COUNTBLANK(OFFSET(A$1,,,SUMPRODUCT(MAX(ROW(E$2:E2859)*(E2859=E$2:E2859)))))-COUNTBLANK(OFFSET(A$1,,,SUMPRODUCT(MAX(ROW(E$1:E2858)*(E2=E$1:E2858))))))</f>
        <v> </v>
      </c>
      <c r="K2859" s="26" t="str">
        <f>IF(OR(E2859="",E2859="!!!",F2859="NEW"),"",INDEX(J$1:J2858,SUMPRODUCT(MAX(ROW(E$1:E2858)*(E2859=E$1:E2858)))))</f>
        <v> </v>
      </c>
      <c r="L2859" s="27"/>
    </row>
    <row r="2860" spans="1:12">
      <c r="A2860" s="20" t="s">
        <v>711</v>
      </c>
      <c r="B2860" s="21" t="s">
        <v>1101</v>
      </c>
      <c r="C2860" s="21" t="s">
        <v>976</v>
      </c>
      <c r="D2860" s="21" t="s">
        <v>972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1013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257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1189</v>
      </c>
      <c r="B2863" s="21" t="s">
        <v>975</v>
      </c>
      <c r="C2863" s="21" t="s">
        <v>971</v>
      </c>
      <c r="D2863" s="21" t="s">
        <v>972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2150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79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 t="s">
        <v>990</v>
      </c>
      <c r="B2866" s="21" t="s">
        <v>995</v>
      </c>
      <c r="C2866" s="21" t="s">
        <v>991</v>
      </c>
      <c r="E2866" s="22">
        <f>IF(D2866="?OLD","!!!","")</f>
        <v/>
      </c>
      <c r="F2866" s="23" t="str">
        <f>IF(OR(E2866="",E2866="!!!"),"",IF(NOT(ISNA(VLOOKUP(E2866,E$1:E2865,1,FALSE()))),"OLD",IF(AND(E2866&lt;&gt;"",E2866&lt;&gt;"!!!"),"NEW","")))</f>
        <v> </v>
      </c>
      <c r="G2866" s="24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5" t="str">
        <f>IF(J2866&lt;&gt;1,"",IF(I2866="SBJ","CB","?"))</f>
        <v> </v>
      </c>
      <c r="I2866" s="26" t="str">
        <f>IF(OR(E2866="",E2866="!!!",F2866="NEW"),"",INDEX(B2865:B$2,-1+SUMPRODUCT(MAX(ROW(E2865:E$2)*(E2866=E2865:E$2)))))</f>
        <v> </v>
      </c>
      <c r="J2866" s="26" t="str">
        <f>IF(OR(E2866="",E2866="!!!",F2866="NEW"),"",COUNTBLANK(OFFSET(A$1,,,SUMPRODUCT(MAX(ROW(E$2:E2866)*(E2866=E$2:E2866)))))-COUNTBLANK(OFFSET(A$1,,,SUMPRODUCT(MAX(ROW(E$1:E2865)*(E2=E$1:E2865))))))</f>
        <v> </v>
      </c>
      <c r="K2866" s="26" t="str">
        <f>IF(OR(E2866="",E2866="!!!",F2866="NEW"),"",INDEX(J$1:J2865,SUMPRODUCT(MAX(ROW(E$1:E2865)*(E2866=E$1:E2865)))))</f>
        <v> </v>
      </c>
      <c r="L2866" s="27"/>
    </row>
    <row r="2867" spans="1:12">
      <c r="A2867" s="20" t="s">
        <v>979</v>
      </c>
      <c r="E2867" s="22">
        <f>IF(D2867="?OLD","!!!","")</f>
        <v/>
      </c>
      <c r="F2867" s="23" t="str">
        <f>IF(OR(E2867="",E2867="!!!"),"",IF(NOT(ISNA(VLOOKUP(E2867,E$1:E2866,1,FALSE()))),"OLD",IF(AND(E2867&lt;&gt;"",E2867&lt;&gt;"!!!"),"NEW","")))</f>
        <v> </v>
      </c>
      <c r="G2867" s="24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5" t="str">
        <f>IF(J2867&lt;&gt;1,"",IF(I2867="SBJ","CB","?"))</f>
        <v> </v>
      </c>
      <c r="I2867" s="26" t="str">
        <f>IF(OR(E2867="",E2867="!!!",F2867="NEW"),"",INDEX(B2866:B$2,-1+SUMPRODUCT(MAX(ROW(E2866:E$2)*(E2867=E2866:E$2)))))</f>
        <v> </v>
      </c>
      <c r="J2867" s="26" t="str">
        <f>IF(OR(E2867="",E2867="!!!",F2867="NEW"),"",COUNTBLANK(OFFSET(A$1,,,SUMPRODUCT(MAX(ROW(E$2:E2867)*(E2867=E$2:E2867)))))-COUNTBLANK(OFFSET(A$1,,,SUMPRODUCT(MAX(ROW(E$1:E2866)*(E2=E$1:E2866))))))</f>
        <v> </v>
      </c>
      <c r="K2867" s="26" t="str">
        <f>IF(OR(E2867="",E2867="!!!",F2867="NEW"),"",INDEX(J$1:J2866,SUMPRODUCT(MAX(ROW(E$1:E2866)*(E2867=E$1:E2866)))))</f>
        <v> </v>
      </c>
      <c r="L2867" s="27"/>
    </row>
    <row r="2868" spans="1:12">
      <c r="A2868" s="20"/>
    </row>
    <row r="2869" spans="1:12">
      <c r="A2869" s="20" t="s">
        <v>2151</v>
      </c>
    </row>
    <row r="2870" spans="1:12">
      <c r="A2870" s="20" t="s">
        <v>2152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 t="s">
        <v>1005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 t="s">
        <v>1125</v>
      </c>
      <c r="E2872" s="22">
        <f>IF(D2872="?OLD","!!!","")</f>
        <v/>
      </c>
      <c r="F2872" s="23" t="str">
        <f>IF(OR(E2872="",E2872="!!!"),"",IF(NOT(ISNA(VLOOKUP(E2872,E$1:E2871,1,FALSE()))),"OLD",IF(AND(E2872&lt;&gt;"",E2872&lt;&gt;"!!!"),"NEW","")))</f>
        <v> </v>
      </c>
      <c r="G2872" s="24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5" t="str">
        <f>IF(J2872&lt;&gt;1,"",IF(I2872="SBJ","CB","?"))</f>
        <v> </v>
      </c>
      <c r="I2872" s="26" t="str">
        <f>IF(OR(E2872="",E2872="!!!",F2872="NEW"),"",INDEX(B2871:B$2,-1+SUMPRODUCT(MAX(ROW(E2871:E$2)*(E2872=E2871:E$2)))))</f>
        <v> </v>
      </c>
      <c r="J2872" s="26" t="str">
        <f>IF(OR(E2872="",E2872="!!!",F2872="NEW"),"",COUNTBLANK(OFFSET(A$1,,,SUMPRODUCT(MAX(ROW(E$2:E2872)*(E2872=E$2:E2872)))))-COUNTBLANK(OFFSET(A$1,,,SUMPRODUCT(MAX(ROW(E$1:E2871)*(E2=E$1:E2871))))))</f>
        <v> </v>
      </c>
      <c r="K2872" s="26" t="str">
        <f>IF(OR(E2872="",E2872="!!!",F2872="NEW"),"",INDEX(J$1:J2871,SUMPRODUCT(MAX(ROW(E$1:E2871)*(E2872=E$1:E2871)))))</f>
        <v> </v>
      </c>
      <c r="L2872" s="27"/>
    </row>
    <row r="2873" spans="1:12">
      <c r="A2873" s="20" t="s">
        <v>1013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 t="s">
        <v>1190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1222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2132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1786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1776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979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/>
    </row>
    <row r="2881" spans="1:12">
      <c r="A2881" s="20" t="s">
        <v>2153</v>
      </c>
    </row>
    <row r="2882" spans="1:12">
      <c r="A2882" s="20" t="s">
        <v>1431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1162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1234</v>
      </c>
      <c r="B2884" s="21" t="s">
        <v>995</v>
      </c>
      <c r="C2884" s="21" t="s">
        <v>1012</v>
      </c>
      <c r="D2884" s="21" t="s">
        <v>972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1009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370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1013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 t="s">
        <v>1014</v>
      </c>
      <c r="E2888" s="22">
        <f>IF(D2888="?OLD","!!!","")</f>
        <v/>
      </c>
      <c r="F2888" s="23" t="str">
        <f>IF(OR(E2888="",E2888="!!!"),"",IF(NOT(ISNA(VLOOKUP(E2888,E$1:E2887,1,FALSE()))),"OLD",IF(AND(E2888&lt;&gt;"",E2888&lt;&gt;"!!!"),"NEW","")))</f>
        <v> </v>
      </c>
      <c r="G2888" s="24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5" t="str">
        <f>IF(J2888&lt;&gt;1,"",IF(I2888="SBJ","CB","?"))</f>
        <v> </v>
      </c>
      <c r="I2888" s="26" t="str">
        <f>IF(OR(E2888="",E2888="!!!",F2888="NEW"),"",INDEX(B2887:B$2,-1+SUMPRODUCT(MAX(ROW(E2887:E$2)*(E2888=E2887:E$2)))))</f>
        <v> </v>
      </c>
      <c r="J2888" s="26" t="str">
        <f>IF(OR(E2888="",E2888="!!!",F2888="NEW"),"",COUNTBLANK(OFFSET(A$1,,,SUMPRODUCT(MAX(ROW(E$2:E2888)*(E2888=E$2:E2888)))))-COUNTBLANK(OFFSET(A$1,,,SUMPRODUCT(MAX(ROW(E$1:E2887)*(E2=E$1:E2887))))))</f>
        <v> </v>
      </c>
      <c r="K2888" s="26" t="str">
        <f>IF(OR(E2888="",E2888="!!!",F2888="NEW"),"",INDEX(J$1:J2887,SUMPRODUCT(MAX(ROW(E$1:E2887)*(E2888=E$1:E2887)))))</f>
        <v> </v>
      </c>
      <c r="L2888" s="27"/>
    </row>
    <row r="2889" spans="1:12">
      <c r="A2889" s="20" t="s">
        <v>2154</v>
      </c>
      <c r="B2889" s="21" t="s">
        <v>1087</v>
      </c>
      <c r="C2889" s="21" t="s">
        <v>971</v>
      </c>
      <c r="D2889" s="21" t="s">
        <v>972</v>
      </c>
      <c r="E2889" s="22">
        <f>IF(D2889="?OLD","!!!","")</f>
        <v/>
      </c>
      <c r="F2889" s="23" t="str">
        <f>IF(OR(E2889="",E2889="!!!"),"",IF(NOT(ISNA(VLOOKUP(E2889,E$1:E2888,1,FALSE()))),"OLD",IF(AND(E2889&lt;&gt;"",E2889&lt;&gt;"!!!"),"NEW","")))</f>
        <v> </v>
      </c>
      <c r="G2889" s="24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5" t="str">
        <f>IF(J2889&lt;&gt;1,"",IF(I2889="SBJ","CB","?"))</f>
        <v> </v>
      </c>
      <c r="I2889" s="26" t="str">
        <f>IF(OR(E2889="",E2889="!!!",F2889="NEW"),"",INDEX(B2888:B$2,-1+SUMPRODUCT(MAX(ROW(E2888:E$2)*(E2889=E2888:E$2)))))</f>
        <v> </v>
      </c>
      <c r="J2889" s="26" t="str">
        <f>IF(OR(E2889="",E2889="!!!",F2889="NEW"),"",COUNTBLANK(OFFSET(A$1,,,SUMPRODUCT(MAX(ROW(E$2:E2889)*(E2889=E$2:E2889)))))-COUNTBLANK(OFFSET(A$1,,,SUMPRODUCT(MAX(ROW(E$1:E2888)*(E2=E$1:E2888))))))</f>
        <v> </v>
      </c>
      <c r="K2889" s="26" t="str">
        <f>IF(OR(E2889="",E2889="!!!",F2889="NEW"),"",INDEX(J$1:J2888,SUMPRODUCT(MAX(ROW(E$1:E2888)*(E2889=E$1:E2888)))))</f>
        <v> </v>
      </c>
      <c r="L2889" s="27"/>
    </row>
    <row r="2890" spans="1:12">
      <c r="A2890" s="20" t="s">
        <v>2155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1013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400</v>
      </c>
      <c r="B2892" s="21" t="s">
        <v>975</v>
      </c>
      <c r="C2892" s="21" t="s">
        <v>971</v>
      </c>
      <c r="D2892" s="21" t="s">
        <v>972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2156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2157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985</v>
      </c>
      <c r="B2895" s="21" t="s">
        <v>970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 t="s">
        <v>979</v>
      </c>
      <c r="E2896" s="22">
        <f>IF(D2896="?OLD","!!!","")</f>
        <v/>
      </c>
      <c r="F2896" s="23" t="str">
        <f>IF(OR(E2896="",E2896="!!!"),"",IF(NOT(ISNA(VLOOKUP(E2896,E$1:E2895,1,FALSE()))),"OLD",IF(AND(E2896&lt;&gt;"",E2896&lt;&gt;"!!!"),"NEW","")))</f>
        <v> </v>
      </c>
      <c r="G2896" s="24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5" t="str">
        <f>IF(J2896&lt;&gt;1,"",IF(I2896="SBJ","CB","?"))</f>
        <v> </v>
      </c>
      <c r="I2896" s="26" t="str">
        <f>IF(OR(E2896="",E2896="!!!",F2896="NEW"),"",INDEX(B2895:B$2,-1+SUMPRODUCT(MAX(ROW(E2895:E$2)*(E2896=E2895:E$2)))))</f>
        <v> </v>
      </c>
      <c r="J2896" s="26" t="str">
        <f>IF(OR(E2896="",E2896="!!!",F2896="NEW"),"",COUNTBLANK(OFFSET(A$1,,,SUMPRODUCT(MAX(ROW(E$2:E2896)*(E2896=E$2:E2896)))))-COUNTBLANK(OFFSET(A$1,,,SUMPRODUCT(MAX(ROW(E$1:E2895)*(E2=E$1:E2895))))))</f>
        <v> </v>
      </c>
      <c r="K2896" s="26" t="str">
        <f>IF(OR(E2896="",E2896="!!!",F2896="NEW"),"",INDEX(J$1:J2895,SUMPRODUCT(MAX(ROW(E$1:E2895)*(E2896=E$1:E2895)))))</f>
        <v> </v>
      </c>
      <c r="L2896" s="27"/>
    </row>
    <row r="2897" spans="1:12">
      <c r="A2897" s="20"/>
    </row>
    <row r="2898" spans="1:12">
      <c r="A2898" s="20" t="s">
        <v>2158</v>
      </c>
    </row>
    <row r="2899" spans="1:12">
      <c r="A2899" s="20" t="s">
        <v>1348</v>
      </c>
      <c r="B2899" s="21" t="s">
        <v>975</v>
      </c>
      <c r="C2899" s="21" t="s">
        <v>971</v>
      </c>
      <c r="D2899" s="21" t="s">
        <v>972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2159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1005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2160</v>
      </c>
      <c r="B2902" s="21" t="s">
        <v>995</v>
      </c>
      <c r="C2902" s="21" t="s">
        <v>971</v>
      </c>
      <c r="D2902" s="21" t="s">
        <v>972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 t="s">
        <v>1013</v>
      </c>
      <c r="E2903" s="22">
        <f>IF(D2903="?OLD","!!!","")</f>
        <v/>
      </c>
      <c r="F2903" s="23" t="str">
        <f>IF(OR(E2903="",E2903="!!!"),"",IF(NOT(ISNA(VLOOKUP(E2903,E$1:E2902,1,FALSE()))),"OLD",IF(AND(E2903&lt;&gt;"",E2903&lt;&gt;"!!!"),"NEW","")))</f>
        <v> </v>
      </c>
      <c r="G2903" s="24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5" t="str">
        <f>IF(J2903&lt;&gt;1,"",IF(I2903="SBJ","CB","?"))</f>
        <v> </v>
      </c>
      <c r="I2903" s="26" t="str">
        <f>IF(OR(E2903="",E2903="!!!",F2903="NEW"),"",INDEX(B2902:B$2,-1+SUMPRODUCT(MAX(ROW(E2902:E$2)*(E2903=E2902:E$2)))))</f>
        <v> </v>
      </c>
      <c r="J2903" s="26" t="str">
        <f>IF(OR(E2903="",E2903="!!!",F2903="NEW"),"",COUNTBLANK(OFFSET(A$1,,,SUMPRODUCT(MAX(ROW(E$2:E2903)*(E2903=E$2:E2903)))))-COUNTBLANK(OFFSET(A$1,,,SUMPRODUCT(MAX(ROW(E$1:E2902)*(E2=E$1:E2902))))))</f>
        <v> </v>
      </c>
      <c r="K2903" s="26" t="str">
        <f>IF(OR(E2903="",E2903="!!!",F2903="NEW"),"",INDEX(J$1:J2902,SUMPRODUCT(MAX(ROW(E$1:E2902)*(E2903=E$1:E2902)))))</f>
        <v> </v>
      </c>
      <c r="L2903" s="27"/>
    </row>
    <row r="2904" spans="1:12">
      <c r="A2904" s="20" t="s">
        <v>1053</v>
      </c>
      <c r="E2904" s="22">
        <f>IF(D2904="?OLD","!!!","")</f>
        <v/>
      </c>
      <c r="F2904" s="23" t="str">
        <f>IF(OR(E2904="",E2904="!!!"),"",IF(NOT(ISNA(VLOOKUP(E2904,E$1:E2903,1,FALSE()))),"OLD",IF(AND(E2904&lt;&gt;"",E2904&lt;&gt;"!!!"),"NEW","")))</f>
        <v> </v>
      </c>
      <c r="G2904" s="24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5" t="str">
        <f>IF(J2904&lt;&gt;1,"",IF(I2904="SBJ","CB","?"))</f>
        <v> </v>
      </c>
      <c r="I2904" s="26" t="str">
        <f>IF(OR(E2904="",E2904="!!!",F2904="NEW"),"",INDEX(B2903:B$2,-1+SUMPRODUCT(MAX(ROW(E2903:E$2)*(E2904=E2903:E$2)))))</f>
        <v> </v>
      </c>
      <c r="J2904" s="26" t="str">
        <f>IF(OR(E2904="",E2904="!!!",F2904="NEW"),"",COUNTBLANK(OFFSET(A$1,,,SUMPRODUCT(MAX(ROW(E$2:E2904)*(E2904=E$2:E2904)))))-COUNTBLANK(OFFSET(A$1,,,SUMPRODUCT(MAX(ROW(E$1:E2903)*(E2=E$1:E2903))))))</f>
        <v> </v>
      </c>
      <c r="K2904" s="26" t="str">
        <f>IF(OR(E2904="",E2904="!!!",F2904="NEW"),"",INDEX(J$1:J2903,SUMPRODUCT(MAX(ROW(E$1:E2903)*(E2904=E$1:E2903)))))</f>
        <v> </v>
      </c>
      <c r="L2904" s="27"/>
    </row>
    <row r="2905" spans="1:12">
      <c r="A2905" s="20" t="s">
        <v>2161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1269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1064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2162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1004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979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/>
    </row>
    <row r="2912" spans="1:12">
      <c r="A2912" s="20" t="s">
        <v>2163</v>
      </c>
    </row>
    <row r="2913" spans="1:12">
      <c r="A2913" s="20" t="s">
        <v>1348</v>
      </c>
      <c r="B2913" s="21" t="s">
        <v>975</v>
      </c>
      <c r="C2913" s="21" t="s">
        <v>971</v>
      </c>
      <c r="D2913" s="21" t="s">
        <v>972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2156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985</v>
      </c>
      <c r="B2915" s="21" t="s">
        <v>970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1013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1053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2164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1269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 t="s">
        <v>1690</v>
      </c>
      <c r="B2920" s="21" t="s">
        <v>978</v>
      </c>
      <c r="C2920" s="21" t="s">
        <v>971</v>
      </c>
      <c r="D2920" s="21" t="s">
        <v>972</v>
      </c>
      <c r="E2920" s="22">
        <f>IF(D2920="?OLD","!!!","")</f>
        <v/>
      </c>
      <c r="F2920" s="23" t="str">
        <f>IF(OR(E2920="",E2920="!!!"),"",IF(NOT(ISNA(VLOOKUP(E2920,E$1:E2919,1,FALSE()))),"OLD",IF(AND(E2920&lt;&gt;"",E2920&lt;&gt;"!!!"),"NEW","")))</f>
        <v> </v>
      </c>
      <c r="G2920" s="24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5" t="str">
        <f>IF(J2920&lt;&gt;1,"",IF(I2920="SBJ","CB","?"))</f>
        <v> </v>
      </c>
      <c r="I2920" s="26" t="str">
        <f>IF(OR(E2920="",E2920="!!!",F2920="NEW"),"",INDEX(B2919:B$2,-1+SUMPRODUCT(MAX(ROW(E2919:E$2)*(E2920=E2919:E$2)))))</f>
        <v> </v>
      </c>
      <c r="J2920" s="26" t="str">
        <f>IF(OR(E2920="",E2920="!!!",F2920="NEW"),"",COUNTBLANK(OFFSET(A$1,,,SUMPRODUCT(MAX(ROW(E$2:E2920)*(E2920=E$2:E2920)))))-COUNTBLANK(OFFSET(A$1,,,SUMPRODUCT(MAX(ROW(E$1:E2919)*(E2=E$1:E2919))))))</f>
        <v> </v>
      </c>
      <c r="K2920" s="26" t="str">
        <f>IF(OR(E2920="",E2920="!!!",F2920="NEW"),"",INDEX(J$1:J2919,SUMPRODUCT(MAX(ROW(E$1:E2919)*(E2920=E$1:E2919)))))</f>
        <v> </v>
      </c>
      <c r="L2920" s="27"/>
    </row>
    <row r="2921" spans="1:12">
      <c r="A2921" s="20" t="s">
        <v>1013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149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1195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 t="s">
        <v>257</v>
      </c>
      <c r="E2924" s="22">
        <f>IF(D2924="?OLD","!!!","")</f>
        <v/>
      </c>
      <c r="F2924" s="23" t="str">
        <f>IF(OR(E2924="",E2924="!!!"),"",IF(NOT(ISNA(VLOOKUP(E2924,E$1:E2923,1,FALSE()))),"OLD",IF(AND(E2924&lt;&gt;"",E2924&lt;&gt;"!!!"),"NEW","")))</f>
        <v> </v>
      </c>
      <c r="G2924" s="24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5" t="str">
        <f>IF(J2924&lt;&gt;1,"",IF(I2924="SBJ","CB","?"))</f>
        <v> </v>
      </c>
      <c r="I2924" s="26" t="str">
        <f>IF(OR(E2924="",E2924="!!!",F2924="NEW"),"",INDEX(B2923:B$2,-1+SUMPRODUCT(MAX(ROW(E2923:E$2)*(E2924=E2923:E$2)))))</f>
        <v> </v>
      </c>
      <c r="J2924" s="26" t="str">
        <f>IF(OR(E2924="",E2924="!!!",F2924="NEW"),"",COUNTBLANK(OFFSET(A$1,,,SUMPRODUCT(MAX(ROW(E$2:E2924)*(E2924=E$2:E2924)))))-COUNTBLANK(OFFSET(A$1,,,SUMPRODUCT(MAX(ROW(E$1:E2923)*(E2=E$1:E2923))))))</f>
        <v> </v>
      </c>
      <c r="K2924" s="26" t="str">
        <f>IF(OR(E2924="",E2924="!!!",F2924="NEW"),"",INDEX(J$1:J2923,SUMPRODUCT(MAX(ROW(E$1:E2923)*(E2924=E$1:E2923)))))</f>
        <v> </v>
      </c>
      <c r="L2924" s="27"/>
    </row>
    <row r="2925" spans="1:12">
      <c r="A2925" s="20" t="s">
        <v>1005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2165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1068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1013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1269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1690</v>
      </c>
      <c r="B2930" s="21" t="s">
        <v>1175</v>
      </c>
      <c r="C2930" s="21" t="s">
        <v>971</v>
      </c>
      <c r="D2930" s="21" t="s">
        <v>972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1013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149</v>
      </c>
      <c r="B2932" s="21" t="s">
        <v>1115</v>
      </c>
      <c r="C2932" s="21" t="s">
        <v>1232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1195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2166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1005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1006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1007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1013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1222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400</v>
      </c>
      <c r="B2940" s="21" t="s">
        <v>1339</v>
      </c>
      <c r="C2940" s="21" t="s">
        <v>971</v>
      </c>
      <c r="D2940" s="21" t="s">
        <v>972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1557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1593</v>
      </c>
      <c r="B2942" s="21" t="s">
        <v>1338</v>
      </c>
      <c r="C2942" s="21" t="s">
        <v>971</v>
      </c>
      <c r="D2942" s="21" t="s">
        <v>972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1013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149</v>
      </c>
      <c r="B2944" s="21" t="s">
        <v>1387</v>
      </c>
      <c r="C2944" s="21" t="s">
        <v>1232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 t="s">
        <v>1107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1048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985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979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/>
    </row>
    <row r="2950" spans="1:12">
      <c r="A2950" s="20" t="s">
        <v>2167</v>
      </c>
    </row>
    <row r="2951" spans="1:12">
      <c r="A2951" s="20" t="s">
        <v>1070</v>
      </c>
      <c r="E2951" s="22">
        <f>IF(D2951="?OLD","!!!","")</f>
        <v/>
      </c>
      <c r="F2951" s="23" t="str">
        <f>IF(OR(E2951="",E2951="!!!"),"",IF(NOT(ISNA(VLOOKUP(E2951,E$1:E2950,1,FALSE()))),"OLD",IF(AND(E2951&lt;&gt;"",E2951&lt;&gt;"!!!"),"NEW","")))</f>
        <v> </v>
      </c>
      <c r="G2951" s="24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5" t="str">
        <f>IF(J2951&lt;&gt;1,"",IF(I2951="SBJ","CB","?"))</f>
        <v> </v>
      </c>
      <c r="I2951" s="26" t="str">
        <f>IF(OR(E2951="",E2951="!!!",F2951="NEW"),"",INDEX(B2950:B$2,-1+SUMPRODUCT(MAX(ROW(E2950:E$2)*(E2951=E2950:E$2)))))</f>
        <v> </v>
      </c>
      <c r="J2951" s="26" t="str">
        <f>IF(OR(E2951="",E2951="!!!",F2951="NEW"),"",COUNTBLANK(OFFSET(A$1,,,SUMPRODUCT(MAX(ROW(E$2:E2951)*(E2951=E$2:E2951)))))-COUNTBLANK(OFFSET(A$1,,,SUMPRODUCT(MAX(ROW(E$1:E2950)*(E2=E$1:E2950))))))</f>
        <v> </v>
      </c>
      <c r="K2951" s="26" t="str">
        <f>IF(OR(E2951="",E2951="!!!",F2951="NEW"),"",INDEX(J$1:J2950,SUMPRODUCT(MAX(ROW(E$1:E2950)*(E2951=E$1:E2950)))))</f>
        <v> </v>
      </c>
      <c r="L2951" s="27"/>
    </row>
    <row r="2952" spans="1:12">
      <c r="A2952" s="20" t="s">
        <v>1195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1858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987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1207</v>
      </c>
      <c r="B2955" s="21" t="s">
        <v>995</v>
      </c>
      <c r="C2955" s="21" t="s">
        <v>1012</v>
      </c>
      <c r="D2955" s="21" t="s">
        <v>972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 t="s">
        <v>2168</v>
      </c>
      <c r="E2956" s="22">
        <f>IF(D2956="?OLD","!!!","")</f>
        <v/>
      </c>
      <c r="F2956" s="23" t="str">
        <f>IF(OR(E2956="",E2956="!!!"),"",IF(NOT(ISNA(VLOOKUP(E2956,E$1:E2955,1,FALSE()))),"OLD",IF(AND(E2956&lt;&gt;"",E2956&lt;&gt;"!!!"),"NEW","")))</f>
        <v> </v>
      </c>
      <c r="G2956" s="24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5" t="str">
        <f>IF(J2956&lt;&gt;1,"",IF(I2956="SBJ","CB","?"))</f>
        <v> </v>
      </c>
      <c r="I2956" s="26" t="str">
        <f>IF(OR(E2956="",E2956="!!!",F2956="NEW"),"",INDEX(B2955:B$2,-1+SUMPRODUCT(MAX(ROW(E2955:E$2)*(E2956=E2955:E$2)))))</f>
        <v> </v>
      </c>
      <c r="J2956" s="26" t="str">
        <f>IF(OR(E2956="",E2956="!!!",F2956="NEW"),"",COUNTBLANK(OFFSET(A$1,,,SUMPRODUCT(MAX(ROW(E$2:E2956)*(E2956=E$2:E2956)))))-COUNTBLANK(OFFSET(A$1,,,SUMPRODUCT(MAX(ROW(E$1:E2955)*(E2=E$1:E2955))))))</f>
        <v> </v>
      </c>
      <c r="K2956" s="26" t="str">
        <f>IF(OR(E2956="",E2956="!!!",F2956="NEW"),"",INDEX(J$1:J2955,SUMPRODUCT(MAX(ROW(E$1:E2955)*(E2956=E$1:E2955)))))</f>
        <v> </v>
      </c>
      <c r="L2956" s="27"/>
    </row>
    <row r="2957" spans="1:12">
      <c r="A2957" s="20" t="s">
        <v>979</v>
      </c>
      <c r="E2957" s="22">
        <f>IF(D2957="?OLD","!!!","")</f>
        <v/>
      </c>
      <c r="F2957" s="23" t="str">
        <f>IF(OR(E2957="",E2957="!!!"),"",IF(NOT(ISNA(VLOOKUP(E2957,E$1:E2956,1,FALSE()))),"OLD",IF(AND(E2957&lt;&gt;"",E2957&lt;&gt;"!!!"),"NEW","")))</f>
        <v> </v>
      </c>
      <c r="G2957" s="24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5" t="str">
        <f>IF(J2957&lt;&gt;1,"",IF(I2957="SBJ","CB","?"))</f>
        <v> </v>
      </c>
      <c r="I2957" s="26" t="str">
        <f>IF(OR(E2957="",E2957="!!!",F2957="NEW"),"",INDEX(B2956:B$2,-1+SUMPRODUCT(MAX(ROW(E2956:E$2)*(E2957=E2956:E$2)))))</f>
        <v> </v>
      </c>
      <c r="J2957" s="26" t="str">
        <f>IF(OR(E2957="",E2957="!!!",F2957="NEW"),"",COUNTBLANK(OFFSET(A$1,,,SUMPRODUCT(MAX(ROW(E$2:E2957)*(E2957=E$2:E2957)))))-COUNTBLANK(OFFSET(A$1,,,SUMPRODUCT(MAX(ROW(E$1:E2956)*(E2=E$1:E2956))))))</f>
        <v> </v>
      </c>
      <c r="K2957" s="26" t="str">
        <f>IF(OR(E2957="",E2957="!!!",F2957="NEW"),"",INDEX(J$1:J2956,SUMPRODUCT(MAX(ROW(E$1:E2956)*(E2957=E$1:E2956)))))</f>
        <v> </v>
      </c>
      <c r="L2957" s="27"/>
    </row>
    <row r="2958" spans="1:12">
      <c r="A2958" s="20"/>
    </row>
    <row r="2959" spans="1:12">
      <c r="A2959" s="20" t="s">
        <v>2169</v>
      </c>
    </row>
    <row r="2960" spans="1:12">
      <c r="A2960" s="20" t="s">
        <v>1155</v>
      </c>
      <c r="B2960" s="21" t="s">
        <v>975</v>
      </c>
      <c r="C2960" s="21" t="s">
        <v>1012</v>
      </c>
      <c r="D2960" s="21" t="s">
        <v>972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1213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2170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979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/>
    </row>
    <row r="2965" spans="1:12">
      <c r="A2965" s="20" t="s">
        <v>2171</v>
      </c>
    </row>
    <row r="2966" spans="1:12">
      <c r="A2966" s="20" t="s">
        <v>2172</v>
      </c>
      <c r="E2966" s="22">
        <f>IF(D2966="?OLD","!!!","")</f>
        <v/>
      </c>
      <c r="F2966" s="23" t="str">
        <f>IF(OR(E2966="",E2966="!!!"),"",IF(NOT(ISNA(VLOOKUP(E2966,E$1:E2965,1,FALSE()))),"OLD",IF(AND(E2966&lt;&gt;"",E2966&lt;&gt;"!!!"),"NEW","")))</f>
        <v> </v>
      </c>
      <c r="G2966" s="24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5" t="str">
        <f>IF(J2966&lt;&gt;1,"",IF(I2966="SBJ","CB","?"))</f>
        <v> </v>
      </c>
      <c r="I2966" s="26" t="str">
        <f>IF(OR(E2966="",E2966="!!!",F2966="NEW"),"",INDEX(B2965:B$2,-1+SUMPRODUCT(MAX(ROW(E2965:E$2)*(E2966=E2965:E$2)))))</f>
        <v> </v>
      </c>
      <c r="J2966" s="26" t="str">
        <f>IF(OR(E2966="",E2966="!!!",F2966="NEW"),"",COUNTBLANK(OFFSET(A$1,,,SUMPRODUCT(MAX(ROW(E$2:E2966)*(E2966=E$2:E2966)))))-COUNTBLANK(OFFSET(A$1,,,SUMPRODUCT(MAX(ROW(E$1:E2965)*(E2=E$1:E2965))))))</f>
        <v> </v>
      </c>
      <c r="K2966" s="26" t="str">
        <f>IF(OR(E2966="",E2966="!!!",F2966="NEW"),"",INDEX(J$1:J2965,SUMPRODUCT(MAX(ROW(E$1:E2965)*(E2966=E$1:E2965)))))</f>
        <v> </v>
      </c>
      <c r="L2966" s="27"/>
    </row>
    <row r="2967" spans="1:12">
      <c r="A2967" s="20" t="s">
        <v>2124</v>
      </c>
      <c r="B2967" s="21" t="s">
        <v>995</v>
      </c>
      <c r="C2967" s="21" t="s">
        <v>976</v>
      </c>
      <c r="D2967" s="21" t="s">
        <v>972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1013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 t="s">
        <v>1786</v>
      </c>
      <c r="E2969" s="22">
        <f>IF(D2969="?OLD","!!!","")</f>
        <v/>
      </c>
      <c r="F2969" s="23" t="str">
        <f>IF(OR(E2969="",E2969="!!!"),"",IF(NOT(ISNA(VLOOKUP(E2969,E$1:E2968,1,FALSE()))),"OLD",IF(AND(E2969&lt;&gt;"",E2969&lt;&gt;"!!!"),"NEW","")))</f>
        <v> </v>
      </c>
      <c r="G2969" s="24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5" t="str">
        <f>IF(J2969&lt;&gt;1,"",IF(I2969="SBJ","CB","?"))</f>
        <v> </v>
      </c>
      <c r="I2969" s="26" t="str">
        <f>IF(OR(E2969="",E2969="!!!",F2969="NEW"),"",INDEX(B2968:B$2,-1+SUMPRODUCT(MAX(ROW(E2968:E$2)*(E2969=E2968:E$2)))))</f>
        <v> </v>
      </c>
      <c r="J2969" s="26" t="str">
        <f>IF(OR(E2969="",E2969="!!!",F2969="NEW"),"",COUNTBLANK(OFFSET(A$1,,,SUMPRODUCT(MAX(ROW(E$2:E2969)*(E2969=E$2:E2969)))))-COUNTBLANK(OFFSET(A$1,,,SUMPRODUCT(MAX(ROW(E$1:E2968)*(E2=E$1:E2968))))))</f>
        <v> </v>
      </c>
      <c r="K2969" s="26" t="str">
        <f>IF(OR(E2969="",E2969="!!!",F2969="NEW"),"",INDEX(J$1:J2968,SUMPRODUCT(MAX(ROW(E$1:E2968)*(E2969=E$1:E2968)))))</f>
        <v> </v>
      </c>
      <c r="L2969" s="27"/>
    </row>
    <row r="2970" spans="1:12">
      <c r="A2970" s="20" t="s">
        <v>79</v>
      </c>
      <c r="E2970" s="22">
        <f>IF(D2970="?OLD","!!!","")</f>
        <v/>
      </c>
      <c r="F2970" s="23" t="str">
        <f>IF(OR(E2970="",E2970="!!!"),"",IF(NOT(ISNA(VLOOKUP(E2970,E$1:E2969,1,FALSE()))),"OLD",IF(AND(E2970&lt;&gt;"",E2970&lt;&gt;"!!!"),"NEW","")))</f>
        <v> </v>
      </c>
      <c r="G2970" s="24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5" t="str">
        <f>IF(J2970&lt;&gt;1,"",IF(I2970="SBJ","CB","?"))</f>
        <v> </v>
      </c>
      <c r="I2970" s="26" t="str">
        <f>IF(OR(E2970="",E2970="!!!",F2970="NEW"),"",INDEX(B2969:B$2,-1+SUMPRODUCT(MAX(ROW(E2969:E$2)*(E2970=E2969:E$2)))))</f>
        <v> </v>
      </c>
      <c r="J2970" s="26" t="str">
        <f>IF(OR(E2970="",E2970="!!!",F2970="NEW"),"",COUNTBLANK(OFFSET(A$1,,,SUMPRODUCT(MAX(ROW(E$2:E2970)*(E2970=E$2:E2970)))))-COUNTBLANK(OFFSET(A$1,,,SUMPRODUCT(MAX(ROW(E$1:E2969)*(E2=E$1:E2969))))))</f>
        <v> </v>
      </c>
      <c r="K2970" s="26" t="str">
        <f>IF(OR(E2970="",E2970="!!!",F2970="NEW"),"",INDEX(J$1:J2969,SUMPRODUCT(MAX(ROW(E$1:E2969)*(E2970=E$1:E2969)))))</f>
        <v> </v>
      </c>
      <c r="L2970" s="27"/>
    </row>
    <row r="2971" spans="1:12">
      <c r="A2971" s="20" t="s">
        <v>990</v>
      </c>
      <c r="B2971" s="21" t="s">
        <v>978</v>
      </c>
      <c r="C2971" s="21" t="s">
        <v>991</v>
      </c>
      <c r="E2971" s="22">
        <f>IF(D2971="?OLD","!!!","")</f>
        <v/>
      </c>
      <c r="F2971" s="23" t="str">
        <f>IF(OR(E2971="",E2971="!!!"),"",IF(NOT(ISNA(VLOOKUP(E2971,E$1:E2970,1,FALSE()))),"OLD",IF(AND(E2971&lt;&gt;"",E2971&lt;&gt;"!!!"),"NEW","")))</f>
        <v> </v>
      </c>
      <c r="G2971" s="24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5" t="str">
        <f>IF(J2971&lt;&gt;1,"",IF(I2971="SBJ","CB","?"))</f>
        <v> </v>
      </c>
      <c r="I2971" s="26" t="str">
        <f>IF(OR(E2971="",E2971="!!!",F2971="NEW"),"",INDEX(B2970:B$2,-1+SUMPRODUCT(MAX(ROW(E2970:E$2)*(E2971=E2970:E$2)))))</f>
        <v> </v>
      </c>
      <c r="J2971" s="26" t="str">
        <f>IF(OR(E2971="",E2971="!!!",F2971="NEW"),"",COUNTBLANK(OFFSET(A$1,,,SUMPRODUCT(MAX(ROW(E$2:E2971)*(E2971=E$2:E2971)))))-COUNTBLANK(OFFSET(A$1,,,SUMPRODUCT(MAX(ROW(E$1:E2970)*(E2=E$1:E2970))))))</f>
        <v> </v>
      </c>
      <c r="K2971" s="26" t="str">
        <f>IF(OR(E2971="",E2971="!!!",F2971="NEW"),"",INDEX(J$1:J2970,SUMPRODUCT(MAX(ROW(E$1:E2970)*(E2971=E$1:E2970)))))</f>
        <v> </v>
      </c>
      <c r="L2971" s="27"/>
    </row>
    <row r="2972" spans="1:12">
      <c r="A2972" s="20" t="s">
        <v>1125</v>
      </c>
      <c r="B2972" s="21" t="s">
        <v>1101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1195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 t="s">
        <v>2173</v>
      </c>
      <c r="E2974" s="22">
        <f>IF(D2974="?OLD","!!!","")</f>
        <v/>
      </c>
      <c r="F2974" s="23" t="str">
        <f>IF(OR(E2974="",E2974="!!!"),"",IF(NOT(ISNA(VLOOKUP(E2974,E$1:E2973,1,FALSE()))),"OLD",IF(AND(E2974&lt;&gt;"",E2974&lt;&gt;"!!!"),"NEW","")))</f>
        <v> </v>
      </c>
      <c r="G2974" s="24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5" t="str">
        <f>IF(J2974&lt;&gt;1,"",IF(I2974="SBJ","CB","?"))</f>
        <v> </v>
      </c>
      <c r="I2974" s="26" t="str">
        <f>IF(OR(E2974="",E2974="!!!",F2974="NEW"),"",INDEX(B2973:B$2,-1+SUMPRODUCT(MAX(ROW(E2973:E$2)*(E2974=E2973:E$2)))))</f>
        <v> </v>
      </c>
      <c r="J2974" s="26" t="str">
        <f>IF(OR(E2974="",E2974="!!!",F2974="NEW"),"",COUNTBLANK(OFFSET(A$1,,,SUMPRODUCT(MAX(ROW(E$2:E2974)*(E2974=E$2:E2974)))))-COUNTBLANK(OFFSET(A$1,,,SUMPRODUCT(MAX(ROW(E$1:E2973)*(E2=E$1:E2973))))))</f>
        <v> </v>
      </c>
      <c r="K2974" s="26" t="str">
        <f>IF(OR(E2974="",E2974="!!!",F2974="NEW"),"",INDEX(J$1:J2973,SUMPRODUCT(MAX(ROW(E$1:E2973)*(E2974=E$1:E2973)))))</f>
        <v> </v>
      </c>
      <c r="L2974" s="27"/>
    </row>
    <row r="2975" spans="1:12">
      <c r="A2975" s="20" t="s">
        <v>2174</v>
      </c>
      <c r="E2975" s="22">
        <f>IF(D2975="?OLD","!!!","")</f>
        <v/>
      </c>
      <c r="F2975" s="23" t="str">
        <f>IF(OR(E2975="",E2975="!!!"),"",IF(NOT(ISNA(VLOOKUP(E2975,E$1:E2974,1,FALSE()))),"OLD",IF(AND(E2975&lt;&gt;"",E2975&lt;&gt;"!!!"),"NEW","")))</f>
        <v> </v>
      </c>
      <c r="G2975" s="24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5" t="str">
        <f>IF(J2975&lt;&gt;1,"",IF(I2975="SBJ","CB","?"))</f>
        <v> </v>
      </c>
      <c r="I2975" s="26" t="str">
        <f>IF(OR(E2975="",E2975="!!!",F2975="NEW"),"",INDEX(B2974:B$2,-1+SUMPRODUCT(MAX(ROW(E2974:E$2)*(E2975=E2974:E$2)))))</f>
        <v> </v>
      </c>
      <c r="J2975" s="26" t="str">
        <f>IF(OR(E2975="",E2975="!!!",F2975="NEW"),"",COUNTBLANK(OFFSET(A$1,,,SUMPRODUCT(MAX(ROW(E$2:E2975)*(E2975=E$2:E2975)))))-COUNTBLANK(OFFSET(A$1,,,SUMPRODUCT(MAX(ROW(E$1:E2974)*(E2=E$1:E2974))))))</f>
        <v> </v>
      </c>
      <c r="K2975" s="26" t="str">
        <f>IF(OR(E2975="",E2975="!!!",F2975="NEW"),"",INDEX(J$1:J2974,SUMPRODUCT(MAX(ROW(E$1:E2974)*(E2975=E$1:E2974)))))</f>
        <v> </v>
      </c>
      <c r="L2975" s="27"/>
    </row>
    <row r="2976" spans="1:12">
      <c r="A2976" s="20" t="s">
        <v>1013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1222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2107</v>
      </c>
      <c r="B2978" s="21" t="s">
        <v>1101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2109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719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2069</v>
      </c>
      <c r="B2981" s="21" t="s">
        <v>1003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1005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2175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1118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 t="s">
        <v>979</v>
      </c>
      <c r="E2985" s="22">
        <f>IF(D2985="?OLD","!!!","")</f>
        <v/>
      </c>
      <c r="F2985" s="23" t="str">
        <f>IF(OR(E2985="",E2985="!!!"),"",IF(NOT(ISNA(VLOOKUP(E2985,E$1:E2984,1,FALSE()))),"OLD",IF(AND(E2985&lt;&gt;"",E2985&lt;&gt;"!!!"),"NEW","")))</f>
        <v> </v>
      </c>
      <c r="G2985" s="24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5" t="str">
        <f>IF(J2985&lt;&gt;1,"",IF(I2985="SBJ","CB","?"))</f>
        <v> </v>
      </c>
      <c r="I2985" s="26" t="str">
        <f>IF(OR(E2985="",E2985="!!!",F2985="NEW"),"",INDEX(B2984:B$2,-1+SUMPRODUCT(MAX(ROW(E2984:E$2)*(E2985=E2984:E$2)))))</f>
        <v> </v>
      </c>
      <c r="J2985" s="26" t="str">
        <f>IF(OR(E2985="",E2985="!!!",F2985="NEW"),"",COUNTBLANK(OFFSET(A$1,,,SUMPRODUCT(MAX(ROW(E$2:E2985)*(E2985=E$2:E2985)))))-COUNTBLANK(OFFSET(A$1,,,SUMPRODUCT(MAX(ROW(E$1:E2984)*(E2=E$1:E2984))))))</f>
        <v> </v>
      </c>
      <c r="K2985" s="26" t="str">
        <f>IF(OR(E2985="",E2985="!!!",F2985="NEW"),"",INDEX(J$1:J2984,SUMPRODUCT(MAX(ROW(E$1:E2984)*(E2985=E$1:E2984)))))</f>
        <v> </v>
      </c>
      <c r="L2985" s="27"/>
    </row>
    <row r="2986" spans="1:12">
      <c r="A2986" s="20"/>
    </row>
    <row r="2987" spans="1:12">
      <c r="A2987" s="20" t="s">
        <v>2176</v>
      </c>
    </row>
    <row r="2988" spans="1:12">
      <c r="A2988" s="20" t="s">
        <v>1502</v>
      </c>
      <c r="B2988" s="21" t="s">
        <v>975</v>
      </c>
      <c r="C2988" s="21" t="s">
        <v>971</v>
      </c>
      <c r="D2988" s="21" t="s">
        <v>972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2177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 t="s">
        <v>1593</v>
      </c>
      <c r="E2990" s="22">
        <f>IF(D2990="?OLD","!!!","")</f>
        <v/>
      </c>
      <c r="F2990" s="23" t="str">
        <f>IF(OR(E2990="",E2990="!!!"),"",IF(NOT(ISNA(VLOOKUP(E2990,E$1:E2989,1,FALSE()))),"OLD",IF(AND(E2990&lt;&gt;"",E2990&lt;&gt;"!!!"),"NEW","")))</f>
        <v> </v>
      </c>
      <c r="G2990" s="24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5" t="str">
        <f>IF(J2990&lt;&gt;1,"",IF(I2990="SBJ","CB","?"))</f>
        <v> </v>
      </c>
      <c r="I2990" s="26" t="str">
        <f>IF(OR(E2990="",E2990="!!!",F2990="NEW"),"",INDEX(B2989:B$2,-1+SUMPRODUCT(MAX(ROW(E2989:E$2)*(E2990=E2989:E$2)))))</f>
        <v> </v>
      </c>
      <c r="J2990" s="26" t="str">
        <f>IF(OR(E2990="",E2990="!!!",F2990="NEW"),"",COUNTBLANK(OFFSET(A$1,,,SUMPRODUCT(MAX(ROW(E$2:E2990)*(E2990=E$2:E2990)))))-COUNTBLANK(OFFSET(A$1,,,SUMPRODUCT(MAX(ROW(E$1:E2989)*(E2=E$1:E2989))))))</f>
        <v> </v>
      </c>
      <c r="K2990" s="26" t="str">
        <f>IF(OR(E2990="",E2990="!!!",F2990="NEW"),"",INDEX(J$1:J2989,SUMPRODUCT(MAX(ROW(E$1:E2989)*(E2990=E$1:E2989)))))</f>
        <v> </v>
      </c>
      <c r="L2990" s="27"/>
    </row>
    <row r="2991" spans="1:12">
      <c r="A2991" s="20" t="s">
        <v>2178</v>
      </c>
      <c r="B2991" s="21" t="s">
        <v>970</v>
      </c>
      <c r="C2991" s="21" t="s">
        <v>991</v>
      </c>
      <c r="E2991" s="22">
        <f>IF(D2991="?OLD","!!!","")</f>
        <v/>
      </c>
      <c r="F2991" s="23" t="str">
        <f>IF(OR(E2991="",E2991="!!!"),"",IF(NOT(ISNA(VLOOKUP(E2991,E$1:E2990,1,FALSE()))),"OLD",IF(AND(E2991&lt;&gt;"",E2991&lt;&gt;"!!!"),"NEW","")))</f>
        <v> </v>
      </c>
      <c r="G2991" s="24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5" t="str">
        <f>IF(J2991&lt;&gt;1,"",IF(I2991="SBJ","CB","?"))</f>
        <v> </v>
      </c>
      <c r="I2991" s="26" t="str">
        <f>IF(OR(E2991="",E2991="!!!",F2991="NEW"),"",INDEX(B2990:B$2,-1+SUMPRODUCT(MAX(ROW(E2990:E$2)*(E2991=E2990:E$2)))))</f>
        <v> </v>
      </c>
      <c r="J2991" s="26" t="str">
        <f>IF(OR(E2991="",E2991="!!!",F2991="NEW"),"",COUNTBLANK(OFFSET(A$1,,,SUMPRODUCT(MAX(ROW(E$2:E2991)*(E2991=E$2:E2991)))))-COUNTBLANK(OFFSET(A$1,,,SUMPRODUCT(MAX(ROW(E$1:E2990)*(E2=E$1:E2990))))))</f>
        <v> </v>
      </c>
      <c r="K2991" s="26" t="str">
        <f>IF(OR(E2991="",E2991="!!!",F2991="NEW"),"",INDEX(J$1:J2990,SUMPRODUCT(MAX(ROW(E$1:E2990)*(E2991=E$1:E2990)))))</f>
        <v> </v>
      </c>
      <c r="L2991" s="27"/>
    </row>
    <row r="2992" spans="1:12">
      <c r="A2992" s="20" t="s">
        <v>2179</v>
      </c>
      <c r="E2992" s="22">
        <f>IF(D2992="?OLD","!!!","")</f>
        <v/>
      </c>
      <c r="F2992" s="23" t="str">
        <f>IF(OR(E2992="",E2992="!!!"),"",IF(NOT(ISNA(VLOOKUP(E2992,E$1:E2991,1,FALSE()))),"OLD",IF(AND(E2992&lt;&gt;"",E2992&lt;&gt;"!!!"),"NEW","")))</f>
        <v> </v>
      </c>
      <c r="G2992" s="24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5" t="str">
        <f>IF(J2992&lt;&gt;1,"",IF(I2992="SBJ","CB","?"))</f>
        <v> </v>
      </c>
      <c r="I2992" s="26" t="str">
        <f>IF(OR(E2992="",E2992="!!!",F2992="NEW"),"",INDEX(B2991:B$2,-1+SUMPRODUCT(MAX(ROW(E2991:E$2)*(E2992=E2991:E$2)))))</f>
        <v> </v>
      </c>
      <c r="J2992" s="26" t="str">
        <f>IF(OR(E2992="",E2992="!!!",F2992="NEW"),"",COUNTBLANK(OFFSET(A$1,,,SUMPRODUCT(MAX(ROW(E$2:E2992)*(E2992=E$2:E2992)))))-COUNTBLANK(OFFSET(A$1,,,SUMPRODUCT(MAX(ROW(E$1:E2991)*(E2=E$1:E2991))))))</f>
        <v> </v>
      </c>
      <c r="K2992" s="26" t="str">
        <f>IF(OR(E2992="",E2992="!!!",F2992="NEW"),"",INDEX(J$1:J2991,SUMPRODUCT(MAX(ROW(E$1:E2991)*(E2992=E$1:E2991)))))</f>
        <v> </v>
      </c>
      <c r="L2992" s="27"/>
    </row>
    <row r="2993" spans="1:12">
      <c r="A2993" s="20" t="s">
        <v>979</v>
      </c>
      <c r="E2993" s="22">
        <f>IF(D2993="?OLD","!!!","")</f>
        <v/>
      </c>
      <c r="F2993" s="23" t="str">
        <f>IF(OR(E2993="",E2993="!!!"),"",IF(NOT(ISNA(VLOOKUP(E2993,E$1:E2992,1,FALSE()))),"OLD",IF(AND(E2993&lt;&gt;"",E2993&lt;&gt;"!!!"),"NEW","")))</f>
        <v> </v>
      </c>
      <c r="G2993" s="24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5" t="str">
        <f>IF(J2993&lt;&gt;1,"",IF(I2993="SBJ","CB","?"))</f>
        <v> </v>
      </c>
      <c r="I2993" s="26" t="str">
        <f>IF(OR(E2993="",E2993="!!!",F2993="NEW"),"",INDEX(B2992:B$2,-1+SUMPRODUCT(MAX(ROW(E2992:E$2)*(E2993=E2992:E$2)))))</f>
        <v> </v>
      </c>
      <c r="J2993" s="26" t="str">
        <f>IF(OR(E2993="",E2993="!!!",F2993="NEW"),"",COUNTBLANK(OFFSET(A$1,,,SUMPRODUCT(MAX(ROW(E$2:E2993)*(E2993=E$2:E2993)))))-COUNTBLANK(OFFSET(A$1,,,SUMPRODUCT(MAX(ROW(E$1:E2992)*(E2=E$1:E2992))))))</f>
        <v> </v>
      </c>
      <c r="K2993" s="26" t="str">
        <f>IF(OR(E2993="",E2993="!!!",F2993="NEW"),"",INDEX(J$1:J2992,SUMPRODUCT(MAX(ROW(E$1:E2992)*(E2993=E$1:E2992)))))</f>
        <v> </v>
      </c>
      <c r="L2993" s="27"/>
    </row>
    <row r="2994" spans="1:12">
      <c r="A2994" s="20"/>
    </row>
    <row r="2995" spans="1:12">
      <c r="A2995" s="20" t="s">
        <v>2180</v>
      </c>
    </row>
    <row r="2996" spans="1:12">
      <c r="A2996" s="20" t="s">
        <v>1502</v>
      </c>
      <c r="B2996" s="21" t="s">
        <v>975</v>
      </c>
      <c r="C2996" s="21" t="s">
        <v>971</v>
      </c>
      <c r="D2996" s="21" t="s">
        <v>972</v>
      </c>
      <c r="E2996" s="22">
        <f>IF(D2996="?OLD","!!!","")</f>
        <v/>
      </c>
      <c r="F2996" s="23" t="str">
        <f>IF(OR(E2996="",E2996="!!!"),"",IF(NOT(ISNA(VLOOKUP(E2996,E$1:E2995,1,FALSE()))),"OLD",IF(AND(E2996&lt;&gt;"",E2996&lt;&gt;"!!!"),"NEW","")))</f>
        <v> </v>
      </c>
      <c r="G2996" s="24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5" t="str">
        <f>IF(J2996&lt;&gt;1,"",IF(I2996="SBJ","CB","?"))</f>
        <v> </v>
      </c>
      <c r="I2996" s="26" t="str">
        <f>IF(OR(E2996="",E2996="!!!",F2996="NEW"),"",INDEX(B2995:B$2,-1+SUMPRODUCT(MAX(ROW(E2995:E$2)*(E2996=E2995:E$2)))))</f>
        <v> </v>
      </c>
      <c r="J2996" s="26" t="str">
        <f>IF(OR(E2996="",E2996="!!!",F2996="NEW"),"",COUNTBLANK(OFFSET(A$1,,,SUMPRODUCT(MAX(ROW(E$2:E2996)*(E2996=E$2:E2996)))))-COUNTBLANK(OFFSET(A$1,,,SUMPRODUCT(MAX(ROW(E$1:E2995)*(E2=E$1:E2995))))))</f>
        <v> </v>
      </c>
      <c r="K2996" s="26" t="str">
        <f>IF(OR(E2996="",E2996="!!!",F2996="NEW"),"",INDEX(J$1:J2995,SUMPRODUCT(MAX(ROW(E$1:E2995)*(E2996=E$1:E2995)))))</f>
        <v> </v>
      </c>
      <c r="L2996" s="27"/>
    </row>
    <row r="2997" spans="1:12">
      <c r="A2997" s="20" t="s">
        <v>2181</v>
      </c>
      <c r="E2997" s="22">
        <f>IF(D2997="?OLD","!!!","")</f>
        <v/>
      </c>
      <c r="F2997" s="23" t="str">
        <f>IF(OR(E2997="",E2997="!!!"),"",IF(NOT(ISNA(VLOOKUP(E2997,E$1:E2996,1,FALSE()))),"OLD",IF(AND(E2997&lt;&gt;"",E2997&lt;&gt;"!!!"),"NEW","")))</f>
        <v> </v>
      </c>
      <c r="G2997" s="24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5" t="str">
        <f>IF(J2997&lt;&gt;1,"",IF(I2997="SBJ","CB","?"))</f>
        <v> </v>
      </c>
      <c r="I2997" s="26" t="str">
        <f>IF(OR(E2997="",E2997="!!!",F2997="NEW"),"",INDEX(B2996:B$2,-1+SUMPRODUCT(MAX(ROW(E2996:E$2)*(E2997=E2996:E$2)))))</f>
        <v> </v>
      </c>
      <c r="J2997" s="26" t="str">
        <f>IF(OR(E2997="",E2997="!!!",F2997="NEW"),"",COUNTBLANK(OFFSET(A$1,,,SUMPRODUCT(MAX(ROW(E$2:E2997)*(E2997=E$2:E2997)))))-COUNTBLANK(OFFSET(A$1,,,SUMPRODUCT(MAX(ROW(E$1:E2996)*(E2=E$1:E2996))))))</f>
        <v> </v>
      </c>
      <c r="K2997" s="26" t="str">
        <f>IF(OR(E2997="",E2997="!!!",F2997="NEW"),"",INDEX(J$1:J2996,SUMPRODUCT(MAX(ROW(E$1:E2996)*(E2997=E$1:E2996)))))</f>
        <v> </v>
      </c>
      <c r="L2997" s="27"/>
    </row>
    <row r="2998" spans="1:12">
      <c r="A2998" s="20" t="s">
        <v>2069</v>
      </c>
      <c r="B2998" s="21" t="s">
        <v>970</v>
      </c>
      <c r="E2998" s="22">
        <f>IF(D2998="?OLD","!!!","")</f>
        <v/>
      </c>
      <c r="F2998" s="23" t="str">
        <f>IF(OR(E2998="",E2998="!!!"),"",IF(NOT(ISNA(VLOOKUP(E2998,E$1:E2997,1,FALSE()))),"OLD",IF(AND(E2998&lt;&gt;"",E2998&lt;&gt;"!!!"),"NEW","")))</f>
        <v> </v>
      </c>
      <c r="G2998" s="24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5" t="str">
        <f>IF(J2998&lt;&gt;1,"",IF(I2998="SBJ","CB","?"))</f>
        <v> </v>
      </c>
      <c r="I2998" s="26" t="str">
        <f>IF(OR(E2998="",E2998="!!!",F2998="NEW"),"",INDEX(B2997:B$2,-1+SUMPRODUCT(MAX(ROW(E2997:E$2)*(E2998=E2997:E$2)))))</f>
        <v> </v>
      </c>
      <c r="J2998" s="26" t="str">
        <f>IF(OR(E2998="",E2998="!!!",F2998="NEW"),"",COUNTBLANK(OFFSET(A$1,,,SUMPRODUCT(MAX(ROW(E$2:E2998)*(E2998=E$2:E2998)))))-COUNTBLANK(OFFSET(A$1,,,SUMPRODUCT(MAX(ROW(E$1:E2997)*(E2=E$1:E2997))))))</f>
        <v> </v>
      </c>
      <c r="K2998" s="26" t="str">
        <f>IF(OR(E2998="",E2998="!!!",F2998="NEW"),"",INDEX(J$1:J2997,SUMPRODUCT(MAX(ROW(E$1:E2997)*(E2998=E$1:E2997)))))</f>
        <v> </v>
      </c>
      <c r="L2998" s="27"/>
    </row>
    <row r="2999" spans="1:12">
      <c r="A2999" s="20" t="s">
        <v>1013</v>
      </c>
      <c r="E2999" s="22">
        <f>IF(D2999="?OLD","!!!","")</f>
        <v/>
      </c>
      <c r="F2999" s="23" t="str">
        <f>IF(OR(E2999="",E2999="!!!"),"",IF(NOT(ISNA(VLOOKUP(E2999,E$1:E2998,1,FALSE()))),"OLD",IF(AND(E2999&lt;&gt;"",E2999&lt;&gt;"!!!"),"NEW","")))</f>
        <v> </v>
      </c>
      <c r="G2999" s="24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5" t="str">
        <f>IF(J2999&lt;&gt;1,"",IF(I2999="SBJ","CB","?"))</f>
        <v> </v>
      </c>
      <c r="I2999" s="26" t="str">
        <f>IF(OR(E2999="",E2999="!!!",F2999="NEW"),"",INDEX(B2998:B$2,-1+SUMPRODUCT(MAX(ROW(E2998:E$2)*(E2999=E2998:E$2)))))</f>
        <v> </v>
      </c>
      <c r="J2999" s="26" t="str">
        <f>IF(OR(E2999="",E2999="!!!",F2999="NEW"),"",COUNTBLANK(OFFSET(A$1,,,SUMPRODUCT(MAX(ROW(E$2:E2999)*(E2999=E$2:E2999)))))-COUNTBLANK(OFFSET(A$1,,,SUMPRODUCT(MAX(ROW(E$1:E2998)*(E2=E$1:E2998))))))</f>
        <v> </v>
      </c>
      <c r="K2999" s="26" t="str">
        <f>IF(OR(E2999="",E2999="!!!",F2999="NEW"),"",INDEX(J$1:J2998,SUMPRODUCT(MAX(ROW(E$1:E2998)*(E2999=E$1:E2998)))))</f>
        <v> </v>
      </c>
      <c r="L2999" s="27"/>
    </row>
    <row r="3000" spans="1:12">
      <c r="A3000" s="20" t="s">
        <v>1222</v>
      </c>
      <c r="E3000" s="22">
        <f>IF(D3000="?OLD","!!!","")</f>
        <v/>
      </c>
      <c r="F3000" s="23" t="str">
        <f>IF(OR(E3000="",E3000="!!!"),"",IF(NOT(ISNA(VLOOKUP(E3000,E$1:E2999,1,FALSE()))),"OLD",IF(AND(E3000&lt;&gt;"",E3000&lt;&gt;"!!!"),"NEW","")))</f>
        <v> </v>
      </c>
      <c r="G3000" s="24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5" t="str">
        <f>IF(J3000&lt;&gt;1,"",IF(I3000="SBJ","CB","?"))</f>
        <v> </v>
      </c>
      <c r="I3000" s="26" t="str">
        <f>IF(OR(E3000="",E3000="!!!",F3000="NEW"),"",INDEX(B2999:B$2,-1+SUMPRODUCT(MAX(ROW(E2999:E$2)*(E3000=E2999:E$2)))))</f>
        <v> </v>
      </c>
      <c r="J3000" s="26" t="str">
        <f>IF(OR(E3000="",E3000="!!!",F3000="NEW"),"",COUNTBLANK(OFFSET(A$1,,,SUMPRODUCT(MAX(ROW(E$2:E3000)*(E3000=E$2:E3000)))))-COUNTBLANK(OFFSET(A$1,,,SUMPRODUCT(MAX(ROW(E$1:E2999)*(E2=E$1:E2999))))))</f>
        <v> </v>
      </c>
      <c r="K3000" s="26" t="str">
        <f>IF(OR(E3000="",E3000="!!!",F3000="NEW"),"",INDEX(J$1:J2999,SUMPRODUCT(MAX(ROW(E$1:E2999)*(E3000=E$1:E2999)))))</f>
        <v> </v>
      </c>
      <c r="L3000" s="27"/>
    </row>
    <row r="3001" spans="1:12">
      <c r="A3001" s="20" t="s">
        <v>2182</v>
      </c>
      <c r="B3001" s="21" t="s">
        <v>1093</v>
      </c>
      <c r="C3001" s="21" t="s">
        <v>1200</v>
      </c>
      <c r="D3001" s="21" t="s">
        <v>972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2183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985</v>
      </c>
      <c r="B3003" s="21" t="s">
        <v>1175</v>
      </c>
      <c r="C3003" s="21" t="s">
        <v>1100</v>
      </c>
      <c r="D3003" s="21" t="s">
        <v>972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1102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 t="s">
        <v>1623</v>
      </c>
      <c r="E3005" s="22">
        <f>IF(D3005="?OLD","!!!","")</f>
        <v/>
      </c>
      <c r="F3005" s="23" t="str">
        <f>IF(OR(E3005="",E3005="!!!"),"",IF(NOT(ISNA(VLOOKUP(E3005,E$1:E3004,1,FALSE()))),"OLD",IF(AND(E3005&lt;&gt;"",E3005&lt;&gt;"!!!"),"NEW","")))</f>
        <v> </v>
      </c>
      <c r="G3005" s="24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5" t="str">
        <f>IF(J3005&lt;&gt;1,"",IF(I3005="SBJ","CB","?"))</f>
        <v> </v>
      </c>
      <c r="I3005" s="26" t="str">
        <f>IF(OR(E3005="",E3005="!!!",F3005="NEW"),"",INDEX(B3004:B$2,-1+SUMPRODUCT(MAX(ROW(E3004:E$2)*(E3005=E3004:E$2)))))</f>
        <v> </v>
      </c>
      <c r="J3005" s="26" t="str">
        <f>IF(OR(E3005="",E3005="!!!",F3005="NEW"),"",COUNTBLANK(OFFSET(A$1,,,SUMPRODUCT(MAX(ROW(E$2:E3005)*(E3005=E$2:E3005)))))-COUNTBLANK(OFFSET(A$1,,,SUMPRODUCT(MAX(ROW(E$1:E3004)*(E2=E$1:E3004))))))</f>
        <v> </v>
      </c>
      <c r="K3005" s="26" t="str">
        <f>IF(OR(E3005="",E3005="!!!",F3005="NEW"),"",INDEX(J$1:J3004,SUMPRODUCT(MAX(ROW(E$1:E3004)*(E3005=E$1:E3004)))))</f>
        <v> </v>
      </c>
      <c r="L3005" s="27"/>
    </row>
    <row r="3006" spans="1:12">
      <c r="A3006" s="20" t="s">
        <v>2184</v>
      </c>
      <c r="E3006" s="22">
        <f>IF(D3006="?OLD","!!!","")</f>
        <v/>
      </c>
      <c r="F3006" s="23" t="str">
        <f>IF(OR(E3006="",E3006="!!!"),"",IF(NOT(ISNA(VLOOKUP(E3006,E$1:E3005,1,FALSE()))),"OLD",IF(AND(E3006&lt;&gt;"",E3006&lt;&gt;"!!!"),"NEW","")))</f>
        <v> </v>
      </c>
      <c r="G3006" s="24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5" t="str">
        <f>IF(J3006&lt;&gt;1,"",IF(I3006="SBJ","CB","?"))</f>
        <v> </v>
      </c>
      <c r="I3006" s="26" t="str">
        <f>IF(OR(E3006="",E3006="!!!",F3006="NEW"),"",INDEX(B3005:B$2,-1+SUMPRODUCT(MAX(ROW(E3005:E$2)*(E3006=E3005:E$2)))))</f>
        <v> </v>
      </c>
      <c r="J3006" s="26" t="str">
        <f>IF(OR(E3006="",E3006="!!!",F3006="NEW"),"",COUNTBLANK(OFFSET(A$1,,,SUMPRODUCT(MAX(ROW(E$2:E3006)*(E3006=E$2:E3006)))))-COUNTBLANK(OFFSET(A$1,,,SUMPRODUCT(MAX(ROW(E$1:E3005)*(E2=E$1:E3005))))))</f>
        <v> </v>
      </c>
      <c r="K3006" s="26" t="str">
        <f>IF(OR(E3006="",E3006="!!!",F3006="NEW"),"",INDEX(J$1:J3005,SUMPRODUCT(MAX(ROW(E$1:E3005)*(E3006=E$1:E3005)))))</f>
        <v> </v>
      </c>
      <c r="L3006" s="27"/>
    </row>
    <row r="3007" spans="1:12">
      <c r="A3007" s="20" t="s">
        <v>1005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2185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853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979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/>
    </row>
    <row r="3012" spans="1:12">
      <c r="A3012" s="20" t="s">
        <v>2186</v>
      </c>
    </row>
    <row r="3013" spans="1:12">
      <c r="A3013" s="20" t="s">
        <v>1502</v>
      </c>
      <c r="B3013" s="21" t="s">
        <v>975</v>
      </c>
      <c r="C3013" s="21" t="s">
        <v>971</v>
      </c>
      <c r="D3013" s="21" t="s">
        <v>972</v>
      </c>
      <c r="E3013" s="22">
        <f>IF(D3013="?OLD","!!!","")</f>
        <v/>
      </c>
      <c r="F3013" s="23" t="str">
        <f>IF(OR(E3013="",E3013="!!!"),"",IF(NOT(ISNA(VLOOKUP(E3013,E$1:E3012,1,FALSE()))),"OLD",IF(AND(E3013&lt;&gt;"",E3013&lt;&gt;"!!!"),"NEW","")))</f>
        <v> </v>
      </c>
      <c r="G3013" s="24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5" t="str">
        <f>IF(J3013&lt;&gt;1,"",IF(I3013="SBJ","CB","?"))</f>
        <v> </v>
      </c>
      <c r="I3013" s="26" t="str">
        <f>IF(OR(E3013="",E3013="!!!",F3013="NEW"),"",INDEX(B3012:B$2,-1+SUMPRODUCT(MAX(ROW(E3012:E$2)*(E3013=E3012:E$2)))))</f>
        <v> </v>
      </c>
      <c r="J3013" s="26" t="str">
        <f>IF(OR(E3013="",E3013="!!!",F3013="NEW"),"",COUNTBLANK(OFFSET(A$1,,,SUMPRODUCT(MAX(ROW(E$2:E3013)*(E3013=E$2:E3013)))))-COUNTBLANK(OFFSET(A$1,,,SUMPRODUCT(MAX(ROW(E$1:E3012)*(E2=E$1:E3012))))))</f>
        <v> </v>
      </c>
      <c r="K3013" s="26" t="str">
        <f>IF(OR(E3013="",E3013="!!!",F3013="NEW"),"",INDEX(J$1:J3012,SUMPRODUCT(MAX(ROW(E$1:E3012)*(E3013=E$1:E3012)))))</f>
        <v> </v>
      </c>
      <c r="L3013" s="27"/>
    </row>
    <row r="3014" spans="1:12">
      <c r="A3014" s="20" t="s">
        <v>1102</v>
      </c>
      <c r="E3014" s="22">
        <f>IF(D3014="?OLD","!!!","")</f>
        <v/>
      </c>
      <c r="F3014" s="23" t="str">
        <f>IF(OR(E3014="",E3014="!!!"),"",IF(NOT(ISNA(VLOOKUP(E3014,E$1:E3013,1,FALSE()))),"OLD",IF(AND(E3014&lt;&gt;"",E3014&lt;&gt;"!!!"),"NEW","")))</f>
        <v> </v>
      </c>
      <c r="G3014" s="24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5" t="str">
        <f>IF(J3014&lt;&gt;1,"",IF(I3014="SBJ","CB","?"))</f>
        <v> </v>
      </c>
      <c r="I3014" s="26" t="str">
        <f>IF(OR(E3014="",E3014="!!!",F3014="NEW"),"",INDEX(B3013:B$2,-1+SUMPRODUCT(MAX(ROW(E3013:E$2)*(E3014=E3013:E$2)))))</f>
        <v> </v>
      </c>
      <c r="J3014" s="26" t="str">
        <f>IF(OR(E3014="",E3014="!!!",F3014="NEW"),"",COUNTBLANK(OFFSET(A$1,,,SUMPRODUCT(MAX(ROW(E$2:E3014)*(E3014=E$2:E3014)))))-COUNTBLANK(OFFSET(A$1,,,SUMPRODUCT(MAX(ROW(E$1:E3013)*(E2=E$1:E3013))))))</f>
        <v> </v>
      </c>
      <c r="K3014" s="26" t="str">
        <f>IF(OR(E3014="",E3014="!!!",F3014="NEW"),"",INDEX(J$1:J3013,SUMPRODUCT(MAX(ROW(E$1:E3013)*(E3014=E$1:E3013)))))</f>
        <v> </v>
      </c>
      <c r="L3014" s="27"/>
    </row>
    <row r="3015" spans="1:12">
      <c r="A3015" s="20" t="s">
        <v>1623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2187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2188</v>
      </c>
      <c r="B3017" s="21" t="s">
        <v>1087</v>
      </c>
      <c r="C3017" s="21" t="s">
        <v>976</v>
      </c>
      <c r="D3017" s="21" t="s">
        <v>972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1013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1053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742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 t="s">
        <v>2189</v>
      </c>
      <c r="E3021" s="22">
        <f>IF(D3021="?OLD","!!!","")</f>
        <v/>
      </c>
      <c r="F3021" s="23" t="str">
        <f>IF(OR(E3021="",E3021="!!!"),"",IF(NOT(ISNA(VLOOKUP(E3021,E$1:E3020,1,FALSE()))),"OLD",IF(AND(E3021&lt;&gt;"",E3021&lt;&gt;"!!!"),"NEW","")))</f>
        <v> </v>
      </c>
      <c r="G3021" s="24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5" t="str">
        <f>IF(J3021&lt;&gt;1,"",IF(I3021="SBJ","CB","?"))</f>
        <v> </v>
      </c>
      <c r="I3021" s="26" t="str">
        <f>IF(OR(E3021="",E3021="!!!",F3021="NEW"),"",INDEX(B3020:B$2,-1+SUMPRODUCT(MAX(ROW(E3020:E$2)*(E3021=E3020:E$2)))))</f>
        <v> </v>
      </c>
      <c r="J3021" s="26" t="str">
        <f>IF(OR(E3021="",E3021="!!!",F3021="NEW"),"",COUNTBLANK(OFFSET(A$1,,,SUMPRODUCT(MAX(ROW(E$2:E3021)*(E3021=E$2:E3021)))))-COUNTBLANK(OFFSET(A$1,,,SUMPRODUCT(MAX(ROW(E$1:E3020)*(E2=E$1:E3020))))))</f>
        <v> </v>
      </c>
      <c r="K3021" s="26" t="str">
        <f>IF(OR(E3021="",E3021="!!!",F3021="NEW"),"",INDEX(J$1:J3020,SUMPRODUCT(MAX(ROW(E$1:E3020)*(E3021=E$1:E3020)))))</f>
        <v> </v>
      </c>
      <c r="L3021" s="27"/>
    </row>
    <row r="3022" spans="1:12">
      <c r="A3022" s="20" t="s">
        <v>2190</v>
      </c>
      <c r="B3022" s="21" t="s">
        <v>1003</v>
      </c>
      <c r="E3022" s="22">
        <f>IF(D3022="?OLD","!!!","")</f>
        <v/>
      </c>
      <c r="F3022" s="23" t="str">
        <f>IF(OR(E3022="",E3022="!!!"),"",IF(NOT(ISNA(VLOOKUP(E3022,E$1:E3021,1,FALSE()))),"OLD",IF(AND(E3022&lt;&gt;"",E3022&lt;&gt;"!!!"),"NEW","")))</f>
        <v> </v>
      </c>
      <c r="G3022" s="24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5" t="str">
        <f>IF(J3022&lt;&gt;1,"",IF(I3022="SBJ","CB","?"))</f>
        <v> </v>
      </c>
      <c r="I3022" s="26" t="str">
        <f>IF(OR(E3022="",E3022="!!!",F3022="NEW"),"",INDEX(B3021:B$2,-1+SUMPRODUCT(MAX(ROW(E3021:E$2)*(E3022=E3021:E$2)))))</f>
        <v> </v>
      </c>
      <c r="J3022" s="26" t="str">
        <f>IF(OR(E3022="",E3022="!!!",F3022="NEW"),"",COUNTBLANK(OFFSET(A$1,,,SUMPRODUCT(MAX(ROW(E$2:E3022)*(E3022=E$2:E3022)))))-COUNTBLANK(OFFSET(A$1,,,SUMPRODUCT(MAX(ROW(E$1:E3021)*(E2=E$1:E3021))))))</f>
        <v> </v>
      </c>
      <c r="K3022" s="26" t="str">
        <f>IF(OR(E3022="",E3022="!!!",F3022="NEW"),"",INDEX(J$1:J3021,SUMPRODUCT(MAX(ROW(E$1:E3021)*(E3022=E$1:E3021)))))</f>
        <v> </v>
      </c>
      <c r="L3022" s="27"/>
    </row>
    <row r="3023" spans="1:12">
      <c r="A3023" s="20" t="s">
        <v>1162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 t="s">
        <v>1007</v>
      </c>
      <c r="E3024" s="22">
        <f>IF(D3024="?OLD","!!!","")</f>
        <v/>
      </c>
      <c r="F3024" s="23" t="str">
        <f>IF(OR(E3024="",E3024="!!!"),"",IF(NOT(ISNA(VLOOKUP(E3024,E$1:E3023,1,FALSE()))),"OLD",IF(AND(E3024&lt;&gt;"",E3024&lt;&gt;"!!!"),"NEW","")))</f>
        <v> </v>
      </c>
      <c r="G3024" s="24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5" t="str">
        <f>IF(J3024&lt;&gt;1,"",IF(I3024="SBJ","CB","?"))</f>
        <v> </v>
      </c>
      <c r="I3024" s="26" t="str">
        <f>IF(OR(E3024="",E3024="!!!",F3024="NEW"),"",INDEX(B3023:B$2,-1+SUMPRODUCT(MAX(ROW(E3023:E$2)*(E3024=E3023:E$2)))))</f>
        <v> </v>
      </c>
      <c r="J3024" s="26" t="str">
        <f>IF(OR(E3024="",E3024="!!!",F3024="NEW"),"",COUNTBLANK(OFFSET(A$1,,,SUMPRODUCT(MAX(ROW(E$2:E3024)*(E3024=E$2:E3024)))))-COUNTBLANK(OFFSET(A$1,,,SUMPRODUCT(MAX(ROW(E$1:E3023)*(E2=E$1:E3023))))))</f>
        <v> </v>
      </c>
      <c r="K3024" s="26" t="str">
        <f>IF(OR(E3024="",E3024="!!!",F3024="NEW"),"",INDEX(J$1:J3023,SUMPRODUCT(MAX(ROW(E$1:E3023)*(E3024=E$1:E3023)))))</f>
        <v> </v>
      </c>
      <c r="L3024" s="27"/>
    </row>
    <row r="3025" spans="1:12">
      <c r="A3025" s="20" t="s">
        <v>1013</v>
      </c>
      <c r="E3025" s="22">
        <f>IF(D3025="?OLD","!!!","")</f>
        <v/>
      </c>
      <c r="F3025" s="23" t="str">
        <f>IF(OR(E3025="",E3025="!!!"),"",IF(NOT(ISNA(VLOOKUP(E3025,E$1:E3024,1,FALSE()))),"OLD",IF(AND(E3025&lt;&gt;"",E3025&lt;&gt;"!!!"),"NEW","")))</f>
        <v> </v>
      </c>
      <c r="G3025" s="24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5" t="str">
        <f>IF(J3025&lt;&gt;1,"",IF(I3025="SBJ","CB","?"))</f>
        <v> </v>
      </c>
      <c r="I3025" s="26" t="str">
        <f>IF(OR(E3025="",E3025="!!!",F3025="NEW"),"",INDEX(B3024:B$2,-1+SUMPRODUCT(MAX(ROW(E3024:E$2)*(E3025=E3024:E$2)))))</f>
        <v> </v>
      </c>
      <c r="J3025" s="26" t="str">
        <f>IF(OR(E3025="",E3025="!!!",F3025="NEW"),"",COUNTBLANK(OFFSET(A$1,,,SUMPRODUCT(MAX(ROW(E$2:E3025)*(E3025=E$2:E3025)))))-COUNTBLANK(OFFSET(A$1,,,SUMPRODUCT(MAX(ROW(E$1:E3024)*(E2=E$1:E3024))))))</f>
        <v> </v>
      </c>
      <c r="K3025" s="26" t="str">
        <f>IF(OR(E3025="",E3025="!!!",F3025="NEW"),"",INDEX(J$1:J3024,SUMPRODUCT(MAX(ROW(E$1:E3024)*(E3025=E$1:E3024)))))</f>
        <v> </v>
      </c>
      <c r="L3025" s="27"/>
    </row>
    <row r="3026" spans="1:12">
      <c r="A3026" s="20" t="s">
        <v>2191</v>
      </c>
      <c r="E3026" s="22">
        <f>IF(D3026="?OLD","!!!","")</f>
        <v/>
      </c>
      <c r="F3026" s="23" t="str">
        <f>IF(OR(E3026="",E3026="!!!"),"",IF(NOT(ISNA(VLOOKUP(E3026,E$1:E3025,1,FALSE()))),"OLD",IF(AND(E3026&lt;&gt;"",E3026&lt;&gt;"!!!"),"NEW","")))</f>
        <v> </v>
      </c>
      <c r="G3026" s="24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5" t="str">
        <f>IF(J3026&lt;&gt;1,"",IF(I3026="SBJ","CB","?"))</f>
        <v> </v>
      </c>
      <c r="I3026" s="26" t="str">
        <f>IF(OR(E3026="",E3026="!!!",F3026="NEW"),"",INDEX(B3025:B$2,-1+SUMPRODUCT(MAX(ROW(E3025:E$2)*(E3026=E3025:E$2)))))</f>
        <v> </v>
      </c>
      <c r="J3026" s="26" t="str">
        <f>IF(OR(E3026="",E3026="!!!",F3026="NEW"),"",COUNTBLANK(OFFSET(A$1,,,SUMPRODUCT(MAX(ROW(E$2:E3026)*(E3026=E$2:E3026)))))-COUNTBLANK(OFFSET(A$1,,,SUMPRODUCT(MAX(ROW(E$1:E3025)*(E2=E$1:E3025))))))</f>
        <v> </v>
      </c>
      <c r="K3026" s="26" t="str">
        <f>IF(OR(E3026="",E3026="!!!",F3026="NEW"),"",INDEX(J$1:J3025,SUMPRODUCT(MAX(ROW(E$1:E3025)*(E3026=E$1:E3025)))))</f>
        <v> </v>
      </c>
      <c r="L3026" s="27"/>
    </row>
    <row r="3027" spans="1:12">
      <c r="A3027" s="20" t="s">
        <v>1044</v>
      </c>
      <c r="E3027" s="22">
        <f>IF(D3027="?OLD","!!!","")</f>
        <v/>
      </c>
      <c r="F3027" s="23" t="str">
        <f>IF(OR(E3027="",E3027="!!!"),"",IF(NOT(ISNA(VLOOKUP(E3027,E$1:E3026,1,FALSE()))),"OLD",IF(AND(E3027&lt;&gt;"",E3027&lt;&gt;"!!!"),"NEW","")))</f>
        <v> </v>
      </c>
      <c r="G3027" s="24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5" t="str">
        <f>IF(J3027&lt;&gt;1,"",IF(I3027="SBJ","CB","?"))</f>
        <v> </v>
      </c>
      <c r="I3027" s="26" t="str">
        <f>IF(OR(E3027="",E3027="!!!",F3027="NEW"),"",INDEX(B3026:B$2,-1+SUMPRODUCT(MAX(ROW(E3026:E$2)*(E3027=E3026:E$2)))))</f>
        <v> </v>
      </c>
      <c r="J3027" s="26" t="str">
        <f>IF(OR(E3027="",E3027="!!!",F3027="NEW"),"",COUNTBLANK(OFFSET(A$1,,,SUMPRODUCT(MAX(ROW(E$2:E3027)*(E3027=E$2:E3027)))))-COUNTBLANK(OFFSET(A$1,,,SUMPRODUCT(MAX(ROW(E$1:E3026)*(E2=E$1:E3026))))))</f>
        <v> </v>
      </c>
      <c r="K3027" s="26" t="str">
        <f>IF(OR(E3027="",E3027="!!!",F3027="NEW"),"",INDEX(J$1:J3026,SUMPRODUCT(MAX(ROW(E$1:E3026)*(E3027=E$1:E3026)))))</f>
        <v> </v>
      </c>
      <c r="L3027" s="27"/>
    </row>
    <row r="3028" spans="1:12">
      <c r="A3028" s="20" t="s">
        <v>2053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1390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1027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1013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1391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2192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688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987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2193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 t="s">
        <v>2194</v>
      </c>
      <c r="E3037" s="22">
        <f>IF(D3037="?OLD","!!!","")</f>
        <v/>
      </c>
      <c r="F3037" s="23" t="str">
        <f>IF(OR(E3037="",E3037="!!!"),"",IF(NOT(ISNA(VLOOKUP(E3037,E$1:E3036,1,FALSE()))),"OLD",IF(AND(E3037&lt;&gt;"",E3037&lt;&gt;"!!!"),"NEW","")))</f>
        <v> </v>
      </c>
      <c r="G3037" s="24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5" t="str">
        <f>IF(J3037&lt;&gt;1,"",IF(I3037="SBJ","CB","?"))</f>
        <v> </v>
      </c>
      <c r="I3037" s="26" t="str">
        <f>IF(OR(E3037="",E3037="!!!",F3037="NEW"),"",INDEX(B3036:B$2,-1+SUMPRODUCT(MAX(ROW(E3036:E$2)*(E3037=E3036:E$2)))))</f>
        <v> </v>
      </c>
      <c r="J3037" s="26" t="str">
        <f>IF(OR(E3037="",E3037="!!!",F3037="NEW"),"",COUNTBLANK(OFFSET(A$1,,,SUMPRODUCT(MAX(ROW(E$2:E3037)*(E3037=E$2:E3037)))))-COUNTBLANK(OFFSET(A$1,,,SUMPRODUCT(MAX(ROW(E$1:E3036)*(E2=E$1:E3036))))))</f>
        <v> </v>
      </c>
      <c r="K3037" s="26" t="str">
        <f>IF(OR(E3037="",E3037="!!!",F3037="NEW"),"",INDEX(J$1:J3036,SUMPRODUCT(MAX(ROW(E$1:E3036)*(E3037=E$1:E3036)))))</f>
        <v> </v>
      </c>
      <c r="L3037" s="27"/>
    </row>
    <row r="3038" spans="1:12">
      <c r="A3038" s="20" t="s">
        <v>979</v>
      </c>
      <c r="E3038" s="22">
        <f>IF(D3038="?OLD","!!!","")</f>
        <v/>
      </c>
      <c r="F3038" s="23" t="str">
        <f>IF(OR(E3038="",E3038="!!!"),"",IF(NOT(ISNA(VLOOKUP(E3038,E$1:E3037,1,FALSE()))),"OLD",IF(AND(E3038&lt;&gt;"",E3038&lt;&gt;"!!!"),"NEW","")))</f>
        <v> </v>
      </c>
      <c r="G3038" s="24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5" t="str">
        <f>IF(J3038&lt;&gt;1,"",IF(I3038="SBJ","CB","?"))</f>
        <v> </v>
      </c>
      <c r="I3038" s="26" t="str">
        <f>IF(OR(E3038="",E3038="!!!",F3038="NEW"),"",INDEX(B3037:B$2,-1+SUMPRODUCT(MAX(ROW(E3037:E$2)*(E3038=E3037:E$2)))))</f>
        <v> </v>
      </c>
      <c r="J3038" s="26" t="str">
        <f>IF(OR(E3038="",E3038="!!!",F3038="NEW"),"",COUNTBLANK(OFFSET(A$1,,,SUMPRODUCT(MAX(ROW(E$2:E3038)*(E3038=E$2:E3038)))))-COUNTBLANK(OFFSET(A$1,,,SUMPRODUCT(MAX(ROW(E$1:E3037)*(E2=E$1:E3037))))))</f>
        <v> </v>
      </c>
      <c r="K3038" s="26" t="str">
        <f>IF(OR(E3038="",E3038="!!!",F3038="NEW"),"",INDEX(J$1:J3037,SUMPRODUCT(MAX(ROW(E$1:E3037)*(E3038=E$1:E3037)))))</f>
        <v> </v>
      </c>
      <c r="L3038" s="27"/>
    </row>
    <row r="3039" spans="1:12">
      <c r="A3039" s="20"/>
    </row>
    <row r="3040" spans="1:12">
      <c r="A3040" s="20" t="s">
        <v>2195</v>
      </c>
    </row>
    <row r="3041" spans="1:12">
      <c r="A3041" s="20" t="s">
        <v>1401</v>
      </c>
      <c r="E3041" s="22">
        <f>IF(D3041="?OLD","!!!","")</f>
        <v/>
      </c>
      <c r="F3041" s="23" t="str">
        <f>IF(OR(E3041="",E3041="!!!"),"",IF(NOT(ISNA(VLOOKUP(E3041,E$1:E3040,1,FALSE()))),"OLD",IF(AND(E3041&lt;&gt;"",E3041&lt;&gt;"!!!"),"NEW","")))</f>
        <v> </v>
      </c>
      <c r="G3041" s="24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5" t="str">
        <f>IF(J3041&lt;&gt;1,"",IF(I3041="SBJ","CB","?"))</f>
        <v> </v>
      </c>
      <c r="I3041" s="26" t="str">
        <f>IF(OR(E3041="",E3041="!!!",F3041="NEW"),"",INDEX(B3040:B$2,-1+SUMPRODUCT(MAX(ROW(E3040:E$2)*(E3041=E3040:E$2)))))</f>
        <v> </v>
      </c>
      <c r="J3041" s="26" t="str">
        <f>IF(OR(E3041="",E3041="!!!",F3041="NEW"),"",COUNTBLANK(OFFSET(A$1,,,SUMPRODUCT(MAX(ROW(E$2:E3041)*(E3041=E$2:E3041)))))-COUNTBLANK(OFFSET(A$1,,,SUMPRODUCT(MAX(ROW(E$1:E3040)*(E2=E$1:E3040))))))</f>
        <v> </v>
      </c>
      <c r="K3041" s="26" t="str">
        <f>IF(OR(E3041="",E3041="!!!",F3041="NEW"),"",INDEX(J$1:J3040,SUMPRODUCT(MAX(ROW(E$1:E3040)*(E3041=E$1:E3040)))))</f>
        <v> </v>
      </c>
      <c r="L3041" s="27"/>
    </row>
    <row r="3042" spans="1:12">
      <c r="A3042" s="20" t="s">
        <v>2196</v>
      </c>
      <c r="E3042" s="22">
        <f>IF(D3042="?OLD","!!!","")</f>
        <v/>
      </c>
      <c r="F3042" s="23" t="str">
        <f>IF(OR(E3042="",E3042="!!!"),"",IF(NOT(ISNA(VLOOKUP(E3042,E$1:E3041,1,FALSE()))),"OLD",IF(AND(E3042&lt;&gt;"",E3042&lt;&gt;"!!!"),"NEW","")))</f>
        <v> </v>
      </c>
      <c r="G3042" s="24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5" t="str">
        <f>IF(J3042&lt;&gt;1,"",IF(I3042="SBJ","CB","?"))</f>
        <v> </v>
      </c>
      <c r="I3042" s="26" t="str">
        <f>IF(OR(E3042="",E3042="!!!",F3042="NEW"),"",INDEX(B3041:B$2,-1+SUMPRODUCT(MAX(ROW(E3041:E$2)*(E3042=E3041:E$2)))))</f>
        <v> </v>
      </c>
      <c r="J3042" s="26" t="str">
        <f>IF(OR(E3042="",E3042="!!!",F3042="NEW"),"",COUNTBLANK(OFFSET(A$1,,,SUMPRODUCT(MAX(ROW(E$2:E3042)*(E3042=E$2:E3042)))))-COUNTBLANK(OFFSET(A$1,,,SUMPRODUCT(MAX(ROW(E$1:E3041)*(E2=E$1:E3041))))))</f>
        <v> </v>
      </c>
      <c r="K3042" s="26" t="str">
        <f>IF(OR(E3042="",E3042="!!!",F3042="NEW"),"",INDEX(J$1:J3041,SUMPRODUCT(MAX(ROW(E$1:E3041)*(E3042=E$1:E3041)))))</f>
        <v> </v>
      </c>
      <c r="L3042" s="27"/>
    </row>
    <row r="3043" spans="1:12">
      <c r="A3043" s="20" t="s">
        <v>742</v>
      </c>
      <c r="E3043" s="22">
        <f>IF(D3043="?OLD","!!!","")</f>
        <v/>
      </c>
      <c r="F3043" s="23" t="str">
        <f>IF(OR(E3043="",E3043="!!!"),"",IF(NOT(ISNA(VLOOKUP(E3043,E$1:E3042,1,FALSE()))),"OLD",IF(AND(E3043&lt;&gt;"",E3043&lt;&gt;"!!!"),"NEW","")))</f>
        <v> </v>
      </c>
      <c r="G3043" s="24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5" t="str">
        <f>IF(J3043&lt;&gt;1,"",IF(I3043="SBJ","CB","?"))</f>
        <v> </v>
      </c>
      <c r="I3043" s="26" t="str">
        <f>IF(OR(E3043="",E3043="!!!",F3043="NEW"),"",INDEX(B3042:B$2,-1+SUMPRODUCT(MAX(ROW(E3042:E$2)*(E3043=E3042:E$2)))))</f>
        <v> </v>
      </c>
      <c r="J3043" s="26" t="str">
        <f>IF(OR(E3043="",E3043="!!!",F3043="NEW"),"",COUNTBLANK(OFFSET(A$1,,,SUMPRODUCT(MAX(ROW(E$2:E3043)*(E3043=E$2:E3043)))))-COUNTBLANK(OFFSET(A$1,,,SUMPRODUCT(MAX(ROW(E$1:E3042)*(E2=E$1:E3042))))))</f>
        <v> </v>
      </c>
      <c r="K3043" s="26" t="str">
        <f>IF(OR(E3043="",E3043="!!!",F3043="NEW"),"",INDEX(J$1:J3042,SUMPRODUCT(MAX(ROW(E$1:E3042)*(E3043=E$1:E3042)))))</f>
        <v> </v>
      </c>
      <c r="L3043" s="27"/>
    </row>
    <row r="3044" spans="1:12">
      <c r="A3044" s="20" t="s">
        <v>2197</v>
      </c>
      <c r="B3044" s="21" t="s">
        <v>1087</v>
      </c>
      <c r="E3044" s="22">
        <f>IF(D3044="?OLD","!!!","")</f>
        <v/>
      </c>
      <c r="F3044" s="23" t="str">
        <f>IF(OR(E3044="",E3044="!!!"),"",IF(NOT(ISNA(VLOOKUP(E3044,E$1:E3043,1,FALSE()))),"OLD",IF(AND(E3044&lt;&gt;"",E3044&lt;&gt;"!!!"),"NEW","")))</f>
        <v> </v>
      </c>
      <c r="G3044" s="24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5" t="str">
        <f>IF(J3044&lt;&gt;1,"",IF(I3044="SBJ","CB","?"))</f>
        <v> </v>
      </c>
      <c r="I3044" s="26" t="str">
        <f>IF(OR(E3044="",E3044="!!!",F3044="NEW"),"",INDEX(B3043:B$2,-1+SUMPRODUCT(MAX(ROW(E3043:E$2)*(E3044=E3043:E$2)))))</f>
        <v> </v>
      </c>
      <c r="J3044" s="26" t="str">
        <f>IF(OR(E3044="",E3044="!!!",F3044="NEW"),"",COUNTBLANK(OFFSET(A$1,,,SUMPRODUCT(MAX(ROW(E$2:E3044)*(E3044=E$2:E3044)))))-COUNTBLANK(OFFSET(A$1,,,SUMPRODUCT(MAX(ROW(E$1:E3043)*(E2=E$1:E3043))))))</f>
        <v> </v>
      </c>
      <c r="K3044" s="26" t="str">
        <f>IF(OR(E3044="",E3044="!!!",F3044="NEW"),"",INDEX(J$1:J3043,SUMPRODUCT(MAX(ROW(E$1:E3043)*(E3044=E$1:E3043)))))</f>
        <v> </v>
      </c>
      <c r="L3044" s="27"/>
    </row>
    <row r="3045" spans="1:12">
      <c r="A3045" s="20" t="s">
        <v>1477</v>
      </c>
      <c r="E3045" s="22">
        <f>IF(D3045="?OLD","!!!","")</f>
        <v/>
      </c>
      <c r="F3045" s="23" t="str">
        <f>IF(OR(E3045="",E3045="!!!"),"",IF(NOT(ISNA(VLOOKUP(E3045,E$1:E3044,1,FALSE()))),"OLD",IF(AND(E3045&lt;&gt;"",E3045&lt;&gt;"!!!"),"NEW","")))</f>
        <v> </v>
      </c>
      <c r="G3045" s="24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5" t="str">
        <f>IF(J3045&lt;&gt;1,"",IF(I3045="SBJ","CB","?"))</f>
        <v> </v>
      </c>
      <c r="I3045" s="26" t="str">
        <f>IF(OR(E3045="",E3045="!!!",F3045="NEW"),"",INDEX(B3044:B$2,-1+SUMPRODUCT(MAX(ROW(E3044:E$2)*(E3045=E3044:E$2)))))</f>
        <v> </v>
      </c>
      <c r="J3045" s="26" t="str">
        <f>IF(OR(E3045="",E3045="!!!",F3045="NEW"),"",COUNTBLANK(OFFSET(A$1,,,SUMPRODUCT(MAX(ROW(E$2:E3045)*(E3045=E$2:E3045)))))-COUNTBLANK(OFFSET(A$1,,,SUMPRODUCT(MAX(ROW(E$1:E3044)*(E2=E$1:E3044))))))</f>
        <v> </v>
      </c>
      <c r="K3045" s="26" t="str">
        <f>IF(OR(E3045="",E3045="!!!",F3045="NEW"),"",INDEX(J$1:J3044,SUMPRODUCT(MAX(ROW(E$1:E3044)*(E3045=E$1:E3044)))))</f>
        <v> </v>
      </c>
      <c r="L3045" s="27"/>
    </row>
    <row r="3046" spans="1:12">
      <c r="A3046" s="20" t="s">
        <v>1013</v>
      </c>
      <c r="E3046" s="22">
        <f>IF(D3046="?OLD","!!!","")</f>
        <v/>
      </c>
      <c r="F3046" s="23" t="str">
        <f>IF(OR(E3046="",E3046="!!!"),"",IF(NOT(ISNA(VLOOKUP(E3046,E$1:E3045,1,FALSE()))),"OLD",IF(AND(E3046&lt;&gt;"",E3046&lt;&gt;"!!!"),"NEW","")))</f>
        <v> </v>
      </c>
      <c r="G3046" s="24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5" t="str">
        <f>IF(J3046&lt;&gt;1,"",IF(I3046="SBJ","CB","?"))</f>
        <v> </v>
      </c>
      <c r="I3046" s="26" t="str">
        <f>IF(OR(E3046="",E3046="!!!",F3046="NEW"),"",INDEX(B3045:B$2,-1+SUMPRODUCT(MAX(ROW(E3045:E$2)*(E3046=E3045:E$2)))))</f>
        <v> </v>
      </c>
      <c r="J3046" s="26" t="str">
        <f>IF(OR(E3046="",E3046="!!!",F3046="NEW"),"",COUNTBLANK(OFFSET(A$1,,,SUMPRODUCT(MAX(ROW(E$2:E3046)*(E3046=E$2:E3046)))))-COUNTBLANK(OFFSET(A$1,,,SUMPRODUCT(MAX(ROW(E$1:E3045)*(E2=E$1:E3045))))))</f>
        <v> </v>
      </c>
      <c r="K3046" s="26" t="str">
        <f>IF(OR(E3046="",E3046="!!!",F3046="NEW"),"",INDEX(J$1:J3045,SUMPRODUCT(MAX(ROW(E$1:E3045)*(E3046=E$1:E3045)))))</f>
        <v> </v>
      </c>
      <c r="L3046" s="27"/>
    </row>
    <row r="3047" spans="1:12">
      <c r="A3047" s="20" t="s">
        <v>1330</v>
      </c>
      <c r="E3047" s="22">
        <f>IF(D3047="?OLD","!!!","")</f>
        <v/>
      </c>
      <c r="F3047" s="23" t="str">
        <f>IF(OR(E3047="",E3047="!!!"),"",IF(NOT(ISNA(VLOOKUP(E3047,E$1:E3046,1,FALSE()))),"OLD",IF(AND(E3047&lt;&gt;"",E3047&lt;&gt;"!!!"),"NEW","")))</f>
        <v> </v>
      </c>
      <c r="G3047" s="24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5" t="str">
        <f>IF(J3047&lt;&gt;1,"",IF(I3047="SBJ","CB","?"))</f>
        <v> </v>
      </c>
      <c r="I3047" s="26" t="str">
        <f>IF(OR(E3047="",E3047="!!!",F3047="NEW"),"",INDEX(B3046:B$2,-1+SUMPRODUCT(MAX(ROW(E3046:E$2)*(E3047=E3046:E$2)))))</f>
        <v> </v>
      </c>
      <c r="J3047" s="26" t="str">
        <f>IF(OR(E3047="",E3047="!!!",F3047="NEW"),"",COUNTBLANK(OFFSET(A$1,,,SUMPRODUCT(MAX(ROW(E$2:E3047)*(E3047=E$2:E3047)))))-COUNTBLANK(OFFSET(A$1,,,SUMPRODUCT(MAX(ROW(E$1:E3046)*(E2=E$1:E3046))))))</f>
        <v> </v>
      </c>
      <c r="K3047" s="26" t="str">
        <f>IF(OR(E3047="",E3047="!!!",F3047="NEW"),"",INDEX(J$1:J3046,SUMPRODUCT(MAX(ROW(E$1:E3046)*(E3047=E$1:E3046)))))</f>
        <v> </v>
      </c>
      <c r="L3047" s="27"/>
    </row>
    <row r="3048" spans="1:12">
      <c r="A3048" s="20" t="s">
        <v>1189</v>
      </c>
      <c r="B3048" s="21" t="s">
        <v>1115</v>
      </c>
      <c r="C3048" s="21" t="s">
        <v>971</v>
      </c>
      <c r="D3048" s="21" t="s">
        <v>972</v>
      </c>
      <c r="E3048" s="22">
        <f>IF(D3048="?OLD","!!!","")</f>
        <v/>
      </c>
      <c r="F3048" s="23" t="str">
        <f>IF(OR(E3048="",E3048="!!!"),"",IF(NOT(ISNA(VLOOKUP(E3048,E$1:E3047,1,FALSE()))),"OLD",IF(AND(E3048&lt;&gt;"",E3048&lt;&gt;"!!!"),"NEW","")))</f>
        <v> </v>
      </c>
      <c r="G3048" s="24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5" t="str">
        <f>IF(J3048&lt;&gt;1,"",IF(I3048="SBJ","CB","?"))</f>
        <v> </v>
      </c>
      <c r="I3048" s="26" t="str">
        <f>IF(OR(E3048="",E3048="!!!",F3048="NEW"),"",INDEX(B3047:B$2,-1+SUMPRODUCT(MAX(ROW(E3047:E$2)*(E3048=E3047:E$2)))))</f>
        <v> </v>
      </c>
      <c r="J3048" s="26" t="str">
        <f>IF(OR(E3048="",E3048="!!!",F3048="NEW"),"",COUNTBLANK(OFFSET(A$1,,,SUMPRODUCT(MAX(ROW(E$2:E3048)*(E3048=E$2:E3048)))))-COUNTBLANK(OFFSET(A$1,,,SUMPRODUCT(MAX(ROW(E$1:E3047)*(E2=E$1:E3047))))))</f>
        <v> </v>
      </c>
      <c r="K3048" s="26" t="str">
        <f>IF(OR(E3048="",E3048="!!!",F3048="NEW"),"",INDEX(J$1:J3047,SUMPRODUCT(MAX(ROW(E$1:E3047)*(E3048=E$1:E3047)))))</f>
        <v> </v>
      </c>
      <c r="L3048" s="27"/>
    </row>
    <row r="3049" spans="1:12">
      <c r="A3049" s="20" t="s">
        <v>1766</v>
      </c>
      <c r="E3049" s="22">
        <f>IF(D3049="?OLD","!!!","")</f>
        <v/>
      </c>
      <c r="F3049" s="23" t="str">
        <f>IF(OR(E3049="",E3049="!!!"),"",IF(NOT(ISNA(VLOOKUP(E3049,E$1:E3048,1,FALSE()))),"OLD",IF(AND(E3049&lt;&gt;"",E3049&lt;&gt;"!!!"),"NEW","")))</f>
        <v> </v>
      </c>
      <c r="G3049" s="24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5" t="str">
        <f>IF(J3049&lt;&gt;1,"",IF(I3049="SBJ","CB","?"))</f>
        <v> </v>
      </c>
      <c r="I3049" s="26" t="str">
        <f>IF(OR(E3049="",E3049="!!!",F3049="NEW"),"",INDEX(B3048:B$2,-1+SUMPRODUCT(MAX(ROW(E3048:E$2)*(E3049=E3048:E$2)))))</f>
        <v> </v>
      </c>
      <c r="J3049" s="26" t="str">
        <f>IF(OR(E3049="",E3049="!!!",F3049="NEW"),"",COUNTBLANK(OFFSET(A$1,,,SUMPRODUCT(MAX(ROW(E$2:E3049)*(E3049=E$2:E3049)))))-COUNTBLANK(OFFSET(A$1,,,SUMPRODUCT(MAX(ROW(E$1:E3048)*(E2=E$1:E3048))))))</f>
        <v> </v>
      </c>
      <c r="K3049" s="26" t="str">
        <f>IF(OR(E3049="",E3049="!!!",F3049="NEW"),"",INDEX(J$1:J3048,SUMPRODUCT(MAX(ROW(E$1:E3048)*(E3049=E$1:E3048)))))</f>
        <v> </v>
      </c>
      <c r="L3049" s="27"/>
    </row>
    <row r="3050" spans="1:12">
      <c r="A3050" s="20" t="s">
        <v>1471</v>
      </c>
      <c r="E3050" s="22">
        <f>IF(D3050="?OLD","!!!","")</f>
        <v/>
      </c>
      <c r="F3050" s="23" t="str">
        <f>IF(OR(E3050="",E3050="!!!"),"",IF(NOT(ISNA(VLOOKUP(E3050,E$1:E3049,1,FALSE()))),"OLD",IF(AND(E3050&lt;&gt;"",E3050&lt;&gt;"!!!"),"NEW","")))</f>
        <v> </v>
      </c>
      <c r="G3050" s="24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5" t="str">
        <f>IF(J3050&lt;&gt;1,"",IF(I3050="SBJ","CB","?"))</f>
        <v> </v>
      </c>
      <c r="I3050" s="26" t="str">
        <f>IF(OR(E3050="",E3050="!!!",F3050="NEW"),"",INDEX(B3049:B$2,-1+SUMPRODUCT(MAX(ROW(E3049:E$2)*(E3050=E3049:E$2)))))</f>
        <v> </v>
      </c>
      <c r="J3050" s="26" t="str">
        <f>IF(OR(E3050="",E3050="!!!",F3050="NEW"),"",COUNTBLANK(OFFSET(A$1,,,SUMPRODUCT(MAX(ROW(E$2:E3050)*(E3050=E$2:E3050)))))-COUNTBLANK(OFFSET(A$1,,,SUMPRODUCT(MAX(ROW(E$1:E3049)*(E2=E$1:E3049))))))</f>
        <v> </v>
      </c>
      <c r="K3050" s="26" t="str">
        <f>IF(OR(E3050="",E3050="!!!",F3050="NEW"),"",INDEX(J$1:J3049,SUMPRODUCT(MAX(ROW(E$1:E3049)*(E3050=E$1:E3049)))))</f>
        <v> </v>
      </c>
      <c r="L3050" s="27"/>
    </row>
    <row r="3051" spans="1:12">
      <c r="A3051" s="20" t="s">
        <v>2198</v>
      </c>
      <c r="E3051" s="22">
        <f>IF(D3051="?OLD","!!!","")</f>
        <v/>
      </c>
      <c r="F3051" s="23" t="str">
        <f>IF(OR(E3051="",E3051="!!!"),"",IF(NOT(ISNA(VLOOKUP(E3051,E$1:E3050,1,FALSE()))),"OLD",IF(AND(E3051&lt;&gt;"",E3051&lt;&gt;"!!!"),"NEW","")))</f>
        <v> </v>
      </c>
      <c r="G3051" s="24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5" t="str">
        <f>IF(J3051&lt;&gt;1,"",IF(I3051="SBJ","CB","?"))</f>
        <v> </v>
      </c>
      <c r="I3051" s="26" t="str">
        <f>IF(OR(E3051="",E3051="!!!",F3051="NEW"),"",INDEX(B3050:B$2,-1+SUMPRODUCT(MAX(ROW(E3050:E$2)*(E3051=E3050:E$2)))))</f>
        <v> </v>
      </c>
      <c r="J3051" s="26" t="str">
        <f>IF(OR(E3051="",E3051="!!!",F3051="NEW"),"",COUNTBLANK(OFFSET(A$1,,,SUMPRODUCT(MAX(ROW(E$2:E3051)*(E3051=E$2:E3051)))))-COUNTBLANK(OFFSET(A$1,,,SUMPRODUCT(MAX(ROW(E$1:E3050)*(E2=E$1:E3050))))))</f>
        <v> </v>
      </c>
      <c r="K3051" s="26" t="str">
        <f>IF(OR(E3051="",E3051="!!!",F3051="NEW"),"",INDEX(J$1:J3050,SUMPRODUCT(MAX(ROW(E$1:E3050)*(E3051=E$1:E3050)))))</f>
        <v> </v>
      </c>
      <c r="L3051" s="27"/>
    </row>
    <row r="3052" spans="1:12">
      <c r="A3052" s="20" t="s">
        <v>979</v>
      </c>
      <c r="E3052" s="22">
        <f>IF(D3052="?OLD","!!!","")</f>
        <v/>
      </c>
      <c r="F3052" s="23" t="str">
        <f>IF(OR(E3052="",E3052="!!!"),"",IF(NOT(ISNA(VLOOKUP(E3052,E$1:E3051,1,FALSE()))),"OLD",IF(AND(E3052&lt;&gt;"",E3052&lt;&gt;"!!!"),"NEW","")))</f>
        <v> </v>
      </c>
      <c r="G3052" s="24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5" t="str">
        <f>IF(J3052&lt;&gt;1,"",IF(I3052="SBJ","CB","?"))</f>
        <v> </v>
      </c>
      <c r="I3052" s="26" t="str">
        <f>IF(OR(E3052="",E3052="!!!",F3052="NEW"),"",INDEX(B3051:B$2,-1+SUMPRODUCT(MAX(ROW(E3051:E$2)*(E3052=E3051:E$2)))))</f>
        <v> </v>
      </c>
      <c r="J3052" s="26" t="str">
        <f>IF(OR(E3052="",E3052="!!!",F3052="NEW"),"",COUNTBLANK(OFFSET(A$1,,,SUMPRODUCT(MAX(ROW(E$2:E3052)*(E3052=E$2:E3052)))))-COUNTBLANK(OFFSET(A$1,,,SUMPRODUCT(MAX(ROW(E$1:E3051)*(E2=E$1:E3051))))))</f>
        <v> </v>
      </c>
      <c r="K3052" s="26" t="str">
        <f>IF(OR(E3052="",E3052="!!!",F3052="NEW"),"",INDEX(J$1:J3051,SUMPRODUCT(MAX(ROW(E$1:E3051)*(E3052=E$1:E3051)))))</f>
        <v> </v>
      </c>
      <c r="L3052" s="27"/>
    </row>
    <row r="3053" spans="1:12">
      <c r="A3053" s="20"/>
    </row>
    <row r="3054" spans="1:12">
      <c r="A3054" s="20" t="s">
        <v>2199</v>
      </c>
    </row>
    <row r="3055" spans="1:12">
      <c r="A3055" s="20" t="s">
        <v>2200</v>
      </c>
      <c r="E3055" s="22">
        <f>IF(D3055="?OLD","!!!","")</f>
        <v/>
      </c>
      <c r="F3055" s="23" t="str">
        <f>IF(OR(E3055="",E3055="!!!"),"",IF(NOT(ISNA(VLOOKUP(E3055,E$1:E3054,1,FALSE()))),"OLD",IF(AND(E3055&lt;&gt;"",E3055&lt;&gt;"!!!"),"NEW","")))</f>
        <v> </v>
      </c>
      <c r="G3055" s="24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5" t="str">
        <f>IF(J3055&lt;&gt;1,"",IF(I3055="SBJ","CB","?"))</f>
        <v> </v>
      </c>
      <c r="I3055" s="26" t="str">
        <f>IF(OR(E3055="",E3055="!!!",F3055="NEW"),"",INDEX(B3054:B$2,-1+SUMPRODUCT(MAX(ROW(E3054:E$2)*(E3055=E3054:E$2)))))</f>
        <v> </v>
      </c>
      <c r="J3055" s="26" t="str">
        <f>IF(OR(E3055="",E3055="!!!",F3055="NEW"),"",COUNTBLANK(OFFSET(A$1,,,SUMPRODUCT(MAX(ROW(E$2:E3055)*(E3055=E$2:E3055)))))-COUNTBLANK(OFFSET(A$1,,,SUMPRODUCT(MAX(ROW(E$1:E3054)*(E2=E$1:E3054))))))</f>
        <v> </v>
      </c>
      <c r="K3055" s="26" t="str">
        <f>IF(OR(E3055="",E3055="!!!",F3055="NEW"),"",INDEX(J$1:J3054,SUMPRODUCT(MAX(ROW(E$1:E3054)*(E3055=E$1:E3054)))))</f>
        <v> </v>
      </c>
      <c r="L3055" s="27"/>
    </row>
    <row r="3056" spans="1:12">
      <c r="A3056" s="20" t="s">
        <v>2201</v>
      </c>
      <c r="E3056" s="22">
        <f>IF(D3056="?OLD","!!!","")</f>
        <v/>
      </c>
      <c r="F3056" s="23" t="str">
        <f>IF(OR(E3056="",E3056="!!!"),"",IF(NOT(ISNA(VLOOKUP(E3056,E$1:E3055,1,FALSE()))),"OLD",IF(AND(E3056&lt;&gt;"",E3056&lt;&gt;"!!!"),"NEW","")))</f>
        <v> </v>
      </c>
      <c r="G3056" s="24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5" t="str">
        <f>IF(J3056&lt;&gt;1,"",IF(I3056="SBJ","CB","?"))</f>
        <v> </v>
      </c>
      <c r="I3056" s="26" t="str">
        <f>IF(OR(E3056="",E3056="!!!",F3056="NEW"),"",INDEX(B3055:B$2,-1+SUMPRODUCT(MAX(ROW(E3055:E$2)*(E3056=E3055:E$2)))))</f>
        <v> </v>
      </c>
      <c r="J3056" s="26" t="str">
        <f>IF(OR(E3056="",E3056="!!!",F3056="NEW"),"",COUNTBLANK(OFFSET(A$1,,,SUMPRODUCT(MAX(ROW(E$2:E3056)*(E3056=E$2:E3056)))))-COUNTBLANK(OFFSET(A$1,,,SUMPRODUCT(MAX(ROW(E$1:E3055)*(E2=E$1:E3055))))))</f>
        <v> </v>
      </c>
      <c r="K3056" s="26" t="str">
        <f>IF(OR(E3056="",E3056="!!!",F3056="NEW"),"",INDEX(J$1:J3055,SUMPRODUCT(MAX(ROW(E$1:E3055)*(E3056=E$1:E3055)))))</f>
        <v> </v>
      </c>
      <c r="L3056" s="27"/>
    </row>
    <row r="3057" spans="1:12">
      <c r="A3057" s="20" t="s">
        <v>1013</v>
      </c>
      <c r="E3057" s="22">
        <f>IF(D3057="?OLD","!!!","")</f>
        <v/>
      </c>
      <c r="F3057" s="23" t="str">
        <f>IF(OR(E3057="",E3057="!!!"),"",IF(NOT(ISNA(VLOOKUP(E3057,E$1:E3056,1,FALSE()))),"OLD",IF(AND(E3057&lt;&gt;"",E3057&lt;&gt;"!!!"),"NEW","")))</f>
        <v> </v>
      </c>
      <c r="G3057" s="24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5" t="str">
        <f>IF(J3057&lt;&gt;1,"",IF(I3057="SBJ","CB","?"))</f>
        <v> </v>
      </c>
      <c r="I3057" s="26" t="str">
        <f>IF(OR(E3057="",E3057="!!!",F3057="NEW"),"",INDEX(B3056:B$2,-1+SUMPRODUCT(MAX(ROW(E3056:E$2)*(E3057=E3056:E$2)))))</f>
        <v> </v>
      </c>
      <c r="J3057" s="26" t="str">
        <f>IF(OR(E3057="",E3057="!!!",F3057="NEW"),"",COUNTBLANK(OFFSET(A$1,,,SUMPRODUCT(MAX(ROW(E$2:E3057)*(E3057=E$2:E3057)))))-COUNTBLANK(OFFSET(A$1,,,SUMPRODUCT(MAX(ROW(E$1:E3056)*(E2=E$1:E3056))))))</f>
        <v> </v>
      </c>
      <c r="K3057" s="26" t="str">
        <f>IF(OR(E3057="",E3057="!!!",F3057="NEW"),"",INDEX(J$1:J3056,SUMPRODUCT(MAX(ROW(E$1:E3056)*(E3057=E$1:E3056)))))</f>
        <v> </v>
      </c>
      <c r="L3057" s="27"/>
    </row>
    <row r="3058" spans="1:12">
      <c r="A3058" s="20" t="s">
        <v>257</v>
      </c>
      <c r="E3058" s="22">
        <f>IF(D3058="?OLD","!!!","")</f>
        <v/>
      </c>
      <c r="F3058" s="23" t="str">
        <f>IF(OR(E3058="",E3058="!!!"),"",IF(NOT(ISNA(VLOOKUP(E3058,E$1:E3057,1,FALSE()))),"OLD",IF(AND(E3058&lt;&gt;"",E3058&lt;&gt;"!!!"),"NEW","")))</f>
        <v> </v>
      </c>
      <c r="G3058" s="24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5" t="str">
        <f>IF(J3058&lt;&gt;1,"",IF(I3058="SBJ","CB","?"))</f>
        <v> </v>
      </c>
      <c r="I3058" s="26" t="str">
        <f>IF(OR(E3058="",E3058="!!!",F3058="NEW"),"",INDEX(B3057:B$2,-1+SUMPRODUCT(MAX(ROW(E3057:E$2)*(E3058=E3057:E$2)))))</f>
        <v> </v>
      </c>
      <c r="J3058" s="26" t="str">
        <f>IF(OR(E3058="",E3058="!!!",F3058="NEW"),"",COUNTBLANK(OFFSET(A$1,,,SUMPRODUCT(MAX(ROW(E$2:E3058)*(E3058=E$2:E3058)))))-COUNTBLANK(OFFSET(A$1,,,SUMPRODUCT(MAX(ROW(E$1:E3057)*(E2=E$1:E3057))))))</f>
        <v> </v>
      </c>
      <c r="K3058" s="26" t="str">
        <f>IF(OR(E3058="",E3058="!!!",F3058="NEW"),"",INDEX(J$1:J3057,SUMPRODUCT(MAX(ROW(E$1:E3057)*(E3058=E$1:E3057)))))</f>
        <v> </v>
      </c>
      <c r="L3058" s="27"/>
    </row>
    <row r="3059" spans="1:12">
      <c r="A3059" s="20" t="s">
        <v>1319</v>
      </c>
      <c r="E3059" s="22">
        <f>IF(D3059="?OLD","!!!","")</f>
        <v/>
      </c>
      <c r="F3059" s="23" t="str">
        <f>IF(OR(E3059="",E3059="!!!"),"",IF(NOT(ISNA(VLOOKUP(E3059,E$1:E3058,1,FALSE()))),"OLD",IF(AND(E3059&lt;&gt;"",E3059&lt;&gt;"!!!"),"NEW","")))</f>
        <v> </v>
      </c>
      <c r="G3059" s="24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5" t="str">
        <f>IF(J3059&lt;&gt;1,"",IF(I3059="SBJ","CB","?"))</f>
        <v> </v>
      </c>
      <c r="I3059" s="26" t="str">
        <f>IF(OR(E3059="",E3059="!!!",F3059="NEW"),"",INDEX(B3058:B$2,-1+SUMPRODUCT(MAX(ROW(E3058:E$2)*(E3059=E3058:E$2)))))</f>
        <v> </v>
      </c>
      <c r="J3059" s="26" t="str">
        <f>IF(OR(E3059="",E3059="!!!",F3059="NEW"),"",COUNTBLANK(OFFSET(A$1,,,SUMPRODUCT(MAX(ROW(E$2:E3059)*(E3059=E$2:E3059)))))-COUNTBLANK(OFFSET(A$1,,,SUMPRODUCT(MAX(ROW(E$1:E3058)*(E2=E$1:E3058))))))</f>
        <v> </v>
      </c>
      <c r="K3059" s="26" t="str">
        <f>IF(OR(E3059="",E3059="!!!",F3059="NEW"),"",INDEX(J$1:J3058,SUMPRODUCT(MAX(ROW(E$1:E3058)*(E3059=E$1:E3058)))))</f>
        <v> </v>
      </c>
      <c r="L3059" s="27"/>
    </row>
    <row r="3060" spans="1:12">
      <c r="A3060" s="20"/>
    </row>
    <row r="3061" spans="1:12">
      <c r="A3061" s="20" t="s">
        <v>2202</v>
      </c>
    </row>
    <row r="3062" spans="1:12">
      <c r="A3062" s="20" t="s">
        <v>1070</v>
      </c>
      <c r="E3062" s="22">
        <f>IF(D3062="?OLD","!!!","")</f>
        <v/>
      </c>
      <c r="F3062" s="23" t="str">
        <f>IF(OR(E3062="",E3062="!!!"),"",IF(NOT(ISNA(VLOOKUP(E3062,E$1:E3061,1,FALSE()))),"OLD",IF(AND(E3062&lt;&gt;"",E3062&lt;&gt;"!!!"),"NEW","")))</f>
        <v> </v>
      </c>
      <c r="G3062" s="24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5" t="str">
        <f>IF(J3062&lt;&gt;1,"",IF(I3062="SBJ","CB","?"))</f>
        <v> </v>
      </c>
      <c r="I3062" s="26" t="str">
        <f>IF(OR(E3062="",E3062="!!!",F3062="NEW"),"",INDEX(B3061:B$2,-1+SUMPRODUCT(MAX(ROW(E3061:E$2)*(E3062=E3061:E$2)))))</f>
        <v> </v>
      </c>
      <c r="J3062" s="26" t="str">
        <f>IF(OR(E3062="",E3062="!!!",F3062="NEW"),"",COUNTBLANK(OFFSET(A$1,,,SUMPRODUCT(MAX(ROW(E$2:E3062)*(E3062=E$2:E3062)))))-COUNTBLANK(OFFSET(A$1,,,SUMPRODUCT(MAX(ROW(E$1:E3061)*(E2=E$1:E3061))))))</f>
        <v> </v>
      </c>
      <c r="K3062" s="26" t="str">
        <f>IF(OR(E3062="",E3062="!!!",F3062="NEW"),"",INDEX(J$1:J3061,SUMPRODUCT(MAX(ROW(E$1:E3061)*(E3062=E$1:E3061)))))</f>
        <v> </v>
      </c>
      <c r="L3062" s="27"/>
    </row>
    <row r="3063" spans="1:12">
      <c r="A3063" s="20" t="s">
        <v>2203</v>
      </c>
      <c r="E3063" s="22">
        <f>IF(D3063="?OLD","!!!","")</f>
        <v/>
      </c>
      <c r="F3063" s="23" t="str">
        <f>IF(OR(E3063="",E3063="!!!"),"",IF(NOT(ISNA(VLOOKUP(E3063,E$1:E3062,1,FALSE()))),"OLD",IF(AND(E3063&lt;&gt;"",E3063&lt;&gt;"!!!"),"NEW","")))</f>
        <v> </v>
      </c>
      <c r="G3063" s="24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5" t="str">
        <f>IF(J3063&lt;&gt;1,"",IF(I3063="SBJ","CB","?"))</f>
        <v> </v>
      </c>
      <c r="I3063" s="26" t="str">
        <f>IF(OR(E3063="",E3063="!!!",F3063="NEW"),"",INDEX(B3062:B$2,-1+SUMPRODUCT(MAX(ROW(E3062:E$2)*(E3063=E3062:E$2)))))</f>
        <v> </v>
      </c>
      <c r="J3063" s="26" t="str">
        <f>IF(OR(E3063="",E3063="!!!",F3063="NEW"),"",COUNTBLANK(OFFSET(A$1,,,SUMPRODUCT(MAX(ROW(E$2:E3063)*(E3063=E$2:E3063)))))-COUNTBLANK(OFFSET(A$1,,,SUMPRODUCT(MAX(ROW(E$1:E3062)*(E2=E$1:E3062))))))</f>
        <v> </v>
      </c>
      <c r="K3063" s="26" t="str">
        <f>IF(OR(E3063="",E3063="!!!",F3063="NEW"),"",INDEX(J$1:J3062,SUMPRODUCT(MAX(ROW(E$1:E3062)*(E3063=E$1:E3062)))))</f>
        <v> </v>
      </c>
      <c r="L3063" s="27"/>
    </row>
    <row r="3064" spans="1:12">
      <c r="A3064" s="20" t="s">
        <v>2204</v>
      </c>
      <c r="E3064" s="22">
        <f>IF(D3064="?OLD","!!!","")</f>
        <v/>
      </c>
      <c r="F3064" s="23" t="str">
        <f>IF(OR(E3064="",E3064="!!!"),"",IF(NOT(ISNA(VLOOKUP(E3064,E$1:E3063,1,FALSE()))),"OLD",IF(AND(E3064&lt;&gt;"",E3064&lt;&gt;"!!!"),"NEW","")))</f>
        <v> </v>
      </c>
      <c r="G3064" s="24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5" t="str">
        <f>IF(J3064&lt;&gt;1,"",IF(I3064="SBJ","CB","?"))</f>
        <v> </v>
      </c>
      <c r="I3064" s="26" t="str">
        <f>IF(OR(E3064="",E3064="!!!",F3064="NEW"),"",INDEX(B3063:B$2,-1+SUMPRODUCT(MAX(ROW(E3063:E$2)*(E3064=E3063:E$2)))))</f>
        <v> </v>
      </c>
      <c r="J3064" s="26" t="str">
        <f>IF(OR(E3064="",E3064="!!!",F3064="NEW"),"",COUNTBLANK(OFFSET(A$1,,,SUMPRODUCT(MAX(ROW(E$2:E3064)*(E3064=E$2:E3064)))))-COUNTBLANK(OFFSET(A$1,,,SUMPRODUCT(MAX(ROW(E$1:E3063)*(E2=E$1:E3063))))))</f>
        <v> </v>
      </c>
      <c r="K3064" s="26" t="str">
        <f>IF(OR(E3064="",E3064="!!!",F3064="NEW"),"",INDEX(J$1:J3063,SUMPRODUCT(MAX(ROW(E$1:E3063)*(E3064=E$1:E3063)))))</f>
        <v> </v>
      </c>
      <c r="L3064" s="27"/>
    </row>
    <row r="3065" spans="1:12">
      <c r="A3065" s="20" t="s">
        <v>12</v>
      </c>
      <c r="E3065" s="22">
        <f>IF(D3065="?OLD","!!!","")</f>
        <v/>
      </c>
      <c r="F3065" s="23" t="str">
        <f>IF(OR(E3065="",E3065="!!!"),"",IF(NOT(ISNA(VLOOKUP(E3065,E$1:E3064,1,FALSE()))),"OLD",IF(AND(E3065&lt;&gt;"",E3065&lt;&gt;"!!!"),"NEW","")))</f>
        <v> </v>
      </c>
      <c r="G3065" s="24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5" t="str">
        <f>IF(J3065&lt;&gt;1,"",IF(I3065="SBJ","CB","?"))</f>
        <v> </v>
      </c>
      <c r="I3065" s="26" t="str">
        <f>IF(OR(E3065="",E3065="!!!",F3065="NEW"),"",INDEX(B3064:B$2,-1+SUMPRODUCT(MAX(ROW(E3064:E$2)*(E3065=E3064:E$2)))))</f>
        <v> </v>
      </c>
      <c r="J3065" s="26" t="str">
        <f>IF(OR(E3065="",E3065="!!!",F3065="NEW"),"",COUNTBLANK(OFFSET(A$1,,,SUMPRODUCT(MAX(ROW(E$2:E3065)*(E3065=E$2:E3065)))))-COUNTBLANK(OFFSET(A$1,,,SUMPRODUCT(MAX(ROW(E$1:E3064)*(E2=E$1:E3064))))))</f>
        <v> </v>
      </c>
      <c r="K3065" s="26" t="str">
        <f>IF(OR(E3065="",E3065="!!!",F3065="NEW"),"",INDEX(J$1:J3064,SUMPRODUCT(MAX(ROW(E$1:E3064)*(E3065=E$1:E3064)))))</f>
        <v> </v>
      </c>
      <c r="L3065" s="27"/>
    </row>
    <row r="3066" spans="1:12">
      <c r="A3066" s="20" t="s">
        <v>2205</v>
      </c>
      <c r="B3066" s="21" t="s">
        <v>975</v>
      </c>
      <c r="E3066" s="22">
        <f>IF(D3066="?OLD","!!!","")</f>
        <v/>
      </c>
      <c r="F3066" s="23" t="str">
        <f>IF(OR(E3066="",E3066="!!!"),"",IF(NOT(ISNA(VLOOKUP(E3066,E$1:E3065,1,FALSE()))),"OLD",IF(AND(E3066&lt;&gt;"",E3066&lt;&gt;"!!!"),"NEW","")))</f>
        <v> </v>
      </c>
      <c r="G3066" s="24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5" t="str">
        <f>IF(J3066&lt;&gt;1,"",IF(I3066="SBJ","CB","?"))</f>
        <v> </v>
      </c>
      <c r="I3066" s="26" t="str">
        <f>IF(OR(E3066="",E3066="!!!",F3066="NEW"),"",INDEX(B3065:B$2,-1+SUMPRODUCT(MAX(ROW(E3065:E$2)*(E3066=E3065:E$2)))))</f>
        <v> </v>
      </c>
      <c r="J3066" s="26" t="str">
        <f>IF(OR(E3066="",E3066="!!!",F3066="NEW"),"",COUNTBLANK(OFFSET(A$1,,,SUMPRODUCT(MAX(ROW(E$2:E3066)*(E3066=E$2:E3066)))))-COUNTBLANK(OFFSET(A$1,,,SUMPRODUCT(MAX(ROW(E$1:E3065)*(E2=E$1:E3065))))))</f>
        <v> </v>
      </c>
      <c r="K3066" s="26" t="str">
        <f>IF(OR(E3066="",E3066="!!!",F3066="NEW"),"",INDEX(J$1:J3065,SUMPRODUCT(MAX(ROW(E$1:E3065)*(E3066=E$1:E3065)))))</f>
        <v> </v>
      </c>
      <c r="L3066" s="27"/>
    </row>
    <row r="3067" spans="1:12">
      <c r="A3067" s="20" t="s">
        <v>2206</v>
      </c>
      <c r="E3067" s="22">
        <f>IF(D3067="?OLD","!!!","")</f>
        <v/>
      </c>
      <c r="F3067" s="23" t="str">
        <f>IF(OR(E3067="",E3067="!!!"),"",IF(NOT(ISNA(VLOOKUP(E3067,E$1:E3066,1,FALSE()))),"OLD",IF(AND(E3067&lt;&gt;"",E3067&lt;&gt;"!!!"),"NEW","")))</f>
        <v> </v>
      </c>
      <c r="G3067" s="24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5" t="str">
        <f>IF(J3067&lt;&gt;1,"",IF(I3067="SBJ","CB","?"))</f>
        <v> </v>
      </c>
      <c r="I3067" s="26" t="str">
        <f>IF(OR(E3067="",E3067="!!!",F3067="NEW"),"",INDEX(B3066:B$2,-1+SUMPRODUCT(MAX(ROW(E3066:E$2)*(E3067=E3066:E$2)))))</f>
        <v> </v>
      </c>
      <c r="J3067" s="26" t="str">
        <f>IF(OR(E3067="",E3067="!!!",F3067="NEW"),"",COUNTBLANK(OFFSET(A$1,,,SUMPRODUCT(MAX(ROW(E$2:E3067)*(E3067=E$2:E3067)))))-COUNTBLANK(OFFSET(A$1,,,SUMPRODUCT(MAX(ROW(E$1:E3066)*(E2=E$1:E3066))))))</f>
        <v> </v>
      </c>
      <c r="K3067" s="26" t="str">
        <f>IF(OR(E3067="",E3067="!!!",F3067="NEW"),"",INDEX(J$1:J3066,SUMPRODUCT(MAX(ROW(E$1:E3066)*(E3067=E$1:E3066)))))</f>
        <v> </v>
      </c>
      <c r="L3067" s="27"/>
    </row>
    <row r="3068" spans="1:12">
      <c r="A3068" s="20" t="s">
        <v>1013</v>
      </c>
      <c r="E3068" s="22">
        <f>IF(D3068="?OLD","!!!","")</f>
        <v/>
      </c>
      <c r="F3068" s="23" t="str">
        <f>IF(OR(E3068="",E3068="!!!"),"",IF(NOT(ISNA(VLOOKUP(E3068,E$1:E3067,1,FALSE()))),"OLD",IF(AND(E3068&lt;&gt;"",E3068&lt;&gt;"!!!"),"NEW","")))</f>
        <v> </v>
      </c>
      <c r="G3068" s="24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5" t="str">
        <f>IF(J3068&lt;&gt;1,"",IF(I3068="SBJ","CB","?"))</f>
        <v> </v>
      </c>
      <c r="I3068" s="26" t="str">
        <f>IF(OR(E3068="",E3068="!!!",F3068="NEW"),"",INDEX(B3067:B$2,-1+SUMPRODUCT(MAX(ROW(E3067:E$2)*(E3068=E3067:E$2)))))</f>
        <v> </v>
      </c>
      <c r="J3068" s="26" t="str">
        <f>IF(OR(E3068="",E3068="!!!",F3068="NEW"),"",COUNTBLANK(OFFSET(A$1,,,SUMPRODUCT(MAX(ROW(E$2:E3068)*(E3068=E$2:E3068)))))-COUNTBLANK(OFFSET(A$1,,,SUMPRODUCT(MAX(ROW(E$1:E3067)*(E2=E$1:E3067))))))</f>
        <v> </v>
      </c>
      <c r="K3068" s="26" t="str">
        <f>IF(OR(E3068="",E3068="!!!",F3068="NEW"),"",INDEX(J$1:J3067,SUMPRODUCT(MAX(ROW(E$1:E3067)*(E3068=E$1:E3067)))))</f>
        <v> </v>
      </c>
      <c r="L3068" s="27"/>
    </row>
    <row r="3069" spans="1:12">
      <c r="A3069" s="20" t="s">
        <v>149</v>
      </c>
      <c r="E3069" s="22">
        <f>IF(D3069="?OLD","!!!","")</f>
        <v/>
      </c>
      <c r="F3069" s="23" t="str">
        <f>IF(OR(E3069="",E3069="!!!"),"",IF(NOT(ISNA(VLOOKUP(E3069,E$1:E3068,1,FALSE()))),"OLD",IF(AND(E3069&lt;&gt;"",E3069&lt;&gt;"!!!"),"NEW","")))</f>
        <v> </v>
      </c>
      <c r="G3069" s="24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5" t="str">
        <f>IF(J3069&lt;&gt;1,"",IF(I3069="SBJ","CB","?"))</f>
        <v> </v>
      </c>
      <c r="I3069" s="26" t="str">
        <f>IF(OR(E3069="",E3069="!!!",F3069="NEW"),"",INDEX(B3068:B$2,-1+SUMPRODUCT(MAX(ROW(E3068:E$2)*(E3069=E3068:E$2)))))</f>
        <v> </v>
      </c>
      <c r="J3069" s="26" t="str">
        <f>IF(OR(E3069="",E3069="!!!",F3069="NEW"),"",COUNTBLANK(OFFSET(A$1,,,SUMPRODUCT(MAX(ROW(E$2:E3069)*(E3069=E$2:E3069)))))-COUNTBLANK(OFFSET(A$1,,,SUMPRODUCT(MAX(ROW(E$1:E3068)*(E2=E$1:E3068))))))</f>
        <v> </v>
      </c>
      <c r="K3069" s="26" t="str">
        <f>IF(OR(E3069="",E3069="!!!",F3069="NEW"),"",INDEX(J$1:J3068,SUMPRODUCT(MAX(ROW(E$1:E3068)*(E3069=E$1:E3068)))))</f>
        <v> </v>
      </c>
      <c r="L3069" s="27"/>
    </row>
    <row r="3070" spans="1:12">
      <c r="A3070" s="20" t="s">
        <v>2207</v>
      </c>
      <c r="B3070" s="21" t="s">
        <v>1101</v>
      </c>
      <c r="E3070" s="22">
        <f>IF(D3070="?OLD","!!!","")</f>
        <v/>
      </c>
      <c r="F3070" s="23" t="str">
        <f>IF(OR(E3070="",E3070="!!!"),"",IF(NOT(ISNA(VLOOKUP(E3070,E$1:E3069,1,FALSE()))),"OLD",IF(AND(E3070&lt;&gt;"",E3070&lt;&gt;"!!!"),"NEW","")))</f>
        <v> </v>
      </c>
      <c r="G3070" s="24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5" t="str">
        <f>IF(J3070&lt;&gt;1,"",IF(I3070="SBJ","CB","?"))</f>
        <v> </v>
      </c>
      <c r="I3070" s="26" t="str">
        <f>IF(OR(E3070="",E3070="!!!",F3070="NEW"),"",INDEX(B3069:B$2,-1+SUMPRODUCT(MAX(ROW(E3069:E$2)*(E3070=E3069:E$2)))))</f>
        <v> </v>
      </c>
      <c r="J3070" s="26" t="str">
        <f>IF(OR(E3070="",E3070="!!!",F3070="NEW"),"",COUNTBLANK(OFFSET(A$1,,,SUMPRODUCT(MAX(ROW(E$2:E3070)*(E3070=E$2:E3070)))))-COUNTBLANK(OFFSET(A$1,,,SUMPRODUCT(MAX(ROW(E$1:E3069)*(E2=E$1:E3069))))))</f>
        <v> </v>
      </c>
      <c r="K3070" s="26" t="str">
        <f>IF(OR(E3070="",E3070="!!!",F3070="NEW"),"",INDEX(J$1:J3069,SUMPRODUCT(MAX(ROW(E$1:E3069)*(E3070=E$1:E3069)))))</f>
        <v> </v>
      </c>
      <c r="L3070" s="27"/>
    </row>
    <row r="3071" spans="1:12">
      <c r="A3071" s="20" t="s">
        <v>1013</v>
      </c>
      <c r="E3071" s="22">
        <f>IF(D3071="?OLD","!!!","")</f>
        <v/>
      </c>
      <c r="F3071" s="23" t="str">
        <f>IF(OR(E3071="",E3071="!!!"),"",IF(NOT(ISNA(VLOOKUP(E3071,E$1:E3070,1,FALSE()))),"OLD",IF(AND(E3071&lt;&gt;"",E3071&lt;&gt;"!!!"),"NEW","")))</f>
        <v> </v>
      </c>
      <c r="G3071" s="24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5" t="str">
        <f>IF(J3071&lt;&gt;1,"",IF(I3071="SBJ","CB","?"))</f>
        <v> </v>
      </c>
      <c r="I3071" s="26" t="str">
        <f>IF(OR(E3071="",E3071="!!!",F3071="NEW"),"",INDEX(B3070:B$2,-1+SUMPRODUCT(MAX(ROW(E3070:E$2)*(E3071=E3070:E$2)))))</f>
        <v> </v>
      </c>
      <c r="J3071" s="26" t="str">
        <f>IF(OR(E3071="",E3071="!!!",F3071="NEW"),"",COUNTBLANK(OFFSET(A$1,,,SUMPRODUCT(MAX(ROW(E$2:E3071)*(E3071=E$2:E3071)))))-COUNTBLANK(OFFSET(A$1,,,SUMPRODUCT(MAX(ROW(E$1:E3070)*(E2=E$1:E3070))))))</f>
        <v> </v>
      </c>
      <c r="K3071" s="26" t="str">
        <f>IF(OR(E3071="",E3071="!!!",F3071="NEW"),"",INDEX(J$1:J3070,SUMPRODUCT(MAX(ROW(E$1:E3070)*(E3071=E$1:E3070)))))</f>
        <v> </v>
      </c>
      <c r="L3071" s="27"/>
    </row>
    <row r="3072" spans="1:12">
      <c r="A3072" s="20" t="s">
        <v>1462</v>
      </c>
      <c r="B3072" s="21" t="s">
        <v>1115</v>
      </c>
      <c r="C3072" s="21" t="s">
        <v>1232</v>
      </c>
      <c r="E3072" s="22">
        <f>IF(D3072="?OLD","!!!","")</f>
        <v/>
      </c>
      <c r="F3072" s="23" t="str">
        <f>IF(OR(E3072="",E3072="!!!"),"",IF(NOT(ISNA(VLOOKUP(E3072,E$1:E3071,1,FALSE()))),"OLD",IF(AND(E3072&lt;&gt;"",E3072&lt;&gt;"!!!"),"NEW","")))</f>
        <v> </v>
      </c>
      <c r="G3072" s="24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5" t="str">
        <f>IF(J3072&lt;&gt;1,"",IF(I3072="SBJ","CB","?"))</f>
        <v> </v>
      </c>
      <c r="I3072" s="26" t="str">
        <f>IF(OR(E3072="",E3072="!!!",F3072="NEW"),"",INDEX(B3071:B$2,-1+SUMPRODUCT(MAX(ROW(E3071:E$2)*(E3072=E3071:E$2)))))</f>
        <v> </v>
      </c>
      <c r="J3072" s="26" t="str">
        <f>IF(OR(E3072="",E3072="!!!",F3072="NEW"),"",COUNTBLANK(OFFSET(A$1,,,SUMPRODUCT(MAX(ROW(E$2:E3072)*(E3072=E$2:E3072)))))-COUNTBLANK(OFFSET(A$1,,,SUMPRODUCT(MAX(ROW(E$1:E3071)*(E2=E$1:E3071))))))</f>
        <v> </v>
      </c>
      <c r="K3072" s="26" t="str">
        <f>IF(OR(E3072="",E3072="!!!",F3072="NEW"),"",INDEX(J$1:J3071,SUMPRODUCT(MAX(ROW(E$1:E3071)*(E3072=E$1:E3071)))))</f>
        <v> </v>
      </c>
      <c r="L3072" s="27"/>
    </row>
    <row r="3073" spans="1:12">
      <c r="A3073" s="20" t="s">
        <v>2208</v>
      </c>
      <c r="E3073" s="22">
        <f>IF(D3073="?OLD","!!!","")</f>
        <v/>
      </c>
      <c r="F3073" s="23" t="str">
        <f>IF(OR(E3073="",E3073="!!!"),"",IF(NOT(ISNA(VLOOKUP(E3073,E$1:E3072,1,FALSE()))),"OLD",IF(AND(E3073&lt;&gt;"",E3073&lt;&gt;"!!!"),"NEW","")))</f>
        <v> </v>
      </c>
      <c r="G3073" s="24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5" t="str">
        <f>IF(J3073&lt;&gt;1,"",IF(I3073="SBJ","CB","?"))</f>
        <v> </v>
      </c>
      <c r="I3073" s="26" t="str">
        <f>IF(OR(E3073="",E3073="!!!",F3073="NEW"),"",INDEX(B3072:B$2,-1+SUMPRODUCT(MAX(ROW(E3072:E$2)*(E3073=E3072:E$2)))))</f>
        <v> </v>
      </c>
      <c r="J3073" s="26" t="str">
        <f>IF(OR(E3073="",E3073="!!!",F3073="NEW"),"",COUNTBLANK(OFFSET(A$1,,,SUMPRODUCT(MAX(ROW(E$2:E3073)*(E3073=E$2:E3073)))))-COUNTBLANK(OFFSET(A$1,,,SUMPRODUCT(MAX(ROW(E$1:E3072)*(E2=E$1:E3072))))))</f>
        <v> </v>
      </c>
      <c r="K3073" s="26" t="str">
        <f>IF(OR(E3073="",E3073="!!!",F3073="NEW"),"",INDEX(J$1:J3072,SUMPRODUCT(MAX(ROW(E$1:E3072)*(E3073=E$1:E3072)))))</f>
        <v> </v>
      </c>
      <c r="L3073" s="27"/>
    </row>
    <row r="3074" spans="1:12">
      <c r="A3074" s="20" t="s">
        <v>1133</v>
      </c>
      <c r="E3074" s="22">
        <f>IF(D3074="?OLD","!!!","")</f>
        <v/>
      </c>
      <c r="F3074" s="23" t="str">
        <f>IF(OR(E3074="",E3074="!!!"),"",IF(NOT(ISNA(VLOOKUP(E3074,E$1:E3073,1,FALSE()))),"OLD",IF(AND(E3074&lt;&gt;"",E3074&lt;&gt;"!!!"),"NEW","")))</f>
        <v> </v>
      </c>
      <c r="G3074" s="24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5" t="str">
        <f>IF(J3074&lt;&gt;1,"",IF(I3074="SBJ","CB","?"))</f>
        <v> </v>
      </c>
      <c r="I3074" s="26" t="str">
        <f>IF(OR(E3074="",E3074="!!!",F3074="NEW"),"",INDEX(B3073:B$2,-1+SUMPRODUCT(MAX(ROW(E3073:E$2)*(E3074=E3073:E$2)))))</f>
        <v> </v>
      </c>
      <c r="J3074" s="26" t="str">
        <f>IF(OR(E3074="",E3074="!!!",F3074="NEW"),"",COUNTBLANK(OFFSET(A$1,,,SUMPRODUCT(MAX(ROW(E$2:E3074)*(E3074=E$2:E3074)))))-COUNTBLANK(OFFSET(A$1,,,SUMPRODUCT(MAX(ROW(E$1:E3073)*(E2=E$1:E3073))))))</f>
        <v> </v>
      </c>
      <c r="K3074" s="26" t="str">
        <f>IF(OR(E3074="",E3074="!!!",F3074="NEW"),"",INDEX(J$1:J3073,SUMPRODUCT(MAX(ROW(E$1:E3073)*(E3074=E$1:E3073)))))</f>
        <v> </v>
      </c>
      <c r="L3074" s="27"/>
    </row>
    <row r="3075" spans="1:12">
      <c r="A3075" s="20" t="s">
        <v>2209</v>
      </c>
      <c r="E3075" s="22">
        <f>IF(D3075="?OLD","!!!","")</f>
        <v/>
      </c>
      <c r="F3075" s="23" t="str">
        <f>IF(OR(E3075="",E3075="!!!"),"",IF(NOT(ISNA(VLOOKUP(E3075,E$1:E3074,1,FALSE()))),"OLD",IF(AND(E3075&lt;&gt;"",E3075&lt;&gt;"!!!"),"NEW","")))</f>
        <v> </v>
      </c>
      <c r="G3075" s="24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5" t="str">
        <f>IF(J3075&lt;&gt;1,"",IF(I3075="SBJ","CB","?"))</f>
        <v> </v>
      </c>
      <c r="I3075" s="26" t="str">
        <f>IF(OR(E3075="",E3075="!!!",F3075="NEW"),"",INDEX(B3074:B$2,-1+SUMPRODUCT(MAX(ROW(E3074:E$2)*(E3075=E3074:E$2)))))</f>
        <v> </v>
      </c>
      <c r="J3075" s="26" t="str">
        <f>IF(OR(E3075="",E3075="!!!",F3075="NEW"),"",COUNTBLANK(OFFSET(A$1,,,SUMPRODUCT(MAX(ROW(E$2:E3075)*(E3075=E$2:E3075)))))-COUNTBLANK(OFFSET(A$1,,,SUMPRODUCT(MAX(ROW(E$1:E3074)*(E2=E$1:E3074))))))</f>
        <v> </v>
      </c>
      <c r="K3075" s="26" t="str">
        <f>IF(OR(E3075="",E3075="!!!",F3075="NEW"),"",INDEX(J$1:J3074,SUMPRODUCT(MAX(ROW(E$1:E3074)*(E3075=E$1:E3074)))))</f>
        <v> </v>
      </c>
      <c r="L3075" s="27"/>
    </row>
    <row r="3076" spans="1:12">
      <c r="A3076" s="20" t="s">
        <v>2210</v>
      </c>
      <c r="E3076" s="22">
        <f>IF(D3076="?OLD","!!!","")</f>
        <v/>
      </c>
      <c r="F3076" s="23" t="str">
        <f>IF(OR(E3076="",E3076="!!!"),"",IF(NOT(ISNA(VLOOKUP(E3076,E$1:E3075,1,FALSE()))),"OLD",IF(AND(E3076&lt;&gt;"",E3076&lt;&gt;"!!!"),"NEW","")))</f>
        <v> </v>
      </c>
      <c r="G3076" s="24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5" t="str">
        <f>IF(J3076&lt;&gt;1,"",IF(I3076="SBJ","CB","?"))</f>
        <v> </v>
      </c>
      <c r="I3076" s="26" t="str">
        <f>IF(OR(E3076="",E3076="!!!",F3076="NEW"),"",INDEX(B3075:B$2,-1+SUMPRODUCT(MAX(ROW(E3075:E$2)*(E3076=E3075:E$2)))))</f>
        <v> </v>
      </c>
      <c r="J3076" s="26" t="str">
        <f>IF(OR(E3076="",E3076="!!!",F3076="NEW"),"",COUNTBLANK(OFFSET(A$1,,,SUMPRODUCT(MAX(ROW(E$2:E3076)*(E3076=E$2:E3076)))))-COUNTBLANK(OFFSET(A$1,,,SUMPRODUCT(MAX(ROW(E$1:E3075)*(E2=E$1:E3075))))))</f>
        <v> </v>
      </c>
      <c r="K3076" s="26" t="str">
        <f>IF(OR(E3076="",E3076="!!!",F3076="NEW"),"",INDEX(J$1:J3075,SUMPRODUCT(MAX(ROW(E$1:E3075)*(E3076=E$1:E3075)))))</f>
        <v> </v>
      </c>
      <c r="L3076" s="27"/>
    </row>
    <row r="3077" spans="1:12">
      <c r="A3077" s="20" t="s">
        <v>2211</v>
      </c>
      <c r="E3077" s="22">
        <f>IF(D3077="?OLD","!!!","")</f>
        <v/>
      </c>
      <c r="F3077" s="23" t="str">
        <f>IF(OR(E3077="",E3077="!!!"),"",IF(NOT(ISNA(VLOOKUP(E3077,E$1:E3076,1,FALSE()))),"OLD",IF(AND(E3077&lt;&gt;"",E3077&lt;&gt;"!!!"),"NEW","")))</f>
        <v> </v>
      </c>
      <c r="G3077" s="24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5" t="str">
        <f>IF(J3077&lt;&gt;1,"",IF(I3077="SBJ","CB","?"))</f>
        <v> </v>
      </c>
      <c r="I3077" s="26" t="str">
        <f>IF(OR(E3077="",E3077="!!!",F3077="NEW"),"",INDEX(B3076:B$2,-1+SUMPRODUCT(MAX(ROW(E3076:E$2)*(E3077=E3076:E$2)))))</f>
        <v> </v>
      </c>
      <c r="J3077" s="26" t="str">
        <f>IF(OR(E3077="",E3077="!!!",F3077="NEW"),"",COUNTBLANK(OFFSET(A$1,,,SUMPRODUCT(MAX(ROW(E$2:E3077)*(E3077=E$2:E3077)))))-COUNTBLANK(OFFSET(A$1,,,SUMPRODUCT(MAX(ROW(E$1:E3076)*(E2=E$1:E3076))))))</f>
        <v> </v>
      </c>
      <c r="K3077" s="26" t="str">
        <f>IF(OR(E3077="",E3077="!!!",F3077="NEW"),"",INDEX(J$1:J3076,SUMPRODUCT(MAX(ROW(E$1:E3076)*(E3077=E$1:E3076)))))</f>
        <v> </v>
      </c>
      <c r="L3077" s="27"/>
    </row>
    <row r="3078" spans="1:12">
      <c r="A3078" s="20" t="s">
        <v>1013</v>
      </c>
      <c r="E3078" s="22">
        <f>IF(D3078="?OLD","!!!","")</f>
        <v/>
      </c>
      <c r="F3078" s="23" t="str">
        <f>IF(OR(E3078="",E3078="!!!"),"",IF(NOT(ISNA(VLOOKUP(E3078,E$1:E3077,1,FALSE()))),"OLD",IF(AND(E3078&lt;&gt;"",E3078&lt;&gt;"!!!"),"NEW","")))</f>
        <v> </v>
      </c>
      <c r="G3078" s="24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5" t="str">
        <f>IF(J3078&lt;&gt;1,"",IF(I3078="SBJ","CB","?"))</f>
        <v> </v>
      </c>
      <c r="I3078" s="26" t="str">
        <f>IF(OR(E3078="",E3078="!!!",F3078="NEW"),"",INDEX(B3077:B$2,-1+SUMPRODUCT(MAX(ROW(E3077:E$2)*(E3078=E3077:E$2)))))</f>
        <v> </v>
      </c>
      <c r="J3078" s="26" t="str">
        <f>IF(OR(E3078="",E3078="!!!",F3078="NEW"),"",COUNTBLANK(OFFSET(A$1,,,SUMPRODUCT(MAX(ROW(E$2:E3078)*(E3078=E$2:E3078)))))-COUNTBLANK(OFFSET(A$1,,,SUMPRODUCT(MAX(ROW(E$1:E3077)*(E2=E$1:E3077))))))</f>
        <v> </v>
      </c>
      <c r="K3078" s="26" t="str">
        <f>IF(OR(E3078="",E3078="!!!",F3078="NEW"),"",INDEX(J$1:J3077,SUMPRODUCT(MAX(ROW(E$1:E3077)*(E3078=E$1:E3077)))))</f>
        <v> </v>
      </c>
      <c r="L3078" s="27"/>
    </row>
    <row r="3079" spans="1:12">
      <c r="A3079" s="20" t="s">
        <v>1270</v>
      </c>
      <c r="E3079" s="22">
        <f>IF(D3079="?OLD","!!!","")</f>
        <v/>
      </c>
      <c r="F3079" s="23" t="str">
        <f>IF(OR(E3079="",E3079="!!!"),"",IF(NOT(ISNA(VLOOKUP(E3079,E$1:E3078,1,FALSE()))),"OLD",IF(AND(E3079&lt;&gt;"",E3079&lt;&gt;"!!!"),"NEW","")))</f>
        <v> </v>
      </c>
      <c r="G3079" s="24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5" t="str">
        <f>IF(J3079&lt;&gt;1,"",IF(I3079="SBJ","CB","?"))</f>
        <v> </v>
      </c>
      <c r="I3079" s="26" t="str">
        <f>IF(OR(E3079="",E3079="!!!",F3079="NEW"),"",INDEX(B3078:B$2,-1+SUMPRODUCT(MAX(ROW(E3078:E$2)*(E3079=E3078:E$2)))))</f>
        <v> </v>
      </c>
      <c r="J3079" s="26" t="str">
        <f>IF(OR(E3079="",E3079="!!!",F3079="NEW"),"",COUNTBLANK(OFFSET(A$1,,,SUMPRODUCT(MAX(ROW(E$2:E3079)*(E3079=E$2:E3079)))))-COUNTBLANK(OFFSET(A$1,,,SUMPRODUCT(MAX(ROW(E$1:E3078)*(E2=E$1:E3078))))))</f>
        <v> </v>
      </c>
      <c r="K3079" s="26" t="str">
        <f>IF(OR(E3079="",E3079="!!!",F3079="NEW"),"",INDEX(J$1:J3078,SUMPRODUCT(MAX(ROW(E$1:E3078)*(E3079=E$1:E3078)))))</f>
        <v> </v>
      </c>
      <c r="L3079" s="27"/>
    </row>
    <row r="3080" spans="1:12">
      <c r="A3080" s="20" t="s">
        <v>2212</v>
      </c>
      <c r="E3080" s="22">
        <f>IF(D3080="?OLD","!!!","")</f>
        <v/>
      </c>
      <c r="F3080" s="23" t="str">
        <f>IF(OR(E3080="",E3080="!!!"),"",IF(NOT(ISNA(VLOOKUP(E3080,E$1:E3079,1,FALSE()))),"OLD",IF(AND(E3080&lt;&gt;"",E3080&lt;&gt;"!!!"),"NEW","")))</f>
        <v> </v>
      </c>
      <c r="G3080" s="24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5" t="str">
        <f>IF(J3080&lt;&gt;1,"",IF(I3080="SBJ","CB","?"))</f>
        <v> </v>
      </c>
      <c r="I3080" s="26" t="str">
        <f>IF(OR(E3080="",E3080="!!!",F3080="NEW"),"",INDEX(B3079:B$2,-1+SUMPRODUCT(MAX(ROW(E3079:E$2)*(E3080=E3079:E$2)))))</f>
        <v> </v>
      </c>
      <c r="J3080" s="26" t="str">
        <f>IF(OR(E3080="",E3080="!!!",F3080="NEW"),"",COUNTBLANK(OFFSET(A$1,,,SUMPRODUCT(MAX(ROW(E$2:E3080)*(E3080=E$2:E3080)))))-COUNTBLANK(OFFSET(A$1,,,SUMPRODUCT(MAX(ROW(E$1:E3079)*(E2=E$1:E3079))))))</f>
        <v> </v>
      </c>
      <c r="K3080" s="26" t="str">
        <f>IF(OR(E3080="",E3080="!!!",F3080="NEW"),"",INDEX(J$1:J3079,SUMPRODUCT(MAX(ROW(E$1:E3079)*(E3080=E$1:E3079)))))</f>
        <v> </v>
      </c>
      <c r="L3080" s="27"/>
    </row>
    <row r="3081" spans="1:12">
      <c r="A3081" s="20" t="s">
        <v>2204</v>
      </c>
      <c r="B3081" s="21" t="s">
        <v>1087</v>
      </c>
      <c r="C3081" s="21" t="s">
        <v>976</v>
      </c>
      <c r="D3081" s="21" t="s">
        <v>972</v>
      </c>
      <c r="E3081" s="22">
        <f>IF(D3081="?OLD","!!!","")</f>
        <v/>
      </c>
      <c r="F3081" s="23" t="str">
        <f>IF(OR(E3081="",E3081="!!!"),"",IF(NOT(ISNA(VLOOKUP(E3081,E$1:E3080,1,FALSE()))),"OLD",IF(AND(E3081&lt;&gt;"",E3081&lt;&gt;"!!!"),"NEW","")))</f>
        <v> </v>
      </c>
      <c r="G3081" s="24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5" t="str">
        <f>IF(J3081&lt;&gt;1,"",IF(I3081="SBJ","CB","?"))</f>
        <v> </v>
      </c>
      <c r="I3081" s="26" t="str">
        <f>IF(OR(E3081="",E3081="!!!",F3081="NEW"),"",INDEX(B3080:B$2,-1+SUMPRODUCT(MAX(ROW(E3080:E$2)*(E3081=E3080:E$2)))))</f>
        <v> </v>
      </c>
      <c r="J3081" s="26" t="str">
        <f>IF(OR(E3081="",E3081="!!!",F3081="NEW"),"",COUNTBLANK(OFFSET(A$1,,,SUMPRODUCT(MAX(ROW(E$2:E3081)*(E3081=E$2:E3081)))))-COUNTBLANK(OFFSET(A$1,,,SUMPRODUCT(MAX(ROW(E$1:E3080)*(E2=E$1:E3080))))))</f>
        <v> </v>
      </c>
      <c r="K3081" s="26" t="str">
        <f>IF(OR(E3081="",E3081="!!!",F3081="NEW"),"",INDEX(J$1:J3080,SUMPRODUCT(MAX(ROW(E$1:E3080)*(E3081=E$1:E3080)))))</f>
        <v> </v>
      </c>
      <c r="L3081" s="27"/>
    </row>
    <row r="3082" spans="1:12">
      <c r="A3082" s="20" t="s">
        <v>1013</v>
      </c>
      <c r="E3082" s="22">
        <f>IF(D3082="?OLD","!!!","")</f>
        <v/>
      </c>
      <c r="F3082" s="23" t="str">
        <f>IF(OR(E3082="",E3082="!!!"),"",IF(NOT(ISNA(VLOOKUP(E3082,E$1:E3081,1,FALSE()))),"OLD",IF(AND(E3082&lt;&gt;"",E3082&lt;&gt;"!!!"),"NEW","")))</f>
        <v> </v>
      </c>
      <c r="G3082" s="24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5" t="str">
        <f>IF(J3082&lt;&gt;1,"",IF(I3082="SBJ","CB","?"))</f>
        <v> </v>
      </c>
      <c r="I3082" s="26" t="str">
        <f>IF(OR(E3082="",E3082="!!!",F3082="NEW"),"",INDEX(B3081:B$2,-1+SUMPRODUCT(MAX(ROW(E3081:E$2)*(E3082=E3081:E$2)))))</f>
        <v> </v>
      </c>
      <c r="J3082" s="26" t="str">
        <f>IF(OR(E3082="",E3082="!!!",F3082="NEW"),"",COUNTBLANK(OFFSET(A$1,,,SUMPRODUCT(MAX(ROW(E$2:E3082)*(E3082=E$2:E3082)))))-COUNTBLANK(OFFSET(A$1,,,SUMPRODUCT(MAX(ROW(E$1:E3081)*(E2=E$1:E3081))))))</f>
        <v> </v>
      </c>
      <c r="K3082" s="26" t="str">
        <f>IF(OR(E3082="",E3082="!!!",F3082="NEW"),"",INDEX(J$1:J3081,SUMPRODUCT(MAX(ROW(E$1:E3081)*(E3082=E$1:E3081)))))</f>
        <v> </v>
      </c>
      <c r="L3082" s="27"/>
    </row>
    <row r="3083" spans="1:12">
      <c r="A3083" s="20" t="s">
        <v>2213</v>
      </c>
      <c r="E3083" s="22">
        <f>IF(D3083="?OLD","!!!","")</f>
        <v/>
      </c>
      <c r="F3083" s="23" t="str">
        <f>IF(OR(E3083="",E3083="!!!"),"",IF(NOT(ISNA(VLOOKUP(E3083,E$1:E3082,1,FALSE()))),"OLD",IF(AND(E3083&lt;&gt;"",E3083&lt;&gt;"!!!"),"NEW","")))</f>
        <v> </v>
      </c>
      <c r="G3083" s="24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5" t="str">
        <f>IF(J3083&lt;&gt;1,"",IF(I3083="SBJ","CB","?"))</f>
        <v> </v>
      </c>
      <c r="I3083" s="26" t="str">
        <f>IF(OR(E3083="",E3083="!!!",F3083="NEW"),"",INDEX(B3082:B$2,-1+SUMPRODUCT(MAX(ROW(E3082:E$2)*(E3083=E3082:E$2)))))</f>
        <v> </v>
      </c>
      <c r="J3083" s="26" t="str">
        <f>IF(OR(E3083="",E3083="!!!",F3083="NEW"),"",COUNTBLANK(OFFSET(A$1,,,SUMPRODUCT(MAX(ROW(E$2:E3083)*(E3083=E$2:E3083)))))-COUNTBLANK(OFFSET(A$1,,,SUMPRODUCT(MAX(ROW(E$1:E3082)*(E2=E$1:E3082))))))</f>
        <v> </v>
      </c>
      <c r="K3083" s="26" t="str">
        <f>IF(OR(E3083="",E3083="!!!",F3083="NEW"),"",INDEX(J$1:J3082,SUMPRODUCT(MAX(ROW(E$1:E3082)*(E3083=E$1:E3082)))))</f>
        <v> </v>
      </c>
      <c r="L3083" s="27"/>
    </row>
    <row r="3084" spans="1:12">
      <c r="A3084" s="20" t="s">
        <v>1334</v>
      </c>
      <c r="E3084" s="22">
        <f>IF(D3084="?OLD","!!!","")</f>
        <v/>
      </c>
      <c r="F3084" s="23" t="str">
        <f>IF(OR(E3084="",E3084="!!!"),"",IF(NOT(ISNA(VLOOKUP(E3084,E$1:E3083,1,FALSE()))),"OLD",IF(AND(E3084&lt;&gt;"",E3084&lt;&gt;"!!!"),"NEW","")))</f>
        <v> </v>
      </c>
      <c r="G3084" s="24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5" t="str">
        <f>IF(J3084&lt;&gt;1,"",IF(I3084="SBJ","CB","?"))</f>
        <v> </v>
      </c>
      <c r="I3084" s="26" t="str">
        <f>IF(OR(E3084="",E3084="!!!",F3084="NEW"),"",INDEX(B3083:B$2,-1+SUMPRODUCT(MAX(ROW(E3083:E$2)*(E3084=E3083:E$2)))))</f>
        <v> </v>
      </c>
      <c r="J3084" s="26" t="str">
        <f>IF(OR(E3084="",E3084="!!!",F3084="NEW"),"",COUNTBLANK(OFFSET(A$1,,,SUMPRODUCT(MAX(ROW(E$2:E3084)*(E3084=E$2:E3084)))))-COUNTBLANK(OFFSET(A$1,,,SUMPRODUCT(MAX(ROW(E$1:E3083)*(E2=E$1:E3083))))))</f>
        <v> </v>
      </c>
      <c r="K3084" s="26" t="str">
        <f>IF(OR(E3084="",E3084="!!!",F3084="NEW"),"",INDEX(J$1:J3083,SUMPRODUCT(MAX(ROW(E$1:E3083)*(E3084=E$1:E3083)))))</f>
        <v> </v>
      </c>
      <c r="L3084" s="27"/>
    </row>
    <row r="3085" spans="1:12">
      <c r="A3085" s="20" t="s">
        <v>2214</v>
      </c>
      <c r="E3085" s="22">
        <f>IF(D3085="?OLD","!!!","")</f>
        <v/>
      </c>
      <c r="F3085" s="23" t="str">
        <f>IF(OR(E3085="",E3085="!!!"),"",IF(NOT(ISNA(VLOOKUP(E3085,E$1:E3084,1,FALSE()))),"OLD",IF(AND(E3085&lt;&gt;"",E3085&lt;&gt;"!!!"),"NEW","")))</f>
        <v> </v>
      </c>
      <c r="G3085" s="24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5" t="str">
        <f>IF(J3085&lt;&gt;1,"",IF(I3085="SBJ","CB","?"))</f>
        <v> </v>
      </c>
      <c r="I3085" s="26" t="str">
        <f>IF(OR(E3085="",E3085="!!!",F3085="NEW"),"",INDEX(B3084:B$2,-1+SUMPRODUCT(MAX(ROW(E3084:E$2)*(E3085=E3084:E$2)))))</f>
        <v> </v>
      </c>
      <c r="J3085" s="26" t="str">
        <f>IF(OR(E3085="",E3085="!!!",F3085="NEW"),"",COUNTBLANK(OFFSET(A$1,,,SUMPRODUCT(MAX(ROW(E$2:E3085)*(E3085=E$2:E3085)))))-COUNTBLANK(OFFSET(A$1,,,SUMPRODUCT(MAX(ROW(E$1:E3084)*(E2=E$1:E3084))))))</f>
        <v> </v>
      </c>
      <c r="K3085" s="26" t="str">
        <f>IF(OR(E3085="",E3085="!!!",F3085="NEW"),"",INDEX(J$1:J3084,SUMPRODUCT(MAX(ROW(E$1:E3084)*(E3085=E$1:E3084)))))</f>
        <v> </v>
      </c>
      <c r="L3085" s="27"/>
    </row>
    <row r="3086" spans="1:12">
      <c r="A3086" s="20" t="s">
        <v>2215</v>
      </c>
      <c r="E3086" s="22">
        <f>IF(D3086="?OLD","!!!","")</f>
        <v/>
      </c>
      <c r="F3086" s="23" t="str">
        <f>IF(OR(E3086="",E3086="!!!"),"",IF(NOT(ISNA(VLOOKUP(E3086,E$1:E3085,1,FALSE()))),"OLD",IF(AND(E3086&lt;&gt;"",E3086&lt;&gt;"!!!"),"NEW","")))</f>
        <v> </v>
      </c>
      <c r="G3086" s="24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5" t="str">
        <f>IF(J3086&lt;&gt;1,"",IF(I3086="SBJ","CB","?"))</f>
        <v> </v>
      </c>
      <c r="I3086" s="26" t="str">
        <f>IF(OR(E3086="",E3086="!!!",F3086="NEW"),"",INDEX(B3085:B$2,-1+SUMPRODUCT(MAX(ROW(E3085:E$2)*(E3086=E3085:E$2)))))</f>
        <v> </v>
      </c>
      <c r="J3086" s="26" t="str">
        <f>IF(OR(E3086="",E3086="!!!",F3086="NEW"),"",COUNTBLANK(OFFSET(A$1,,,SUMPRODUCT(MAX(ROW(E$2:E3086)*(E3086=E$2:E3086)))))-COUNTBLANK(OFFSET(A$1,,,SUMPRODUCT(MAX(ROW(E$1:E3085)*(E2=E$1:E3085))))))</f>
        <v> </v>
      </c>
      <c r="K3086" s="26" t="str">
        <f>IF(OR(E3086="",E3086="!!!",F3086="NEW"),"",INDEX(J$1:J3085,SUMPRODUCT(MAX(ROW(E$1:E3085)*(E3086=E$1:E3085)))))</f>
        <v> </v>
      </c>
      <c r="L3086" s="27"/>
    </row>
    <row r="3087" spans="1:12">
      <c r="A3087" s="20" t="s">
        <v>979</v>
      </c>
      <c r="E3087" s="22">
        <f>IF(D3087="?OLD","!!!","")</f>
        <v/>
      </c>
      <c r="F3087" s="23" t="str">
        <f>IF(OR(E3087="",E3087="!!!"),"",IF(NOT(ISNA(VLOOKUP(E3087,E$1:E3086,1,FALSE()))),"OLD",IF(AND(E3087&lt;&gt;"",E3087&lt;&gt;"!!!"),"NEW","")))</f>
        <v> </v>
      </c>
      <c r="G3087" s="24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5" t="str">
        <f>IF(J3087&lt;&gt;1,"",IF(I3087="SBJ","CB","?"))</f>
        <v> </v>
      </c>
      <c r="I3087" s="26" t="str">
        <f>IF(OR(E3087="",E3087="!!!",F3087="NEW"),"",INDEX(B3086:B$2,-1+SUMPRODUCT(MAX(ROW(E3086:E$2)*(E3087=E3086:E$2)))))</f>
        <v> </v>
      </c>
      <c r="J3087" s="26" t="str">
        <f>IF(OR(E3087="",E3087="!!!",F3087="NEW"),"",COUNTBLANK(OFFSET(A$1,,,SUMPRODUCT(MAX(ROW(E$2:E3087)*(E3087=E$2:E3087)))))-COUNTBLANK(OFFSET(A$1,,,SUMPRODUCT(MAX(ROW(E$1:E3086)*(E2=E$1:E3086))))))</f>
        <v> </v>
      </c>
      <c r="K3087" s="26" t="str">
        <f>IF(OR(E3087="",E3087="!!!",F3087="NEW"),"",INDEX(J$1:J3086,SUMPRODUCT(MAX(ROW(E$1:E3086)*(E3087=E$1:E3086)))))</f>
        <v> </v>
      </c>
      <c r="L3087" s="27"/>
    </row>
    <row r="3088" spans="1:12">
      <c r="A3088" s="20"/>
    </row>
    <row r="3089" spans="1:12">
      <c r="A3089" s="20" t="s">
        <v>2216</v>
      </c>
    </row>
    <row r="3090" spans="1:12">
      <c r="A3090" s="20" t="s">
        <v>1401</v>
      </c>
      <c r="E3090" s="22">
        <f>IF(D3090="?OLD","!!!","")</f>
        <v/>
      </c>
      <c r="F3090" s="23" t="str">
        <f>IF(OR(E3090="",E3090="!!!"),"",IF(NOT(ISNA(VLOOKUP(E3090,E$1:E3089,1,FALSE()))),"OLD",IF(AND(E3090&lt;&gt;"",E3090&lt;&gt;"!!!"),"NEW","")))</f>
        <v> </v>
      </c>
      <c r="G3090" s="24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5" t="str">
        <f>IF(J3090&lt;&gt;1,"",IF(I3090="SBJ","CB","?"))</f>
        <v> </v>
      </c>
      <c r="I3090" s="26" t="str">
        <f>IF(OR(E3090="",E3090="!!!",F3090="NEW"),"",INDEX(B3089:B$2,-1+SUMPRODUCT(MAX(ROW(E3089:E$2)*(E3090=E3089:E$2)))))</f>
        <v> </v>
      </c>
      <c r="J3090" s="26" t="str">
        <f>IF(OR(E3090="",E3090="!!!",F3090="NEW"),"",COUNTBLANK(OFFSET(A$1,,,SUMPRODUCT(MAX(ROW(E$2:E3090)*(E3090=E$2:E3090)))))-COUNTBLANK(OFFSET(A$1,,,SUMPRODUCT(MAX(ROW(E$1:E3089)*(E2=E$1:E3089))))))</f>
        <v> </v>
      </c>
      <c r="K3090" s="26" t="str">
        <f>IF(OR(E3090="",E3090="!!!",F3090="NEW"),"",INDEX(J$1:J3089,SUMPRODUCT(MAX(ROW(E$1:E3089)*(E3090=E$1:E3089)))))</f>
        <v> </v>
      </c>
      <c r="L3090" s="27"/>
    </row>
    <row r="3091" spans="1:12">
      <c r="A3091" s="20" t="s">
        <v>1899</v>
      </c>
      <c r="E3091" s="22">
        <f>IF(D3091="?OLD","!!!","")</f>
        <v/>
      </c>
      <c r="F3091" s="23" t="str">
        <f>IF(OR(E3091="",E3091="!!!"),"",IF(NOT(ISNA(VLOOKUP(E3091,E$1:E3090,1,FALSE()))),"OLD",IF(AND(E3091&lt;&gt;"",E3091&lt;&gt;"!!!"),"NEW","")))</f>
        <v> </v>
      </c>
      <c r="G3091" s="24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5" t="str">
        <f>IF(J3091&lt;&gt;1,"",IF(I3091="SBJ","CB","?"))</f>
        <v> </v>
      </c>
      <c r="I3091" s="26" t="str">
        <f>IF(OR(E3091="",E3091="!!!",F3091="NEW"),"",INDEX(B3090:B$2,-1+SUMPRODUCT(MAX(ROW(E3090:E$2)*(E3091=E3090:E$2)))))</f>
        <v> </v>
      </c>
      <c r="J3091" s="26" t="str">
        <f>IF(OR(E3091="",E3091="!!!",F3091="NEW"),"",COUNTBLANK(OFFSET(A$1,,,SUMPRODUCT(MAX(ROW(E$2:E3091)*(E3091=E$2:E3091)))))-COUNTBLANK(OFFSET(A$1,,,SUMPRODUCT(MAX(ROW(E$1:E3090)*(E2=E$1:E3090))))))</f>
        <v> </v>
      </c>
      <c r="K3091" s="26" t="str">
        <f>IF(OR(E3091="",E3091="!!!",F3091="NEW"),"",INDEX(J$1:J3090,SUMPRODUCT(MAX(ROW(E$1:E3090)*(E3091=E$1:E3090)))))</f>
        <v> </v>
      </c>
      <c r="L3091" s="27"/>
    </row>
    <row r="3092" spans="1:12">
      <c r="A3092" s="20" t="s">
        <v>1013</v>
      </c>
      <c r="E3092" s="22">
        <f>IF(D3092="?OLD","!!!","")</f>
        <v/>
      </c>
      <c r="F3092" s="23" t="str">
        <f>IF(OR(E3092="",E3092="!!!"),"",IF(NOT(ISNA(VLOOKUP(E3092,E$1:E3091,1,FALSE()))),"OLD",IF(AND(E3092&lt;&gt;"",E3092&lt;&gt;"!!!"),"NEW","")))</f>
        <v> </v>
      </c>
      <c r="G3092" s="24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5" t="str">
        <f>IF(J3092&lt;&gt;1,"",IF(I3092="SBJ","CB","?"))</f>
        <v> </v>
      </c>
      <c r="I3092" s="26" t="str">
        <f>IF(OR(E3092="",E3092="!!!",F3092="NEW"),"",INDEX(B3091:B$2,-1+SUMPRODUCT(MAX(ROW(E3091:E$2)*(E3092=E3091:E$2)))))</f>
        <v> </v>
      </c>
      <c r="J3092" s="26" t="str">
        <f>IF(OR(E3092="",E3092="!!!",F3092="NEW"),"",COUNTBLANK(OFFSET(A$1,,,SUMPRODUCT(MAX(ROW(E$2:E3092)*(E3092=E$2:E3092)))))-COUNTBLANK(OFFSET(A$1,,,SUMPRODUCT(MAX(ROW(E$1:E3091)*(E2=E$1:E3091))))))</f>
        <v> </v>
      </c>
      <c r="K3092" s="26" t="str">
        <f>IF(OR(E3092="",E3092="!!!",F3092="NEW"),"",INDEX(J$1:J3091,SUMPRODUCT(MAX(ROW(E$1:E3091)*(E3092=E$1:E3091)))))</f>
        <v> </v>
      </c>
      <c r="L3092" s="27"/>
    </row>
    <row r="3093" spans="1:12">
      <c r="A3093" s="20" t="s">
        <v>2203</v>
      </c>
      <c r="E3093" s="22">
        <f>IF(D3093="?OLD","!!!","")</f>
        <v/>
      </c>
      <c r="F3093" s="23" t="str">
        <f>IF(OR(E3093="",E3093="!!!"),"",IF(NOT(ISNA(VLOOKUP(E3093,E$1:E3092,1,FALSE()))),"OLD",IF(AND(E3093&lt;&gt;"",E3093&lt;&gt;"!!!"),"NEW","")))</f>
        <v> </v>
      </c>
      <c r="G3093" s="24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5" t="str">
        <f>IF(J3093&lt;&gt;1,"",IF(I3093="SBJ","CB","?"))</f>
        <v> </v>
      </c>
      <c r="I3093" s="26" t="str">
        <f>IF(OR(E3093="",E3093="!!!",F3093="NEW"),"",INDEX(B3092:B$2,-1+SUMPRODUCT(MAX(ROW(E3092:E$2)*(E3093=E3092:E$2)))))</f>
        <v> </v>
      </c>
      <c r="J3093" s="26" t="str">
        <f>IF(OR(E3093="",E3093="!!!",F3093="NEW"),"",COUNTBLANK(OFFSET(A$1,,,SUMPRODUCT(MAX(ROW(E$2:E3093)*(E3093=E$2:E3093)))))-COUNTBLANK(OFFSET(A$1,,,SUMPRODUCT(MAX(ROW(E$1:E3092)*(E2=E$1:E3092))))))</f>
        <v> </v>
      </c>
      <c r="K3093" s="26" t="str">
        <f>IF(OR(E3093="",E3093="!!!",F3093="NEW"),"",INDEX(J$1:J3092,SUMPRODUCT(MAX(ROW(E$1:E3092)*(E3093=E$1:E3092)))))</f>
        <v> </v>
      </c>
      <c r="L3093" s="27"/>
    </row>
    <row r="3094" spans="1:12">
      <c r="A3094" s="20" t="s">
        <v>2217</v>
      </c>
      <c r="B3094" s="21" t="s">
        <v>975</v>
      </c>
      <c r="E3094" s="22">
        <f>IF(D3094="?OLD","!!!","")</f>
        <v/>
      </c>
      <c r="F3094" s="23" t="str">
        <f>IF(OR(E3094="",E3094="!!!"),"",IF(NOT(ISNA(VLOOKUP(E3094,E$1:E3093,1,FALSE()))),"OLD",IF(AND(E3094&lt;&gt;"",E3094&lt;&gt;"!!!"),"NEW","")))</f>
        <v> </v>
      </c>
      <c r="G3094" s="24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5" t="str">
        <f>IF(J3094&lt;&gt;1,"",IF(I3094="SBJ","CB","?"))</f>
        <v> </v>
      </c>
      <c r="I3094" s="26" t="str">
        <f>IF(OR(E3094="",E3094="!!!",F3094="NEW"),"",INDEX(B3093:B$2,-1+SUMPRODUCT(MAX(ROW(E3093:E$2)*(E3094=E3093:E$2)))))</f>
        <v> </v>
      </c>
      <c r="J3094" s="26" t="str">
        <f>IF(OR(E3094="",E3094="!!!",F3094="NEW"),"",COUNTBLANK(OFFSET(A$1,,,SUMPRODUCT(MAX(ROW(E$2:E3094)*(E3094=E$2:E3094)))))-COUNTBLANK(OFFSET(A$1,,,SUMPRODUCT(MAX(ROW(E$1:E3093)*(E2=E$1:E3093))))))</f>
        <v> </v>
      </c>
      <c r="K3094" s="26" t="str">
        <f>IF(OR(E3094="",E3094="!!!",F3094="NEW"),"",INDEX(J$1:J3093,SUMPRODUCT(MAX(ROW(E$1:E3093)*(E3094=E$1:E3093)))))</f>
        <v> </v>
      </c>
      <c r="L3094" s="27"/>
    </row>
    <row r="3095" spans="1:12">
      <c r="A3095" s="20" t="s">
        <v>2218</v>
      </c>
      <c r="E3095" s="22">
        <f>IF(D3095="?OLD","!!!","")</f>
        <v/>
      </c>
      <c r="F3095" s="23" t="str">
        <f>IF(OR(E3095="",E3095="!!!"),"",IF(NOT(ISNA(VLOOKUP(E3095,E$1:E3094,1,FALSE()))),"OLD",IF(AND(E3095&lt;&gt;"",E3095&lt;&gt;"!!!"),"NEW","")))</f>
        <v> </v>
      </c>
      <c r="G3095" s="24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5" t="str">
        <f>IF(J3095&lt;&gt;1,"",IF(I3095="SBJ","CB","?"))</f>
        <v> </v>
      </c>
      <c r="I3095" s="26" t="str">
        <f>IF(OR(E3095="",E3095="!!!",F3095="NEW"),"",INDEX(B3094:B$2,-1+SUMPRODUCT(MAX(ROW(E3094:E$2)*(E3095=E3094:E$2)))))</f>
        <v> </v>
      </c>
      <c r="J3095" s="26" t="str">
        <f>IF(OR(E3095="",E3095="!!!",F3095="NEW"),"",COUNTBLANK(OFFSET(A$1,,,SUMPRODUCT(MAX(ROW(E$2:E3095)*(E3095=E$2:E3095)))))-COUNTBLANK(OFFSET(A$1,,,SUMPRODUCT(MAX(ROW(E$1:E3094)*(E2=E$1:E3094))))))</f>
        <v> </v>
      </c>
      <c r="K3095" s="26" t="str">
        <f>IF(OR(E3095="",E3095="!!!",F3095="NEW"),"",INDEX(J$1:J3094,SUMPRODUCT(MAX(ROW(E$1:E3094)*(E3095=E$1:E3094)))))</f>
        <v> </v>
      </c>
      <c r="L3095" s="27"/>
    </row>
    <row r="3096" spans="1:12">
      <c r="A3096" s="20" t="s">
        <v>1013</v>
      </c>
      <c r="E3096" s="22">
        <f>IF(D3096="?OLD","!!!","")</f>
        <v/>
      </c>
      <c r="F3096" s="23" t="str">
        <f>IF(OR(E3096="",E3096="!!!"),"",IF(NOT(ISNA(VLOOKUP(E3096,E$1:E3095,1,FALSE()))),"OLD",IF(AND(E3096&lt;&gt;"",E3096&lt;&gt;"!!!"),"NEW","")))</f>
        <v> </v>
      </c>
      <c r="G3096" s="24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5" t="str">
        <f>IF(J3096&lt;&gt;1,"",IF(I3096="SBJ","CB","?"))</f>
        <v> </v>
      </c>
      <c r="I3096" s="26" t="str">
        <f>IF(OR(E3096="",E3096="!!!",F3096="NEW"),"",INDEX(B3095:B$2,-1+SUMPRODUCT(MAX(ROW(E3095:E$2)*(E3096=E3095:E$2)))))</f>
        <v> </v>
      </c>
      <c r="J3096" s="26" t="str">
        <f>IF(OR(E3096="",E3096="!!!",F3096="NEW"),"",COUNTBLANK(OFFSET(A$1,,,SUMPRODUCT(MAX(ROW(E$2:E3096)*(E3096=E$2:E3096)))))-COUNTBLANK(OFFSET(A$1,,,SUMPRODUCT(MAX(ROW(E$1:E3095)*(E2=E$1:E3095))))))</f>
        <v> </v>
      </c>
      <c r="K3096" s="26" t="str">
        <f>IF(OR(E3096="",E3096="!!!",F3096="NEW"),"",INDEX(J$1:J3095,SUMPRODUCT(MAX(ROW(E$1:E3095)*(E3096=E$1:E3095)))))</f>
        <v> </v>
      </c>
      <c r="L3096" s="27"/>
    </row>
    <row r="3097" spans="1:12">
      <c r="A3097" s="20" t="s">
        <v>149</v>
      </c>
      <c r="E3097" s="22">
        <f>IF(D3097="?OLD","!!!","")</f>
        <v/>
      </c>
      <c r="F3097" s="23" t="str">
        <f>IF(OR(E3097="",E3097="!!!"),"",IF(NOT(ISNA(VLOOKUP(E3097,E$1:E3096,1,FALSE()))),"OLD",IF(AND(E3097&lt;&gt;"",E3097&lt;&gt;"!!!"),"NEW","")))</f>
        <v> </v>
      </c>
      <c r="G3097" s="24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5" t="str">
        <f>IF(J3097&lt;&gt;1,"",IF(I3097="SBJ","CB","?"))</f>
        <v> </v>
      </c>
      <c r="I3097" s="26" t="str">
        <f>IF(OR(E3097="",E3097="!!!",F3097="NEW"),"",INDEX(B3096:B$2,-1+SUMPRODUCT(MAX(ROW(E3096:E$2)*(E3097=E3096:E$2)))))</f>
        <v> </v>
      </c>
      <c r="J3097" s="26" t="str">
        <f>IF(OR(E3097="",E3097="!!!",F3097="NEW"),"",COUNTBLANK(OFFSET(A$1,,,SUMPRODUCT(MAX(ROW(E$2:E3097)*(E3097=E$2:E3097)))))-COUNTBLANK(OFFSET(A$1,,,SUMPRODUCT(MAX(ROW(E$1:E3096)*(E2=E$1:E3096))))))</f>
        <v> </v>
      </c>
      <c r="K3097" s="26" t="str">
        <f>IF(OR(E3097="",E3097="!!!",F3097="NEW"),"",INDEX(J$1:J3096,SUMPRODUCT(MAX(ROW(E$1:E3096)*(E3097=E$1:E3096)))))</f>
        <v> </v>
      </c>
      <c r="L3097" s="27"/>
    </row>
    <row r="3098" spans="1:12">
      <c r="A3098" s="20" t="s">
        <v>2219</v>
      </c>
      <c r="E3098" s="22">
        <f>IF(D3098="?OLD","!!!","")</f>
        <v/>
      </c>
      <c r="F3098" s="23" t="str">
        <f>IF(OR(E3098="",E3098="!!!"),"",IF(NOT(ISNA(VLOOKUP(E3098,E$1:E3097,1,FALSE()))),"OLD",IF(AND(E3098&lt;&gt;"",E3098&lt;&gt;"!!!"),"NEW","")))</f>
        <v> </v>
      </c>
      <c r="G3098" s="24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5" t="str">
        <f>IF(J3098&lt;&gt;1,"",IF(I3098="SBJ","CB","?"))</f>
        <v> </v>
      </c>
      <c r="I3098" s="26" t="str">
        <f>IF(OR(E3098="",E3098="!!!",F3098="NEW"),"",INDEX(B3097:B$2,-1+SUMPRODUCT(MAX(ROW(E3097:E$2)*(E3098=E3097:E$2)))))</f>
        <v> </v>
      </c>
      <c r="J3098" s="26" t="str">
        <f>IF(OR(E3098="",E3098="!!!",F3098="NEW"),"",COUNTBLANK(OFFSET(A$1,,,SUMPRODUCT(MAX(ROW(E$2:E3098)*(E3098=E$2:E3098)))))-COUNTBLANK(OFFSET(A$1,,,SUMPRODUCT(MAX(ROW(E$1:E3097)*(E2=E$1:E3097))))))</f>
        <v> </v>
      </c>
      <c r="K3098" s="26" t="str">
        <f>IF(OR(E3098="",E3098="!!!",F3098="NEW"),"",INDEX(J$1:J3097,SUMPRODUCT(MAX(ROW(E$1:E3097)*(E3098=E$1:E3097)))))</f>
        <v> </v>
      </c>
      <c r="L3098" s="27"/>
    </row>
    <row r="3099" spans="1:12">
      <c r="A3099" s="20" t="s">
        <v>640</v>
      </c>
      <c r="B3099" s="21" t="s">
        <v>1101</v>
      </c>
      <c r="C3099" s="21" t="s">
        <v>1200</v>
      </c>
      <c r="D3099" s="21" t="s">
        <v>972</v>
      </c>
      <c r="E3099" s="22">
        <f>IF(D3099="?OLD","!!!","")</f>
        <v/>
      </c>
      <c r="F3099" s="23" t="str">
        <f>IF(OR(E3099="",E3099="!!!"),"",IF(NOT(ISNA(VLOOKUP(E3099,E$1:E3098,1,FALSE()))),"OLD",IF(AND(E3099&lt;&gt;"",E3099&lt;&gt;"!!!"),"NEW","")))</f>
        <v> </v>
      </c>
      <c r="G3099" s="24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5" t="str">
        <f>IF(J3099&lt;&gt;1,"",IF(I3099="SBJ","CB","?"))</f>
        <v> </v>
      </c>
      <c r="I3099" s="26" t="str">
        <f>IF(OR(E3099="",E3099="!!!",F3099="NEW"),"",INDEX(B3098:B$2,-1+SUMPRODUCT(MAX(ROW(E3098:E$2)*(E3099=E3098:E$2)))))</f>
        <v> </v>
      </c>
      <c r="J3099" s="26" t="str">
        <f>IF(OR(E3099="",E3099="!!!",F3099="NEW"),"",COUNTBLANK(OFFSET(A$1,,,SUMPRODUCT(MAX(ROW(E$2:E3099)*(E3099=E$2:E3099)))))-COUNTBLANK(OFFSET(A$1,,,SUMPRODUCT(MAX(ROW(E$1:E3098)*(E2=E$1:E3098))))))</f>
        <v> </v>
      </c>
      <c r="K3099" s="26" t="str">
        <f>IF(OR(E3099="",E3099="!!!",F3099="NEW"),"",INDEX(J$1:J3098,SUMPRODUCT(MAX(ROW(E$1:E3098)*(E3099=E$1:E3098)))))</f>
        <v> </v>
      </c>
      <c r="L3099" s="27"/>
    </row>
    <row r="3100" spans="1:12">
      <c r="A3100" s="20" t="s">
        <v>2090</v>
      </c>
      <c r="B3100" s="21" t="s">
        <v>1011</v>
      </c>
      <c r="C3100" s="21" t="s">
        <v>976</v>
      </c>
      <c r="D3100" s="21" t="s">
        <v>972</v>
      </c>
      <c r="E3100" s="22">
        <f>IF(D3100="?OLD","!!!","")</f>
        <v/>
      </c>
      <c r="F3100" s="23" t="str">
        <f>IF(OR(E3100="",E3100="!!!"),"",IF(NOT(ISNA(VLOOKUP(E3100,E$1:E3099,1,FALSE()))),"OLD",IF(AND(E3100&lt;&gt;"",E3100&lt;&gt;"!!!"),"NEW","")))</f>
        <v> </v>
      </c>
      <c r="G3100" s="24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5" t="str">
        <f>IF(J3100&lt;&gt;1,"",IF(I3100="SBJ","CB","?"))</f>
        <v> </v>
      </c>
      <c r="I3100" s="26" t="str">
        <f>IF(OR(E3100="",E3100="!!!",F3100="NEW"),"",INDEX(B3099:B$2,-1+SUMPRODUCT(MAX(ROW(E3099:E$2)*(E3100=E3099:E$2)))))</f>
        <v> </v>
      </c>
      <c r="J3100" s="26" t="str">
        <f>IF(OR(E3100="",E3100="!!!",F3100="NEW"),"",COUNTBLANK(OFFSET(A$1,,,SUMPRODUCT(MAX(ROW(E$2:E3100)*(E3100=E$2:E3100)))))-COUNTBLANK(OFFSET(A$1,,,SUMPRODUCT(MAX(ROW(E$1:E3099)*(E2=E$1:E3099))))))</f>
        <v> </v>
      </c>
      <c r="K3100" s="26" t="str">
        <f>IF(OR(E3100="",E3100="!!!",F3100="NEW"),"",INDEX(J$1:J3099,SUMPRODUCT(MAX(ROW(E$1:E3099)*(E3100=E$1:E3099)))))</f>
        <v> </v>
      </c>
      <c r="L3100" s="27"/>
    </row>
    <row r="3101" spans="1:12">
      <c r="A3101" s="20" t="s">
        <v>2220</v>
      </c>
      <c r="E3101" s="22">
        <f>IF(D3101="?OLD","!!!","")</f>
        <v/>
      </c>
      <c r="F3101" s="23" t="str">
        <f>IF(OR(E3101="",E3101="!!!"),"",IF(NOT(ISNA(VLOOKUP(E3101,E$1:E3100,1,FALSE()))),"OLD",IF(AND(E3101&lt;&gt;"",E3101&lt;&gt;"!!!"),"NEW","")))</f>
        <v> </v>
      </c>
      <c r="G3101" s="24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5" t="str">
        <f>IF(J3101&lt;&gt;1,"",IF(I3101="SBJ","CB","?"))</f>
        <v> </v>
      </c>
      <c r="I3101" s="26" t="str">
        <f>IF(OR(E3101="",E3101="!!!",F3101="NEW"),"",INDEX(B3100:B$2,-1+SUMPRODUCT(MAX(ROW(E3100:E$2)*(E3101=E3100:E$2)))))</f>
        <v> </v>
      </c>
      <c r="J3101" s="26" t="str">
        <f>IF(OR(E3101="",E3101="!!!",F3101="NEW"),"",COUNTBLANK(OFFSET(A$1,,,SUMPRODUCT(MAX(ROW(E$2:E3101)*(E3101=E$2:E3101)))))-COUNTBLANK(OFFSET(A$1,,,SUMPRODUCT(MAX(ROW(E$1:E3100)*(E2=E$1:E3100))))))</f>
        <v> </v>
      </c>
      <c r="K3101" s="26" t="str">
        <f>IF(OR(E3101="",E3101="!!!",F3101="NEW"),"",INDEX(J$1:J3100,SUMPRODUCT(MAX(ROW(E$1:E3100)*(E3101=E$1:E3100)))))</f>
        <v> </v>
      </c>
      <c r="L3101" s="27"/>
    </row>
    <row r="3102" spans="1:12">
      <c r="A3102" s="20" t="s">
        <v>987</v>
      </c>
      <c r="E3102" s="22">
        <f>IF(D3102="?OLD","!!!","")</f>
        <v/>
      </c>
      <c r="F3102" s="23" t="str">
        <f>IF(OR(E3102="",E3102="!!!"),"",IF(NOT(ISNA(VLOOKUP(E3102,E$1:E3101,1,FALSE()))),"OLD",IF(AND(E3102&lt;&gt;"",E3102&lt;&gt;"!!!"),"NEW","")))</f>
        <v> </v>
      </c>
      <c r="G3102" s="24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5" t="str">
        <f>IF(J3102&lt;&gt;1,"",IF(I3102="SBJ","CB","?"))</f>
        <v> </v>
      </c>
      <c r="I3102" s="26" t="str">
        <f>IF(OR(E3102="",E3102="!!!",F3102="NEW"),"",INDEX(B3101:B$2,-1+SUMPRODUCT(MAX(ROW(E3101:E$2)*(E3102=E3101:E$2)))))</f>
        <v> </v>
      </c>
      <c r="J3102" s="26" t="str">
        <f>IF(OR(E3102="",E3102="!!!",F3102="NEW"),"",COUNTBLANK(OFFSET(A$1,,,SUMPRODUCT(MAX(ROW(E$2:E3102)*(E3102=E$2:E3102)))))-COUNTBLANK(OFFSET(A$1,,,SUMPRODUCT(MAX(ROW(E$1:E3101)*(E2=E$1:E3101))))))</f>
        <v> </v>
      </c>
      <c r="K3102" s="26" t="str">
        <f>IF(OR(E3102="",E3102="!!!",F3102="NEW"),"",INDEX(J$1:J3101,SUMPRODUCT(MAX(ROW(E$1:E3101)*(E3102=E$1:E3101)))))</f>
        <v> </v>
      </c>
      <c r="L3102" s="27"/>
    </row>
    <row r="3103" spans="1:12">
      <c r="A3103" s="20" t="s">
        <v>1071</v>
      </c>
      <c r="E3103" s="22">
        <f>IF(D3103="?OLD","!!!","")</f>
        <v/>
      </c>
      <c r="F3103" s="23" t="str">
        <f>IF(OR(E3103="",E3103="!!!"),"",IF(NOT(ISNA(VLOOKUP(E3103,E$1:E3102,1,FALSE()))),"OLD",IF(AND(E3103&lt;&gt;"",E3103&lt;&gt;"!!!"),"NEW","")))</f>
        <v> </v>
      </c>
      <c r="G3103" s="24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5" t="str">
        <f>IF(J3103&lt;&gt;1,"",IF(I3103="SBJ","CB","?"))</f>
        <v> </v>
      </c>
      <c r="I3103" s="26" t="str">
        <f>IF(OR(E3103="",E3103="!!!",F3103="NEW"),"",INDEX(B3102:B$2,-1+SUMPRODUCT(MAX(ROW(E3102:E$2)*(E3103=E3102:E$2)))))</f>
        <v> </v>
      </c>
      <c r="J3103" s="26" t="str">
        <f>IF(OR(E3103="",E3103="!!!",F3103="NEW"),"",COUNTBLANK(OFFSET(A$1,,,SUMPRODUCT(MAX(ROW(E$2:E3103)*(E3103=E$2:E3103)))))-COUNTBLANK(OFFSET(A$1,,,SUMPRODUCT(MAX(ROW(E$1:E3102)*(E2=E$1:E3102))))))</f>
        <v> </v>
      </c>
      <c r="K3103" s="26" t="str">
        <f>IF(OR(E3103="",E3103="!!!",F3103="NEW"),"",INDEX(J$1:J3102,SUMPRODUCT(MAX(ROW(E$1:E3102)*(E3103=E$1:E3102)))))</f>
        <v> </v>
      </c>
      <c r="L3103" s="27"/>
    </row>
    <row r="3104" spans="1:12">
      <c r="A3104" s="20" t="s">
        <v>1072</v>
      </c>
      <c r="E3104" s="22">
        <f>IF(D3104="?OLD","!!!","")</f>
        <v/>
      </c>
      <c r="F3104" s="23" t="str">
        <f>IF(OR(E3104="",E3104="!!!"),"",IF(NOT(ISNA(VLOOKUP(E3104,E$1:E3103,1,FALSE()))),"OLD",IF(AND(E3104&lt;&gt;"",E3104&lt;&gt;"!!!"),"NEW","")))</f>
        <v> </v>
      </c>
      <c r="G3104" s="24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5" t="str">
        <f>IF(J3104&lt;&gt;1,"",IF(I3104="SBJ","CB","?"))</f>
        <v> </v>
      </c>
      <c r="I3104" s="26" t="str">
        <f>IF(OR(E3104="",E3104="!!!",F3104="NEW"),"",INDEX(B3103:B$2,-1+SUMPRODUCT(MAX(ROW(E3103:E$2)*(E3104=E3103:E$2)))))</f>
        <v> </v>
      </c>
      <c r="J3104" s="26" t="str">
        <f>IF(OR(E3104="",E3104="!!!",F3104="NEW"),"",COUNTBLANK(OFFSET(A$1,,,SUMPRODUCT(MAX(ROW(E$2:E3104)*(E3104=E$2:E3104)))))-COUNTBLANK(OFFSET(A$1,,,SUMPRODUCT(MAX(ROW(E$1:E3103)*(E2=E$1:E3103))))))</f>
        <v> </v>
      </c>
      <c r="K3104" s="26" t="str">
        <f>IF(OR(E3104="",E3104="!!!",F3104="NEW"),"",INDEX(J$1:J3103,SUMPRODUCT(MAX(ROW(E$1:E3103)*(E3104=E$1:E3103)))))</f>
        <v> </v>
      </c>
      <c r="L3104" s="27"/>
    </row>
    <row r="3105" spans="1:12">
      <c r="A3105" s="20" t="s">
        <v>979</v>
      </c>
      <c r="E3105" s="22">
        <f>IF(D3105="?OLD","!!!","")</f>
        <v/>
      </c>
      <c r="F3105" s="23" t="str">
        <f>IF(OR(E3105="",E3105="!!!"),"",IF(NOT(ISNA(VLOOKUP(E3105,E$1:E3104,1,FALSE()))),"OLD",IF(AND(E3105&lt;&gt;"",E3105&lt;&gt;"!!!"),"NEW","")))</f>
        <v> </v>
      </c>
      <c r="G3105" s="24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5" t="str">
        <f>IF(J3105&lt;&gt;1,"",IF(I3105="SBJ","CB","?"))</f>
        <v> </v>
      </c>
      <c r="I3105" s="26" t="str">
        <f>IF(OR(E3105="",E3105="!!!",F3105="NEW"),"",INDEX(B3104:B$2,-1+SUMPRODUCT(MAX(ROW(E3104:E$2)*(E3105=E3104:E$2)))))</f>
        <v> </v>
      </c>
      <c r="J3105" s="26" t="str">
        <f>IF(OR(E3105="",E3105="!!!",F3105="NEW"),"",COUNTBLANK(OFFSET(A$1,,,SUMPRODUCT(MAX(ROW(E$2:E3105)*(E3105=E$2:E3105)))))-COUNTBLANK(OFFSET(A$1,,,SUMPRODUCT(MAX(ROW(E$1:E3104)*(E2=E$1:E3104))))))</f>
        <v> </v>
      </c>
      <c r="K3105" s="26" t="str">
        <f>IF(OR(E3105="",E3105="!!!",F3105="NEW"),"",INDEX(J$1:J3104,SUMPRODUCT(MAX(ROW(E$1:E3104)*(E3105=E$1:E3104)))))</f>
        <v> </v>
      </c>
      <c r="L3105" s="27"/>
    </row>
    <row r="3106" spans="1:12">
      <c r="A3106" s="20"/>
    </row>
    <row r="3107" spans="1:12">
      <c r="A3107" s="20" t="s">
        <v>2221</v>
      </c>
    </row>
    <row r="3108" spans="1:12">
      <c r="A3108" s="20" t="s">
        <v>993</v>
      </c>
      <c r="E3108" s="22">
        <f>IF(D3108="?OLD","!!!","")</f>
        <v/>
      </c>
      <c r="F3108" s="23" t="str">
        <f>IF(OR(E3108="",E3108="!!!"),"",IF(NOT(ISNA(VLOOKUP(E3108,E$1:E3107,1,FALSE()))),"OLD",IF(AND(E3108&lt;&gt;"",E3108&lt;&gt;"!!!"),"NEW","")))</f>
        <v> </v>
      </c>
      <c r="G3108" s="24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5" t="str">
        <f>IF(J3108&lt;&gt;1,"",IF(I3108="SBJ","CB","?"))</f>
        <v> </v>
      </c>
      <c r="I3108" s="26" t="str">
        <f>IF(OR(E3108="",E3108="!!!",F3108="NEW"),"",INDEX(B3107:B$2,-1+SUMPRODUCT(MAX(ROW(E3107:E$2)*(E3108=E3107:E$2)))))</f>
        <v> </v>
      </c>
      <c r="J3108" s="26" t="str">
        <f>IF(OR(E3108="",E3108="!!!",F3108="NEW"),"",COUNTBLANK(OFFSET(A$1,,,SUMPRODUCT(MAX(ROW(E$2:E3108)*(E3108=E$2:E3108)))))-COUNTBLANK(OFFSET(A$1,,,SUMPRODUCT(MAX(ROW(E$1:E3107)*(E2=E$1:E3107))))))</f>
        <v> </v>
      </c>
      <c r="K3108" s="26" t="str">
        <f>IF(OR(E3108="",E3108="!!!",F3108="NEW"),"",INDEX(J$1:J3107,SUMPRODUCT(MAX(ROW(E$1:E3107)*(E3108=E$1:E3107)))))</f>
        <v> </v>
      </c>
      <c r="L3108" s="27"/>
    </row>
    <row r="3109" spans="1:12">
      <c r="A3109" s="20" t="s">
        <v>2222</v>
      </c>
      <c r="B3109" s="21" t="s">
        <v>975</v>
      </c>
      <c r="E3109" s="22">
        <f>IF(D3109="?OLD","!!!","")</f>
        <v/>
      </c>
      <c r="F3109" s="23" t="str">
        <f>IF(OR(E3109="",E3109="!!!"),"",IF(NOT(ISNA(VLOOKUP(E3109,E$1:E3108,1,FALSE()))),"OLD",IF(AND(E3109&lt;&gt;"",E3109&lt;&gt;"!!!"),"NEW","")))</f>
        <v> </v>
      </c>
      <c r="G3109" s="24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5" t="str">
        <f>IF(J3109&lt;&gt;1,"",IF(I3109="SBJ","CB","?"))</f>
        <v> </v>
      </c>
      <c r="I3109" s="26" t="str">
        <f>IF(OR(E3109="",E3109="!!!",F3109="NEW"),"",INDEX(B3108:B$2,-1+SUMPRODUCT(MAX(ROW(E3108:E$2)*(E3109=E3108:E$2)))))</f>
        <v> </v>
      </c>
      <c r="J3109" s="26" t="str">
        <f>IF(OR(E3109="",E3109="!!!",F3109="NEW"),"",COUNTBLANK(OFFSET(A$1,,,SUMPRODUCT(MAX(ROW(E$2:E3109)*(E3109=E$2:E3109)))))-COUNTBLANK(OFFSET(A$1,,,SUMPRODUCT(MAX(ROW(E$1:E3108)*(E2=E$1:E3108))))))</f>
        <v> </v>
      </c>
      <c r="K3109" s="26" t="str">
        <f>IF(OR(E3109="",E3109="!!!",F3109="NEW"),"",INDEX(J$1:J3108,SUMPRODUCT(MAX(ROW(E$1:E3108)*(E3109=E$1:E3108)))))</f>
        <v> </v>
      </c>
      <c r="L3109" s="27"/>
    </row>
    <row r="3110" spans="1:12">
      <c r="A3110" s="20" t="s">
        <v>2223</v>
      </c>
      <c r="E3110" s="22">
        <f>IF(D3110="?OLD","!!!","")</f>
        <v/>
      </c>
      <c r="F3110" s="23" t="str">
        <f>IF(OR(E3110="",E3110="!!!"),"",IF(NOT(ISNA(VLOOKUP(E3110,E$1:E3109,1,FALSE()))),"OLD",IF(AND(E3110&lt;&gt;"",E3110&lt;&gt;"!!!"),"NEW","")))</f>
        <v> </v>
      </c>
      <c r="G3110" s="24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5" t="str">
        <f>IF(J3110&lt;&gt;1,"",IF(I3110="SBJ","CB","?"))</f>
        <v> </v>
      </c>
      <c r="I3110" s="26" t="str">
        <f>IF(OR(E3110="",E3110="!!!",F3110="NEW"),"",INDEX(B3109:B$2,-1+SUMPRODUCT(MAX(ROW(E3109:E$2)*(E3110=E3109:E$2)))))</f>
        <v> </v>
      </c>
      <c r="J3110" s="26" t="str">
        <f>IF(OR(E3110="",E3110="!!!",F3110="NEW"),"",COUNTBLANK(OFFSET(A$1,,,SUMPRODUCT(MAX(ROW(E$2:E3110)*(E3110=E$2:E3110)))))-COUNTBLANK(OFFSET(A$1,,,SUMPRODUCT(MAX(ROW(E$1:E3109)*(E2=E$1:E3109))))))</f>
        <v> </v>
      </c>
      <c r="K3110" s="26" t="str">
        <f>IF(OR(E3110="",E3110="!!!",F3110="NEW"),"",INDEX(J$1:J3109,SUMPRODUCT(MAX(ROW(E$1:E3109)*(E3110=E$1:E3109)))))</f>
        <v> </v>
      </c>
      <c r="L3110" s="27"/>
    </row>
    <row r="3111" spans="1:12">
      <c r="A3111" s="20" t="s">
        <v>2224</v>
      </c>
      <c r="B3111" s="21" t="s">
        <v>970</v>
      </c>
      <c r="E3111" s="22">
        <f>IF(D3111="?OLD","!!!","")</f>
        <v/>
      </c>
      <c r="F3111" s="23" t="str">
        <f>IF(OR(E3111="",E3111="!!!"),"",IF(NOT(ISNA(VLOOKUP(E3111,E$1:E3110,1,FALSE()))),"OLD",IF(AND(E3111&lt;&gt;"",E3111&lt;&gt;"!!!"),"NEW","")))</f>
        <v> </v>
      </c>
      <c r="G3111" s="24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5" t="str">
        <f>IF(J3111&lt;&gt;1,"",IF(I3111="SBJ","CB","?"))</f>
        <v> </v>
      </c>
      <c r="I3111" s="26" t="str">
        <f>IF(OR(E3111="",E3111="!!!",F3111="NEW"),"",INDEX(B3110:B$2,-1+SUMPRODUCT(MAX(ROW(E3110:E$2)*(E3111=E3110:E$2)))))</f>
        <v> </v>
      </c>
      <c r="J3111" s="26" t="str">
        <f>IF(OR(E3111="",E3111="!!!",F3111="NEW"),"",COUNTBLANK(OFFSET(A$1,,,SUMPRODUCT(MAX(ROW(E$2:E3111)*(E3111=E$2:E3111)))))-COUNTBLANK(OFFSET(A$1,,,SUMPRODUCT(MAX(ROW(E$1:E3110)*(E2=E$1:E3110))))))</f>
        <v> </v>
      </c>
      <c r="K3111" s="26" t="str">
        <f>IF(OR(E3111="",E3111="!!!",F3111="NEW"),"",INDEX(J$1:J3110,SUMPRODUCT(MAX(ROW(E$1:E3110)*(E3111=E$1:E3110)))))</f>
        <v> </v>
      </c>
      <c r="L3111" s="27"/>
    </row>
    <row r="3112" spans="1:12">
      <c r="A3112" s="20" t="s">
        <v>2225</v>
      </c>
      <c r="E3112" s="22">
        <f>IF(D3112="?OLD","!!!","")</f>
        <v/>
      </c>
      <c r="F3112" s="23" t="str">
        <f>IF(OR(E3112="",E3112="!!!"),"",IF(NOT(ISNA(VLOOKUP(E3112,E$1:E3111,1,FALSE()))),"OLD",IF(AND(E3112&lt;&gt;"",E3112&lt;&gt;"!!!"),"NEW","")))</f>
        <v> </v>
      </c>
      <c r="G3112" s="24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5" t="str">
        <f>IF(J3112&lt;&gt;1,"",IF(I3112="SBJ","CB","?"))</f>
        <v> </v>
      </c>
      <c r="I3112" s="26" t="str">
        <f>IF(OR(E3112="",E3112="!!!",F3112="NEW"),"",INDEX(B3111:B$2,-1+SUMPRODUCT(MAX(ROW(E3111:E$2)*(E3112=E3111:E$2)))))</f>
        <v> </v>
      </c>
      <c r="J3112" s="26" t="str">
        <f>IF(OR(E3112="",E3112="!!!",F3112="NEW"),"",COUNTBLANK(OFFSET(A$1,,,SUMPRODUCT(MAX(ROW(E$2:E3112)*(E3112=E$2:E3112)))))-COUNTBLANK(OFFSET(A$1,,,SUMPRODUCT(MAX(ROW(E$1:E3111)*(E2=E$1:E3111))))))</f>
        <v> </v>
      </c>
      <c r="K3112" s="26" t="str">
        <f>IF(OR(E3112="",E3112="!!!",F3112="NEW"),"",INDEX(J$1:J3111,SUMPRODUCT(MAX(ROW(E$1:E3111)*(E3112=E$1:E3111)))))</f>
        <v> </v>
      </c>
      <c r="L3112" s="27"/>
    </row>
    <row r="3113" spans="1:12">
      <c r="A3113" s="20" t="s">
        <v>2226</v>
      </c>
      <c r="E3113" s="22">
        <f>IF(D3113="?OLD","!!!","")</f>
        <v/>
      </c>
      <c r="F3113" s="23" t="str">
        <f>IF(OR(E3113="",E3113="!!!"),"",IF(NOT(ISNA(VLOOKUP(E3113,E$1:E3112,1,FALSE()))),"OLD",IF(AND(E3113&lt;&gt;"",E3113&lt;&gt;"!!!"),"NEW","")))</f>
        <v> </v>
      </c>
      <c r="G3113" s="24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5" t="str">
        <f>IF(J3113&lt;&gt;1,"",IF(I3113="SBJ","CB","?"))</f>
        <v> </v>
      </c>
      <c r="I3113" s="26" t="str">
        <f>IF(OR(E3113="",E3113="!!!",F3113="NEW"),"",INDEX(B3112:B$2,-1+SUMPRODUCT(MAX(ROW(E3112:E$2)*(E3113=E3112:E$2)))))</f>
        <v> </v>
      </c>
      <c r="J3113" s="26" t="str">
        <f>IF(OR(E3113="",E3113="!!!",F3113="NEW"),"",COUNTBLANK(OFFSET(A$1,,,SUMPRODUCT(MAX(ROW(E$2:E3113)*(E3113=E$2:E3113)))))-COUNTBLANK(OFFSET(A$1,,,SUMPRODUCT(MAX(ROW(E$1:E3112)*(E2=E$1:E3112))))))</f>
        <v> </v>
      </c>
      <c r="K3113" s="26" t="str">
        <f>IF(OR(E3113="",E3113="!!!",F3113="NEW"),"",INDEX(J$1:J3112,SUMPRODUCT(MAX(ROW(E$1:E3112)*(E3113=E$1:E3112)))))</f>
        <v> </v>
      </c>
      <c r="L3113" s="27"/>
    </row>
    <row r="3114" spans="1:12">
      <c r="A3114" s="20" t="s">
        <v>1013</v>
      </c>
      <c r="E3114" s="22">
        <f>IF(D3114="?OLD","!!!","")</f>
        <v/>
      </c>
      <c r="F3114" s="23" t="str">
        <f>IF(OR(E3114="",E3114="!!!"),"",IF(NOT(ISNA(VLOOKUP(E3114,E$1:E3113,1,FALSE()))),"OLD",IF(AND(E3114&lt;&gt;"",E3114&lt;&gt;"!!!"),"NEW","")))</f>
        <v> </v>
      </c>
      <c r="G3114" s="24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5" t="str">
        <f>IF(J3114&lt;&gt;1,"",IF(I3114="SBJ","CB","?"))</f>
        <v> </v>
      </c>
      <c r="I3114" s="26" t="str">
        <f>IF(OR(E3114="",E3114="!!!",F3114="NEW"),"",INDEX(B3113:B$2,-1+SUMPRODUCT(MAX(ROW(E3113:E$2)*(E3114=E3113:E$2)))))</f>
        <v> </v>
      </c>
      <c r="J3114" s="26" t="str">
        <f>IF(OR(E3114="",E3114="!!!",F3114="NEW"),"",COUNTBLANK(OFFSET(A$1,,,SUMPRODUCT(MAX(ROW(E$2:E3114)*(E3114=E$2:E3114)))))-COUNTBLANK(OFFSET(A$1,,,SUMPRODUCT(MAX(ROW(E$1:E3113)*(E2=E$1:E3113))))))</f>
        <v> </v>
      </c>
      <c r="K3114" s="26" t="str">
        <f>IF(OR(E3114="",E3114="!!!",F3114="NEW"),"",INDEX(J$1:J3113,SUMPRODUCT(MAX(ROW(E$1:E3113)*(E3114=E$1:E3113)))))</f>
        <v> </v>
      </c>
      <c r="L3114" s="27"/>
    </row>
    <row r="3115" spans="1:12">
      <c r="A3115" s="20" t="s">
        <v>1282</v>
      </c>
      <c r="B3115" s="21" t="s">
        <v>1093</v>
      </c>
      <c r="C3115" s="21" t="s">
        <v>1232</v>
      </c>
      <c r="E3115" s="22">
        <f>IF(D3115="?OLD","!!!","")</f>
        <v/>
      </c>
      <c r="F3115" s="23" t="str">
        <f>IF(OR(E3115="",E3115="!!!"),"",IF(NOT(ISNA(VLOOKUP(E3115,E$1:E3114,1,FALSE()))),"OLD",IF(AND(E3115&lt;&gt;"",E3115&lt;&gt;"!!!"),"NEW","")))</f>
        <v> </v>
      </c>
      <c r="G3115" s="24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5" t="str">
        <f>IF(J3115&lt;&gt;1,"",IF(I3115="SBJ","CB","?"))</f>
        <v> </v>
      </c>
      <c r="I3115" s="26" t="str">
        <f>IF(OR(E3115="",E3115="!!!",F3115="NEW"),"",INDEX(B3114:B$2,-1+SUMPRODUCT(MAX(ROW(E3114:E$2)*(E3115=E3114:E$2)))))</f>
        <v> </v>
      </c>
      <c r="J3115" s="26" t="str">
        <f>IF(OR(E3115="",E3115="!!!",F3115="NEW"),"",COUNTBLANK(OFFSET(A$1,,,SUMPRODUCT(MAX(ROW(E$2:E3115)*(E3115=E$2:E3115)))))-COUNTBLANK(OFFSET(A$1,,,SUMPRODUCT(MAX(ROW(E$1:E3114)*(E2=E$1:E3114))))))</f>
        <v> </v>
      </c>
      <c r="K3115" s="26" t="str">
        <f>IF(OR(E3115="",E3115="!!!",F3115="NEW"),"",INDEX(J$1:J3114,SUMPRODUCT(MAX(ROW(E$1:E3114)*(E3115=E$1:E3114)))))</f>
        <v> </v>
      </c>
      <c r="L3115" s="27"/>
    </row>
    <row r="3116" spans="1:12">
      <c r="A3116" s="20" t="s">
        <v>2227</v>
      </c>
      <c r="E3116" s="22">
        <f>IF(D3116="?OLD","!!!","")</f>
        <v/>
      </c>
      <c r="F3116" s="23" t="str">
        <f>IF(OR(E3116="",E3116="!!!"),"",IF(NOT(ISNA(VLOOKUP(E3116,E$1:E3115,1,FALSE()))),"OLD",IF(AND(E3116&lt;&gt;"",E3116&lt;&gt;"!!!"),"NEW","")))</f>
        <v> </v>
      </c>
      <c r="G3116" s="24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5" t="str">
        <f>IF(J3116&lt;&gt;1,"",IF(I3116="SBJ","CB","?"))</f>
        <v> </v>
      </c>
      <c r="I3116" s="26" t="str">
        <f>IF(OR(E3116="",E3116="!!!",F3116="NEW"),"",INDEX(B3115:B$2,-1+SUMPRODUCT(MAX(ROW(E3115:E$2)*(E3116=E3115:E$2)))))</f>
        <v> </v>
      </c>
      <c r="J3116" s="26" t="str">
        <f>IF(OR(E3116="",E3116="!!!",F3116="NEW"),"",COUNTBLANK(OFFSET(A$1,,,SUMPRODUCT(MAX(ROW(E$2:E3116)*(E3116=E$2:E3116)))))-COUNTBLANK(OFFSET(A$1,,,SUMPRODUCT(MAX(ROW(E$1:E3115)*(E2=E$1:E3115))))))</f>
        <v> </v>
      </c>
      <c r="K3116" s="26" t="str">
        <f>IF(OR(E3116="",E3116="!!!",F3116="NEW"),"",INDEX(J$1:J3115,SUMPRODUCT(MAX(ROW(E$1:E3115)*(E3116=E$1:E3115)))))</f>
        <v> </v>
      </c>
      <c r="L3116" s="27"/>
    </row>
    <row r="3117" spans="1:12">
      <c r="A3117" s="20" t="s">
        <v>2228</v>
      </c>
      <c r="E3117" s="22">
        <f>IF(D3117="?OLD","!!!","")</f>
        <v/>
      </c>
      <c r="F3117" s="23" t="str">
        <f>IF(OR(E3117="",E3117="!!!"),"",IF(NOT(ISNA(VLOOKUP(E3117,E$1:E3116,1,FALSE()))),"OLD",IF(AND(E3117&lt;&gt;"",E3117&lt;&gt;"!!!"),"NEW","")))</f>
        <v> </v>
      </c>
      <c r="G3117" s="24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5" t="str">
        <f>IF(J3117&lt;&gt;1,"",IF(I3117="SBJ","CB","?"))</f>
        <v> </v>
      </c>
      <c r="I3117" s="26" t="str">
        <f>IF(OR(E3117="",E3117="!!!",F3117="NEW"),"",INDEX(B3116:B$2,-1+SUMPRODUCT(MAX(ROW(E3116:E$2)*(E3117=E3116:E$2)))))</f>
        <v> </v>
      </c>
      <c r="J3117" s="26" t="str">
        <f>IF(OR(E3117="",E3117="!!!",F3117="NEW"),"",COUNTBLANK(OFFSET(A$1,,,SUMPRODUCT(MAX(ROW(E$2:E3117)*(E3117=E$2:E3117)))))-COUNTBLANK(OFFSET(A$1,,,SUMPRODUCT(MAX(ROW(E$1:E3116)*(E2=E$1:E3116))))))</f>
        <v> </v>
      </c>
      <c r="K3117" s="26" t="str">
        <f>IF(OR(E3117="",E3117="!!!",F3117="NEW"),"",INDEX(J$1:J3116,SUMPRODUCT(MAX(ROW(E$1:E3116)*(E3117=E$1:E3116)))))</f>
        <v> </v>
      </c>
      <c r="L3117" s="27"/>
    </row>
    <row r="3118" spans="1:12">
      <c r="A3118" s="20" t="s">
        <v>88</v>
      </c>
      <c r="E3118" s="22">
        <f>IF(D3118="?OLD","!!!","")</f>
        <v/>
      </c>
      <c r="F3118" s="23" t="str">
        <f>IF(OR(E3118="",E3118="!!!"),"",IF(NOT(ISNA(VLOOKUP(E3118,E$1:E3117,1,FALSE()))),"OLD",IF(AND(E3118&lt;&gt;"",E3118&lt;&gt;"!!!"),"NEW","")))</f>
        <v> </v>
      </c>
      <c r="G3118" s="24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5" t="str">
        <f>IF(J3118&lt;&gt;1,"",IF(I3118="SBJ","CB","?"))</f>
        <v> </v>
      </c>
      <c r="I3118" s="26" t="str">
        <f>IF(OR(E3118="",E3118="!!!",F3118="NEW"),"",INDEX(B3117:B$2,-1+SUMPRODUCT(MAX(ROW(E3117:E$2)*(E3118=E3117:E$2)))))</f>
        <v> </v>
      </c>
      <c r="J3118" s="26" t="str">
        <f>IF(OR(E3118="",E3118="!!!",F3118="NEW"),"",COUNTBLANK(OFFSET(A$1,,,SUMPRODUCT(MAX(ROW(E$2:E3118)*(E3118=E$2:E3118)))))-COUNTBLANK(OFFSET(A$1,,,SUMPRODUCT(MAX(ROW(E$1:E3117)*(E2=E$1:E3117))))))</f>
        <v> </v>
      </c>
      <c r="K3118" s="26" t="str">
        <f>IF(OR(E3118="",E3118="!!!",F3118="NEW"),"",INDEX(J$1:J3117,SUMPRODUCT(MAX(ROW(E$1:E3117)*(E3118=E$1:E3117)))))</f>
        <v> </v>
      </c>
      <c r="L3118" s="27"/>
    </row>
    <row r="3119" spans="1:12">
      <c r="A3119" s="20" t="s">
        <v>990</v>
      </c>
      <c r="B3119" s="21" t="s">
        <v>1011</v>
      </c>
      <c r="C3119" s="21" t="s">
        <v>991</v>
      </c>
      <c r="E3119" s="22">
        <f>IF(D3119="?OLD","!!!","")</f>
        <v/>
      </c>
      <c r="F3119" s="23" t="str">
        <f>IF(OR(E3119="",E3119="!!!"),"",IF(NOT(ISNA(VLOOKUP(E3119,E$1:E3118,1,FALSE()))),"OLD",IF(AND(E3119&lt;&gt;"",E3119&lt;&gt;"!!!"),"NEW","")))</f>
        <v> </v>
      </c>
      <c r="G3119" s="24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5" t="str">
        <f>IF(J3119&lt;&gt;1,"",IF(I3119="SBJ","CB","?"))</f>
        <v> </v>
      </c>
      <c r="I3119" s="26" t="str">
        <f>IF(OR(E3119="",E3119="!!!",F3119="NEW"),"",INDEX(B3118:B$2,-1+SUMPRODUCT(MAX(ROW(E3118:E$2)*(E3119=E3118:E$2)))))</f>
        <v> </v>
      </c>
      <c r="J3119" s="26" t="str">
        <f>IF(OR(E3119="",E3119="!!!",F3119="NEW"),"",COUNTBLANK(OFFSET(A$1,,,SUMPRODUCT(MAX(ROW(E$2:E3119)*(E3119=E$2:E3119)))))-COUNTBLANK(OFFSET(A$1,,,SUMPRODUCT(MAX(ROW(E$1:E3118)*(E2=E$1:E3118))))))</f>
        <v> </v>
      </c>
      <c r="K3119" s="26" t="str">
        <f>IF(OR(E3119="",E3119="!!!",F3119="NEW"),"",INDEX(J$1:J3118,SUMPRODUCT(MAX(ROW(E$1:E3118)*(E3119=E$1:E3118)))))</f>
        <v> </v>
      </c>
      <c r="L3119" s="27"/>
    </row>
    <row r="3120" spans="1:12">
      <c r="A3120" s="20" t="s">
        <v>1013</v>
      </c>
      <c r="E3120" s="22">
        <f>IF(D3120="?OLD","!!!","")</f>
        <v/>
      </c>
      <c r="F3120" s="23" t="str">
        <f>IF(OR(E3120="",E3120="!!!"),"",IF(NOT(ISNA(VLOOKUP(E3120,E$1:E3119,1,FALSE()))),"OLD",IF(AND(E3120&lt;&gt;"",E3120&lt;&gt;"!!!"),"NEW","")))</f>
        <v> </v>
      </c>
      <c r="G3120" s="24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5" t="str">
        <f>IF(J3120&lt;&gt;1,"",IF(I3120="SBJ","CB","?"))</f>
        <v> </v>
      </c>
      <c r="I3120" s="26" t="str">
        <f>IF(OR(E3120="",E3120="!!!",F3120="NEW"),"",INDEX(B3119:B$2,-1+SUMPRODUCT(MAX(ROW(E3119:E$2)*(E3120=E3119:E$2)))))</f>
        <v> </v>
      </c>
      <c r="J3120" s="26" t="str">
        <f>IF(OR(E3120="",E3120="!!!",F3120="NEW"),"",COUNTBLANK(OFFSET(A$1,,,SUMPRODUCT(MAX(ROW(E$2:E3120)*(E3120=E$2:E3120)))))-COUNTBLANK(OFFSET(A$1,,,SUMPRODUCT(MAX(ROW(E$1:E3119)*(E2=E$1:E3119))))))</f>
        <v> </v>
      </c>
      <c r="K3120" s="26" t="str">
        <f>IF(OR(E3120="",E3120="!!!",F3120="NEW"),"",INDEX(J$1:J3119,SUMPRODUCT(MAX(ROW(E$1:E3119)*(E3120=E$1:E3119)))))</f>
        <v> </v>
      </c>
      <c r="L3120" s="27"/>
    </row>
    <row r="3121" spans="1:12">
      <c r="A3121" s="20" t="s">
        <v>149</v>
      </c>
      <c r="B3121" s="21" t="s">
        <v>1101</v>
      </c>
      <c r="C3121" s="21" t="s">
        <v>1232</v>
      </c>
      <c r="E3121" s="22">
        <f>IF(D3121="?OLD","!!!","")</f>
        <v/>
      </c>
      <c r="F3121" s="23" t="str">
        <f>IF(OR(E3121="",E3121="!!!"),"",IF(NOT(ISNA(VLOOKUP(E3121,E$1:E3120,1,FALSE()))),"OLD",IF(AND(E3121&lt;&gt;"",E3121&lt;&gt;"!!!"),"NEW","")))</f>
        <v> </v>
      </c>
      <c r="G3121" s="24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5" t="str">
        <f>IF(J3121&lt;&gt;1,"",IF(I3121="SBJ","CB","?"))</f>
        <v> </v>
      </c>
      <c r="I3121" s="26" t="str">
        <f>IF(OR(E3121="",E3121="!!!",F3121="NEW"),"",INDEX(B3120:B$2,-1+SUMPRODUCT(MAX(ROW(E3120:E$2)*(E3121=E3120:E$2)))))</f>
        <v> </v>
      </c>
      <c r="J3121" s="26" t="str">
        <f>IF(OR(E3121="",E3121="!!!",F3121="NEW"),"",COUNTBLANK(OFFSET(A$1,,,SUMPRODUCT(MAX(ROW(E$2:E3121)*(E3121=E$2:E3121)))))-COUNTBLANK(OFFSET(A$1,,,SUMPRODUCT(MAX(ROW(E$1:E3120)*(E2=E$1:E3120))))))</f>
        <v> </v>
      </c>
      <c r="K3121" s="26" t="str">
        <f>IF(OR(E3121="",E3121="!!!",F3121="NEW"),"",INDEX(J$1:J3120,SUMPRODUCT(MAX(ROW(E$1:E3120)*(E3121=E$1:E3120)))))</f>
        <v> </v>
      </c>
      <c r="L3121" s="27"/>
    </row>
    <row r="3122" spans="1:12">
      <c r="A3122" s="20" t="s">
        <v>2192</v>
      </c>
      <c r="E3122" s="22">
        <f>IF(D3122="?OLD","!!!","")</f>
        <v/>
      </c>
      <c r="F3122" s="23" t="str">
        <f>IF(OR(E3122="",E3122="!!!"),"",IF(NOT(ISNA(VLOOKUP(E3122,E$1:E3121,1,FALSE()))),"OLD",IF(AND(E3122&lt;&gt;"",E3122&lt;&gt;"!!!"),"NEW","")))</f>
        <v> </v>
      </c>
      <c r="G3122" s="24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5" t="str">
        <f>IF(J3122&lt;&gt;1,"",IF(I3122="SBJ","CB","?"))</f>
        <v> </v>
      </c>
      <c r="I3122" s="26" t="str">
        <f>IF(OR(E3122="",E3122="!!!",F3122="NEW"),"",INDEX(B3121:B$2,-1+SUMPRODUCT(MAX(ROW(E3121:E$2)*(E3122=E3121:E$2)))))</f>
        <v> </v>
      </c>
      <c r="J3122" s="26" t="str">
        <f>IF(OR(E3122="",E3122="!!!",F3122="NEW"),"",COUNTBLANK(OFFSET(A$1,,,SUMPRODUCT(MAX(ROW(E$2:E3122)*(E3122=E$2:E3122)))))-COUNTBLANK(OFFSET(A$1,,,SUMPRODUCT(MAX(ROW(E$1:E3121)*(E2=E$1:E3121))))))</f>
        <v> </v>
      </c>
      <c r="K3122" s="26" t="str">
        <f>IF(OR(E3122="",E3122="!!!",F3122="NEW"),"",INDEX(J$1:J3121,SUMPRODUCT(MAX(ROW(E$1:E3121)*(E3122=E$1:E3121)))))</f>
        <v> </v>
      </c>
      <c r="L3122" s="27"/>
    </row>
    <row r="3123" spans="1:12">
      <c r="A3123" s="20" t="s">
        <v>2229</v>
      </c>
      <c r="E3123" s="22">
        <f>IF(D3123="?OLD","!!!","")</f>
        <v/>
      </c>
      <c r="F3123" s="23" t="str">
        <f>IF(OR(E3123="",E3123="!!!"),"",IF(NOT(ISNA(VLOOKUP(E3123,E$1:E3122,1,FALSE()))),"OLD",IF(AND(E3123&lt;&gt;"",E3123&lt;&gt;"!!!"),"NEW","")))</f>
        <v> </v>
      </c>
      <c r="G3123" s="24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5" t="str">
        <f>IF(J3123&lt;&gt;1,"",IF(I3123="SBJ","CB","?"))</f>
        <v> </v>
      </c>
      <c r="I3123" s="26" t="str">
        <f>IF(OR(E3123="",E3123="!!!",F3123="NEW"),"",INDEX(B3122:B$2,-1+SUMPRODUCT(MAX(ROW(E3122:E$2)*(E3123=E3122:E$2)))))</f>
        <v> </v>
      </c>
      <c r="J3123" s="26" t="str">
        <f>IF(OR(E3123="",E3123="!!!",F3123="NEW"),"",COUNTBLANK(OFFSET(A$1,,,SUMPRODUCT(MAX(ROW(E$2:E3123)*(E3123=E$2:E3123)))))-COUNTBLANK(OFFSET(A$1,,,SUMPRODUCT(MAX(ROW(E$1:E3122)*(E2=E$1:E3122))))))</f>
        <v> </v>
      </c>
      <c r="K3123" s="26" t="str">
        <f>IF(OR(E3123="",E3123="!!!",F3123="NEW"),"",INDEX(J$1:J3122,SUMPRODUCT(MAX(ROW(E$1:E3122)*(E3123=E$1:E3122)))))</f>
        <v> </v>
      </c>
      <c r="L3123" s="27"/>
    </row>
    <row r="3124" spans="1:12">
      <c r="A3124" s="20" t="s">
        <v>1125</v>
      </c>
      <c r="B3124" s="21" t="s">
        <v>1003</v>
      </c>
      <c r="E3124" s="22">
        <f>IF(D3124="?OLD","!!!","")</f>
        <v/>
      </c>
      <c r="F3124" s="23" t="str">
        <f>IF(OR(E3124="",E3124="!!!"),"",IF(NOT(ISNA(VLOOKUP(E3124,E$1:E3123,1,FALSE()))),"OLD",IF(AND(E3124&lt;&gt;"",E3124&lt;&gt;"!!!"),"NEW","")))</f>
        <v> </v>
      </c>
      <c r="G3124" s="24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5" t="str">
        <f>IF(J3124&lt;&gt;1,"",IF(I3124="SBJ","CB","?"))</f>
        <v> </v>
      </c>
      <c r="I3124" s="26" t="str">
        <f>IF(OR(E3124="",E3124="!!!",F3124="NEW"),"",INDEX(B3123:B$2,-1+SUMPRODUCT(MAX(ROW(E3123:E$2)*(E3124=E3123:E$2)))))</f>
        <v> </v>
      </c>
      <c r="J3124" s="26" t="str">
        <f>IF(OR(E3124="",E3124="!!!",F3124="NEW"),"",COUNTBLANK(OFFSET(A$1,,,SUMPRODUCT(MAX(ROW(E$2:E3124)*(E3124=E$2:E3124)))))-COUNTBLANK(OFFSET(A$1,,,SUMPRODUCT(MAX(ROW(E$1:E3123)*(E2=E$1:E3123))))))</f>
        <v> </v>
      </c>
      <c r="K3124" s="26" t="str">
        <f>IF(OR(E3124="",E3124="!!!",F3124="NEW"),"",INDEX(J$1:J3123,SUMPRODUCT(MAX(ROW(E$1:E3123)*(E3124=E$1:E3123)))))</f>
        <v> </v>
      </c>
      <c r="L3124" s="27"/>
    </row>
    <row r="3125" spans="1:12">
      <c r="A3125" s="20" t="s">
        <v>979</v>
      </c>
      <c r="E3125" s="22">
        <f>IF(D3125="?OLD","!!!","")</f>
        <v/>
      </c>
      <c r="F3125" s="23" t="str">
        <f>IF(OR(E3125="",E3125="!!!"),"",IF(NOT(ISNA(VLOOKUP(E3125,E$1:E3124,1,FALSE()))),"OLD",IF(AND(E3125&lt;&gt;"",E3125&lt;&gt;"!!!"),"NEW","")))</f>
        <v> </v>
      </c>
      <c r="G3125" s="24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5" t="str">
        <f>IF(J3125&lt;&gt;1,"",IF(I3125="SBJ","CB","?"))</f>
        <v> </v>
      </c>
      <c r="I3125" s="26" t="str">
        <f>IF(OR(E3125="",E3125="!!!",F3125="NEW"),"",INDEX(B3124:B$2,-1+SUMPRODUCT(MAX(ROW(E3124:E$2)*(E3125=E3124:E$2)))))</f>
        <v> </v>
      </c>
      <c r="J3125" s="26" t="str">
        <f>IF(OR(E3125="",E3125="!!!",F3125="NEW"),"",COUNTBLANK(OFFSET(A$1,,,SUMPRODUCT(MAX(ROW(E$2:E3125)*(E3125=E$2:E3125)))))-COUNTBLANK(OFFSET(A$1,,,SUMPRODUCT(MAX(ROW(E$1:E3124)*(E2=E$1:E3124))))))</f>
        <v> </v>
      </c>
      <c r="K3125" s="26" t="str">
        <f>IF(OR(E3125="",E3125="!!!",F3125="NEW"),"",INDEX(J$1:J3124,SUMPRODUCT(MAX(ROW(E$1:E3124)*(E3125=E$1:E3124)))))</f>
        <v> </v>
      </c>
      <c r="L3125" s="27"/>
    </row>
    <row r="3126" spans="1:12">
      <c r="A3126" s="20"/>
    </row>
    <row r="3127" spans="1:12">
      <c r="A3127" s="20" t="s">
        <v>2230</v>
      </c>
    </row>
    <row r="3128" spans="1:12">
      <c r="A3128" s="20" t="s">
        <v>1058</v>
      </c>
      <c r="E3128" s="22">
        <f>IF(D3128="?OLD","!!!","")</f>
        <v/>
      </c>
      <c r="F3128" s="23" t="str">
        <f>IF(OR(E3128="",E3128="!!!"),"",IF(NOT(ISNA(VLOOKUP(E3128,E$1:E3127,1,FALSE()))),"OLD",IF(AND(E3128&lt;&gt;"",E3128&lt;&gt;"!!!"),"NEW","")))</f>
        <v> </v>
      </c>
      <c r="G3128" s="24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5" t="str">
        <f>IF(J3128&lt;&gt;1,"",IF(I3128="SBJ","CB","?"))</f>
        <v> </v>
      </c>
      <c r="I3128" s="26" t="str">
        <f>IF(OR(E3128="",E3128="!!!",F3128="NEW"),"",INDEX(B3127:B$2,-1+SUMPRODUCT(MAX(ROW(E3127:E$2)*(E3128=E3127:E$2)))))</f>
        <v> </v>
      </c>
      <c r="J3128" s="26" t="str">
        <f>IF(OR(E3128="",E3128="!!!",F3128="NEW"),"",COUNTBLANK(OFFSET(A$1,,,SUMPRODUCT(MAX(ROW(E$2:E3128)*(E3128=E$2:E3128)))))-COUNTBLANK(OFFSET(A$1,,,SUMPRODUCT(MAX(ROW(E$1:E3127)*(E2=E$1:E3127))))))</f>
        <v> </v>
      </c>
      <c r="K3128" s="26" t="str">
        <f>IF(OR(E3128="",E3128="!!!",F3128="NEW"),"",INDEX(J$1:J3127,SUMPRODUCT(MAX(ROW(E$1:E3127)*(E3128=E$1:E3127)))))</f>
        <v> </v>
      </c>
      <c r="L3128" s="27"/>
    </row>
    <row r="3129" spans="1:12">
      <c r="A3129" s="20" t="s">
        <v>1013</v>
      </c>
      <c r="E3129" s="22">
        <f>IF(D3129="?OLD","!!!","")</f>
        <v/>
      </c>
      <c r="F3129" s="23" t="str">
        <f>IF(OR(E3129="",E3129="!!!"),"",IF(NOT(ISNA(VLOOKUP(E3129,E$1:E3128,1,FALSE()))),"OLD",IF(AND(E3129&lt;&gt;"",E3129&lt;&gt;"!!!"),"NEW","")))</f>
        <v> </v>
      </c>
      <c r="G3129" s="24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5" t="str">
        <f>IF(J3129&lt;&gt;1,"",IF(I3129="SBJ","CB","?"))</f>
        <v> </v>
      </c>
      <c r="I3129" s="26" t="str">
        <f>IF(OR(E3129="",E3129="!!!",F3129="NEW"),"",INDEX(B3128:B$2,-1+SUMPRODUCT(MAX(ROW(E3128:E$2)*(E3129=E3128:E$2)))))</f>
        <v> </v>
      </c>
      <c r="J3129" s="26" t="str">
        <f>IF(OR(E3129="",E3129="!!!",F3129="NEW"),"",COUNTBLANK(OFFSET(A$1,,,SUMPRODUCT(MAX(ROW(E$2:E3129)*(E3129=E$2:E3129)))))-COUNTBLANK(OFFSET(A$1,,,SUMPRODUCT(MAX(ROW(E$1:E3128)*(E2=E$1:E3128))))))</f>
        <v> </v>
      </c>
      <c r="K3129" s="26" t="str">
        <f>IF(OR(E3129="",E3129="!!!",F3129="NEW"),"",INDEX(J$1:J3128,SUMPRODUCT(MAX(ROW(E$1:E3128)*(E3129=E$1:E3128)))))</f>
        <v> </v>
      </c>
      <c r="L3129" s="27"/>
    </row>
    <row r="3130" spans="1:12">
      <c r="A3130" s="20" t="s">
        <v>2231</v>
      </c>
      <c r="E3130" s="22">
        <f>IF(D3130="?OLD","!!!","")</f>
        <v/>
      </c>
      <c r="F3130" s="23" t="str">
        <f>IF(OR(E3130="",E3130="!!!"),"",IF(NOT(ISNA(VLOOKUP(E3130,E$1:E3129,1,FALSE()))),"OLD",IF(AND(E3130&lt;&gt;"",E3130&lt;&gt;"!!!"),"NEW","")))</f>
        <v> </v>
      </c>
      <c r="G3130" s="24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5" t="str">
        <f>IF(J3130&lt;&gt;1,"",IF(I3130="SBJ","CB","?"))</f>
        <v> </v>
      </c>
      <c r="I3130" s="26" t="str">
        <f>IF(OR(E3130="",E3130="!!!",F3130="NEW"),"",INDEX(B3129:B$2,-1+SUMPRODUCT(MAX(ROW(E3129:E$2)*(E3130=E3129:E$2)))))</f>
        <v> </v>
      </c>
      <c r="J3130" s="26" t="str">
        <f>IF(OR(E3130="",E3130="!!!",F3130="NEW"),"",COUNTBLANK(OFFSET(A$1,,,SUMPRODUCT(MAX(ROW(E$2:E3130)*(E3130=E$2:E3130)))))-COUNTBLANK(OFFSET(A$1,,,SUMPRODUCT(MAX(ROW(E$1:E3129)*(E2=E$1:E3129))))))</f>
        <v> </v>
      </c>
      <c r="K3130" s="26" t="str">
        <f>IF(OR(E3130="",E3130="!!!",F3130="NEW"),"",INDEX(J$1:J3129,SUMPRODUCT(MAX(ROW(E$1:E3129)*(E3130=E$1:E3129)))))</f>
        <v> </v>
      </c>
      <c r="L3130" s="27"/>
    </row>
    <row r="3131" spans="1:12">
      <c r="A3131" s="20" t="s">
        <v>2232</v>
      </c>
      <c r="E3131" s="22">
        <f>IF(D3131="?OLD","!!!","")</f>
        <v/>
      </c>
      <c r="F3131" s="23" t="str">
        <f>IF(OR(E3131="",E3131="!!!"),"",IF(NOT(ISNA(VLOOKUP(E3131,E$1:E3130,1,FALSE()))),"OLD",IF(AND(E3131&lt;&gt;"",E3131&lt;&gt;"!!!"),"NEW","")))</f>
        <v> </v>
      </c>
      <c r="G3131" s="24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5" t="str">
        <f>IF(J3131&lt;&gt;1,"",IF(I3131="SBJ","CB","?"))</f>
        <v> </v>
      </c>
      <c r="I3131" s="26" t="str">
        <f>IF(OR(E3131="",E3131="!!!",F3131="NEW"),"",INDEX(B3130:B$2,-1+SUMPRODUCT(MAX(ROW(E3130:E$2)*(E3131=E3130:E$2)))))</f>
        <v> </v>
      </c>
      <c r="J3131" s="26" t="str">
        <f>IF(OR(E3131="",E3131="!!!",F3131="NEW"),"",COUNTBLANK(OFFSET(A$1,,,SUMPRODUCT(MAX(ROW(E$2:E3131)*(E3131=E$2:E3131)))))-COUNTBLANK(OFFSET(A$1,,,SUMPRODUCT(MAX(ROW(E$1:E3130)*(E2=E$1:E3130))))))</f>
        <v> </v>
      </c>
      <c r="K3131" s="26" t="str">
        <f>IF(OR(E3131="",E3131="!!!",F3131="NEW"),"",INDEX(J$1:J3130,SUMPRODUCT(MAX(ROW(E$1:E3130)*(E3131=E$1:E3130)))))</f>
        <v> </v>
      </c>
      <c r="L3131" s="27"/>
    </row>
    <row r="3132" spans="1:12">
      <c r="A3132" s="20" t="s">
        <v>640</v>
      </c>
      <c r="B3132" s="21" t="s">
        <v>975</v>
      </c>
      <c r="C3132" s="21" t="s">
        <v>1100</v>
      </c>
      <c r="D3132" s="21" t="s">
        <v>972</v>
      </c>
      <c r="E3132" s="22">
        <f>IF(D3132="?OLD","!!!","")</f>
        <v/>
      </c>
      <c r="F3132" s="23" t="str">
        <f>IF(OR(E3132="",E3132="!!!"),"",IF(NOT(ISNA(VLOOKUP(E3132,E$1:E3131,1,FALSE()))),"OLD",IF(AND(E3132&lt;&gt;"",E3132&lt;&gt;"!!!"),"NEW","")))</f>
        <v> </v>
      </c>
      <c r="G3132" s="24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5" t="str">
        <f>IF(J3132&lt;&gt;1,"",IF(I3132="SBJ","CB","?"))</f>
        <v> </v>
      </c>
      <c r="I3132" s="26" t="str">
        <f>IF(OR(E3132="",E3132="!!!",F3132="NEW"),"",INDEX(B3131:B$2,-1+SUMPRODUCT(MAX(ROW(E3131:E$2)*(E3132=E3131:E$2)))))</f>
        <v> </v>
      </c>
      <c r="J3132" s="26" t="str">
        <f>IF(OR(E3132="",E3132="!!!",F3132="NEW"),"",COUNTBLANK(OFFSET(A$1,,,SUMPRODUCT(MAX(ROW(E$2:E3132)*(E3132=E$2:E3132)))))-COUNTBLANK(OFFSET(A$1,,,SUMPRODUCT(MAX(ROW(E$1:E3131)*(E2=E$1:E3131))))))</f>
        <v> </v>
      </c>
      <c r="K3132" s="26" t="str">
        <f>IF(OR(E3132="",E3132="!!!",F3132="NEW"),"",INDEX(J$1:J3131,SUMPRODUCT(MAX(ROW(E$1:E3131)*(E3132=E$1:E3131)))))</f>
        <v> </v>
      </c>
      <c r="L3132" s="27"/>
    </row>
    <row r="3133" spans="1:12">
      <c r="A3133" s="20" t="s">
        <v>1058</v>
      </c>
      <c r="E3133" s="22">
        <f>IF(D3133="?OLD","!!!","")</f>
        <v/>
      </c>
      <c r="F3133" s="23" t="str">
        <f>IF(OR(E3133="",E3133="!!!"),"",IF(NOT(ISNA(VLOOKUP(E3133,E$1:E3132,1,FALSE()))),"OLD",IF(AND(E3133&lt;&gt;"",E3133&lt;&gt;"!!!"),"NEW","")))</f>
        <v> </v>
      </c>
      <c r="G3133" s="24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5" t="str">
        <f>IF(J3133&lt;&gt;1,"",IF(I3133="SBJ","CB","?"))</f>
        <v> </v>
      </c>
      <c r="I3133" s="26" t="str">
        <f>IF(OR(E3133="",E3133="!!!",F3133="NEW"),"",INDEX(B3132:B$2,-1+SUMPRODUCT(MAX(ROW(E3132:E$2)*(E3133=E3132:E$2)))))</f>
        <v> </v>
      </c>
      <c r="J3133" s="26" t="str">
        <f>IF(OR(E3133="",E3133="!!!",F3133="NEW"),"",COUNTBLANK(OFFSET(A$1,,,SUMPRODUCT(MAX(ROW(E$2:E3133)*(E3133=E$2:E3133)))))-COUNTBLANK(OFFSET(A$1,,,SUMPRODUCT(MAX(ROW(E$1:E3132)*(E2=E$1:E3132))))))</f>
        <v> </v>
      </c>
      <c r="K3133" s="26" t="str">
        <f>IF(OR(E3133="",E3133="!!!",F3133="NEW"),"",INDEX(J$1:J3132,SUMPRODUCT(MAX(ROW(E$1:E3132)*(E3133=E$1:E3132)))))</f>
        <v> </v>
      </c>
      <c r="L3133" s="27"/>
    </row>
    <row r="3134" spans="1:12">
      <c r="A3134" s="20" t="s">
        <v>1013</v>
      </c>
      <c r="E3134" s="22">
        <f>IF(D3134="?OLD","!!!","")</f>
        <v/>
      </c>
      <c r="F3134" s="23" t="str">
        <f>IF(OR(E3134="",E3134="!!!"),"",IF(NOT(ISNA(VLOOKUP(E3134,E$1:E3133,1,FALSE()))),"OLD",IF(AND(E3134&lt;&gt;"",E3134&lt;&gt;"!!!"),"NEW","")))</f>
        <v> </v>
      </c>
      <c r="G3134" s="24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5" t="str">
        <f>IF(J3134&lt;&gt;1,"",IF(I3134="SBJ","CB","?"))</f>
        <v> </v>
      </c>
      <c r="I3134" s="26" t="str">
        <f>IF(OR(E3134="",E3134="!!!",F3134="NEW"),"",INDEX(B3133:B$2,-1+SUMPRODUCT(MAX(ROW(E3133:E$2)*(E3134=E3133:E$2)))))</f>
        <v> </v>
      </c>
      <c r="J3134" s="26" t="str">
        <f>IF(OR(E3134="",E3134="!!!",F3134="NEW"),"",COUNTBLANK(OFFSET(A$1,,,SUMPRODUCT(MAX(ROW(E$2:E3134)*(E3134=E$2:E3134)))))-COUNTBLANK(OFFSET(A$1,,,SUMPRODUCT(MAX(ROW(E$1:E3133)*(E2=E$1:E3133))))))</f>
        <v> </v>
      </c>
      <c r="K3134" s="26" t="str">
        <f>IF(OR(E3134="",E3134="!!!",F3134="NEW"),"",INDEX(J$1:J3133,SUMPRODUCT(MAX(ROW(E$1:E3133)*(E3134=E$1:E3133)))))</f>
        <v> </v>
      </c>
      <c r="L3134" s="27"/>
    </row>
    <row r="3135" spans="1:12">
      <c r="A3135" s="20" t="s">
        <v>1189</v>
      </c>
      <c r="B3135" s="21" t="s">
        <v>975</v>
      </c>
      <c r="C3135" s="21" t="s">
        <v>971</v>
      </c>
      <c r="D3135" s="21" t="s">
        <v>972</v>
      </c>
      <c r="E3135" s="22">
        <f>IF(D3135="?OLD","!!!","")</f>
        <v/>
      </c>
      <c r="F3135" s="23" t="str">
        <f>IF(OR(E3135="",E3135="!!!"),"",IF(NOT(ISNA(VLOOKUP(E3135,E$1:E3134,1,FALSE()))),"OLD",IF(AND(E3135&lt;&gt;"",E3135&lt;&gt;"!!!"),"NEW","")))</f>
        <v> </v>
      </c>
      <c r="G3135" s="24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5" t="str">
        <f>IF(J3135&lt;&gt;1,"",IF(I3135="SBJ","CB","?"))</f>
        <v> </v>
      </c>
      <c r="I3135" s="26" t="str">
        <f>IF(OR(E3135="",E3135="!!!",F3135="NEW"),"",INDEX(B3134:B$2,-1+SUMPRODUCT(MAX(ROW(E3134:E$2)*(E3135=E3134:E$2)))))</f>
        <v> </v>
      </c>
      <c r="J3135" s="26" t="str">
        <f>IF(OR(E3135="",E3135="!!!",F3135="NEW"),"",COUNTBLANK(OFFSET(A$1,,,SUMPRODUCT(MAX(ROW(E$2:E3135)*(E3135=E$2:E3135)))))-COUNTBLANK(OFFSET(A$1,,,SUMPRODUCT(MAX(ROW(E$1:E3134)*(E2=E$1:E3134))))))</f>
        <v> </v>
      </c>
      <c r="K3135" s="26" t="str">
        <f>IF(OR(E3135="",E3135="!!!",F3135="NEW"),"",INDEX(J$1:J3134,SUMPRODUCT(MAX(ROW(E$1:E3134)*(E3135=E$1:E3134)))))</f>
        <v> </v>
      </c>
      <c r="L3135" s="27"/>
    </row>
    <row r="3136" spans="1:12">
      <c r="A3136" s="20" t="s">
        <v>2233</v>
      </c>
      <c r="E3136" s="22">
        <f>IF(D3136="?OLD","!!!","")</f>
        <v/>
      </c>
      <c r="F3136" s="23" t="str">
        <f>IF(OR(E3136="",E3136="!!!"),"",IF(NOT(ISNA(VLOOKUP(E3136,E$1:E3135,1,FALSE()))),"OLD",IF(AND(E3136&lt;&gt;"",E3136&lt;&gt;"!!!"),"NEW","")))</f>
        <v> </v>
      </c>
      <c r="G3136" s="24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5" t="str">
        <f>IF(J3136&lt;&gt;1,"",IF(I3136="SBJ","CB","?"))</f>
        <v> </v>
      </c>
      <c r="I3136" s="26" t="str">
        <f>IF(OR(E3136="",E3136="!!!",F3136="NEW"),"",INDEX(B3135:B$2,-1+SUMPRODUCT(MAX(ROW(E3135:E$2)*(E3136=E3135:E$2)))))</f>
        <v> </v>
      </c>
      <c r="J3136" s="26" t="str">
        <f>IF(OR(E3136="",E3136="!!!",F3136="NEW"),"",COUNTBLANK(OFFSET(A$1,,,SUMPRODUCT(MAX(ROW(E$2:E3136)*(E3136=E$2:E3136)))))-COUNTBLANK(OFFSET(A$1,,,SUMPRODUCT(MAX(ROW(E$1:E3135)*(E2=E$1:E3135))))))</f>
        <v> </v>
      </c>
      <c r="K3136" s="26" t="str">
        <f>IF(OR(E3136="",E3136="!!!",F3136="NEW"),"",INDEX(J$1:J3135,SUMPRODUCT(MAX(ROW(E$1:E3135)*(E3136=E$1:E3135)))))</f>
        <v> </v>
      </c>
      <c r="L3136" s="27"/>
    </row>
    <row r="3137" spans="1:12">
      <c r="A3137" s="20" t="s">
        <v>982</v>
      </c>
      <c r="E3137" s="22">
        <f>IF(D3137="?OLD","!!!","")</f>
        <v/>
      </c>
      <c r="F3137" s="23" t="str">
        <f>IF(OR(E3137="",E3137="!!!"),"",IF(NOT(ISNA(VLOOKUP(E3137,E$1:E3136,1,FALSE()))),"OLD",IF(AND(E3137&lt;&gt;"",E3137&lt;&gt;"!!!"),"NEW","")))</f>
        <v> </v>
      </c>
      <c r="G3137" s="24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5" t="str">
        <f>IF(J3137&lt;&gt;1,"",IF(I3137="SBJ","CB","?"))</f>
        <v> </v>
      </c>
      <c r="I3137" s="26" t="str">
        <f>IF(OR(E3137="",E3137="!!!",F3137="NEW"),"",INDEX(B3136:B$2,-1+SUMPRODUCT(MAX(ROW(E3136:E$2)*(E3137=E3136:E$2)))))</f>
        <v> </v>
      </c>
      <c r="J3137" s="26" t="str">
        <f>IF(OR(E3137="",E3137="!!!",F3137="NEW"),"",COUNTBLANK(OFFSET(A$1,,,SUMPRODUCT(MAX(ROW(E$2:E3137)*(E3137=E$2:E3137)))))-COUNTBLANK(OFFSET(A$1,,,SUMPRODUCT(MAX(ROW(E$1:E3136)*(E2=E$1:E3136))))))</f>
        <v> </v>
      </c>
      <c r="K3137" s="26" t="str">
        <f>IF(OR(E3137="",E3137="!!!",F3137="NEW"),"",INDEX(J$1:J3136,SUMPRODUCT(MAX(ROW(E$1:E3136)*(E3137=E$1:E3136)))))</f>
        <v> </v>
      </c>
      <c r="L3137" s="27"/>
    </row>
    <row r="3138" spans="1:12">
      <c r="A3138" s="20" t="s">
        <v>2234</v>
      </c>
      <c r="E3138" s="22">
        <f>IF(D3138="?OLD","!!!","")</f>
        <v/>
      </c>
      <c r="F3138" s="23" t="str">
        <f>IF(OR(E3138="",E3138="!!!"),"",IF(NOT(ISNA(VLOOKUP(E3138,E$1:E3137,1,FALSE()))),"OLD",IF(AND(E3138&lt;&gt;"",E3138&lt;&gt;"!!!"),"NEW","")))</f>
        <v> </v>
      </c>
      <c r="G3138" s="24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5" t="str">
        <f>IF(J3138&lt;&gt;1,"",IF(I3138="SBJ","CB","?"))</f>
        <v> </v>
      </c>
      <c r="I3138" s="26" t="str">
        <f>IF(OR(E3138="",E3138="!!!",F3138="NEW"),"",INDEX(B3137:B$2,-1+SUMPRODUCT(MAX(ROW(E3137:E$2)*(E3138=E3137:E$2)))))</f>
        <v> </v>
      </c>
      <c r="J3138" s="26" t="str">
        <f>IF(OR(E3138="",E3138="!!!",F3138="NEW"),"",COUNTBLANK(OFFSET(A$1,,,SUMPRODUCT(MAX(ROW(E$2:E3138)*(E3138=E$2:E3138)))))-COUNTBLANK(OFFSET(A$1,,,SUMPRODUCT(MAX(ROW(E$1:E3137)*(E2=E$1:E3137))))))</f>
        <v> </v>
      </c>
      <c r="K3138" s="26" t="str">
        <f>IF(OR(E3138="",E3138="!!!",F3138="NEW"),"",INDEX(J$1:J3137,SUMPRODUCT(MAX(ROW(E$1:E3137)*(E3138=E$1:E3137)))))</f>
        <v> </v>
      </c>
      <c r="L3138" s="27"/>
    </row>
    <row r="3139" spans="1:12">
      <c r="A3139" s="20" t="s">
        <v>1538</v>
      </c>
      <c r="E3139" s="22">
        <f>IF(D3139="?OLD","!!!","")</f>
        <v/>
      </c>
      <c r="F3139" s="23" t="str">
        <f>IF(OR(E3139="",E3139="!!!"),"",IF(NOT(ISNA(VLOOKUP(E3139,E$1:E3138,1,FALSE()))),"OLD",IF(AND(E3139&lt;&gt;"",E3139&lt;&gt;"!!!"),"NEW","")))</f>
        <v> </v>
      </c>
      <c r="G3139" s="24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5" t="str">
        <f>IF(J3139&lt;&gt;1,"",IF(I3139="SBJ","CB","?"))</f>
        <v> </v>
      </c>
      <c r="I3139" s="26" t="str">
        <f>IF(OR(E3139="",E3139="!!!",F3139="NEW"),"",INDEX(B3138:B$2,-1+SUMPRODUCT(MAX(ROW(E3138:E$2)*(E3139=E3138:E$2)))))</f>
        <v> </v>
      </c>
      <c r="J3139" s="26" t="str">
        <f>IF(OR(E3139="",E3139="!!!",F3139="NEW"),"",COUNTBLANK(OFFSET(A$1,,,SUMPRODUCT(MAX(ROW(E$2:E3139)*(E3139=E$2:E3139)))))-COUNTBLANK(OFFSET(A$1,,,SUMPRODUCT(MAX(ROW(E$1:E3138)*(E2=E$1:E3138))))))</f>
        <v> </v>
      </c>
      <c r="K3139" s="26" t="str">
        <f>IF(OR(E3139="",E3139="!!!",F3139="NEW"),"",INDEX(J$1:J3138,SUMPRODUCT(MAX(ROW(E$1:E3138)*(E3139=E$1:E3138)))))</f>
        <v> </v>
      </c>
      <c r="L3139" s="27"/>
    </row>
    <row r="3140" spans="1:12">
      <c r="A3140" s="20" t="s">
        <v>2235</v>
      </c>
      <c r="B3140" s="21" t="s">
        <v>970</v>
      </c>
      <c r="E3140" s="22">
        <f>IF(D3140="?OLD","!!!","")</f>
        <v/>
      </c>
      <c r="F3140" s="23" t="str">
        <f>IF(OR(E3140="",E3140="!!!"),"",IF(NOT(ISNA(VLOOKUP(E3140,E$1:E3139,1,FALSE()))),"OLD",IF(AND(E3140&lt;&gt;"",E3140&lt;&gt;"!!!"),"NEW","")))</f>
        <v> </v>
      </c>
      <c r="G3140" s="24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5" t="str">
        <f>IF(J3140&lt;&gt;1,"",IF(I3140="SBJ","CB","?"))</f>
        <v> </v>
      </c>
      <c r="I3140" s="26" t="str">
        <f>IF(OR(E3140="",E3140="!!!",F3140="NEW"),"",INDEX(B3139:B$2,-1+SUMPRODUCT(MAX(ROW(E3139:E$2)*(E3140=E3139:E$2)))))</f>
        <v> </v>
      </c>
      <c r="J3140" s="26" t="str">
        <f>IF(OR(E3140="",E3140="!!!",F3140="NEW"),"",COUNTBLANK(OFFSET(A$1,,,SUMPRODUCT(MAX(ROW(E$2:E3140)*(E3140=E$2:E3140)))))-COUNTBLANK(OFFSET(A$1,,,SUMPRODUCT(MAX(ROW(E$1:E3139)*(E2=E$1:E3139))))))</f>
        <v> </v>
      </c>
      <c r="K3140" s="26" t="str">
        <f>IF(OR(E3140="",E3140="!!!",F3140="NEW"),"",INDEX(J$1:J3139,SUMPRODUCT(MAX(ROW(E$1:E3139)*(E3140=E$1:E3139)))))</f>
        <v> </v>
      </c>
      <c r="L3140" s="27"/>
    </row>
    <row r="3141" spans="1:12">
      <c r="A3141" s="20" t="s">
        <v>979</v>
      </c>
      <c r="E3141" s="22">
        <f>IF(D3141="?OLD","!!!","")</f>
        <v/>
      </c>
      <c r="F3141" s="23" t="str">
        <f>IF(OR(E3141="",E3141="!!!"),"",IF(NOT(ISNA(VLOOKUP(E3141,E$1:E3140,1,FALSE()))),"OLD",IF(AND(E3141&lt;&gt;"",E3141&lt;&gt;"!!!"),"NEW","")))</f>
        <v> </v>
      </c>
      <c r="G3141" s="24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5" t="str">
        <f>IF(J3141&lt;&gt;1,"",IF(I3141="SBJ","CB","?"))</f>
        <v> </v>
      </c>
      <c r="I3141" s="26" t="str">
        <f>IF(OR(E3141="",E3141="!!!",F3141="NEW"),"",INDEX(B3140:B$2,-1+SUMPRODUCT(MAX(ROW(E3140:E$2)*(E3141=E3140:E$2)))))</f>
        <v> </v>
      </c>
      <c r="J3141" s="26" t="str">
        <f>IF(OR(E3141="",E3141="!!!",F3141="NEW"),"",COUNTBLANK(OFFSET(A$1,,,SUMPRODUCT(MAX(ROW(E$2:E3141)*(E3141=E$2:E3141)))))-COUNTBLANK(OFFSET(A$1,,,SUMPRODUCT(MAX(ROW(E$1:E3140)*(E2=E$1:E3140))))))</f>
        <v> </v>
      </c>
      <c r="K3141" s="26" t="str">
        <f>IF(OR(E3141="",E3141="!!!",F3141="NEW"),"",INDEX(J$1:J3140,SUMPRODUCT(MAX(ROW(E$1:E3140)*(E3141=E$1:E3140)))))</f>
        <v> </v>
      </c>
      <c r="L3141" s="27"/>
    </row>
    <row r="3142" spans="1:12">
      <c r="A3142" s="20"/>
    </row>
    <row r="3143" spans="1:12">
      <c r="A3143" s="20" t="s">
        <v>2236</v>
      </c>
    </row>
    <row r="3144" spans="1:12">
      <c r="A3144" s="20" t="s">
        <v>2237</v>
      </c>
      <c r="E3144" s="22">
        <f>IF(D3144="?OLD","!!!","")</f>
        <v/>
      </c>
      <c r="F3144" s="23" t="str">
        <f>IF(OR(E3144="",E3144="!!!"),"",IF(NOT(ISNA(VLOOKUP(E3144,E$1:E3143,1,FALSE()))),"OLD",IF(AND(E3144&lt;&gt;"",E3144&lt;&gt;"!!!"),"NEW","")))</f>
        <v> </v>
      </c>
      <c r="G3144" s="24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5" t="str">
        <f>IF(J3144&lt;&gt;1,"",IF(I3144="SBJ","CB","?"))</f>
        <v> </v>
      </c>
      <c r="I3144" s="26" t="str">
        <f>IF(OR(E3144="",E3144="!!!",F3144="NEW"),"",INDEX(B3143:B$2,-1+SUMPRODUCT(MAX(ROW(E3143:E$2)*(E3144=E3143:E$2)))))</f>
        <v> </v>
      </c>
      <c r="J3144" s="26" t="str">
        <f>IF(OR(E3144="",E3144="!!!",F3144="NEW"),"",COUNTBLANK(OFFSET(A$1,,,SUMPRODUCT(MAX(ROW(E$2:E3144)*(E3144=E$2:E3144)))))-COUNTBLANK(OFFSET(A$1,,,SUMPRODUCT(MAX(ROW(E$1:E3143)*(E2=E$1:E3143))))))</f>
        <v> </v>
      </c>
      <c r="K3144" s="26" t="str">
        <f>IF(OR(E3144="",E3144="!!!",F3144="NEW"),"",INDEX(J$1:J3143,SUMPRODUCT(MAX(ROW(E$1:E3143)*(E3144=E$1:E3143)))))</f>
        <v> </v>
      </c>
      <c r="L3144" s="27"/>
    </row>
    <row r="3145" spans="1:12">
      <c r="A3145" s="20" t="s">
        <v>1269</v>
      </c>
      <c r="E3145" s="22">
        <f>IF(D3145="?OLD","!!!","")</f>
        <v/>
      </c>
      <c r="F3145" s="23" t="str">
        <f>IF(OR(E3145="",E3145="!!!"),"",IF(NOT(ISNA(VLOOKUP(E3145,E$1:E3144,1,FALSE()))),"OLD",IF(AND(E3145&lt;&gt;"",E3145&lt;&gt;"!!!"),"NEW","")))</f>
        <v> </v>
      </c>
      <c r="G3145" s="24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5" t="str">
        <f>IF(J3145&lt;&gt;1,"",IF(I3145="SBJ","CB","?"))</f>
        <v> </v>
      </c>
      <c r="I3145" s="26" t="str">
        <f>IF(OR(E3145="",E3145="!!!",F3145="NEW"),"",INDEX(B3144:B$2,-1+SUMPRODUCT(MAX(ROW(E3144:E$2)*(E3145=E3144:E$2)))))</f>
        <v> </v>
      </c>
      <c r="J3145" s="26" t="str">
        <f>IF(OR(E3145="",E3145="!!!",F3145="NEW"),"",COUNTBLANK(OFFSET(A$1,,,SUMPRODUCT(MAX(ROW(E$2:E3145)*(E3145=E$2:E3145)))))-COUNTBLANK(OFFSET(A$1,,,SUMPRODUCT(MAX(ROW(E$1:E3144)*(E2=E$1:E3144))))))</f>
        <v> </v>
      </c>
      <c r="K3145" s="26" t="str">
        <f>IF(OR(E3145="",E3145="!!!",F3145="NEW"),"",INDEX(J$1:J3144,SUMPRODUCT(MAX(ROW(E$1:E3144)*(E3145=E$1:E3144)))))</f>
        <v> </v>
      </c>
      <c r="L3145" s="27"/>
    </row>
    <row r="3146" spans="1:12">
      <c r="A3146" s="20" t="s">
        <v>1029</v>
      </c>
      <c r="E3146" s="22">
        <f>IF(D3146="?OLD","!!!","")</f>
        <v/>
      </c>
      <c r="F3146" s="23" t="str">
        <f>IF(OR(E3146="",E3146="!!!"),"",IF(NOT(ISNA(VLOOKUP(E3146,E$1:E3145,1,FALSE()))),"OLD",IF(AND(E3146&lt;&gt;"",E3146&lt;&gt;"!!!"),"NEW","")))</f>
        <v> </v>
      </c>
      <c r="G3146" s="24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5" t="str">
        <f>IF(J3146&lt;&gt;1,"",IF(I3146="SBJ","CB","?"))</f>
        <v> </v>
      </c>
      <c r="I3146" s="26" t="str">
        <f>IF(OR(E3146="",E3146="!!!",F3146="NEW"),"",INDEX(B3145:B$2,-1+SUMPRODUCT(MAX(ROW(E3145:E$2)*(E3146=E3145:E$2)))))</f>
        <v> </v>
      </c>
      <c r="J3146" s="26" t="str">
        <f>IF(OR(E3146="",E3146="!!!",F3146="NEW"),"",COUNTBLANK(OFFSET(A$1,,,SUMPRODUCT(MAX(ROW(E$2:E3146)*(E3146=E$2:E3146)))))-COUNTBLANK(OFFSET(A$1,,,SUMPRODUCT(MAX(ROW(E$1:E3145)*(E2=E$1:E3145))))))</f>
        <v> </v>
      </c>
      <c r="K3146" s="26" t="str">
        <f>IF(OR(E3146="",E3146="!!!",F3146="NEW"),"",INDEX(J$1:J3145,SUMPRODUCT(MAX(ROW(E$1:E3145)*(E3146=E$1:E3145)))))</f>
        <v> </v>
      </c>
      <c r="L3146" s="27"/>
    </row>
    <row r="3147" spans="1:12">
      <c r="A3147" s="20" t="s">
        <v>2238</v>
      </c>
      <c r="B3147" s="21" t="s">
        <v>978</v>
      </c>
      <c r="C3147" s="21" t="s">
        <v>991</v>
      </c>
      <c r="E3147" s="22">
        <f>IF(D3147="?OLD","!!!","")</f>
        <v/>
      </c>
      <c r="F3147" s="23" t="str">
        <f>IF(OR(E3147="",E3147="!!!"),"",IF(NOT(ISNA(VLOOKUP(E3147,E$1:E3146,1,FALSE()))),"OLD",IF(AND(E3147&lt;&gt;"",E3147&lt;&gt;"!!!"),"NEW","")))</f>
        <v> </v>
      </c>
      <c r="G3147" s="24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5" t="str">
        <f>IF(J3147&lt;&gt;1,"",IF(I3147="SBJ","CB","?"))</f>
        <v> </v>
      </c>
      <c r="I3147" s="26" t="str">
        <f>IF(OR(E3147="",E3147="!!!",F3147="NEW"),"",INDEX(B3146:B$2,-1+SUMPRODUCT(MAX(ROW(E3146:E$2)*(E3147=E3146:E$2)))))</f>
        <v> </v>
      </c>
      <c r="J3147" s="26" t="str">
        <f>IF(OR(E3147="",E3147="!!!",F3147="NEW"),"",COUNTBLANK(OFFSET(A$1,,,SUMPRODUCT(MAX(ROW(E$2:E3147)*(E3147=E$2:E3147)))))-COUNTBLANK(OFFSET(A$1,,,SUMPRODUCT(MAX(ROW(E$1:E3146)*(E2=E$1:E3146))))))</f>
        <v> </v>
      </c>
      <c r="K3147" s="26" t="str">
        <f>IF(OR(E3147="",E3147="!!!",F3147="NEW"),"",INDEX(J$1:J3146,SUMPRODUCT(MAX(ROW(E$1:E3146)*(E3147=E$1:E3146)))))</f>
        <v> </v>
      </c>
      <c r="L3147" s="27"/>
    </row>
    <row r="3148" spans="1:12">
      <c r="A3148" s="20" t="s">
        <v>987</v>
      </c>
      <c r="E3148" s="22">
        <f>IF(D3148="?OLD","!!!","")</f>
        <v/>
      </c>
      <c r="F3148" s="23" t="str">
        <f>IF(OR(E3148="",E3148="!!!"),"",IF(NOT(ISNA(VLOOKUP(E3148,E$1:E3147,1,FALSE()))),"OLD",IF(AND(E3148&lt;&gt;"",E3148&lt;&gt;"!!!"),"NEW","")))</f>
        <v> </v>
      </c>
      <c r="G3148" s="24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5" t="str">
        <f>IF(J3148&lt;&gt;1,"",IF(I3148="SBJ","CB","?"))</f>
        <v> </v>
      </c>
      <c r="I3148" s="26" t="str">
        <f>IF(OR(E3148="",E3148="!!!",F3148="NEW"),"",INDEX(B3147:B$2,-1+SUMPRODUCT(MAX(ROW(E3147:E$2)*(E3148=E3147:E$2)))))</f>
        <v> </v>
      </c>
      <c r="J3148" s="26" t="str">
        <f>IF(OR(E3148="",E3148="!!!",F3148="NEW"),"",COUNTBLANK(OFFSET(A$1,,,SUMPRODUCT(MAX(ROW(E$2:E3148)*(E3148=E$2:E3148)))))-COUNTBLANK(OFFSET(A$1,,,SUMPRODUCT(MAX(ROW(E$1:E3147)*(E2=E$1:E3147))))))</f>
        <v> </v>
      </c>
      <c r="K3148" s="26" t="str">
        <f>IF(OR(E3148="",E3148="!!!",F3148="NEW"),"",INDEX(J$1:J3147,SUMPRODUCT(MAX(ROW(E$1:E3147)*(E3148=E$1:E3147)))))</f>
        <v> </v>
      </c>
      <c r="L3148" s="27"/>
    </row>
    <row r="3149" spans="1:12">
      <c r="A3149" s="20" t="s">
        <v>985</v>
      </c>
      <c r="E3149" s="22">
        <f>IF(D3149="?OLD","!!!","")</f>
        <v/>
      </c>
      <c r="F3149" s="23" t="str">
        <f>IF(OR(E3149="",E3149="!!!"),"",IF(NOT(ISNA(VLOOKUP(E3149,E$1:E3148,1,FALSE()))),"OLD",IF(AND(E3149&lt;&gt;"",E3149&lt;&gt;"!!!"),"NEW","")))</f>
        <v> </v>
      </c>
      <c r="G3149" s="24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5" t="str">
        <f>IF(J3149&lt;&gt;1,"",IF(I3149="SBJ","CB","?"))</f>
        <v> </v>
      </c>
      <c r="I3149" s="26" t="str">
        <f>IF(OR(E3149="",E3149="!!!",F3149="NEW"),"",INDEX(B3148:B$2,-1+SUMPRODUCT(MAX(ROW(E3148:E$2)*(E3149=E3148:E$2)))))</f>
        <v> </v>
      </c>
      <c r="J3149" s="26" t="str">
        <f>IF(OR(E3149="",E3149="!!!",F3149="NEW"),"",COUNTBLANK(OFFSET(A$1,,,SUMPRODUCT(MAX(ROW(E$2:E3149)*(E3149=E$2:E3149)))))-COUNTBLANK(OFFSET(A$1,,,SUMPRODUCT(MAX(ROW(E$1:E3148)*(E2=E$1:E3148))))))</f>
        <v> </v>
      </c>
      <c r="K3149" s="26" t="str">
        <f>IF(OR(E3149="",E3149="!!!",F3149="NEW"),"",INDEX(J$1:J3148,SUMPRODUCT(MAX(ROW(E$1:E3148)*(E3149=E$1:E3148)))))</f>
        <v> </v>
      </c>
      <c r="L3149" s="27"/>
    </row>
    <row r="3150" spans="1:12">
      <c r="A3150" s="20" t="s">
        <v>1005</v>
      </c>
      <c r="E3150" s="22">
        <f>IF(D3150="?OLD","!!!","")</f>
        <v/>
      </c>
      <c r="F3150" s="23" t="str">
        <f>IF(OR(E3150="",E3150="!!!"),"",IF(NOT(ISNA(VLOOKUP(E3150,E$1:E3149,1,FALSE()))),"OLD",IF(AND(E3150&lt;&gt;"",E3150&lt;&gt;"!!!"),"NEW","")))</f>
        <v> </v>
      </c>
      <c r="G3150" s="24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5" t="str">
        <f>IF(J3150&lt;&gt;1,"",IF(I3150="SBJ","CB","?"))</f>
        <v> </v>
      </c>
      <c r="I3150" s="26" t="str">
        <f>IF(OR(E3150="",E3150="!!!",F3150="NEW"),"",INDEX(B3149:B$2,-1+SUMPRODUCT(MAX(ROW(E3149:E$2)*(E3150=E3149:E$2)))))</f>
        <v> </v>
      </c>
      <c r="J3150" s="26" t="str">
        <f>IF(OR(E3150="",E3150="!!!",F3150="NEW"),"",COUNTBLANK(OFFSET(A$1,,,SUMPRODUCT(MAX(ROW(E$2:E3150)*(E3150=E$2:E3150)))))-COUNTBLANK(OFFSET(A$1,,,SUMPRODUCT(MAX(ROW(E$1:E3149)*(E2=E$1:E3149))))))</f>
        <v> </v>
      </c>
      <c r="K3150" s="26" t="str">
        <f>IF(OR(E3150="",E3150="!!!",F3150="NEW"),"",INDEX(J$1:J3149,SUMPRODUCT(MAX(ROW(E$1:E3149)*(E3150=E$1:E3149)))))</f>
        <v> </v>
      </c>
      <c r="L3150" s="27"/>
    </row>
    <row r="3151" spans="1:12">
      <c r="A3151" s="20" t="s">
        <v>2239</v>
      </c>
      <c r="E3151" s="22">
        <f>IF(D3151="?OLD","!!!","")</f>
        <v/>
      </c>
      <c r="F3151" s="23" t="str">
        <f>IF(OR(E3151="",E3151="!!!"),"",IF(NOT(ISNA(VLOOKUP(E3151,E$1:E3150,1,FALSE()))),"OLD",IF(AND(E3151&lt;&gt;"",E3151&lt;&gt;"!!!"),"NEW","")))</f>
        <v> </v>
      </c>
      <c r="G3151" s="24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5" t="str">
        <f>IF(J3151&lt;&gt;1,"",IF(I3151="SBJ","CB","?"))</f>
        <v> </v>
      </c>
      <c r="I3151" s="26" t="str">
        <f>IF(OR(E3151="",E3151="!!!",F3151="NEW"),"",INDEX(B3150:B$2,-1+SUMPRODUCT(MAX(ROW(E3150:E$2)*(E3151=E3150:E$2)))))</f>
        <v> </v>
      </c>
      <c r="J3151" s="26" t="str">
        <f>IF(OR(E3151="",E3151="!!!",F3151="NEW"),"",COUNTBLANK(OFFSET(A$1,,,SUMPRODUCT(MAX(ROW(E$2:E3151)*(E3151=E$2:E3151)))))-COUNTBLANK(OFFSET(A$1,,,SUMPRODUCT(MAX(ROW(E$1:E3150)*(E2=E$1:E3150))))))</f>
        <v> </v>
      </c>
      <c r="K3151" s="26" t="str">
        <f>IF(OR(E3151="",E3151="!!!",F3151="NEW"),"",INDEX(J$1:J3150,SUMPRODUCT(MAX(ROW(E$1:E3150)*(E3151=E$1:E3150)))))</f>
        <v> </v>
      </c>
      <c r="L3151" s="27"/>
    </row>
    <row r="3152" spans="1:12">
      <c r="A3152" s="20" t="s">
        <v>79</v>
      </c>
      <c r="E3152" s="22">
        <f>IF(D3152="?OLD","!!!","")</f>
        <v/>
      </c>
      <c r="F3152" s="23" t="str">
        <f>IF(OR(E3152="",E3152="!!!"),"",IF(NOT(ISNA(VLOOKUP(E3152,E$1:E3151,1,FALSE()))),"OLD",IF(AND(E3152&lt;&gt;"",E3152&lt;&gt;"!!!"),"NEW","")))</f>
        <v> </v>
      </c>
      <c r="G3152" s="24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5" t="str">
        <f>IF(J3152&lt;&gt;1,"",IF(I3152="SBJ","CB","?"))</f>
        <v> </v>
      </c>
      <c r="I3152" s="26" t="str">
        <f>IF(OR(E3152="",E3152="!!!",F3152="NEW"),"",INDEX(B3151:B$2,-1+SUMPRODUCT(MAX(ROW(E3151:E$2)*(E3152=E3151:E$2)))))</f>
        <v> </v>
      </c>
      <c r="J3152" s="26" t="str">
        <f>IF(OR(E3152="",E3152="!!!",F3152="NEW"),"",COUNTBLANK(OFFSET(A$1,,,SUMPRODUCT(MAX(ROW(E$2:E3152)*(E3152=E$2:E3152)))))-COUNTBLANK(OFFSET(A$1,,,SUMPRODUCT(MAX(ROW(E$1:E3151)*(E2=E$1:E3151))))))</f>
        <v> </v>
      </c>
      <c r="K3152" s="26" t="str">
        <f>IF(OR(E3152="",E3152="!!!",F3152="NEW"),"",INDEX(J$1:J3151,SUMPRODUCT(MAX(ROW(E$1:E3151)*(E3152=E$1:E3151)))))</f>
        <v> </v>
      </c>
      <c r="L3152" s="27"/>
    </row>
    <row r="3153" spans="1:12">
      <c r="A3153" s="20" t="s">
        <v>990</v>
      </c>
      <c r="B3153" s="21" t="s">
        <v>1011</v>
      </c>
      <c r="C3153" s="21" t="s">
        <v>991</v>
      </c>
      <c r="E3153" s="22">
        <f>IF(D3153="?OLD","!!!","")</f>
        <v/>
      </c>
      <c r="F3153" s="23" t="str">
        <f>IF(OR(E3153="",E3153="!!!"),"",IF(NOT(ISNA(VLOOKUP(E3153,E$1:E3152,1,FALSE()))),"OLD",IF(AND(E3153&lt;&gt;"",E3153&lt;&gt;"!!!"),"NEW","")))</f>
        <v> </v>
      </c>
      <c r="G3153" s="24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5" t="str">
        <f>IF(J3153&lt;&gt;1,"",IF(I3153="SBJ","CB","?"))</f>
        <v> </v>
      </c>
      <c r="I3153" s="26" t="str">
        <f>IF(OR(E3153="",E3153="!!!",F3153="NEW"),"",INDEX(B3152:B$2,-1+SUMPRODUCT(MAX(ROW(E3152:E$2)*(E3153=E3152:E$2)))))</f>
        <v> </v>
      </c>
      <c r="J3153" s="26" t="str">
        <f>IF(OR(E3153="",E3153="!!!",F3153="NEW"),"",COUNTBLANK(OFFSET(A$1,,,SUMPRODUCT(MAX(ROW(E$2:E3153)*(E3153=E$2:E3153)))))-COUNTBLANK(OFFSET(A$1,,,SUMPRODUCT(MAX(ROW(E$1:E3152)*(E2=E$1:E3152))))))</f>
        <v> </v>
      </c>
      <c r="K3153" s="26" t="str">
        <f>IF(OR(E3153="",E3153="!!!",F3153="NEW"),"",INDEX(J$1:J3152,SUMPRODUCT(MAX(ROW(E$1:E3152)*(E3153=E$1:E3152)))))</f>
        <v> </v>
      </c>
      <c r="L3153" s="27"/>
    </row>
    <row r="3154" spans="1:12">
      <c r="A3154" s="20" t="s">
        <v>1013</v>
      </c>
      <c r="E3154" s="22">
        <f>IF(D3154="?OLD","!!!","")</f>
        <v/>
      </c>
      <c r="F3154" s="23" t="str">
        <f>IF(OR(E3154="",E3154="!!!"),"",IF(NOT(ISNA(VLOOKUP(E3154,E$1:E3153,1,FALSE()))),"OLD",IF(AND(E3154&lt;&gt;"",E3154&lt;&gt;"!!!"),"NEW","")))</f>
        <v> </v>
      </c>
      <c r="G3154" s="24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5" t="str">
        <f>IF(J3154&lt;&gt;1,"",IF(I3154="SBJ","CB","?"))</f>
        <v> </v>
      </c>
      <c r="I3154" s="26" t="str">
        <f>IF(OR(E3154="",E3154="!!!",F3154="NEW"),"",INDEX(B3153:B$2,-1+SUMPRODUCT(MAX(ROW(E3153:E$2)*(E3154=E3153:E$2)))))</f>
        <v> </v>
      </c>
      <c r="J3154" s="26" t="str">
        <f>IF(OR(E3154="",E3154="!!!",F3154="NEW"),"",COUNTBLANK(OFFSET(A$1,,,SUMPRODUCT(MAX(ROW(E$2:E3154)*(E3154=E$2:E3154)))))-COUNTBLANK(OFFSET(A$1,,,SUMPRODUCT(MAX(ROW(E$1:E3153)*(E2=E$1:E3153))))))</f>
        <v> </v>
      </c>
      <c r="K3154" s="26" t="str">
        <f>IF(OR(E3154="",E3154="!!!",F3154="NEW"),"",INDEX(J$1:J3153,SUMPRODUCT(MAX(ROW(E$1:E3153)*(E3154=E$1:E3153)))))</f>
        <v> </v>
      </c>
      <c r="L3154" s="27"/>
    </row>
    <row r="3155" spans="1:12">
      <c r="A3155" s="20" t="s">
        <v>1189</v>
      </c>
      <c r="B3155" s="21" t="s">
        <v>975</v>
      </c>
      <c r="C3155" s="21" t="s">
        <v>971</v>
      </c>
      <c r="D3155" s="21" t="s">
        <v>972</v>
      </c>
      <c r="E3155" s="22">
        <f>IF(D3155="?OLD","!!!","")</f>
        <v/>
      </c>
      <c r="F3155" s="23" t="str">
        <f>IF(OR(E3155="",E3155="!!!"),"",IF(NOT(ISNA(VLOOKUP(E3155,E$1:E3154,1,FALSE()))),"OLD",IF(AND(E3155&lt;&gt;"",E3155&lt;&gt;"!!!"),"NEW","")))</f>
        <v> </v>
      </c>
      <c r="G3155" s="24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5" t="str">
        <f>IF(J3155&lt;&gt;1,"",IF(I3155="SBJ","CB","?"))</f>
        <v> </v>
      </c>
      <c r="I3155" s="26" t="str">
        <f>IF(OR(E3155="",E3155="!!!",F3155="NEW"),"",INDEX(B3154:B$2,-1+SUMPRODUCT(MAX(ROW(E3154:E$2)*(E3155=E3154:E$2)))))</f>
        <v> </v>
      </c>
      <c r="J3155" s="26" t="str">
        <f>IF(OR(E3155="",E3155="!!!",F3155="NEW"),"",COUNTBLANK(OFFSET(A$1,,,SUMPRODUCT(MAX(ROW(E$2:E3155)*(E3155=E$2:E3155)))))-COUNTBLANK(OFFSET(A$1,,,SUMPRODUCT(MAX(ROW(E$1:E3154)*(E2=E$1:E3154))))))</f>
        <v> </v>
      </c>
      <c r="K3155" s="26" t="str">
        <f>IF(OR(E3155="",E3155="!!!",F3155="NEW"),"",INDEX(J$1:J3154,SUMPRODUCT(MAX(ROW(E$1:E3154)*(E3155=E$1:E3154)))))</f>
        <v> </v>
      </c>
      <c r="L3155" s="27"/>
    </row>
    <row r="3156" spans="1:12">
      <c r="A3156" s="20" t="s">
        <v>2240</v>
      </c>
      <c r="E3156" s="22">
        <f>IF(D3156="?OLD","!!!","")</f>
        <v/>
      </c>
      <c r="F3156" s="23" t="str">
        <f>IF(OR(E3156="",E3156="!!!"),"",IF(NOT(ISNA(VLOOKUP(E3156,E$1:E3155,1,FALSE()))),"OLD",IF(AND(E3156&lt;&gt;"",E3156&lt;&gt;"!!!"),"NEW","")))</f>
        <v> </v>
      </c>
      <c r="G3156" s="24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5" t="str">
        <f>IF(J3156&lt;&gt;1,"",IF(I3156="SBJ","CB","?"))</f>
        <v> </v>
      </c>
      <c r="I3156" s="26" t="str">
        <f>IF(OR(E3156="",E3156="!!!",F3156="NEW"),"",INDEX(B3155:B$2,-1+SUMPRODUCT(MAX(ROW(E3155:E$2)*(E3156=E3155:E$2)))))</f>
        <v> </v>
      </c>
      <c r="J3156" s="26" t="str">
        <f>IF(OR(E3156="",E3156="!!!",F3156="NEW"),"",COUNTBLANK(OFFSET(A$1,,,SUMPRODUCT(MAX(ROW(E$2:E3156)*(E3156=E$2:E3156)))))-COUNTBLANK(OFFSET(A$1,,,SUMPRODUCT(MAX(ROW(E$1:E3155)*(E2=E$1:E3155))))))</f>
        <v> </v>
      </c>
      <c r="K3156" s="26" t="str">
        <f>IF(OR(E3156="",E3156="!!!",F3156="NEW"),"",INDEX(J$1:J3155,SUMPRODUCT(MAX(ROW(E$1:E3155)*(E3156=E$1:E3155)))))</f>
        <v> </v>
      </c>
      <c r="L3156" s="27"/>
    </row>
    <row r="3157" spans="1:12">
      <c r="A3157" s="20" t="s">
        <v>1623</v>
      </c>
      <c r="E3157" s="22">
        <f>IF(D3157="?OLD","!!!","")</f>
        <v/>
      </c>
      <c r="F3157" s="23" t="str">
        <f>IF(OR(E3157="",E3157="!!!"),"",IF(NOT(ISNA(VLOOKUP(E3157,E$1:E3156,1,FALSE()))),"OLD",IF(AND(E3157&lt;&gt;"",E3157&lt;&gt;"!!!"),"NEW","")))</f>
        <v> </v>
      </c>
      <c r="G3157" s="24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5" t="str">
        <f>IF(J3157&lt;&gt;1,"",IF(I3157="SBJ","CB","?"))</f>
        <v> </v>
      </c>
      <c r="I3157" s="26" t="str">
        <f>IF(OR(E3157="",E3157="!!!",F3157="NEW"),"",INDEX(B3156:B$2,-1+SUMPRODUCT(MAX(ROW(E3156:E$2)*(E3157=E3156:E$2)))))</f>
        <v> </v>
      </c>
      <c r="J3157" s="26" t="str">
        <f>IF(OR(E3157="",E3157="!!!",F3157="NEW"),"",COUNTBLANK(OFFSET(A$1,,,SUMPRODUCT(MAX(ROW(E$2:E3157)*(E3157=E$2:E3157)))))-COUNTBLANK(OFFSET(A$1,,,SUMPRODUCT(MAX(ROW(E$1:E3156)*(E2=E$1:E3156))))))</f>
        <v> </v>
      </c>
      <c r="K3157" s="26" t="str">
        <f>IF(OR(E3157="",E3157="!!!",F3157="NEW"),"",INDEX(J$1:J3156,SUMPRODUCT(MAX(ROW(E$1:E3156)*(E3157=E$1:E3156)))))</f>
        <v> </v>
      </c>
      <c r="L3157" s="27"/>
    </row>
    <row r="3158" spans="1:12">
      <c r="A3158" s="20" t="s">
        <v>1350</v>
      </c>
      <c r="E3158" s="22">
        <f>IF(D3158="?OLD","!!!","")</f>
        <v/>
      </c>
      <c r="F3158" s="23" t="str">
        <f>IF(OR(E3158="",E3158="!!!"),"",IF(NOT(ISNA(VLOOKUP(E3158,E$1:E3157,1,FALSE()))),"OLD",IF(AND(E3158&lt;&gt;"",E3158&lt;&gt;"!!!"),"NEW","")))</f>
        <v> </v>
      </c>
      <c r="G3158" s="24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5" t="str">
        <f>IF(J3158&lt;&gt;1,"",IF(I3158="SBJ","CB","?"))</f>
        <v> </v>
      </c>
      <c r="I3158" s="26" t="str">
        <f>IF(OR(E3158="",E3158="!!!",F3158="NEW"),"",INDEX(B3157:B$2,-1+SUMPRODUCT(MAX(ROW(E3157:E$2)*(E3158=E3157:E$2)))))</f>
        <v> </v>
      </c>
      <c r="J3158" s="26" t="str">
        <f>IF(OR(E3158="",E3158="!!!",F3158="NEW"),"",COUNTBLANK(OFFSET(A$1,,,SUMPRODUCT(MAX(ROW(E$2:E3158)*(E3158=E$2:E3158)))))-COUNTBLANK(OFFSET(A$1,,,SUMPRODUCT(MAX(ROW(E$1:E3157)*(E2=E$1:E3157))))))</f>
        <v> </v>
      </c>
      <c r="K3158" s="26" t="str">
        <f>IF(OR(E3158="",E3158="!!!",F3158="NEW"),"",INDEX(J$1:J3157,SUMPRODUCT(MAX(ROW(E$1:E3157)*(E3158=E$1:E3157)))))</f>
        <v> </v>
      </c>
      <c r="L3158" s="27"/>
    </row>
    <row r="3159" spans="1:12">
      <c r="A3159" s="20" t="s">
        <v>1372</v>
      </c>
      <c r="E3159" s="22">
        <f>IF(D3159="?OLD","!!!","")</f>
        <v/>
      </c>
      <c r="F3159" s="23" t="str">
        <f>IF(OR(E3159="",E3159="!!!"),"",IF(NOT(ISNA(VLOOKUP(E3159,E$1:E3158,1,FALSE()))),"OLD",IF(AND(E3159&lt;&gt;"",E3159&lt;&gt;"!!!"),"NEW","")))</f>
        <v> </v>
      </c>
      <c r="G3159" s="24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5" t="str">
        <f>IF(J3159&lt;&gt;1,"",IF(I3159="SBJ","CB","?"))</f>
        <v> </v>
      </c>
      <c r="I3159" s="26" t="str">
        <f>IF(OR(E3159="",E3159="!!!",F3159="NEW"),"",INDEX(B3158:B$2,-1+SUMPRODUCT(MAX(ROW(E3158:E$2)*(E3159=E3158:E$2)))))</f>
        <v> </v>
      </c>
      <c r="J3159" s="26" t="str">
        <f>IF(OR(E3159="",E3159="!!!",F3159="NEW"),"",COUNTBLANK(OFFSET(A$1,,,SUMPRODUCT(MAX(ROW(E$2:E3159)*(E3159=E$2:E3159)))))-COUNTBLANK(OFFSET(A$1,,,SUMPRODUCT(MAX(ROW(E$1:E3158)*(E2=E$1:E3158))))))</f>
        <v> </v>
      </c>
      <c r="K3159" s="26" t="str">
        <f>IF(OR(E3159="",E3159="!!!",F3159="NEW"),"",INDEX(J$1:J3158,SUMPRODUCT(MAX(ROW(E$1:E3158)*(E3159=E$1:E3158)))))</f>
        <v> </v>
      </c>
      <c r="L3159" s="27"/>
    </row>
    <row r="3160" spans="1:12">
      <c r="A3160" s="20" t="s">
        <v>1222</v>
      </c>
      <c r="E3160" s="22">
        <f>IF(D3160="?OLD","!!!","")</f>
        <v/>
      </c>
      <c r="F3160" s="23" t="str">
        <f>IF(OR(E3160="",E3160="!!!"),"",IF(NOT(ISNA(VLOOKUP(E3160,E$1:E3159,1,FALSE()))),"OLD",IF(AND(E3160&lt;&gt;"",E3160&lt;&gt;"!!!"),"NEW","")))</f>
        <v> </v>
      </c>
      <c r="G3160" s="24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5" t="str">
        <f>IF(J3160&lt;&gt;1,"",IF(I3160="SBJ","CB","?"))</f>
        <v> </v>
      </c>
      <c r="I3160" s="26" t="str">
        <f>IF(OR(E3160="",E3160="!!!",F3160="NEW"),"",INDEX(B3159:B$2,-1+SUMPRODUCT(MAX(ROW(E3159:E$2)*(E3160=E3159:E$2)))))</f>
        <v> </v>
      </c>
      <c r="J3160" s="26" t="str">
        <f>IF(OR(E3160="",E3160="!!!",F3160="NEW"),"",COUNTBLANK(OFFSET(A$1,,,SUMPRODUCT(MAX(ROW(E$2:E3160)*(E3160=E$2:E3160)))))-COUNTBLANK(OFFSET(A$1,,,SUMPRODUCT(MAX(ROW(E$1:E3159)*(E2=E$1:E3159))))))</f>
        <v> </v>
      </c>
      <c r="K3160" s="26" t="str">
        <f>IF(OR(E3160="",E3160="!!!",F3160="NEW"),"",INDEX(J$1:J3159,SUMPRODUCT(MAX(ROW(E$1:E3159)*(E3160=E$1:E3159)))))</f>
        <v> </v>
      </c>
      <c r="L3160" s="27"/>
    </row>
    <row r="3161" spans="1:12">
      <c r="A3161" s="20" t="s">
        <v>1390</v>
      </c>
      <c r="E3161" s="22">
        <f>IF(D3161="?OLD","!!!","")</f>
        <v/>
      </c>
      <c r="F3161" s="23" t="str">
        <f>IF(OR(E3161="",E3161="!!!"),"",IF(NOT(ISNA(VLOOKUP(E3161,E$1:E3160,1,FALSE()))),"OLD",IF(AND(E3161&lt;&gt;"",E3161&lt;&gt;"!!!"),"NEW","")))</f>
        <v> </v>
      </c>
      <c r="G3161" s="24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5" t="str">
        <f>IF(J3161&lt;&gt;1,"",IF(I3161="SBJ","CB","?"))</f>
        <v> </v>
      </c>
      <c r="I3161" s="26" t="str">
        <f>IF(OR(E3161="",E3161="!!!",F3161="NEW"),"",INDEX(B3160:B$2,-1+SUMPRODUCT(MAX(ROW(E3160:E$2)*(E3161=E3160:E$2)))))</f>
        <v> </v>
      </c>
      <c r="J3161" s="26" t="str">
        <f>IF(OR(E3161="",E3161="!!!",F3161="NEW"),"",COUNTBLANK(OFFSET(A$1,,,SUMPRODUCT(MAX(ROW(E$2:E3161)*(E3161=E$2:E3161)))))-COUNTBLANK(OFFSET(A$1,,,SUMPRODUCT(MAX(ROW(E$1:E3160)*(E2=E$1:E3160))))))</f>
        <v> </v>
      </c>
      <c r="K3161" s="26" t="str">
        <f>IF(OR(E3161="",E3161="!!!",F3161="NEW"),"",INDEX(J$1:J3160,SUMPRODUCT(MAX(ROW(E$1:E3160)*(E3161=E$1:E3160)))))</f>
        <v> </v>
      </c>
      <c r="L3161" s="27"/>
    </row>
    <row r="3162" spans="1:12">
      <c r="A3162" s="20" t="s">
        <v>2241</v>
      </c>
      <c r="E3162" s="22">
        <f>IF(D3162="?OLD","!!!","")</f>
        <v/>
      </c>
      <c r="F3162" s="23" t="str">
        <f>IF(OR(E3162="",E3162="!!!"),"",IF(NOT(ISNA(VLOOKUP(E3162,E$1:E3161,1,FALSE()))),"OLD",IF(AND(E3162&lt;&gt;"",E3162&lt;&gt;"!!!"),"NEW","")))</f>
        <v> </v>
      </c>
      <c r="G3162" s="24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5" t="str">
        <f>IF(J3162&lt;&gt;1,"",IF(I3162="SBJ","CB","?"))</f>
        <v> </v>
      </c>
      <c r="I3162" s="26" t="str">
        <f>IF(OR(E3162="",E3162="!!!",F3162="NEW"),"",INDEX(B3161:B$2,-1+SUMPRODUCT(MAX(ROW(E3161:E$2)*(E3162=E3161:E$2)))))</f>
        <v> </v>
      </c>
      <c r="J3162" s="26" t="str">
        <f>IF(OR(E3162="",E3162="!!!",F3162="NEW"),"",COUNTBLANK(OFFSET(A$1,,,SUMPRODUCT(MAX(ROW(E$2:E3162)*(E3162=E$2:E3162)))))-COUNTBLANK(OFFSET(A$1,,,SUMPRODUCT(MAX(ROW(E$1:E3161)*(E2=E$1:E3161))))))</f>
        <v> </v>
      </c>
      <c r="K3162" s="26" t="str">
        <f>IF(OR(E3162="",E3162="!!!",F3162="NEW"),"",INDEX(J$1:J3161,SUMPRODUCT(MAX(ROW(E$1:E3161)*(E3162=E$1:E3161)))))</f>
        <v> </v>
      </c>
      <c r="L3162" s="27"/>
    </row>
    <row r="3163" spans="1:12">
      <c r="A3163" s="20" t="s">
        <v>1048</v>
      </c>
      <c r="E3163" s="22">
        <f>IF(D3163="?OLD","!!!","")</f>
        <v/>
      </c>
      <c r="F3163" s="23" t="str">
        <f>IF(OR(E3163="",E3163="!!!"),"",IF(NOT(ISNA(VLOOKUP(E3163,E$1:E3162,1,FALSE()))),"OLD",IF(AND(E3163&lt;&gt;"",E3163&lt;&gt;"!!!"),"NEW","")))</f>
        <v> </v>
      </c>
      <c r="G3163" s="24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5" t="str">
        <f>IF(J3163&lt;&gt;1,"",IF(I3163="SBJ","CB","?"))</f>
        <v> </v>
      </c>
      <c r="I3163" s="26" t="str">
        <f>IF(OR(E3163="",E3163="!!!",F3163="NEW"),"",INDEX(B3162:B$2,-1+SUMPRODUCT(MAX(ROW(E3162:E$2)*(E3163=E3162:E$2)))))</f>
        <v> </v>
      </c>
      <c r="J3163" s="26" t="str">
        <f>IF(OR(E3163="",E3163="!!!",F3163="NEW"),"",COUNTBLANK(OFFSET(A$1,,,SUMPRODUCT(MAX(ROW(E$2:E3163)*(E3163=E$2:E3163)))))-COUNTBLANK(OFFSET(A$1,,,SUMPRODUCT(MAX(ROW(E$1:E3162)*(E2=E$1:E3162))))))</f>
        <v> </v>
      </c>
      <c r="K3163" s="26" t="str">
        <f>IF(OR(E3163="",E3163="!!!",F3163="NEW"),"",INDEX(J$1:J3162,SUMPRODUCT(MAX(ROW(E$1:E3162)*(E3163=E$1:E3162)))))</f>
        <v> </v>
      </c>
      <c r="L3163" s="27"/>
    </row>
    <row r="3164" spans="1:12">
      <c r="A3164" s="20" t="s">
        <v>982</v>
      </c>
      <c r="E3164" s="22">
        <f>IF(D3164="?OLD","!!!","")</f>
        <v/>
      </c>
      <c r="F3164" s="23" t="str">
        <f>IF(OR(E3164="",E3164="!!!"),"",IF(NOT(ISNA(VLOOKUP(E3164,E$1:E3163,1,FALSE()))),"OLD",IF(AND(E3164&lt;&gt;"",E3164&lt;&gt;"!!!"),"NEW","")))</f>
        <v> </v>
      </c>
      <c r="G3164" s="24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5" t="str">
        <f>IF(J3164&lt;&gt;1,"",IF(I3164="SBJ","CB","?"))</f>
        <v> </v>
      </c>
      <c r="I3164" s="26" t="str">
        <f>IF(OR(E3164="",E3164="!!!",F3164="NEW"),"",INDEX(B3163:B$2,-1+SUMPRODUCT(MAX(ROW(E3163:E$2)*(E3164=E3163:E$2)))))</f>
        <v> </v>
      </c>
      <c r="J3164" s="26" t="str">
        <f>IF(OR(E3164="",E3164="!!!",F3164="NEW"),"",COUNTBLANK(OFFSET(A$1,,,SUMPRODUCT(MAX(ROW(E$2:E3164)*(E3164=E$2:E3164)))))-COUNTBLANK(OFFSET(A$1,,,SUMPRODUCT(MAX(ROW(E$1:E3163)*(E2=E$1:E3163))))))</f>
        <v> </v>
      </c>
      <c r="K3164" s="26" t="str">
        <f>IF(OR(E3164="",E3164="!!!",F3164="NEW"),"",INDEX(J$1:J3163,SUMPRODUCT(MAX(ROW(E$1:E3163)*(E3164=E$1:E3163)))))</f>
        <v> </v>
      </c>
      <c r="L3164" s="27"/>
    </row>
    <row r="3165" spans="1:12">
      <c r="A3165" s="20" t="s">
        <v>1550</v>
      </c>
      <c r="E3165" s="22">
        <f>IF(D3165="?OLD","!!!","")</f>
        <v/>
      </c>
      <c r="F3165" s="23" t="str">
        <f>IF(OR(E3165="",E3165="!!!"),"",IF(NOT(ISNA(VLOOKUP(E3165,E$1:E3164,1,FALSE()))),"OLD",IF(AND(E3165&lt;&gt;"",E3165&lt;&gt;"!!!"),"NEW","")))</f>
        <v> </v>
      </c>
      <c r="G3165" s="24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5" t="str">
        <f>IF(J3165&lt;&gt;1,"",IF(I3165="SBJ","CB","?"))</f>
        <v> </v>
      </c>
      <c r="I3165" s="26" t="str">
        <f>IF(OR(E3165="",E3165="!!!",F3165="NEW"),"",INDEX(B3164:B$2,-1+SUMPRODUCT(MAX(ROW(E3164:E$2)*(E3165=E3164:E$2)))))</f>
        <v> </v>
      </c>
      <c r="J3165" s="26" t="str">
        <f>IF(OR(E3165="",E3165="!!!",F3165="NEW"),"",COUNTBLANK(OFFSET(A$1,,,SUMPRODUCT(MAX(ROW(E$2:E3165)*(E3165=E$2:E3165)))))-COUNTBLANK(OFFSET(A$1,,,SUMPRODUCT(MAX(ROW(E$1:E3164)*(E2=E$1:E3164))))))</f>
        <v> </v>
      </c>
      <c r="K3165" s="26" t="str">
        <f>IF(OR(E3165="",E3165="!!!",F3165="NEW"),"",INDEX(J$1:J3164,SUMPRODUCT(MAX(ROW(E$1:E3164)*(E3165=E$1:E3164)))))</f>
        <v> </v>
      </c>
      <c r="L3165" s="27"/>
    </row>
    <row r="3166" spans="1:12">
      <c r="A3166" s="20" t="s">
        <v>2242</v>
      </c>
      <c r="E3166" s="22">
        <f>IF(D3166="?OLD","!!!","")</f>
        <v/>
      </c>
      <c r="F3166" s="23" t="str">
        <f>IF(OR(E3166="",E3166="!!!"),"",IF(NOT(ISNA(VLOOKUP(E3166,E$1:E3165,1,FALSE()))),"OLD",IF(AND(E3166&lt;&gt;"",E3166&lt;&gt;"!!!"),"NEW","")))</f>
        <v> </v>
      </c>
      <c r="G3166" s="24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5" t="str">
        <f>IF(J3166&lt;&gt;1,"",IF(I3166="SBJ","CB","?"))</f>
        <v> </v>
      </c>
      <c r="I3166" s="26" t="str">
        <f>IF(OR(E3166="",E3166="!!!",F3166="NEW"),"",INDEX(B3165:B$2,-1+SUMPRODUCT(MAX(ROW(E3165:E$2)*(E3166=E3165:E$2)))))</f>
        <v> </v>
      </c>
      <c r="J3166" s="26" t="str">
        <f>IF(OR(E3166="",E3166="!!!",F3166="NEW"),"",COUNTBLANK(OFFSET(A$1,,,SUMPRODUCT(MAX(ROW(E$2:E3166)*(E3166=E$2:E3166)))))-COUNTBLANK(OFFSET(A$1,,,SUMPRODUCT(MAX(ROW(E$1:E3165)*(E2=E$1:E3165))))))</f>
        <v> </v>
      </c>
      <c r="K3166" s="26" t="str">
        <f>IF(OR(E3166="",E3166="!!!",F3166="NEW"),"",INDEX(J$1:J3165,SUMPRODUCT(MAX(ROW(E$1:E3165)*(E3166=E$1:E3165)))))</f>
        <v> </v>
      </c>
      <c r="L3166" s="27"/>
    </row>
    <row r="3167" spans="1:12">
      <c r="A3167" s="20" t="s">
        <v>2243</v>
      </c>
      <c r="E3167" s="22">
        <f>IF(D3167="?OLD","!!!","")</f>
        <v/>
      </c>
      <c r="F3167" s="23" t="str">
        <f>IF(OR(E3167="",E3167="!!!"),"",IF(NOT(ISNA(VLOOKUP(E3167,E$1:E3166,1,FALSE()))),"OLD",IF(AND(E3167&lt;&gt;"",E3167&lt;&gt;"!!!"),"NEW","")))</f>
        <v> </v>
      </c>
      <c r="G3167" s="24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5" t="str">
        <f>IF(J3167&lt;&gt;1,"",IF(I3167="SBJ","CB","?"))</f>
        <v> </v>
      </c>
      <c r="I3167" s="26" t="str">
        <f>IF(OR(E3167="",E3167="!!!",F3167="NEW"),"",INDEX(B3166:B$2,-1+SUMPRODUCT(MAX(ROW(E3166:E$2)*(E3167=E3166:E$2)))))</f>
        <v> </v>
      </c>
      <c r="J3167" s="26" t="str">
        <f>IF(OR(E3167="",E3167="!!!",F3167="NEW"),"",COUNTBLANK(OFFSET(A$1,,,SUMPRODUCT(MAX(ROW(E$2:E3167)*(E3167=E$2:E3167)))))-COUNTBLANK(OFFSET(A$1,,,SUMPRODUCT(MAX(ROW(E$1:E3166)*(E2=E$1:E3166))))))</f>
        <v> </v>
      </c>
      <c r="K3167" s="26" t="str">
        <f>IF(OR(E3167="",E3167="!!!",F3167="NEW"),"",INDEX(J$1:J3166,SUMPRODUCT(MAX(ROW(E$1:E3166)*(E3167=E$1:E3166)))))</f>
        <v> </v>
      </c>
      <c r="L3167" s="27"/>
    </row>
    <row r="3168" spans="1:12">
      <c r="A3168" s="20" t="s">
        <v>1013</v>
      </c>
      <c r="E3168" s="22">
        <f>IF(D3168="?OLD","!!!","")</f>
        <v/>
      </c>
      <c r="F3168" s="23" t="str">
        <f>IF(OR(E3168="",E3168="!!!"),"",IF(NOT(ISNA(VLOOKUP(E3168,E$1:E3167,1,FALSE()))),"OLD",IF(AND(E3168&lt;&gt;"",E3168&lt;&gt;"!!!"),"NEW","")))</f>
        <v> </v>
      </c>
      <c r="G3168" s="24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5" t="str">
        <f>IF(J3168&lt;&gt;1,"",IF(I3168="SBJ","CB","?"))</f>
        <v> </v>
      </c>
      <c r="I3168" s="26" t="str">
        <f>IF(OR(E3168="",E3168="!!!",F3168="NEW"),"",INDEX(B3167:B$2,-1+SUMPRODUCT(MAX(ROW(E3167:E$2)*(E3168=E3167:E$2)))))</f>
        <v> </v>
      </c>
      <c r="J3168" s="26" t="str">
        <f>IF(OR(E3168="",E3168="!!!",F3168="NEW"),"",COUNTBLANK(OFFSET(A$1,,,SUMPRODUCT(MAX(ROW(E$2:E3168)*(E3168=E$2:E3168)))))-COUNTBLANK(OFFSET(A$1,,,SUMPRODUCT(MAX(ROW(E$1:E3167)*(E2=E$1:E3167))))))</f>
        <v> </v>
      </c>
      <c r="K3168" s="26" t="str">
        <f>IF(OR(E3168="",E3168="!!!",F3168="NEW"),"",INDEX(J$1:J3167,SUMPRODUCT(MAX(ROW(E$1:E3167)*(E3168=E$1:E3167)))))</f>
        <v> </v>
      </c>
      <c r="L3168" s="27"/>
    </row>
    <row r="3169" spans="1:12">
      <c r="A3169" s="20" t="s">
        <v>149</v>
      </c>
      <c r="B3169" s="21" t="s">
        <v>1093</v>
      </c>
      <c r="C3169" s="21" t="s">
        <v>1232</v>
      </c>
      <c r="E3169" s="22">
        <f>IF(D3169="?OLD","!!!","")</f>
        <v/>
      </c>
      <c r="F3169" s="23" t="str">
        <f>IF(OR(E3169="",E3169="!!!"),"",IF(NOT(ISNA(VLOOKUP(E3169,E$1:E3168,1,FALSE()))),"OLD",IF(AND(E3169&lt;&gt;"",E3169&lt;&gt;"!!!"),"NEW","")))</f>
        <v> </v>
      </c>
      <c r="G3169" s="24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5" t="str">
        <f>IF(J3169&lt;&gt;1,"",IF(I3169="SBJ","CB","?"))</f>
        <v> </v>
      </c>
      <c r="I3169" s="26" t="str">
        <f>IF(OR(E3169="",E3169="!!!",F3169="NEW"),"",INDEX(B3168:B$2,-1+SUMPRODUCT(MAX(ROW(E3168:E$2)*(E3169=E3168:E$2)))))</f>
        <v> </v>
      </c>
      <c r="J3169" s="26" t="str">
        <f>IF(OR(E3169="",E3169="!!!",F3169="NEW"),"",COUNTBLANK(OFFSET(A$1,,,SUMPRODUCT(MAX(ROW(E$2:E3169)*(E3169=E$2:E3169)))))-COUNTBLANK(OFFSET(A$1,,,SUMPRODUCT(MAX(ROW(E$1:E3168)*(E2=E$1:E3168))))))</f>
        <v> </v>
      </c>
      <c r="K3169" s="26" t="str">
        <f>IF(OR(E3169="",E3169="!!!",F3169="NEW"),"",INDEX(J$1:J3168,SUMPRODUCT(MAX(ROW(E$1:E3168)*(E3169=E$1:E3168)))))</f>
        <v> </v>
      </c>
      <c r="L3169" s="27"/>
    </row>
    <row r="3170" spans="1:12">
      <c r="A3170" s="20" t="s">
        <v>2244</v>
      </c>
      <c r="E3170" s="22">
        <f>IF(D3170="?OLD","!!!","")</f>
        <v/>
      </c>
      <c r="F3170" s="23" t="str">
        <f>IF(OR(E3170="",E3170="!!!"),"",IF(NOT(ISNA(VLOOKUP(E3170,E$1:E3169,1,FALSE()))),"OLD",IF(AND(E3170&lt;&gt;"",E3170&lt;&gt;"!!!"),"NEW","")))</f>
        <v> </v>
      </c>
      <c r="G3170" s="24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5" t="str">
        <f>IF(J3170&lt;&gt;1,"",IF(I3170="SBJ","CB","?"))</f>
        <v> </v>
      </c>
      <c r="I3170" s="26" t="str">
        <f>IF(OR(E3170="",E3170="!!!",F3170="NEW"),"",INDEX(B3169:B$2,-1+SUMPRODUCT(MAX(ROW(E3169:E$2)*(E3170=E3169:E$2)))))</f>
        <v> </v>
      </c>
      <c r="J3170" s="26" t="str">
        <f>IF(OR(E3170="",E3170="!!!",F3170="NEW"),"",COUNTBLANK(OFFSET(A$1,,,SUMPRODUCT(MAX(ROW(E$2:E3170)*(E3170=E$2:E3170)))))-COUNTBLANK(OFFSET(A$1,,,SUMPRODUCT(MAX(ROW(E$1:E3169)*(E2=E$1:E3169))))))</f>
        <v> </v>
      </c>
      <c r="K3170" s="26" t="str">
        <f>IF(OR(E3170="",E3170="!!!",F3170="NEW"),"",INDEX(J$1:J3169,SUMPRODUCT(MAX(ROW(E$1:E3169)*(E3170=E$1:E3169)))))</f>
        <v> </v>
      </c>
      <c r="L3170" s="27"/>
    </row>
    <row r="3171" spans="1:12">
      <c r="A3171" s="20" t="s">
        <v>2142</v>
      </c>
      <c r="B3171" s="21" t="s">
        <v>1003</v>
      </c>
      <c r="C3171" s="21" t="s">
        <v>971</v>
      </c>
      <c r="D3171" s="21" t="s">
        <v>972</v>
      </c>
      <c r="E3171" s="22">
        <f>IF(D3171="?OLD","!!!","")</f>
        <v/>
      </c>
      <c r="F3171" s="23" t="str">
        <f>IF(OR(E3171="",E3171="!!!"),"",IF(NOT(ISNA(VLOOKUP(E3171,E$1:E3170,1,FALSE()))),"OLD",IF(AND(E3171&lt;&gt;"",E3171&lt;&gt;"!!!"),"NEW","")))</f>
        <v> </v>
      </c>
      <c r="G3171" s="24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5" t="str">
        <f>IF(J3171&lt;&gt;1,"",IF(I3171="SBJ","CB","?"))</f>
        <v> </v>
      </c>
      <c r="I3171" s="26" t="str">
        <f>IF(OR(E3171="",E3171="!!!",F3171="NEW"),"",INDEX(B3170:B$2,-1+SUMPRODUCT(MAX(ROW(E3170:E$2)*(E3171=E3170:E$2)))))</f>
        <v> </v>
      </c>
      <c r="J3171" s="26" t="str">
        <f>IF(OR(E3171="",E3171="!!!",F3171="NEW"),"",COUNTBLANK(OFFSET(A$1,,,SUMPRODUCT(MAX(ROW(E$2:E3171)*(E3171=E$2:E3171)))))-COUNTBLANK(OFFSET(A$1,,,SUMPRODUCT(MAX(ROW(E$1:E3170)*(E2=E$1:E3170))))))</f>
        <v> </v>
      </c>
      <c r="K3171" s="26" t="str">
        <f>IF(OR(E3171="",E3171="!!!",F3171="NEW"),"",INDEX(J$1:J3170,SUMPRODUCT(MAX(ROW(E$1:E3170)*(E3171=E$1:E3170)))))</f>
        <v> </v>
      </c>
      <c r="L3171" s="27"/>
    </row>
    <row r="3172" spans="1:12">
      <c r="A3172" s="20" t="s">
        <v>746</v>
      </c>
      <c r="E3172" s="22">
        <f>IF(D3172="?OLD","!!!","")</f>
        <v/>
      </c>
      <c r="F3172" s="23" t="str">
        <f>IF(OR(E3172="",E3172="!!!"),"",IF(NOT(ISNA(VLOOKUP(E3172,E$1:E3171,1,FALSE()))),"OLD",IF(AND(E3172&lt;&gt;"",E3172&lt;&gt;"!!!"),"NEW","")))</f>
        <v> </v>
      </c>
      <c r="G3172" s="24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5" t="str">
        <f>IF(J3172&lt;&gt;1,"",IF(I3172="SBJ","CB","?"))</f>
        <v> </v>
      </c>
      <c r="I3172" s="26" t="str">
        <f>IF(OR(E3172="",E3172="!!!",F3172="NEW"),"",INDEX(B3171:B$2,-1+SUMPRODUCT(MAX(ROW(E3171:E$2)*(E3172=E3171:E$2)))))</f>
        <v> </v>
      </c>
      <c r="J3172" s="26" t="str">
        <f>IF(OR(E3172="",E3172="!!!",F3172="NEW"),"",COUNTBLANK(OFFSET(A$1,,,SUMPRODUCT(MAX(ROW(E$2:E3172)*(E3172=E$2:E3172)))))-COUNTBLANK(OFFSET(A$1,,,SUMPRODUCT(MAX(ROW(E$1:E3171)*(E2=E$1:E3171))))))</f>
        <v> </v>
      </c>
      <c r="K3172" s="26" t="str">
        <f>IF(OR(E3172="",E3172="!!!",F3172="NEW"),"",INDEX(J$1:J3171,SUMPRODUCT(MAX(ROW(E$1:E3171)*(E3172=E$1:E3171)))))</f>
        <v> </v>
      </c>
      <c r="L3172" s="27"/>
    </row>
    <row r="3173" spans="1:12">
      <c r="A3173" s="20" t="s">
        <v>2245</v>
      </c>
      <c r="E3173" s="22">
        <f>IF(D3173="?OLD","!!!","")</f>
        <v/>
      </c>
      <c r="F3173" s="23" t="str">
        <f>IF(OR(E3173="",E3173="!!!"),"",IF(NOT(ISNA(VLOOKUP(E3173,E$1:E3172,1,FALSE()))),"OLD",IF(AND(E3173&lt;&gt;"",E3173&lt;&gt;"!!!"),"NEW","")))</f>
        <v> </v>
      </c>
      <c r="G3173" s="24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5" t="str">
        <f>IF(J3173&lt;&gt;1,"",IF(I3173="SBJ","CB","?"))</f>
        <v> </v>
      </c>
      <c r="I3173" s="26" t="str">
        <f>IF(OR(E3173="",E3173="!!!",F3173="NEW"),"",INDEX(B3172:B$2,-1+SUMPRODUCT(MAX(ROW(E3172:E$2)*(E3173=E3172:E$2)))))</f>
        <v> </v>
      </c>
      <c r="J3173" s="26" t="str">
        <f>IF(OR(E3173="",E3173="!!!",F3173="NEW"),"",COUNTBLANK(OFFSET(A$1,,,SUMPRODUCT(MAX(ROW(E$2:E3173)*(E3173=E$2:E3173)))))-COUNTBLANK(OFFSET(A$1,,,SUMPRODUCT(MAX(ROW(E$1:E3172)*(E2=E$1:E3172))))))</f>
        <v> </v>
      </c>
      <c r="K3173" s="26" t="str">
        <f>IF(OR(E3173="",E3173="!!!",F3173="NEW"),"",INDEX(J$1:J3172,SUMPRODUCT(MAX(ROW(E$1:E3172)*(E3173=E$1:E3172)))))</f>
        <v> </v>
      </c>
      <c r="L3173" s="27"/>
    </row>
    <row r="3174" spans="1:12">
      <c r="A3174" s="20" t="s">
        <v>2197</v>
      </c>
      <c r="B3174" s="21" t="s">
        <v>1055</v>
      </c>
      <c r="E3174" s="22">
        <f>IF(D3174="?OLD","!!!","")</f>
        <v/>
      </c>
      <c r="F3174" s="23" t="str">
        <f>IF(OR(E3174="",E3174="!!!"),"",IF(NOT(ISNA(VLOOKUP(E3174,E$1:E3173,1,FALSE()))),"OLD",IF(AND(E3174&lt;&gt;"",E3174&lt;&gt;"!!!"),"NEW","")))</f>
        <v> </v>
      </c>
      <c r="G3174" s="24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5" t="str">
        <f>IF(J3174&lt;&gt;1,"",IF(I3174="SBJ","CB","?"))</f>
        <v> </v>
      </c>
      <c r="I3174" s="26" t="str">
        <f>IF(OR(E3174="",E3174="!!!",F3174="NEW"),"",INDEX(B3173:B$2,-1+SUMPRODUCT(MAX(ROW(E3173:E$2)*(E3174=E3173:E$2)))))</f>
        <v> </v>
      </c>
      <c r="J3174" s="26" t="str">
        <f>IF(OR(E3174="",E3174="!!!",F3174="NEW"),"",COUNTBLANK(OFFSET(A$1,,,SUMPRODUCT(MAX(ROW(E$2:E3174)*(E3174=E$2:E3174)))))-COUNTBLANK(OFFSET(A$1,,,SUMPRODUCT(MAX(ROW(E$1:E3173)*(E2=E$1:E3173))))))</f>
        <v> </v>
      </c>
      <c r="K3174" s="26" t="str">
        <f>IF(OR(E3174="",E3174="!!!",F3174="NEW"),"",INDEX(J$1:J3173,SUMPRODUCT(MAX(ROW(E$1:E3173)*(E3174=E$1:E3173)))))</f>
        <v> </v>
      </c>
      <c r="L3174" s="27"/>
    </row>
    <row r="3175" spans="1:12">
      <c r="A3175" s="20" t="s">
        <v>979</v>
      </c>
      <c r="E3175" s="22">
        <f>IF(D3175="?OLD","!!!","")</f>
        <v/>
      </c>
      <c r="F3175" s="23" t="str">
        <f>IF(OR(E3175="",E3175="!!!"),"",IF(NOT(ISNA(VLOOKUP(E3175,E$1:E3174,1,FALSE()))),"OLD",IF(AND(E3175&lt;&gt;"",E3175&lt;&gt;"!!!"),"NEW","")))</f>
        <v> </v>
      </c>
      <c r="G3175" s="24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5" t="str">
        <f>IF(J3175&lt;&gt;1,"",IF(I3175="SBJ","CB","?"))</f>
        <v> </v>
      </c>
      <c r="I3175" s="26" t="str">
        <f>IF(OR(E3175="",E3175="!!!",F3175="NEW"),"",INDEX(B3174:B$2,-1+SUMPRODUCT(MAX(ROW(E3174:E$2)*(E3175=E3174:E$2)))))</f>
        <v> </v>
      </c>
      <c r="J3175" s="26" t="str">
        <f>IF(OR(E3175="",E3175="!!!",F3175="NEW"),"",COUNTBLANK(OFFSET(A$1,,,SUMPRODUCT(MAX(ROW(E$2:E3175)*(E3175=E$2:E3175)))))-COUNTBLANK(OFFSET(A$1,,,SUMPRODUCT(MAX(ROW(E$1:E3174)*(E2=E$1:E3174))))))</f>
        <v> </v>
      </c>
      <c r="K3175" s="26" t="str">
        <f>IF(OR(E3175="",E3175="!!!",F3175="NEW"),"",INDEX(J$1:J3174,SUMPRODUCT(MAX(ROW(E$1:E3174)*(E3175=E$1:E3174)))))</f>
        <v> </v>
      </c>
      <c r="L3175" s="27"/>
    </row>
    <row r="3176" spans="1:12">
      <c r="A3176" s="20"/>
    </row>
    <row r="3177" spans="1:12">
      <c r="A3177" s="20" t="s">
        <v>2246</v>
      </c>
    </row>
    <row r="3178" spans="1:12">
      <c r="A3178" s="20" t="s">
        <v>1243</v>
      </c>
      <c r="E3178" s="22">
        <f>IF(D3178="?OLD","!!!","")</f>
        <v/>
      </c>
      <c r="F3178" s="23" t="str">
        <f>IF(OR(E3178="",E3178="!!!"),"",IF(NOT(ISNA(VLOOKUP(E3178,E$1:E3177,1,FALSE()))),"OLD",IF(AND(E3178&lt;&gt;"",E3178&lt;&gt;"!!!"),"NEW","")))</f>
        <v> </v>
      </c>
      <c r="G3178" s="24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5" t="str">
        <f>IF(J3178&lt;&gt;1,"",IF(I3178="SBJ","CB","?"))</f>
        <v> </v>
      </c>
      <c r="I3178" s="26" t="str">
        <f>IF(OR(E3178="",E3178="!!!",F3178="NEW"),"",INDEX(B3177:B$2,-1+SUMPRODUCT(MAX(ROW(E3177:E$2)*(E3178=E3177:E$2)))))</f>
        <v> </v>
      </c>
      <c r="J3178" s="26" t="str">
        <f>IF(OR(E3178="",E3178="!!!",F3178="NEW"),"",COUNTBLANK(OFFSET(A$1,,,SUMPRODUCT(MAX(ROW(E$2:E3178)*(E3178=E$2:E3178)))))-COUNTBLANK(OFFSET(A$1,,,SUMPRODUCT(MAX(ROW(E$1:E3177)*(E2=E$1:E3177))))))</f>
        <v> </v>
      </c>
      <c r="K3178" s="26" t="str">
        <f>IF(OR(E3178="",E3178="!!!",F3178="NEW"),"",INDEX(J$1:J3177,SUMPRODUCT(MAX(ROW(E$1:E3177)*(E3178=E$1:E3177)))))</f>
        <v> </v>
      </c>
      <c r="L3178" s="27"/>
    </row>
    <row r="3179" spans="1:12">
      <c r="A3179" s="20" t="s">
        <v>1013</v>
      </c>
      <c r="E3179" s="22">
        <f>IF(D3179="?OLD","!!!","")</f>
        <v/>
      </c>
      <c r="F3179" s="23" t="str">
        <f>IF(OR(E3179="",E3179="!!!"),"",IF(NOT(ISNA(VLOOKUP(E3179,E$1:E3178,1,FALSE()))),"OLD",IF(AND(E3179&lt;&gt;"",E3179&lt;&gt;"!!!"),"NEW","")))</f>
        <v> </v>
      </c>
      <c r="G3179" s="24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5" t="str">
        <f>IF(J3179&lt;&gt;1,"",IF(I3179="SBJ","CB","?"))</f>
        <v> </v>
      </c>
      <c r="I3179" s="26" t="str">
        <f>IF(OR(E3179="",E3179="!!!",F3179="NEW"),"",INDEX(B3178:B$2,-1+SUMPRODUCT(MAX(ROW(E3178:E$2)*(E3179=E3178:E$2)))))</f>
        <v> </v>
      </c>
      <c r="J3179" s="26" t="str">
        <f>IF(OR(E3179="",E3179="!!!",F3179="NEW"),"",COUNTBLANK(OFFSET(A$1,,,SUMPRODUCT(MAX(ROW(E$2:E3179)*(E3179=E$2:E3179)))))-COUNTBLANK(OFFSET(A$1,,,SUMPRODUCT(MAX(ROW(E$1:E3178)*(E2=E$1:E3178))))))</f>
        <v> </v>
      </c>
      <c r="K3179" s="26" t="str">
        <f>IF(OR(E3179="",E3179="!!!",F3179="NEW"),"",INDEX(J$1:J3178,SUMPRODUCT(MAX(ROW(E$1:E3178)*(E3179=E$1:E3178)))))</f>
        <v> </v>
      </c>
      <c r="L3179" s="27"/>
    </row>
    <row r="3180" spans="1:12">
      <c r="A3180" s="20" t="s">
        <v>1222</v>
      </c>
      <c r="E3180" s="22">
        <f>IF(D3180="?OLD","!!!","")</f>
        <v/>
      </c>
      <c r="F3180" s="23" t="str">
        <f>IF(OR(E3180="",E3180="!!!"),"",IF(NOT(ISNA(VLOOKUP(E3180,E$1:E3179,1,FALSE()))),"OLD",IF(AND(E3180&lt;&gt;"",E3180&lt;&gt;"!!!"),"NEW","")))</f>
        <v> </v>
      </c>
      <c r="G3180" s="24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5" t="str">
        <f>IF(J3180&lt;&gt;1,"",IF(I3180="SBJ","CB","?"))</f>
        <v> </v>
      </c>
      <c r="I3180" s="26" t="str">
        <f>IF(OR(E3180="",E3180="!!!",F3180="NEW"),"",INDEX(B3179:B$2,-1+SUMPRODUCT(MAX(ROW(E3179:E$2)*(E3180=E3179:E$2)))))</f>
        <v> </v>
      </c>
      <c r="J3180" s="26" t="str">
        <f>IF(OR(E3180="",E3180="!!!",F3180="NEW"),"",COUNTBLANK(OFFSET(A$1,,,SUMPRODUCT(MAX(ROW(E$2:E3180)*(E3180=E$2:E3180)))))-COUNTBLANK(OFFSET(A$1,,,SUMPRODUCT(MAX(ROW(E$1:E3179)*(E2=E$1:E3179))))))</f>
        <v> </v>
      </c>
      <c r="K3180" s="26" t="str">
        <f>IF(OR(E3180="",E3180="!!!",F3180="NEW"),"",INDEX(J$1:J3179,SUMPRODUCT(MAX(ROW(E$1:E3179)*(E3180=E$1:E3179)))))</f>
        <v> </v>
      </c>
      <c r="L3180" s="27"/>
    </row>
    <row r="3181" spans="1:12">
      <c r="A3181" s="20" t="s">
        <v>400</v>
      </c>
      <c r="B3181" s="21" t="s">
        <v>1101</v>
      </c>
      <c r="C3181" s="21" t="s">
        <v>971</v>
      </c>
      <c r="D3181" s="21" t="s">
        <v>972</v>
      </c>
      <c r="E3181" s="22">
        <f>IF(D3181="?OLD","!!!","")</f>
        <v/>
      </c>
      <c r="F3181" s="23" t="str">
        <f>IF(OR(E3181="",E3181="!!!"),"",IF(NOT(ISNA(VLOOKUP(E3181,E$1:E3180,1,FALSE()))),"OLD",IF(AND(E3181&lt;&gt;"",E3181&lt;&gt;"!!!"),"NEW","")))</f>
        <v> </v>
      </c>
      <c r="G3181" s="24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5" t="str">
        <f>IF(J3181&lt;&gt;1,"",IF(I3181="SBJ","CB","?"))</f>
        <v> </v>
      </c>
      <c r="I3181" s="26" t="str">
        <f>IF(OR(E3181="",E3181="!!!",F3181="NEW"),"",INDEX(B3180:B$2,-1+SUMPRODUCT(MAX(ROW(E3180:E$2)*(E3181=E3180:E$2)))))</f>
        <v> </v>
      </c>
      <c r="J3181" s="26" t="str">
        <f>IF(OR(E3181="",E3181="!!!",F3181="NEW"),"",COUNTBLANK(OFFSET(A$1,,,SUMPRODUCT(MAX(ROW(E$2:E3181)*(E3181=E$2:E3181)))))-COUNTBLANK(OFFSET(A$1,,,SUMPRODUCT(MAX(ROW(E$1:E3180)*(E2=E$1:E3180))))))</f>
        <v> </v>
      </c>
      <c r="K3181" s="26" t="str">
        <f>IF(OR(E3181="",E3181="!!!",F3181="NEW"),"",INDEX(J$1:J3180,SUMPRODUCT(MAX(ROW(E$1:E3180)*(E3181=E$1:E3180)))))</f>
        <v> </v>
      </c>
      <c r="L3181" s="27"/>
    </row>
    <row r="3182" spans="1:12">
      <c r="A3182" s="20" t="s">
        <v>257</v>
      </c>
      <c r="E3182" s="22">
        <f>IF(D3182="?OLD","!!!","")</f>
        <v/>
      </c>
      <c r="F3182" s="23" t="str">
        <f>IF(OR(E3182="",E3182="!!!"),"",IF(NOT(ISNA(VLOOKUP(E3182,E$1:E3181,1,FALSE()))),"OLD",IF(AND(E3182&lt;&gt;"",E3182&lt;&gt;"!!!"),"NEW","")))</f>
        <v> </v>
      </c>
      <c r="G3182" s="24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5" t="str">
        <f>IF(J3182&lt;&gt;1,"",IF(I3182="SBJ","CB","?"))</f>
        <v> </v>
      </c>
      <c r="I3182" s="26" t="str">
        <f>IF(OR(E3182="",E3182="!!!",F3182="NEW"),"",INDEX(B3181:B$2,-1+SUMPRODUCT(MAX(ROW(E3181:E$2)*(E3182=E3181:E$2)))))</f>
        <v> </v>
      </c>
      <c r="J3182" s="26" t="str">
        <f>IF(OR(E3182="",E3182="!!!",F3182="NEW"),"",COUNTBLANK(OFFSET(A$1,,,SUMPRODUCT(MAX(ROW(E$2:E3182)*(E3182=E$2:E3182)))))-COUNTBLANK(OFFSET(A$1,,,SUMPRODUCT(MAX(ROW(E$1:E3181)*(E2=E$1:E3181))))))</f>
        <v> </v>
      </c>
      <c r="K3182" s="26" t="str">
        <f>IF(OR(E3182="",E3182="!!!",F3182="NEW"),"",INDEX(J$1:J3181,SUMPRODUCT(MAX(ROW(E$1:E3181)*(E3182=E$1:E3181)))))</f>
        <v> </v>
      </c>
      <c r="L3182" s="27"/>
    </row>
    <row r="3183" spans="1:12">
      <c r="A3183" s="20" t="s">
        <v>2247</v>
      </c>
      <c r="E3183" s="22">
        <f>IF(D3183="?OLD","!!!","")</f>
        <v/>
      </c>
      <c r="F3183" s="23" t="str">
        <f>IF(OR(E3183="",E3183="!!!"),"",IF(NOT(ISNA(VLOOKUP(E3183,E$1:E3182,1,FALSE()))),"OLD",IF(AND(E3183&lt;&gt;"",E3183&lt;&gt;"!!!"),"NEW","")))</f>
        <v> </v>
      </c>
      <c r="G3183" s="24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5" t="str">
        <f>IF(J3183&lt;&gt;1,"",IF(I3183="SBJ","CB","?"))</f>
        <v> </v>
      </c>
      <c r="I3183" s="26" t="str">
        <f>IF(OR(E3183="",E3183="!!!",F3183="NEW"),"",INDEX(B3182:B$2,-1+SUMPRODUCT(MAX(ROW(E3182:E$2)*(E3183=E3182:E$2)))))</f>
        <v> </v>
      </c>
      <c r="J3183" s="26" t="str">
        <f>IF(OR(E3183="",E3183="!!!",F3183="NEW"),"",COUNTBLANK(OFFSET(A$1,,,SUMPRODUCT(MAX(ROW(E$2:E3183)*(E3183=E$2:E3183)))))-COUNTBLANK(OFFSET(A$1,,,SUMPRODUCT(MAX(ROW(E$1:E3182)*(E2=E$1:E3182))))))</f>
        <v> </v>
      </c>
      <c r="K3183" s="26" t="str">
        <f>IF(OR(E3183="",E3183="!!!",F3183="NEW"),"",INDEX(J$1:J3182,SUMPRODUCT(MAX(ROW(E$1:E3182)*(E3183=E$1:E3182)))))</f>
        <v> </v>
      </c>
      <c r="L3183" s="27"/>
    </row>
    <row r="3184" spans="1:12">
      <c r="A3184" s="20" t="s">
        <v>979</v>
      </c>
      <c r="E3184" s="22">
        <f>IF(D3184="?OLD","!!!","")</f>
        <v/>
      </c>
      <c r="F3184" s="23" t="str">
        <f>IF(OR(E3184="",E3184="!!!"),"",IF(NOT(ISNA(VLOOKUP(E3184,E$1:E3183,1,FALSE()))),"OLD",IF(AND(E3184&lt;&gt;"",E3184&lt;&gt;"!!!"),"NEW","")))</f>
        <v> </v>
      </c>
      <c r="G3184" s="24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5" t="str">
        <f>IF(J3184&lt;&gt;1,"",IF(I3184="SBJ","CB","?"))</f>
        <v> </v>
      </c>
      <c r="I3184" s="26" t="str">
        <f>IF(OR(E3184="",E3184="!!!",F3184="NEW"),"",INDEX(B3183:B$2,-1+SUMPRODUCT(MAX(ROW(E3183:E$2)*(E3184=E3183:E$2)))))</f>
        <v> </v>
      </c>
      <c r="J3184" s="26" t="str">
        <f>IF(OR(E3184="",E3184="!!!",F3184="NEW"),"",COUNTBLANK(OFFSET(A$1,,,SUMPRODUCT(MAX(ROW(E$2:E3184)*(E3184=E$2:E3184)))))-COUNTBLANK(OFFSET(A$1,,,SUMPRODUCT(MAX(ROW(E$1:E3183)*(E2=E$1:E3183))))))</f>
        <v> </v>
      </c>
      <c r="K3184" s="26" t="str">
        <f>IF(OR(E3184="",E3184="!!!",F3184="NEW"),"",INDEX(J$1:J3183,SUMPRODUCT(MAX(ROW(E$1:E3183)*(E3184=E$1:E3183)))))</f>
        <v> </v>
      </c>
      <c r="L3184" s="27"/>
    </row>
    <row r="3185" spans="1:12">
      <c r="A3185" s="20"/>
    </row>
    <row r="3186" spans="1:12">
      <c r="A3186" s="20" t="s">
        <v>2248</v>
      </c>
    </row>
    <row r="3187" spans="1:12">
      <c r="A3187" s="20" t="s">
        <v>1348</v>
      </c>
      <c r="B3187" s="21" t="s">
        <v>975</v>
      </c>
      <c r="C3187" s="21" t="s">
        <v>971</v>
      </c>
      <c r="D3187" s="21" t="s">
        <v>972</v>
      </c>
      <c r="E3187" s="22">
        <f>IF(D3187="?OLD","!!!","")</f>
        <v/>
      </c>
      <c r="F3187" s="23" t="str">
        <f>IF(OR(E3187="",E3187="!!!"),"",IF(NOT(ISNA(VLOOKUP(E3187,E$1:E3186,1,FALSE()))),"OLD",IF(AND(E3187&lt;&gt;"",E3187&lt;&gt;"!!!"),"NEW","")))</f>
        <v> </v>
      </c>
      <c r="G3187" s="24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5" t="str">
        <f>IF(J3187&lt;&gt;1,"",IF(I3187="SBJ","CB","?"))</f>
        <v> </v>
      </c>
      <c r="I3187" s="26" t="str">
        <f>IF(OR(E3187="",E3187="!!!",F3187="NEW"),"",INDEX(B3186:B$2,-1+SUMPRODUCT(MAX(ROW(E3186:E$2)*(E3187=E3186:E$2)))))</f>
        <v> </v>
      </c>
      <c r="J3187" s="26" t="str">
        <f>IF(OR(E3187="",E3187="!!!",F3187="NEW"),"",COUNTBLANK(OFFSET(A$1,,,SUMPRODUCT(MAX(ROW(E$2:E3187)*(E3187=E$2:E3187)))))-COUNTBLANK(OFFSET(A$1,,,SUMPRODUCT(MAX(ROW(E$1:E3186)*(E2=E$1:E3186))))))</f>
        <v> </v>
      </c>
      <c r="K3187" s="26" t="str">
        <f>IF(OR(E3187="",E3187="!!!",F3187="NEW"),"",INDEX(J$1:J3186,SUMPRODUCT(MAX(ROW(E$1:E3186)*(E3187=E$1:E3186)))))</f>
        <v> </v>
      </c>
      <c r="L3187" s="27"/>
    </row>
    <row r="3188" spans="1:12">
      <c r="A3188" s="20" t="s">
        <v>1427</v>
      </c>
      <c r="E3188" s="22">
        <f>IF(D3188="?OLD","!!!","")</f>
        <v/>
      </c>
      <c r="F3188" s="23" t="str">
        <f>IF(OR(E3188="",E3188="!!!"),"",IF(NOT(ISNA(VLOOKUP(E3188,E$1:E3187,1,FALSE()))),"OLD",IF(AND(E3188&lt;&gt;"",E3188&lt;&gt;"!!!"),"NEW","")))</f>
        <v> </v>
      </c>
      <c r="G3188" s="24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5" t="str">
        <f>IF(J3188&lt;&gt;1,"",IF(I3188="SBJ","CB","?"))</f>
        <v> </v>
      </c>
      <c r="I3188" s="26" t="str">
        <f>IF(OR(E3188="",E3188="!!!",F3188="NEW"),"",INDEX(B3187:B$2,-1+SUMPRODUCT(MAX(ROW(E3187:E$2)*(E3188=E3187:E$2)))))</f>
        <v> </v>
      </c>
      <c r="J3188" s="26" t="str">
        <f>IF(OR(E3188="",E3188="!!!",F3188="NEW"),"",COUNTBLANK(OFFSET(A$1,,,SUMPRODUCT(MAX(ROW(E$2:E3188)*(E3188=E$2:E3188)))))-COUNTBLANK(OFFSET(A$1,,,SUMPRODUCT(MAX(ROW(E$1:E3187)*(E2=E$1:E3187))))))</f>
        <v> </v>
      </c>
      <c r="K3188" s="26" t="str">
        <f>IF(OR(E3188="",E3188="!!!",F3188="NEW"),"",INDEX(J$1:J3187,SUMPRODUCT(MAX(ROW(E$1:E3187)*(E3188=E$1:E3187)))))</f>
        <v> </v>
      </c>
      <c r="L3188" s="27"/>
    </row>
    <row r="3189" spans="1:12">
      <c r="A3189" s="20" t="s">
        <v>1005</v>
      </c>
      <c r="E3189" s="22">
        <f>IF(D3189="?OLD","!!!","")</f>
        <v/>
      </c>
      <c r="F3189" s="23" t="str">
        <f>IF(OR(E3189="",E3189="!!!"),"",IF(NOT(ISNA(VLOOKUP(E3189,E$1:E3188,1,FALSE()))),"OLD",IF(AND(E3189&lt;&gt;"",E3189&lt;&gt;"!!!"),"NEW","")))</f>
        <v> </v>
      </c>
      <c r="G3189" s="24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5" t="str">
        <f>IF(J3189&lt;&gt;1,"",IF(I3189="SBJ","CB","?"))</f>
        <v> </v>
      </c>
      <c r="I3189" s="26" t="str">
        <f>IF(OR(E3189="",E3189="!!!",F3189="NEW"),"",INDEX(B3188:B$2,-1+SUMPRODUCT(MAX(ROW(E3188:E$2)*(E3189=E3188:E$2)))))</f>
        <v> </v>
      </c>
      <c r="J3189" s="26" t="str">
        <f>IF(OR(E3189="",E3189="!!!",F3189="NEW"),"",COUNTBLANK(OFFSET(A$1,,,SUMPRODUCT(MAX(ROW(E$2:E3189)*(E3189=E$2:E3189)))))-COUNTBLANK(OFFSET(A$1,,,SUMPRODUCT(MAX(ROW(E$1:E3188)*(E2=E$1:E3188))))))</f>
        <v> </v>
      </c>
      <c r="K3189" s="26" t="str">
        <f>IF(OR(E3189="",E3189="!!!",F3189="NEW"),"",INDEX(J$1:J3188,SUMPRODUCT(MAX(ROW(E$1:E3188)*(E3189=E$1:E3188)))))</f>
        <v> </v>
      </c>
      <c r="L3189" s="27"/>
    </row>
    <row r="3190" spans="1:12">
      <c r="A3190" s="20" t="s">
        <v>2249</v>
      </c>
      <c r="B3190" s="21" t="s">
        <v>995</v>
      </c>
      <c r="C3190" s="21" t="s">
        <v>976</v>
      </c>
      <c r="D3190" s="21" t="s">
        <v>972</v>
      </c>
      <c r="E3190" s="22">
        <f>IF(D3190="?OLD","!!!","")</f>
        <v/>
      </c>
      <c r="F3190" s="23" t="str">
        <f>IF(OR(E3190="",E3190="!!!"),"",IF(NOT(ISNA(VLOOKUP(E3190,E$1:E3189,1,FALSE()))),"OLD",IF(AND(E3190&lt;&gt;"",E3190&lt;&gt;"!!!"),"NEW","")))</f>
        <v> </v>
      </c>
      <c r="G3190" s="24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5" t="str">
        <f>IF(J3190&lt;&gt;1,"",IF(I3190="SBJ","CB","?"))</f>
        <v> </v>
      </c>
      <c r="I3190" s="26" t="str">
        <f>IF(OR(E3190="",E3190="!!!",F3190="NEW"),"",INDEX(B3189:B$2,-1+SUMPRODUCT(MAX(ROW(E3189:E$2)*(E3190=E3189:E$2)))))</f>
        <v> </v>
      </c>
      <c r="J3190" s="26" t="str">
        <f>IF(OR(E3190="",E3190="!!!",F3190="NEW"),"",COUNTBLANK(OFFSET(A$1,,,SUMPRODUCT(MAX(ROW(E$2:E3190)*(E3190=E$2:E3190)))))-COUNTBLANK(OFFSET(A$1,,,SUMPRODUCT(MAX(ROW(E$1:E3189)*(E2=E$1:E3189))))))</f>
        <v> </v>
      </c>
      <c r="K3190" s="26" t="str">
        <f>IF(OR(E3190="",E3190="!!!",F3190="NEW"),"",INDEX(J$1:J3189,SUMPRODUCT(MAX(ROW(E$1:E3189)*(E3190=E$1:E3189)))))</f>
        <v> </v>
      </c>
      <c r="L3190" s="27"/>
    </row>
    <row r="3191" spans="1:12">
      <c r="A3191" s="20" t="s">
        <v>1334</v>
      </c>
      <c r="E3191" s="22">
        <f>IF(D3191="?OLD","!!!","")</f>
        <v/>
      </c>
      <c r="F3191" s="23" t="str">
        <f>IF(OR(E3191="",E3191="!!!"),"",IF(NOT(ISNA(VLOOKUP(E3191,E$1:E3190,1,FALSE()))),"OLD",IF(AND(E3191&lt;&gt;"",E3191&lt;&gt;"!!!"),"NEW","")))</f>
        <v> </v>
      </c>
      <c r="G3191" s="24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5" t="str">
        <f>IF(J3191&lt;&gt;1,"",IF(I3191="SBJ","CB","?"))</f>
        <v> </v>
      </c>
      <c r="I3191" s="26" t="str">
        <f>IF(OR(E3191="",E3191="!!!",F3191="NEW"),"",INDEX(B3190:B$2,-1+SUMPRODUCT(MAX(ROW(E3190:E$2)*(E3191=E3190:E$2)))))</f>
        <v> </v>
      </c>
      <c r="J3191" s="26" t="str">
        <f>IF(OR(E3191="",E3191="!!!",F3191="NEW"),"",COUNTBLANK(OFFSET(A$1,,,SUMPRODUCT(MAX(ROW(E$2:E3191)*(E3191=E$2:E3191)))))-COUNTBLANK(OFFSET(A$1,,,SUMPRODUCT(MAX(ROW(E$1:E3190)*(E2=E$1:E3190))))))</f>
        <v> </v>
      </c>
      <c r="K3191" s="26" t="str">
        <f>IF(OR(E3191="",E3191="!!!",F3191="NEW"),"",INDEX(J$1:J3190,SUMPRODUCT(MAX(ROW(E$1:E3190)*(E3191=E$1:E3190)))))</f>
        <v> </v>
      </c>
      <c r="L3191" s="27"/>
    </row>
    <row r="3192" spans="1:12">
      <c r="A3192" s="20" t="s">
        <v>2250</v>
      </c>
      <c r="E3192" s="22">
        <f>IF(D3192="?OLD","!!!","")</f>
        <v/>
      </c>
      <c r="F3192" s="23" t="str">
        <f>IF(OR(E3192="",E3192="!!!"),"",IF(NOT(ISNA(VLOOKUP(E3192,E$1:E3191,1,FALSE()))),"OLD",IF(AND(E3192&lt;&gt;"",E3192&lt;&gt;"!!!"),"NEW","")))</f>
        <v> </v>
      </c>
      <c r="G3192" s="24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5" t="str">
        <f>IF(J3192&lt;&gt;1,"",IF(I3192="SBJ","CB","?"))</f>
        <v> </v>
      </c>
      <c r="I3192" s="26" t="str">
        <f>IF(OR(E3192="",E3192="!!!",F3192="NEW"),"",INDEX(B3191:B$2,-1+SUMPRODUCT(MAX(ROW(E3191:E$2)*(E3192=E3191:E$2)))))</f>
        <v> </v>
      </c>
      <c r="J3192" s="26" t="str">
        <f>IF(OR(E3192="",E3192="!!!",F3192="NEW"),"",COUNTBLANK(OFFSET(A$1,,,SUMPRODUCT(MAX(ROW(E$2:E3192)*(E3192=E$2:E3192)))))-COUNTBLANK(OFFSET(A$1,,,SUMPRODUCT(MAX(ROW(E$1:E3191)*(E2=E$1:E3191))))))</f>
        <v> </v>
      </c>
      <c r="K3192" s="26" t="str">
        <f>IF(OR(E3192="",E3192="!!!",F3192="NEW"),"",INDEX(J$1:J3191,SUMPRODUCT(MAX(ROW(E$1:E3191)*(E3192=E$1:E3191)))))</f>
        <v> </v>
      </c>
      <c r="L3192" s="27"/>
    </row>
    <row r="3193" spans="1:12">
      <c r="A3193" s="20" t="s">
        <v>1678</v>
      </c>
      <c r="B3193" s="21" t="s">
        <v>995</v>
      </c>
      <c r="C3193" s="21" t="s">
        <v>991</v>
      </c>
      <c r="E3193" s="22">
        <f>IF(D3193="?OLD","!!!","")</f>
        <v/>
      </c>
      <c r="F3193" s="23" t="str">
        <f>IF(OR(E3193="",E3193="!!!"),"",IF(NOT(ISNA(VLOOKUP(E3193,E$1:E3192,1,FALSE()))),"OLD",IF(AND(E3193&lt;&gt;"",E3193&lt;&gt;"!!!"),"NEW","")))</f>
        <v> </v>
      </c>
      <c r="G3193" s="24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5" t="str">
        <f>IF(J3193&lt;&gt;1,"",IF(I3193="SBJ","CB","?"))</f>
        <v> </v>
      </c>
      <c r="I3193" s="26" t="str">
        <f>IF(OR(E3193="",E3193="!!!",F3193="NEW"),"",INDEX(B3192:B$2,-1+SUMPRODUCT(MAX(ROW(E3192:E$2)*(E3193=E3192:E$2)))))</f>
        <v> </v>
      </c>
      <c r="J3193" s="26" t="str">
        <f>IF(OR(E3193="",E3193="!!!",F3193="NEW"),"",COUNTBLANK(OFFSET(A$1,,,SUMPRODUCT(MAX(ROW(E$2:E3193)*(E3193=E$2:E3193)))))-COUNTBLANK(OFFSET(A$1,,,SUMPRODUCT(MAX(ROW(E$1:E3192)*(E2=E$1:E3192))))))</f>
        <v> </v>
      </c>
      <c r="K3193" s="26" t="str">
        <f>IF(OR(E3193="",E3193="!!!",F3193="NEW"),"",INDEX(J$1:J3192,SUMPRODUCT(MAX(ROW(E$1:E3192)*(E3193=E$1:E3192)))))</f>
        <v> </v>
      </c>
      <c r="L3193" s="27"/>
    </row>
    <row r="3194" spans="1:12">
      <c r="A3194" s="20" t="s">
        <v>979</v>
      </c>
      <c r="E3194" s="22">
        <f>IF(D3194="?OLD","!!!","")</f>
        <v/>
      </c>
      <c r="F3194" s="23" t="str">
        <f>IF(OR(E3194="",E3194="!!!"),"",IF(NOT(ISNA(VLOOKUP(E3194,E$1:E3193,1,FALSE()))),"OLD",IF(AND(E3194&lt;&gt;"",E3194&lt;&gt;"!!!"),"NEW","")))</f>
        <v> </v>
      </c>
      <c r="G3194" s="24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5" t="str">
        <f>IF(J3194&lt;&gt;1,"",IF(I3194="SBJ","CB","?"))</f>
        <v> </v>
      </c>
      <c r="I3194" s="26" t="str">
        <f>IF(OR(E3194="",E3194="!!!",F3194="NEW"),"",INDEX(B3193:B$2,-1+SUMPRODUCT(MAX(ROW(E3193:E$2)*(E3194=E3193:E$2)))))</f>
        <v> </v>
      </c>
      <c r="J3194" s="26" t="str">
        <f>IF(OR(E3194="",E3194="!!!",F3194="NEW"),"",COUNTBLANK(OFFSET(A$1,,,SUMPRODUCT(MAX(ROW(E$2:E3194)*(E3194=E$2:E3194)))))-COUNTBLANK(OFFSET(A$1,,,SUMPRODUCT(MAX(ROW(E$1:E3193)*(E2=E$1:E3193))))))</f>
        <v> </v>
      </c>
      <c r="K3194" s="26" t="str">
        <f>IF(OR(E3194="",E3194="!!!",F3194="NEW"),"",INDEX(J$1:J3193,SUMPRODUCT(MAX(ROW(E$1:E3193)*(E3194=E$1:E3193)))))</f>
        <v> </v>
      </c>
      <c r="L3194" s="27"/>
    </row>
    <row r="3195" spans="1:12">
      <c r="A3195" s="20"/>
    </row>
    <row r="3196" spans="1:12">
      <c r="A3196" s="20" t="s">
        <v>2251</v>
      </c>
    </row>
    <row r="3197" spans="1:12">
      <c r="A3197" s="20" t="s">
        <v>1155</v>
      </c>
      <c r="B3197" s="21" t="s">
        <v>975</v>
      </c>
      <c r="C3197" s="21" t="s">
        <v>1012</v>
      </c>
      <c r="D3197" s="21" t="s">
        <v>972</v>
      </c>
      <c r="E3197" s="22">
        <f>IF(D3197="?OLD","!!!","")</f>
        <v/>
      </c>
      <c r="F3197" s="23" t="str">
        <f>IF(OR(E3197="",E3197="!!!"),"",IF(NOT(ISNA(VLOOKUP(E3197,E$1:E3196,1,FALSE()))),"OLD",IF(AND(E3197&lt;&gt;"",E3197&lt;&gt;"!!!"),"NEW","")))</f>
        <v> </v>
      </c>
      <c r="G3197" s="24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5" t="str">
        <f>IF(J3197&lt;&gt;1,"",IF(I3197="SBJ","CB","?"))</f>
        <v> </v>
      </c>
      <c r="I3197" s="26" t="str">
        <f>IF(OR(E3197="",E3197="!!!",F3197="NEW"),"",INDEX(B3196:B$2,-1+SUMPRODUCT(MAX(ROW(E3196:E$2)*(E3197=E3196:E$2)))))</f>
        <v> </v>
      </c>
      <c r="J3197" s="26" t="str">
        <f>IF(OR(E3197="",E3197="!!!",F3197="NEW"),"",COUNTBLANK(OFFSET(A$1,,,SUMPRODUCT(MAX(ROW(E$2:E3197)*(E3197=E$2:E3197)))))-COUNTBLANK(OFFSET(A$1,,,SUMPRODUCT(MAX(ROW(E$1:E3196)*(E2=E$1:E3196))))))</f>
        <v> </v>
      </c>
      <c r="K3197" s="26" t="str">
        <f>IF(OR(E3197="",E3197="!!!",F3197="NEW"),"",INDEX(J$1:J3196,SUMPRODUCT(MAX(ROW(E$1:E3196)*(E3197=E$1:E3196)))))</f>
        <v> </v>
      </c>
      <c r="L3197" s="27"/>
    </row>
    <row r="3198" spans="1:12">
      <c r="A3198" s="20" t="s">
        <v>1434</v>
      </c>
      <c r="E3198" s="22">
        <f>IF(D3198="?OLD","!!!","")</f>
        <v/>
      </c>
      <c r="F3198" s="23" t="str">
        <f>IF(OR(E3198="",E3198="!!!"),"",IF(NOT(ISNA(VLOOKUP(E3198,E$1:E3197,1,FALSE()))),"OLD",IF(AND(E3198&lt;&gt;"",E3198&lt;&gt;"!!!"),"NEW","")))</f>
        <v> </v>
      </c>
      <c r="G3198" s="24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5" t="str">
        <f>IF(J3198&lt;&gt;1,"",IF(I3198="SBJ","CB","?"))</f>
        <v> </v>
      </c>
      <c r="I3198" s="26" t="str">
        <f>IF(OR(E3198="",E3198="!!!",F3198="NEW"),"",INDEX(B3197:B$2,-1+SUMPRODUCT(MAX(ROW(E3197:E$2)*(E3198=E3197:E$2)))))</f>
        <v> </v>
      </c>
      <c r="J3198" s="26" t="str">
        <f>IF(OR(E3198="",E3198="!!!",F3198="NEW"),"",COUNTBLANK(OFFSET(A$1,,,SUMPRODUCT(MAX(ROW(E$2:E3198)*(E3198=E$2:E3198)))))-COUNTBLANK(OFFSET(A$1,,,SUMPRODUCT(MAX(ROW(E$1:E3197)*(E2=E$1:E3197))))))</f>
        <v> </v>
      </c>
      <c r="K3198" s="26" t="str">
        <f>IF(OR(E3198="",E3198="!!!",F3198="NEW"),"",INDEX(J$1:J3197,SUMPRODUCT(MAX(ROW(E$1:E3197)*(E3198=E$1:E3197)))))</f>
        <v> </v>
      </c>
      <c r="L3198" s="27"/>
    </row>
    <row r="3199" spans="1:12">
      <c r="A3199" s="20" t="s">
        <v>2252</v>
      </c>
      <c r="E3199" s="22">
        <f>IF(D3199="?OLD","!!!","")</f>
        <v/>
      </c>
      <c r="F3199" s="23" t="str">
        <f>IF(OR(E3199="",E3199="!!!"),"",IF(NOT(ISNA(VLOOKUP(E3199,E$1:E3198,1,FALSE()))),"OLD",IF(AND(E3199&lt;&gt;"",E3199&lt;&gt;"!!!"),"NEW","")))</f>
        <v> </v>
      </c>
      <c r="G3199" s="24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5" t="str">
        <f>IF(J3199&lt;&gt;1,"",IF(I3199="SBJ","CB","?"))</f>
        <v> </v>
      </c>
      <c r="I3199" s="26" t="str">
        <f>IF(OR(E3199="",E3199="!!!",F3199="NEW"),"",INDEX(B3198:B$2,-1+SUMPRODUCT(MAX(ROW(E3198:E$2)*(E3199=E3198:E$2)))))</f>
        <v> </v>
      </c>
      <c r="J3199" s="26" t="str">
        <f>IF(OR(E3199="",E3199="!!!",F3199="NEW"),"",COUNTBLANK(OFFSET(A$1,,,SUMPRODUCT(MAX(ROW(E$2:E3199)*(E3199=E$2:E3199)))))-COUNTBLANK(OFFSET(A$1,,,SUMPRODUCT(MAX(ROW(E$1:E3198)*(E2=E$1:E3198))))))</f>
        <v> </v>
      </c>
      <c r="K3199" s="26" t="str">
        <f>IF(OR(E3199="",E3199="!!!",F3199="NEW"),"",INDEX(J$1:J3198,SUMPRODUCT(MAX(ROW(E$1:E3198)*(E3199=E$1:E3198)))))</f>
        <v> </v>
      </c>
      <c r="L3199" s="27"/>
    </row>
    <row r="3200" spans="1:12">
      <c r="A3200" s="20" t="s">
        <v>2253</v>
      </c>
      <c r="E3200" s="22">
        <f>IF(D3200="?OLD","!!!","")</f>
        <v/>
      </c>
      <c r="F3200" s="23" t="str">
        <f>IF(OR(E3200="",E3200="!!!"),"",IF(NOT(ISNA(VLOOKUP(E3200,E$1:E3199,1,FALSE()))),"OLD",IF(AND(E3200&lt;&gt;"",E3200&lt;&gt;"!!!"),"NEW","")))</f>
        <v> </v>
      </c>
      <c r="G3200" s="24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5" t="str">
        <f>IF(J3200&lt;&gt;1,"",IF(I3200="SBJ","CB","?"))</f>
        <v> </v>
      </c>
      <c r="I3200" s="26" t="str">
        <f>IF(OR(E3200="",E3200="!!!",F3200="NEW"),"",INDEX(B3199:B$2,-1+SUMPRODUCT(MAX(ROW(E3199:E$2)*(E3200=E3199:E$2)))))</f>
        <v> </v>
      </c>
      <c r="J3200" s="26" t="str">
        <f>IF(OR(E3200="",E3200="!!!",F3200="NEW"),"",COUNTBLANK(OFFSET(A$1,,,SUMPRODUCT(MAX(ROW(E$2:E3200)*(E3200=E$2:E3200)))))-COUNTBLANK(OFFSET(A$1,,,SUMPRODUCT(MAX(ROW(E$1:E3199)*(E2=E$1:E3199))))))</f>
        <v> </v>
      </c>
      <c r="K3200" s="26" t="str">
        <f>IF(OR(E3200="",E3200="!!!",F3200="NEW"),"",INDEX(J$1:J3199,SUMPRODUCT(MAX(ROW(E$1:E3199)*(E3200=E$1:E3199)))))</f>
        <v> </v>
      </c>
      <c r="L3200" s="27"/>
    </row>
    <row r="3201" spans="1:12">
      <c r="A3201" s="20" t="s">
        <v>1005</v>
      </c>
      <c r="E3201" s="22">
        <f>IF(D3201="?OLD","!!!","")</f>
        <v/>
      </c>
      <c r="F3201" s="23" t="str">
        <f>IF(OR(E3201="",E3201="!!!"),"",IF(NOT(ISNA(VLOOKUP(E3201,E$1:E3200,1,FALSE()))),"OLD",IF(AND(E3201&lt;&gt;"",E3201&lt;&gt;"!!!"),"NEW","")))</f>
        <v> </v>
      </c>
      <c r="G3201" s="24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5" t="str">
        <f>IF(J3201&lt;&gt;1,"",IF(I3201="SBJ","CB","?"))</f>
        <v> </v>
      </c>
      <c r="I3201" s="26" t="str">
        <f>IF(OR(E3201="",E3201="!!!",F3201="NEW"),"",INDEX(B3200:B$2,-1+SUMPRODUCT(MAX(ROW(E3200:E$2)*(E3201=E3200:E$2)))))</f>
        <v> </v>
      </c>
      <c r="J3201" s="26" t="str">
        <f>IF(OR(E3201="",E3201="!!!",F3201="NEW"),"",COUNTBLANK(OFFSET(A$1,,,SUMPRODUCT(MAX(ROW(E$2:E3201)*(E3201=E$2:E3201)))))-COUNTBLANK(OFFSET(A$1,,,SUMPRODUCT(MAX(ROW(E$1:E3200)*(E2=E$1:E3200))))))</f>
        <v> </v>
      </c>
      <c r="K3201" s="26" t="str">
        <f>IF(OR(E3201="",E3201="!!!",F3201="NEW"),"",INDEX(J$1:J3200,SUMPRODUCT(MAX(ROW(E$1:E3200)*(E3201=E$1:E3200)))))</f>
        <v> </v>
      </c>
      <c r="L3201" s="27"/>
    </row>
    <row r="3202" spans="1:12">
      <c r="A3202" s="20" t="s">
        <v>1067</v>
      </c>
      <c r="E3202" s="22">
        <f>IF(D3202="?OLD","!!!","")</f>
        <v/>
      </c>
      <c r="F3202" s="23" t="str">
        <f>IF(OR(E3202="",E3202="!!!"),"",IF(NOT(ISNA(VLOOKUP(E3202,E$1:E3201,1,FALSE()))),"OLD",IF(AND(E3202&lt;&gt;"",E3202&lt;&gt;"!!!"),"NEW","")))</f>
        <v> </v>
      </c>
      <c r="G3202" s="24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5" t="str">
        <f>IF(J3202&lt;&gt;1,"",IF(I3202="SBJ","CB","?"))</f>
        <v> </v>
      </c>
      <c r="I3202" s="26" t="str">
        <f>IF(OR(E3202="",E3202="!!!",F3202="NEW"),"",INDEX(B3201:B$2,-1+SUMPRODUCT(MAX(ROW(E3201:E$2)*(E3202=E3201:E$2)))))</f>
        <v> </v>
      </c>
      <c r="J3202" s="26" t="str">
        <f>IF(OR(E3202="",E3202="!!!",F3202="NEW"),"",COUNTBLANK(OFFSET(A$1,,,SUMPRODUCT(MAX(ROW(E$2:E3202)*(E3202=E$2:E3202)))))-COUNTBLANK(OFFSET(A$1,,,SUMPRODUCT(MAX(ROW(E$1:E3201)*(E2=E$1:E3201))))))</f>
        <v> </v>
      </c>
      <c r="K3202" s="26" t="str">
        <f>IF(OR(E3202="",E3202="!!!",F3202="NEW"),"",INDEX(J$1:J3201,SUMPRODUCT(MAX(ROW(E$1:E3201)*(E3202=E$1:E3201)))))</f>
        <v> </v>
      </c>
      <c r="L3202" s="27"/>
    </row>
    <row r="3203" spans="1:12">
      <c r="A3203" s="20" t="s">
        <v>1033</v>
      </c>
      <c r="E3203" s="22">
        <f>IF(D3203="?OLD","!!!","")</f>
        <v/>
      </c>
      <c r="F3203" s="23" t="str">
        <f>IF(OR(E3203="",E3203="!!!"),"",IF(NOT(ISNA(VLOOKUP(E3203,E$1:E3202,1,FALSE()))),"OLD",IF(AND(E3203&lt;&gt;"",E3203&lt;&gt;"!!!"),"NEW","")))</f>
        <v> </v>
      </c>
      <c r="G3203" s="24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5" t="str">
        <f>IF(J3203&lt;&gt;1,"",IF(I3203="SBJ","CB","?"))</f>
        <v> </v>
      </c>
      <c r="I3203" s="26" t="str">
        <f>IF(OR(E3203="",E3203="!!!",F3203="NEW"),"",INDEX(B3202:B$2,-1+SUMPRODUCT(MAX(ROW(E3202:E$2)*(E3203=E3202:E$2)))))</f>
        <v> </v>
      </c>
      <c r="J3203" s="26" t="str">
        <f>IF(OR(E3203="",E3203="!!!",F3203="NEW"),"",COUNTBLANK(OFFSET(A$1,,,SUMPRODUCT(MAX(ROW(E$2:E3203)*(E3203=E$2:E3203)))))-COUNTBLANK(OFFSET(A$1,,,SUMPRODUCT(MAX(ROW(E$1:E3202)*(E2=E$1:E3202))))))</f>
        <v> </v>
      </c>
      <c r="K3203" s="26" t="str">
        <f>IF(OR(E3203="",E3203="!!!",F3203="NEW"),"",INDEX(J$1:J3202,SUMPRODUCT(MAX(ROW(E$1:E3202)*(E3203=E$1:E3202)))))</f>
        <v> </v>
      </c>
      <c r="L3203" s="27"/>
    </row>
    <row r="3204" spans="1:12">
      <c r="A3204" s="20" t="s">
        <v>1048</v>
      </c>
      <c r="E3204" s="22">
        <f>IF(D3204="?OLD","!!!","")</f>
        <v/>
      </c>
      <c r="F3204" s="23" t="str">
        <f>IF(OR(E3204="",E3204="!!!"),"",IF(NOT(ISNA(VLOOKUP(E3204,E$1:E3203,1,FALSE()))),"OLD",IF(AND(E3204&lt;&gt;"",E3204&lt;&gt;"!!!"),"NEW","")))</f>
        <v> </v>
      </c>
      <c r="G3204" s="24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5" t="str">
        <f>IF(J3204&lt;&gt;1,"",IF(I3204="SBJ","CB","?"))</f>
        <v> </v>
      </c>
      <c r="I3204" s="26" t="str">
        <f>IF(OR(E3204="",E3204="!!!",F3204="NEW"),"",INDEX(B3203:B$2,-1+SUMPRODUCT(MAX(ROW(E3203:E$2)*(E3204=E3203:E$2)))))</f>
        <v> </v>
      </c>
      <c r="J3204" s="26" t="str">
        <f>IF(OR(E3204="",E3204="!!!",F3204="NEW"),"",COUNTBLANK(OFFSET(A$1,,,SUMPRODUCT(MAX(ROW(E$2:E3204)*(E3204=E$2:E3204)))))-COUNTBLANK(OFFSET(A$1,,,SUMPRODUCT(MAX(ROW(E$1:E3203)*(E2=E$1:E3203))))))</f>
        <v> </v>
      </c>
      <c r="K3204" s="26" t="str">
        <f>IF(OR(E3204="",E3204="!!!",F3204="NEW"),"",INDEX(J$1:J3203,SUMPRODUCT(MAX(ROW(E$1:E3203)*(E3204=E$1:E3203)))))</f>
        <v> </v>
      </c>
      <c r="L3204" s="27"/>
    </row>
    <row r="3205" spans="1:12">
      <c r="A3205" s="20" t="s">
        <v>2254</v>
      </c>
      <c r="B3205" s="21" t="s">
        <v>978</v>
      </c>
      <c r="C3205" s="21" t="s">
        <v>1200</v>
      </c>
      <c r="D3205" s="21" t="s">
        <v>972</v>
      </c>
      <c r="E3205" s="22">
        <f>IF(D3205="?OLD","!!!","")</f>
        <v/>
      </c>
      <c r="F3205" s="23" t="str">
        <f>IF(OR(E3205="",E3205="!!!"),"",IF(NOT(ISNA(VLOOKUP(E3205,E$1:E3204,1,FALSE()))),"OLD",IF(AND(E3205&lt;&gt;"",E3205&lt;&gt;"!!!"),"NEW","")))</f>
        <v> </v>
      </c>
      <c r="G3205" s="24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5" t="str">
        <f>IF(J3205&lt;&gt;1,"",IF(I3205="SBJ","CB","?"))</f>
        <v> </v>
      </c>
      <c r="I3205" s="26" t="str">
        <f>IF(OR(E3205="",E3205="!!!",F3205="NEW"),"",INDEX(B3204:B$2,-1+SUMPRODUCT(MAX(ROW(E3204:E$2)*(E3205=E3204:E$2)))))</f>
        <v> </v>
      </c>
      <c r="J3205" s="26" t="str">
        <f>IF(OR(E3205="",E3205="!!!",F3205="NEW"),"",COUNTBLANK(OFFSET(A$1,,,SUMPRODUCT(MAX(ROW(E$2:E3205)*(E3205=E$2:E3205)))))-COUNTBLANK(OFFSET(A$1,,,SUMPRODUCT(MAX(ROW(E$1:E3204)*(E2=E$1:E3204))))))</f>
        <v> </v>
      </c>
      <c r="K3205" s="26" t="str">
        <f>IF(OR(E3205="",E3205="!!!",F3205="NEW"),"",INDEX(J$1:J3204,SUMPRODUCT(MAX(ROW(E$1:E3204)*(E3205=E$1:E3204)))))</f>
        <v> </v>
      </c>
      <c r="L3205" s="27"/>
    </row>
    <row r="3206" spans="1:12">
      <c r="A3206" s="20" t="s">
        <v>1604</v>
      </c>
      <c r="B3206" s="21" t="s">
        <v>1011</v>
      </c>
      <c r="C3206" s="21" t="s">
        <v>976</v>
      </c>
      <c r="D3206" s="21" t="s">
        <v>972</v>
      </c>
      <c r="E3206" s="22">
        <f>IF(D3206="?OLD","!!!","")</f>
        <v/>
      </c>
      <c r="F3206" s="23" t="str">
        <f>IF(OR(E3206="",E3206="!!!"),"",IF(NOT(ISNA(VLOOKUP(E3206,E$1:E3205,1,FALSE()))),"OLD",IF(AND(E3206&lt;&gt;"",E3206&lt;&gt;"!!!"),"NEW","")))</f>
        <v> </v>
      </c>
      <c r="G3206" s="24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5" t="str">
        <f>IF(J3206&lt;&gt;1,"",IF(I3206="SBJ","CB","?"))</f>
        <v> </v>
      </c>
      <c r="I3206" s="26" t="str">
        <f>IF(OR(E3206="",E3206="!!!",F3206="NEW"),"",INDEX(B3205:B$2,-1+SUMPRODUCT(MAX(ROW(E3205:E$2)*(E3206=E3205:E$2)))))</f>
        <v> </v>
      </c>
      <c r="J3206" s="26" t="str">
        <f>IF(OR(E3206="",E3206="!!!",F3206="NEW"),"",COUNTBLANK(OFFSET(A$1,,,SUMPRODUCT(MAX(ROW(E$2:E3206)*(E3206=E$2:E3206)))))-COUNTBLANK(OFFSET(A$1,,,SUMPRODUCT(MAX(ROW(E$1:E3205)*(E2=E$1:E3205))))))</f>
        <v> </v>
      </c>
      <c r="K3206" s="26" t="str">
        <f>IF(OR(E3206="",E3206="!!!",F3206="NEW"),"",INDEX(J$1:J3205,SUMPRODUCT(MAX(ROW(E$1:E3205)*(E3206=E$1:E3205)))))</f>
        <v> </v>
      </c>
      <c r="L3206" s="27"/>
    </row>
    <row r="3207" spans="1:12">
      <c r="A3207" s="20" t="s">
        <v>1455</v>
      </c>
      <c r="B3207" s="21" t="s">
        <v>1175</v>
      </c>
      <c r="C3207" s="21" t="s">
        <v>976</v>
      </c>
      <c r="D3207" s="21" t="s">
        <v>972</v>
      </c>
      <c r="E3207" s="22">
        <f>IF(D3207="?OLD","!!!","")</f>
        <v/>
      </c>
      <c r="F3207" s="23" t="str">
        <f>IF(OR(E3207="",E3207="!!!"),"",IF(NOT(ISNA(VLOOKUP(E3207,E$1:E3206,1,FALSE()))),"OLD",IF(AND(E3207&lt;&gt;"",E3207&lt;&gt;"!!!"),"NEW","")))</f>
        <v> </v>
      </c>
      <c r="G3207" s="24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5" t="str">
        <f>IF(J3207&lt;&gt;1,"",IF(I3207="SBJ","CB","?"))</f>
        <v> </v>
      </c>
      <c r="I3207" s="26" t="str">
        <f>IF(OR(E3207="",E3207="!!!",F3207="NEW"),"",INDEX(B3206:B$2,-1+SUMPRODUCT(MAX(ROW(E3206:E$2)*(E3207=E3206:E$2)))))</f>
        <v> </v>
      </c>
      <c r="J3207" s="26" t="str">
        <f>IF(OR(E3207="",E3207="!!!",F3207="NEW"),"",COUNTBLANK(OFFSET(A$1,,,SUMPRODUCT(MAX(ROW(E$2:E3207)*(E3207=E$2:E3207)))))-COUNTBLANK(OFFSET(A$1,,,SUMPRODUCT(MAX(ROW(E$1:E3206)*(E2=E$1:E3206))))))</f>
        <v> </v>
      </c>
      <c r="K3207" s="26" t="str">
        <f>IF(OR(E3207="",E3207="!!!",F3207="NEW"),"",INDEX(J$1:J3206,SUMPRODUCT(MAX(ROW(E$1:E3206)*(E3207=E$1:E3206)))))</f>
        <v> </v>
      </c>
      <c r="L3207" s="27"/>
    </row>
    <row r="3208" spans="1:12">
      <c r="A3208" s="20" t="s">
        <v>979</v>
      </c>
      <c r="E3208" s="22">
        <f>IF(D3208="?OLD","!!!","")</f>
        <v/>
      </c>
      <c r="F3208" s="23" t="str">
        <f>IF(OR(E3208="",E3208="!!!"),"",IF(NOT(ISNA(VLOOKUP(E3208,E$1:E3207,1,FALSE()))),"OLD",IF(AND(E3208&lt;&gt;"",E3208&lt;&gt;"!!!"),"NEW","")))</f>
        <v> </v>
      </c>
      <c r="G3208" s="24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5" t="str">
        <f>IF(J3208&lt;&gt;1,"",IF(I3208="SBJ","CB","?"))</f>
        <v> </v>
      </c>
      <c r="I3208" s="26" t="str">
        <f>IF(OR(E3208="",E3208="!!!",F3208="NEW"),"",INDEX(B3207:B$2,-1+SUMPRODUCT(MAX(ROW(E3207:E$2)*(E3208=E3207:E$2)))))</f>
        <v> </v>
      </c>
      <c r="J3208" s="26" t="str">
        <f>IF(OR(E3208="",E3208="!!!",F3208="NEW"),"",COUNTBLANK(OFFSET(A$1,,,SUMPRODUCT(MAX(ROW(E$2:E3208)*(E3208=E$2:E3208)))))-COUNTBLANK(OFFSET(A$1,,,SUMPRODUCT(MAX(ROW(E$1:E3207)*(E2=E$1:E3207))))))</f>
        <v> </v>
      </c>
      <c r="K3208" s="26" t="str">
        <f>IF(OR(E3208="",E3208="!!!",F3208="NEW"),"",INDEX(J$1:J3207,SUMPRODUCT(MAX(ROW(E$1:E3207)*(E3208=E$1:E3207)))))</f>
        <v> </v>
      </c>
      <c r="L3208" s="27"/>
    </row>
    <row r="3209" spans="1:12">
      <c r="A3209" s="20"/>
    </row>
    <row r="3210" spans="1:12">
      <c r="A3210" s="20" t="s">
        <v>2255</v>
      </c>
    </row>
    <row r="3211" spans="1:12">
      <c r="A3211" s="20" t="s">
        <v>1155</v>
      </c>
      <c r="B3211" s="21" t="s">
        <v>975</v>
      </c>
      <c r="C3211" s="21" t="s">
        <v>1012</v>
      </c>
      <c r="D3211" s="21" t="s">
        <v>972</v>
      </c>
      <c r="E3211" s="22">
        <f>IF(D3211="?OLD","!!!","")</f>
        <v/>
      </c>
      <c r="F3211" s="23" t="str">
        <f>IF(OR(E3211="",E3211="!!!"),"",IF(NOT(ISNA(VLOOKUP(E3211,E$1:E3210,1,FALSE()))),"OLD",IF(AND(E3211&lt;&gt;"",E3211&lt;&gt;"!!!"),"NEW","")))</f>
        <v> </v>
      </c>
      <c r="G3211" s="24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5" t="str">
        <f>IF(J3211&lt;&gt;1,"",IF(I3211="SBJ","CB","?"))</f>
        <v> </v>
      </c>
      <c r="I3211" s="26" t="str">
        <f>IF(OR(E3211="",E3211="!!!",F3211="NEW"),"",INDEX(B3210:B$2,-1+SUMPRODUCT(MAX(ROW(E3210:E$2)*(E3211=E3210:E$2)))))</f>
        <v> </v>
      </c>
      <c r="J3211" s="26" t="str">
        <f>IF(OR(E3211="",E3211="!!!",F3211="NEW"),"",COUNTBLANK(OFFSET(A$1,,,SUMPRODUCT(MAX(ROW(E$2:E3211)*(E3211=E$2:E3211)))))-COUNTBLANK(OFFSET(A$1,,,SUMPRODUCT(MAX(ROW(E$1:E3210)*(E2=E$1:E3210))))))</f>
        <v> </v>
      </c>
      <c r="K3211" s="26" t="str">
        <f>IF(OR(E3211="",E3211="!!!",F3211="NEW"),"",INDEX(J$1:J3210,SUMPRODUCT(MAX(ROW(E$1:E3210)*(E3211=E$1:E3210)))))</f>
        <v> </v>
      </c>
      <c r="L3211" s="27"/>
    </row>
    <row r="3212" spans="1:12">
      <c r="A3212" s="20" t="s">
        <v>1742</v>
      </c>
      <c r="E3212" s="22">
        <f>IF(D3212="?OLD","!!!","")</f>
        <v/>
      </c>
      <c r="F3212" s="23" t="str">
        <f>IF(OR(E3212="",E3212="!!!"),"",IF(NOT(ISNA(VLOOKUP(E3212,E$1:E3211,1,FALSE()))),"OLD",IF(AND(E3212&lt;&gt;"",E3212&lt;&gt;"!!!"),"NEW","")))</f>
        <v> </v>
      </c>
      <c r="G3212" s="24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5" t="str">
        <f>IF(J3212&lt;&gt;1,"",IF(I3212="SBJ","CB","?"))</f>
        <v> </v>
      </c>
      <c r="I3212" s="26" t="str">
        <f>IF(OR(E3212="",E3212="!!!",F3212="NEW"),"",INDEX(B3211:B$2,-1+SUMPRODUCT(MAX(ROW(E3211:E$2)*(E3212=E3211:E$2)))))</f>
        <v> </v>
      </c>
      <c r="J3212" s="26" t="str">
        <f>IF(OR(E3212="",E3212="!!!",F3212="NEW"),"",COUNTBLANK(OFFSET(A$1,,,SUMPRODUCT(MAX(ROW(E$2:E3212)*(E3212=E$2:E3212)))))-COUNTBLANK(OFFSET(A$1,,,SUMPRODUCT(MAX(ROW(E$1:E3211)*(E2=E$1:E3211))))))</f>
        <v> </v>
      </c>
      <c r="K3212" s="26" t="str">
        <f>IF(OR(E3212="",E3212="!!!",F3212="NEW"),"",INDEX(J$1:J3211,SUMPRODUCT(MAX(ROW(E$1:E3211)*(E3212=E$1:E3211)))))</f>
        <v> </v>
      </c>
      <c r="L3212" s="27"/>
    </row>
    <row r="3213" spans="1:12">
      <c r="A3213" s="20" t="s">
        <v>72</v>
      </c>
      <c r="E3213" s="22">
        <f>IF(D3213="?OLD","!!!","")</f>
        <v/>
      </c>
      <c r="F3213" s="23" t="str">
        <f>IF(OR(E3213="",E3213="!!!"),"",IF(NOT(ISNA(VLOOKUP(E3213,E$1:E3212,1,FALSE()))),"OLD",IF(AND(E3213&lt;&gt;"",E3213&lt;&gt;"!!!"),"NEW","")))</f>
        <v> </v>
      </c>
      <c r="G3213" s="24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5" t="str">
        <f>IF(J3213&lt;&gt;1,"",IF(I3213="SBJ","CB","?"))</f>
        <v> </v>
      </c>
      <c r="I3213" s="26" t="str">
        <f>IF(OR(E3213="",E3213="!!!",F3213="NEW"),"",INDEX(B3212:B$2,-1+SUMPRODUCT(MAX(ROW(E3212:E$2)*(E3213=E3212:E$2)))))</f>
        <v> </v>
      </c>
      <c r="J3213" s="26" t="str">
        <f>IF(OR(E3213="",E3213="!!!",F3213="NEW"),"",COUNTBLANK(OFFSET(A$1,,,SUMPRODUCT(MAX(ROW(E$2:E3213)*(E3213=E$2:E3213)))))-COUNTBLANK(OFFSET(A$1,,,SUMPRODUCT(MAX(ROW(E$1:E3212)*(E2=E$1:E3212))))))</f>
        <v> </v>
      </c>
      <c r="K3213" s="26" t="str">
        <f>IF(OR(E3213="",E3213="!!!",F3213="NEW"),"",INDEX(J$1:J3212,SUMPRODUCT(MAX(ROW(E$1:E3212)*(E3213=E$1:E3212)))))</f>
        <v> </v>
      </c>
      <c r="L3213" s="27"/>
    </row>
    <row r="3214" spans="1:12">
      <c r="A3214" s="20" t="s">
        <v>990</v>
      </c>
      <c r="B3214" s="21" t="s">
        <v>995</v>
      </c>
      <c r="C3214" s="21" t="s">
        <v>991</v>
      </c>
      <c r="E3214" s="22">
        <f>IF(D3214="?OLD","!!!","")</f>
        <v/>
      </c>
      <c r="F3214" s="23" t="str">
        <f>IF(OR(E3214="",E3214="!!!"),"",IF(NOT(ISNA(VLOOKUP(E3214,E$1:E3213,1,FALSE()))),"OLD",IF(AND(E3214&lt;&gt;"",E3214&lt;&gt;"!!!"),"NEW","")))</f>
        <v> </v>
      </c>
      <c r="G3214" s="24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5" t="str">
        <f>IF(J3214&lt;&gt;1,"",IF(I3214="SBJ","CB","?"))</f>
        <v> </v>
      </c>
      <c r="I3214" s="26" t="str">
        <f>IF(OR(E3214="",E3214="!!!",F3214="NEW"),"",INDEX(B3213:B$2,-1+SUMPRODUCT(MAX(ROW(E3213:E$2)*(E3214=E3213:E$2)))))</f>
        <v> </v>
      </c>
      <c r="J3214" s="26" t="str">
        <f>IF(OR(E3214="",E3214="!!!",F3214="NEW"),"",COUNTBLANK(OFFSET(A$1,,,SUMPRODUCT(MAX(ROW(E$2:E3214)*(E3214=E$2:E3214)))))-COUNTBLANK(OFFSET(A$1,,,SUMPRODUCT(MAX(ROW(E$1:E3213)*(E2=E$1:E3213))))))</f>
        <v> </v>
      </c>
      <c r="K3214" s="26" t="str">
        <f>IF(OR(E3214="",E3214="!!!",F3214="NEW"),"",INDEX(J$1:J3213,SUMPRODUCT(MAX(ROW(E$1:E3213)*(E3214=E$1:E3213)))))</f>
        <v> </v>
      </c>
      <c r="L3214" s="27"/>
    </row>
    <row r="3215" spans="1:12">
      <c r="A3215" s="20" t="s">
        <v>1617</v>
      </c>
      <c r="E3215" s="22">
        <f>IF(D3215="?OLD","!!!","")</f>
        <v/>
      </c>
      <c r="F3215" s="23" t="str">
        <f>IF(OR(E3215="",E3215="!!!"),"",IF(NOT(ISNA(VLOOKUP(E3215,E$1:E3214,1,FALSE()))),"OLD",IF(AND(E3215&lt;&gt;"",E3215&lt;&gt;"!!!"),"NEW","")))</f>
        <v> </v>
      </c>
      <c r="G3215" s="24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5" t="str">
        <f>IF(J3215&lt;&gt;1,"",IF(I3215="SBJ","CB","?"))</f>
        <v> </v>
      </c>
      <c r="I3215" s="26" t="str">
        <f>IF(OR(E3215="",E3215="!!!",F3215="NEW"),"",INDEX(B3214:B$2,-1+SUMPRODUCT(MAX(ROW(E3214:E$2)*(E3215=E3214:E$2)))))</f>
        <v> </v>
      </c>
      <c r="J3215" s="26" t="str">
        <f>IF(OR(E3215="",E3215="!!!",F3215="NEW"),"",COUNTBLANK(OFFSET(A$1,,,SUMPRODUCT(MAX(ROW(E$2:E3215)*(E3215=E$2:E3215)))))-COUNTBLANK(OFFSET(A$1,,,SUMPRODUCT(MAX(ROW(E$1:E3214)*(E2=E$1:E3214))))))</f>
        <v> </v>
      </c>
      <c r="K3215" s="26" t="str">
        <f>IF(OR(E3215="",E3215="!!!",F3215="NEW"),"",INDEX(J$1:J3214,SUMPRODUCT(MAX(ROW(E$1:E3214)*(E3215=E$1:E3214)))))</f>
        <v> </v>
      </c>
      <c r="L3215" s="27"/>
    </row>
    <row r="3216" spans="1:12">
      <c r="A3216" s="20" t="s">
        <v>979</v>
      </c>
      <c r="E3216" s="22">
        <f>IF(D3216="?OLD","!!!","")</f>
        <v/>
      </c>
      <c r="F3216" s="23" t="str">
        <f>IF(OR(E3216="",E3216="!!!"),"",IF(NOT(ISNA(VLOOKUP(E3216,E$1:E3215,1,FALSE()))),"OLD",IF(AND(E3216&lt;&gt;"",E3216&lt;&gt;"!!!"),"NEW","")))</f>
        <v> </v>
      </c>
      <c r="G3216" s="24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5" t="str">
        <f>IF(J3216&lt;&gt;1,"",IF(I3216="SBJ","CB","?"))</f>
        <v> </v>
      </c>
      <c r="I3216" s="26" t="str">
        <f>IF(OR(E3216="",E3216="!!!",F3216="NEW"),"",INDEX(B3215:B$2,-1+SUMPRODUCT(MAX(ROW(E3215:E$2)*(E3216=E3215:E$2)))))</f>
        <v> </v>
      </c>
      <c r="J3216" s="26" t="str">
        <f>IF(OR(E3216="",E3216="!!!",F3216="NEW"),"",COUNTBLANK(OFFSET(A$1,,,SUMPRODUCT(MAX(ROW(E$2:E3216)*(E3216=E$2:E3216)))))-COUNTBLANK(OFFSET(A$1,,,SUMPRODUCT(MAX(ROW(E$1:E3215)*(E2=E$1:E3215))))))</f>
        <v> </v>
      </c>
      <c r="K3216" s="26" t="str">
        <f>IF(OR(E3216="",E3216="!!!",F3216="NEW"),"",INDEX(J$1:J3215,SUMPRODUCT(MAX(ROW(E$1:E3215)*(E3216=E$1:E3215)))))</f>
        <v> </v>
      </c>
      <c r="L3216" s="27"/>
    </row>
    <row r="3217" spans="1:12">
      <c r="A3217" s="20"/>
    </row>
    <row r="3218" spans="1:12">
      <c r="A3218" s="20" t="s">
        <v>2256</v>
      </c>
    </row>
    <row r="3219" spans="1:12">
      <c r="A3219" s="20" t="s">
        <v>1502</v>
      </c>
      <c r="B3219" s="21" t="s">
        <v>975</v>
      </c>
      <c r="C3219" s="21" t="s">
        <v>971</v>
      </c>
      <c r="D3219" s="21" t="s">
        <v>972</v>
      </c>
      <c r="E3219" s="22">
        <f>IF(D3219="?OLD","!!!","")</f>
        <v/>
      </c>
      <c r="F3219" s="23" t="str">
        <f>IF(OR(E3219="",E3219="!!!"),"",IF(NOT(ISNA(VLOOKUP(E3219,E$1:E3218,1,FALSE()))),"OLD",IF(AND(E3219&lt;&gt;"",E3219&lt;&gt;"!!!"),"NEW","")))</f>
        <v> </v>
      </c>
      <c r="G3219" s="24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5" t="str">
        <f>IF(J3219&lt;&gt;1,"",IF(I3219="SBJ","CB","?"))</f>
        <v> </v>
      </c>
      <c r="I3219" s="26" t="str">
        <f>IF(OR(E3219="",E3219="!!!",F3219="NEW"),"",INDEX(B3218:B$2,-1+SUMPRODUCT(MAX(ROW(E3218:E$2)*(E3219=E3218:E$2)))))</f>
        <v> </v>
      </c>
      <c r="J3219" s="26" t="str">
        <f>IF(OR(E3219="",E3219="!!!",F3219="NEW"),"",COUNTBLANK(OFFSET(A$1,,,SUMPRODUCT(MAX(ROW(E$2:E3219)*(E3219=E$2:E3219)))))-COUNTBLANK(OFFSET(A$1,,,SUMPRODUCT(MAX(ROW(E$1:E3218)*(E2=E$1:E3218))))))</f>
        <v> </v>
      </c>
      <c r="K3219" s="26" t="str">
        <f>IF(OR(E3219="",E3219="!!!",F3219="NEW"),"",INDEX(J$1:J3218,SUMPRODUCT(MAX(ROW(E$1:E3218)*(E3219=E$1:E3218)))))</f>
        <v> </v>
      </c>
      <c r="L3219" s="27"/>
    </row>
    <row r="3220" spans="1:12">
      <c r="A3220" s="20" t="s">
        <v>1190</v>
      </c>
      <c r="E3220" s="22">
        <f>IF(D3220="?OLD","!!!","")</f>
        <v/>
      </c>
      <c r="F3220" s="23" t="str">
        <f>IF(OR(E3220="",E3220="!!!"),"",IF(NOT(ISNA(VLOOKUP(E3220,E$1:E3219,1,FALSE()))),"OLD",IF(AND(E3220&lt;&gt;"",E3220&lt;&gt;"!!!"),"NEW","")))</f>
        <v> </v>
      </c>
      <c r="G3220" s="24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5" t="str">
        <f>IF(J3220&lt;&gt;1,"",IF(I3220="SBJ","CB","?"))</f>
        <v> </v>
      </c>
      <c r="I3220" s="26" t="str">
        <f>IF(OR(E3220="",E3220="!!!",F3220="NEW"),"",INDEX(B3219:B$2,-1+SUMPRODUCT(MAX(ROW(E3219:E$2)*(E3220=E3219:E$2)))))</f>
        <v> </v>
      </c>
      <c r="J3220" s="26" t="str">
        <f>IF(OR(E3220="",E3220="!!!",F3220="NEW"),"",COUNTBLANK(OFFSET(A$1,,,SUMPRODUCT(MAX(ROW(E$2:E3220)*(E3220=E$2:E3220)))))-COUNTBLANK(OFFSET(A$1,,,SUMPRODUCT(MAX(ROW(E$1:E3219)*(E2=E$1:E3219))))))</f>
        <v> </v>
      </c>
      <c r="K3220" s="26" t="str">
        <f>IF(OR(E3220="",E3220="!!!",F3220="NEW"),"",INDEX(J$1:J3219,SUMPRODUCT(MAX(ROW(E$1:E3219)*(E3220=E$1:E3219)))))</f>
        <v> </v>
      </c>
      <c r="L3220" s="27"/>
    </row>
    <row r="3221" spans="1:12">
      <c r="A3221" s="20" t="s">
        <v>1005</v>
      </c>
      <c r="E3221" s="22">
        <f>IF(D3221="?OLD","!!!","")</f>
        <v/>
      </c>
      <c r="F3221" s="23" t="str">
        <f>IF(OR(E3221="",E3221="!!!"),"",IF(NOT(ISNA(VLOOKUP(E3221,E$1:E3220,1,FALSE()))),"OLD",IF(AND(E3221&lt;&gt;"",E3221&lt;&gt;"!!!"),"NEW","")))</f>
        <v> </v>
      </c>
      <c r="G3221" s="24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5" t="str">
        <f>IF(J3221&lt;&gt;1,"",IF(I3221="SBJ","CB","?"))</f>
        <v> </v>
      </c>
      <c r="I3221" s="26" t="str">
        <f>IF(OR(E3221="",E3221="!!!",F3221="NEW"),"",INDEX(B3220:B$2,-1+SUMPRODUCT(MAX(ROW(E3220:E$2)*(E3221=E3220:E$2)))))</f>
        <v> </v>
      </c>
      <c r="J3221" s="26" t="str">
        <f>IF(OR(E3221="",E3221="!!!",F3221="NEW"),"",COUNTBLANK(OFFSET(A$1,,,SUMPRODUCT(MAX(ROW(E$2:E3221)*(E3221=E$2:E3221)))))-COUNTBLANK(OFFSET(A$1,,,SUMPRODUCT(MAX(ROW(E$1:E3220)*(E2=E$1:E3220))))))</f>
        <v> </v>
      </c>
      <c r="K3221" s="26" t="str">
        <f>IF(OR(E3221="",E3221="!!!",F3221="NEW"),"",INDEX(J$1:J3220,SUMPRODUCT(MAX(ROW(E$1:E3220)*(E3221=E$1:E3220)))))</f>
        <v> </v>
      </c>
      <c r="L3221" s="27"/>
    </row>
    <row r="3222" spans="1:12">
      <c r="A3222" s="20" t="s">
        <v>2069</v>
      </c>
      <c r="E3222" s="22">
        <f>IF(D3222="?OLD","!!!","")</f>
        <v/>
      </c>
      <c r="F3222" s="23" t="str">
        <f>IF(OR(E3222="",E3222="!!!"),"",IF(NOT(ISNA(VLOOKUP(E3222,E$1:E3221,1,FALSE()))),"OLD",IF(AND(E3222&lt;&gt;"",E3222&lt;&gt;"!!!"),"NEW","")))</f>
        <v> </v>
      </c>
      <c r="G3222" s="24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5" t="str">
        <f>IF(J3222&lt;&gt;1,"",IF(I3222="SBJ","CB","?"))</f>
        <v> </v>
      </c>
      <c r="I3222" s="26" t="str">
        <f>IF(OR(E3222="",E3222="!!!",F3222="NEW"),"",INDEX(B3221:B$2,-1+SUMPRODUCT(MAX(ROW(E3221:E$2)*(E3222=E3221:E$2)))))</f>
        <v> </v>
      </c>
      <c r="J3222" s="26" t="str">
        <f>IF(OR(E3222="",E3222="!!!",F3222="NEW"),"",COUNTBLANK(OFFSET(A$1,,,SUMPRODUCT(MAX(ROW(E$2:E3222)*(E3222=E$2:E3222)))))-COUNTBLANK(OFFSET(A$1,,,SUMPRODUCT(MAX(ROW(E$1:E3221)*(E2=E$1:E3221))))))</f>
        <v> </v>
      </c>
      <c r="K3222" s="26" t="str">
        <f>IF(OR(E3222="",E3222="!!!",F3222="NEW"),"",INDEX(J$1:J3221,SUMPRODUCT(MAX(ROW(E$1:E3221)*(E3222=E$1:E3221)))))</f>
        <v> </v>
      </c>
      <c r="L3222" s="27"/>
    </row>
    <row r="3223" spans="1:12">
      <c r="A3223" s="20" t="s">
        <v>79</v>
      </c>
      <c r="E3223" s="22">
        <f>IF(D3223="?OLD","!!!","")</f>
        <v/>
      </c>
      <c r="F3223" s="23" t="str">
        <f>IF(OR(E3223="",E3223="!!!"),"",IF(NOT(ISNA(VLOOKUP(E3223,E$1:E3222,1,FALSE()))),"OLD",IF(AND(E3223&lt;&gt;"",E3223&lt;&gt;"!!!"),"NEW","")))</f>
        <v> </v>
      </c>
      <c r="G3223" s="24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5" t="str">
        <f>IF(J3223&lt;&gt;1,"",IF(I3223="SBJ","CB","?"))</f>
        <v> </v>
      </c>
      <c r="I3223" s="26" t="str">
        <f>IF(OR(E3223="",E3223="!!!",F3223="NEW"),"",INDEX(B3222:B$2,-1+SUMPRODUCT(MAX(ROW(E3222:E$2)*(E3223=E3222:E$2)))))</f>
        <v> </v>
      </c>
      <c r="J3223" s="26" t="str">
        <f>IF(OR(E3223="",E3223="!!!",F3223="NEW"),"",COUNTBLANK(OFFSET(A$1,,,SUMPRODUCT(MAX(ROW(E$2:E3223)*(E3223=E$2:E3223)))))-COUNTBLANK(OFFSET(A$1,,,SUMPRODUCT(MAX(ROW(E$1:E3222)*(E2=E$1:E3222))))))</f>
        <v> </v>
      </c>
      <c r="K3223" s="26" t="str">
        <f>IF(OR(E3223="",E3223="!!!",F3223="NEW"),"",INDEX(J$1:J3222,SUMPRODUCT(MAX(ROW(E$1:E3222)*(E3223=E$1:E3222)))))</f>
        <v> </v>
      </c>
      <c r="L3223" s="27"/>
    </row>
    <row r="3224" spans="1:12">
      <c r="A3224" s="20" t="s">
        <v>990</v>
      </c>
      <c r="B3224" s="21" t="s">
        <v>995</v>
      </c>
      <c r="C3224" s="21" t="s">
        <v>991</v>
      </c>
      <c r="E3224" s="22">
        <f>IF(D3224="?OLD","!!!","")</f>
        <v/>
      </c>
      <c r="F3224" s="23" t="str">
        <f>IF(OR(E3224="",E3224="!!!"),"",IF(NOT(ISNA(VLOOKUP(E3224,E$1:E3223,1,FALSE()))),"OLD",IF(AND(E3224&lt;&gt;"",E3224&lt;&gt;"!!!"),"NEW","")))</f>
        <v> </v>
      </c>
      <c r="G3224" s="24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5" t="str">
        <f>IF(J3224&lt;&gt;1,"",IF(I3224="SBJ","CB","?"))</f>
        <v> </v>
      </c>
      <c r="I3224" s="26" t="str">
        <f>IF(OR(E3224="",E3224="!!!",F3224="NEW"),"",INDEX(B3223:B$2,-1+SUMPRODUCT(MAX(ROW(E3223:E$2)*(E3224=E3223:E$2)))))</f>
        <v> </v>
      </c>
      <c r="J3224" s="26" t="str">
        <f>IF(OR(E3224="",E3224="!!!",F3224="NEW"),"",COUNTBLANK(OFFSET(A$1,,,SUMPRODUCT(MAX(ROW(E$2:E3224)*(E3224=E$2:E3224)))))-COUNTBLANK(OFFSET(A$1,,,SUMPRODUCT(MAX(ROW(E$1:E3223)*(E2=E$1:E3223))))))</f>
        <v> </v>
      </c>
      <c r="K3224" s="26" t="str">
        <f>IF(OR(E3224="",E3224="!!!",F3224="NEW"),"",INDEX(J$1:J3223,SUMPRODUCT(MAX(ROW(E$1:E3223)*(E3224=E$1:E3223)))))</f>
        <v> </v>
      </c>
      <c r="L3224" s="27"/>
    </row>
    <row r="3225" spans="1:12">
      <c r="A3225" s="20" t="s">
        <v>1013</v>
      </c>
      <c r="E3225" s="22">
        <f>IF(D3225="?OLD","!!!","")</f>
        <v/>
      </c>
      <c r="F3225" s="23" t="str">
        <f>IF(OR(E3225="",E3225="!!!"),"",IF(NOT(ISNA(VLOOKUP(E3225,E$1:E3224,1,FALSE()))),"OLD",IF(AND(E3225&lt;&gt;"",E3225&lt;&gt;"!!!"),"NEW","")))</f>
        <v> </v>
      </c>
      <c r="G3225" s="24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5" t="str">
        <f>IF(J3225&lt;&gt;1,"",IF(I3225="SBJ","CB","?"))</f>
        <v> </v>
      </c>
      <c r="I3225" s="26" t="str">
        <f>IF(OR(E3225="",E3225="!!!",F3225="NEW"),"",INDEX(B3224:B$2,-1+SUMPRODUCT(MAX(ROW(E3224:E$2)*(E3225=E3224:E$2)))))</f>
        <v> </v>
      </c>
      <c r="J3225" s="26" t="str">
        <f>IF(OR(E3225="",E3225="!!!",F3225="NEW"),"",COUNTBLANK(OFFSET(A$1,,,SUMPRODUCT(MAX(ROW(E$2:E3225)*(E3225=E$2:E3225)))))-COUNTBLANK(OFFSET(A$1,,,SUMPRODUCT(MAX(ROW(E$1:E3224)*(E2=E$1:E3224))))))</f>
        <v> </v>
      </c>
      <c r="K3225" s="26" t="str">
        <f>IF(OR(E3225="",E3225="!!!",F3225="NEW"),"",INDEX(J$1:J3224,SUMPRODUCT(MAX(ROW(E$1:E3224)*(E3225=E$1:E3224)))))</f>
        <v> </v>
      </c>
      <c r="L3225" s="27"/>
    </row>
    <row r="3226" spans="1:12">
      <c r="A3226" s="20" t="s">
        <v>1491</v>
      </c>
      <c r="E3226" s="22">
        <f>IF(D3226="?OLD","!!!","")</f>
        <v/>
      </c>
      <c r="F3226" s="23" t="str">
        <f>IF(OR(E3226="",E3226="!!!"),"",IF(NOT(ISNA(VLOOKUP(E3226,E$1:E3225,1,FALSE()))),"OLD",IF(AND(E3226&lt;&gt;"",E3226&lt;&gt;"!!!"),"NEW","")))</f>
        <v> </v>
      </c>
      <c r="G3226" s="24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5" t="str">
        <f>IF(J3226&lt;&gt;1,"",IF(I3226="SBJ","CB","?"))</f>
        <v> </v>
      </c>
      <c r="I3226" s="26" t="str">
        <f>IF(OR(E3226="",E3226="!!!",F3226="NEW"),"",INDEX(B3225:B$2,-1+SUMPRODUCT(MAX(ROW(E3225:E$2)*(E3226=E3225:E$2)))))</f>
        <v> </v>
      </c>
      <c r="J3226" s="26" t="str">
        <f>IF(OR(E3226="",E3226="!!!",F3226="NEW"),"",COUNTBLANK(OFFSET(A$1,,,SUMPRODUCT(MAX(ROW(E$2:E3226)*(E3226=E$2:E3226)))))-COUNTBLANK(OFFSET(A$1,,,SUMPRODUCT(MAX(ROW(E$1:E3225)*(E2=E$1:E3225))))))</f>
        <v> </v>
      </c>
      <c r="K3226" s="26" t="str">
        <f>IF(OR(E3226="",E3226="!!!",F3226="NEW"),"",INDEX(J$1:J3225,SUMPRODUCT(MAX(ROW(E$1:E3225)*(E3226=E$1:E3225)))))</f>
        <v> </v>
      </c>
      <c r="L3226" s="27"/>
    </row>
    <row r="3227" spans="1:12">
      <c r="A3227" s="20" t="s">
        <v>400</v>
      </c>
      <c r="B3227" s="21" t="s">
        <v>1101</v>
      </c>
      <c r="C3227" s="21" t="s">
        <v>971</v>
      </c>
      <c r="D3227" s="21" t="s">
        <v>972</v>
      </c>
      <c r="E3227" s="22">
        <f>IF(D3227="?OLD","!!!","")</f>
        <v/>
      </c>
      <c r="F3227" s="23" t="str">
        <f>IF(OR(E3227="",E3227="!!!"),"",IF(NOT(ISNA(VLOOKUP(E3227,E$1:E3226,1,FALSE()))),"OLD",IF(AND(E3227&lt;&gt;"",E3227&lt;&gt;"!!!"),"NEW","")))</f>
        <v> </v>
      </c>
      <c r="G3227" s="24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5" t="str">
        <f>IF(J3227&lt;&gt;1,"",IF(I3227="SBJ","CB","?"))</f>
        <v> </v>
      </c>
      <c r="I3227" s="26" t="str">
        <f>IF(OR(E3227="",E3227="!!!",F3227="NEW"),"",INDEX(B3226:B$2,-1+SUMPRODUCT(MAX(ROW(E3226:E$2)*(E3227=E3226:E$2)))))</f>
        <v> </v>
      </c>
      <c r="J3227" s="26" t="str">
        <f>IF(OR(E3227="",E3227="!!!",F3227="NEW"),"",COUNTBLANK(OFFSET(A$1,,,SUMPRODUCT(MAX(ROW(E$2:E3227)*(E3227=E$2:E3227)))))-COUNTBLANK(OFFSET(A$1,,,SUMPRODUCT(MAX(ROW(E$1:E3226)*(E2=E$1:E3226))))))</f>
        <v> </v>
      </c>
      <c r="K3227" s="26" t="str">
        <f>IF(OR(E3227="",E3227="!!!",F3227="NEW"),"",INDEX(J$1:J3226,SUMPRODUCT(MAX(ROW(E$1:E3226)*(E3227=E$1:E3226)))))</f>
        <v> </v>
      </c>
      <c r="L3227" s="27"/>
    </row>
    <row r="3228" spans="1:12">
      <c r="A3228" s="20" t="s">
        <v>1427</v>
      </c>
      <c r="E3228" s="22">
        <f>IF(D3228="?OLD","!!!","")</f>
        <v/>
      </c>
      <c r="F3228" s="23" t="str">
        <f>IF(OR(E3228="",E3228="!!!"),"",IF(NOT(ISNA(VLOOKUP(E3228,E$1:E3227,1,FALSE()))),"OLD",IF(AND(E3228&lt;&gt;"",E3228&lt;&gt;"!!!"),"NEW","")))</f>
        <v> </v>
      </c>
      <c r="G3228" s="24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5" t="str">
        <f>IF(J3228&lt;&gt;1,"",IF(I3228="SBJ","CB","?"))</f>
        <v> </v>
      </c>
      <c r="I3228" s="26" t="str">
        <f>IF(OR(E3228="",E3228="!!!",F3228="NEW"),"",INDEX(B3227:B$2,-1+SUMPRODUCT(MAX(ROW(E3227:E$2)*(E3228=E3227:E$2)))))</f>
        <v> </v>
      </c>
      <c r="J3228" s="26" t="str">
        <f>IF(OR(E3228="",E3228="!!!",F3228="NEW"),"",COUNTBLANK(OFFSET(A$1,,,SUMPRODUCT(MAX(ROW(E$2:E3228)*(E3228=E$2:E3228)))))-COUNTBLANK(OFFSET(A$1,,,SUMPRODUCT(MAX(ROW(E$1:E3227)*(E2=E$1:E3227))))))</f>
        <v> </v>
      </c>
      <c r="K3228" s="26" t="str">
        <f>IF(OR(E3228="",E3228="!!!",F3228="NEW"),"",INDEX(J$1:J3227,SUMPRODUCT(MAX(ROW(E$1:E3227)*(E3228=E$1:E3227)))))</f>
        <v> </v>
      </c>
      <c r="L3228" s="27"/>
    </row>
    <row r="3229" spans="1:12">
      <c r="A3229" s="20" t="s">
        <v>1005</v>
      </c>
      <c r="E3229" s="22">
        <f>IF(D3229="?OLD","!!!","")</f>
        <v/>
      </c>
      <c r="F3229" s="23" t="str">
        <f>IF(OR(E3229="",E3229="!!!"),"",IF(NOT(ISNA(VLOOKUP(E3229,E$1:E3228,1,FALSE()))),"OLD",IF(AND(E3229&lt;&gt;"",E3229&lt;&gt;"!!!"),"NEW","")))</f>
        <v> </v>
      </c>
      <c r="G3229" s="24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5" t="str">
        <f>IF(J3229&lt;&gt;1,"",IF(I3229="SBJ","CB","?"))</f>
        <v> </v>
      </c>
      <c r="I3229" s="26" t="str">
        <f>IF(OR(E3229="",E3229="!!!",F3229="NEW"),"",INDEX(B3228:B$2,-1+SUMPRODUCT(MAX(ROW(E3228:E$2)*(E3229=E3228:E$2)))))</f>
        <v> </v>
      </c>
      <c r="J3229" s="26" t="str">
        <f>IF(OR(E3229="",E3229="!!!",F3229="NEW"),"",COUNTBLANK(OFFSET(A$1,,,SUMPRODUCT(MAX(ROW(E$2:E3229)*(E3229=E$2:E3229)))))-COUNTBLANK(OFFSET(A$1,,,SUMPRODUCT(MAX(ROW(E$1:E3228)*(E2=E$1:E3228))))))</f>
        <v> </v>
      </c>
      <c r="K3229" s="26" t="str">
        <f>IF(OR(E3229="",E3229="!!!",F3229="NEW"),"",INDEX(J$1:J3228,SUMPRODUCT(MAX(ROW(E$1:E3228)*(E3229=E$1:E3228)))))</f>
        <v> </v>
      </c>
      <c r="L3229" s="27"/>
    </row>
    <row r="3230" spans="1:12">
      <c r="A3230" s="20" t="s">
        <v>2249</v>
      </c>
      <c r="B3230" s="21" t="s">
        <v>1175</v>
      </c>
      <c r="C3230" s="21" t="s">
        <v>976</v>
      </c>
      <c r="D3230" s="21" t="s">
        <v>972</v>
      </c>
      <c r="E3230" s="22">
        <f>IF(D3230="?OLD","!!!","")</f>
        <v/>
      </c>
      <c r="F3230" s="23" t="str">
        <f>IF(OR(E3230="",E3230="!!!"),"",IF(NOT(ISNA(VLOOKUP(E3230,E$1:E3229,1,FALSE()))),"OLD",IF(AND(E3230&lt;&gt;"",E3230&lt;&gt;"!!!"),"NEW","")))</f>
        <v> </v>
      </c>
      <c r="G3230" s="24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5" t="str">
        <f>IF(J3230&lt;&gt;1,"",IF(I3230="SBJ","CB","?"))</f>
        <v> </v>
      </c>
      <c r="I3230" s="26" t="str">
        <f>IF(OR(E3230="",E3230="!!!",F3230="NEW"),"",INDEX(B3229:B$2,-1+SUMPRODUCT(MAX(ROW(E3229:E$2)*(E3230=E3229:E$2)))))</f>
        <v> </v>
      </c>
      <c r="J3230" s="26" t="str">
        <f>IF(OR(E3230="",E3230="!!!",F3230="NEW"),"",COUNTBLANK(OFFSET(A$1,,,SUMPRODUCT(MAX(ROW(E$2:E3230)*(E3230=E$2:E3230)))))-COUNTBLANK(OFFSET(A$1,,,SUMPRODUCT(MAX(ROW(E$1:E3229)*(E2=E$1:E3229))))))</f>
        <v> </v>
      </c>
      <c r="K3230" s="26" t="str">
        <f>IF(OR(E3230="",E3230="!!!",F3230="NEW"),"",INDEX(J$1:J3229,SUMPRODUCT(MAX(ROW(E$1:E3229)*(E3230=E$1:E3229)))))</f>
        <v> </v>
      </c>
      <c r="L3230" s="27"/>
    </row>
    <row r="3231" spans="1:12">
      <c r="A3231" s="20" t="s">
        <v>72</v>
      </c>
      <c r="E3231" s="22">
        <f>IF(D3231="?OLD","!!!","")</f>
        <v/>
      </c>
      <c r="F3231" s="23" t="str">
        <f>IF(OR(E3231="",E3231="!!!"),"",IF(NOT(ISNA(VLOOKUP(E3231,E$1:E3230,1,FALSE()))),"OLD",IF(AND(E3231&lt;&gt;"",E3231&lt;&gt;"!!!"),"NEW","")))</f>
        <v> </v>
      </c>
      <c r="G3231" s="24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5" t="str">
        <f>IF(J3231&lt;&gt;1,"",IF(I3231="SBJ","CB","?"))</f>
        <v> </v>
      </c>
      <c r="I3231" s="26" t="str">
        <f>IF(OR(E3231="",E3231="!!!",F3231="NEW"),"",INDEX(B3230:B$2,-1+SUMPRODUCT(MAX(ROW(E3230:E$2)*(E3231=E3230:E$2)))))</f>
        <v> </v>
      </c>
      <c r="J3231" s="26" t="str">
        <f>IF(OR(E3231="",E3231="!!!",F3231="NEW"),"",COUNTBLANK(OFFSET(A$1,,,SUMPRODUCT(MAX(ROW(E$2:E3231)*(E3231=E$2:E3231)))))-COUNTBLANK(OFFSET(A$1,,,SUMPRODUCT(MAX(ROW(E$1:E3230)*(E2=E$1:E3230))))))</f>
        <v> </v>
      </c>
      <c r="K3231" s="26" t="str">
        <f>IF(OR(E3231="",E3231="!!!",F3231="NEW"),"",INDEX(J$1:J3230,SUMPRODUCT(MAX(ROW(E$1:E3230)*(E3231=E$1:E3230)))))</f>
        <v> </v>
      </c>
      <c r="L3231" s="27"/>
    </row>
    <row r="3232" spans="1:12">
      <c r="A3232" s="20" t="s">
        <v>990</v>
      </c>
      <c r="B3232" s="21" t="s">
        <v>978</v>
      </c>
      <c r="C3232" s="21" t="s">
        <v>991</v>
      </c>
      <c r="E3232" s="22">
        <f>IF(D3232="?OLD","!!!","")</f>
        <v/>
      </c>
      <c r="F3232" s="23" t="str">
        <f>IF(OR(E3232="",E3232="!!!"),"",IF(NOT(ISNA(VLOOKUP(E3232,E$1:E3231,1,FALSE()))),"OLD",IF(AND(E3232&lt;&gt;"",E3232&lt;&gt;"!!!"),"NEW","")))</f>
        <v> </v>
      </c>
      <c r="G3232" s="24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5" t="str">
        <f>IF(J3232&lt;&gt;1,"",IF(I3232="SBJ","CB","?"))</f>
        <v> </v>
      </c>
      <c r="I3232" s="26" t="str">
        <f>IF(OR(E3232="",E3232="!!!",F3232="NEW"),"",INDEX(B3231:B$2,-1+SUMPRODUCT(MAX(ROW(E3231:E$2)*(E3232=E3231:E$2)))))</f>
        <v> </v>
      </c>
      <c r="J3232" s="26" t="str">
        <f>IF(OR(E3232="",E3232="!!!",F3232="NEW"),"",COUNTBLANK(OFFSET(A$1,,,SUMPRODUCT(MAX(ROW(E$2:E3232)*(E3232=E$2:E3232)))))-COUNTBLANK(OFFSET(A$1,,,SUMPRODUCT(MAX(ROW(E$1:E3231)*(E2=E$1:E3231))))))</f>
        <v> </v>
      </c>
      <c r="K3232" s="26" t="str">
        <f>IF(OR(E3232="",E3232="!!!",F3232="NEW"),"",INDEX(J$1:J3231,SUMPRODUCT(MAX(ROW(E$1:E3231)*(E3232=E$1:E3231)))))</f>
        <v> </v>
      </c>
      <c r="L3232" s="27"/>
    </row>
    <row r="3233" spans="1:12">
      <c r="A3233" s="20" t="s">
        <v>979</v>
      </c>
      <c r="E3233" s="22">
        <f>IF(D3233="?OLD","!!!","")</f>
        <v/>
      </c>
      <c r="F3233" s="23" t="str">
        <f>IF(OR(E3233="",E3233="!!!"),"",IF(NOT(ISNA(VLOOKUP(E3233,E$1:E3232,1,FALSE()))),"OLD",IF(AND(E3233&lt;&gt;"",E3233&lt;&gt;"!!!"),"NEW","")))</f>
        <v> </v>
      </c>
      <c r="G3233" s="24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5" t="str">
        <f>IF(J3233&lt;&gt;1,"",IF(I3233="SBJ","CB","?"))</f>
        <v> </v>
      </c>
      <c r="I3233" s="26" t="str">
        <f>IF(OR(E3233="",E3233="!!!",F3233="NEW"),"",INDEX(B3232:B$2,-1+SUMPRODUCT(MAX(ROW(E3232:E$2)*(E3233=E3232:E$2)))))</f>
        <v> </v>
      </c>
      <c r="J3233" s="26" t="str">
        <f>IF(OR(E3233="",E3233="!!!",F3233="NEW"),"",COUNTBLANK(OFFSET(A$1,,,SUMPRODUCT(MAX(ROW(E$2:E3233)*(E3233=E$2:E3233)))))-COUNTBLANK(OFFSET(A$1,,,SUMPRODUCT(MAX(ROW(E$1:E3232)*(E2=E$1:E3232))))))</f>
        <v> </v>
      </c>
      <c r="K3233" s="26" t="str">
        <f>IF(OR(E3233="",E3233="!!!",F3233="NEW"),"",INDEX(J$1:J3232,SUMPRODUCT(MAX(ROW(E$1:E3232)*(E3233=E$1:E3232)))))</f>
        <v> </v>
      </c>
      <c r="L3233" s="27"/>
    </row>
    <row r="3234" spans="1:12">
      <c r="A3234" s="20"/>
    </row>
    <row r="3235" spans="1:12">
      <c r="A3235" s="20" t="s">
        <v>2257</v>
      </c>
    </row>
    <row r="3236" spans="1:12">
      <c r="A3236" s="20" t="s">
        <v>993</v>
      </c>
      <c r="E3236" s="22">
        <f>IF(D3236="?OLD","!!!","")</f>
        <v/>
      </c>
      <c r="F3236" s="23" t="str">
        <f>IF(OR(E3236="",E3236="!!!"),"",IF(NOT(ISNA(VLOOKUP(E3236,E$1:E3235,1,FALSE()))),"OLD",IF(AND(E3236&lt;&gt;"",E3236&lt;&gt;"!!!"),"NEW","")))</f>
        <v> </v>
      </c>
      <c r="G3236" s="24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5" t="str">
        <f>IF(J3236&lt;&gt;1,"",IF(I3236="SBJ","CB","?"))</f>
        <v> </v>
      </c>
      <c r="I3236" s="26" t="str">
        <f>IF(OR(E3236="",E3236="!!!",F3236="NEW"),"",INDEX(B3235:B$2,-1+SUMPRODUCT(MAX(ROW(E3235:E$2)*(E3236=E3235:E$2)))))</f>
        <v> </v>
      </c>
      <c r="J3236" s="26" t="str">
        <f>IF(OR(E3236="",E3236="!!!",F3236="NEW"),"",COUNTBLANK(OFFSET(A$1,,,SUMPRODUCT(MAX(ROW(E$2:E3236)*(E3236=E$2:E3236)))))-COUNTBLANK(OFFSET(A$1,,,SUMPRODUCT(MAX(ROW(E$1:E3235)*(E2=E$1:E3235))))))</f>
        <v> </v>
      </c>
      <c r="K3236" s="26" t="str">
        <f>IF(OR(E3236="",E3236="!!!",F3236="NEW"),"",INDEX(J$1:J3235,SUMPRODUCT(MAX(ROW(E$1:E3235)*(E3236=E$1:E3235)))))</f>
        <v> </v>
      </c>
      <c r="L3236" s="27"/>
    </row>
    <row r="3237" spans="1:12">
      <c r="A3237" s="20" t="s">
        <v>1090</v>
      </c>
      <c r="B3237" s="21" t="s">
        <v>975</v>
      </c>
      <c r="C3237" s="21" t="s">
        <v>971</v>
      </c>
      <c r="D3237" s="21" t="s">
        <v>972</v>
      </c>
      <c r="E3237" s="22">
        <f>IF(D3237="?OLD","!!!","")</f>
        <v/>
      </c>
      <c r="F3237" s="23" t="str">
        <f>IF(OR(E3237="",E3237="!!!"),"",IF(NOT(ISNA(VLOOKUP(E3237,E$1:E3236,1,FALSE()))),"OLD",IF(AND(E3237&lt;&gt;"",E3237&lt;&gt;"!!!"),"NEW","")))</f>
        <v> </v>
      </c>
      <c r="G3237" s="24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5" t="str">
        <f>IF(J3237&lt;&gt;1,"",IF(I3237="SBJ","CB","?"))</f>
        <v> </v>
      </c>
      <c r="I3237" s="26" t="str">
        <f>IF(OR(E3237="",E3237="!!!",F3237="NEW"),"",INDEX(B3236:B$2,-1+SUMPRODUCT(MAX(ROW(E3236:E$2)*(E3237=E3236:E$2)))))</f>
        <v> </v>
      </c>
      <c r="J3237" s="26" t="str">
        <f>IF(OR(E3237="",E3237="!!!",F3237="NEW"),"",COUNTBLANK(OFFSET(A$1,,,SUMPRODUCT(MAX(ROW(E$2:E3237)*(E3237=E$2:E3237)))))-COUNTBLANK(OFFSET(A$1,,,SUMPRODUCT(MAX(ROW(E$1:E3236)*(E2=E$1:E3236))))))</f>
        <v> </v>
      </c>
      <c r="K3237" s="26" t="str">
        <f>IF(OR(E3237="",E3237="!!!",F3237="NEW"),"",INDEX(J$1:J3236,SUMPRODUCT(MAX(ROW(E$1:E3236)*(E3237=E$1:E3236)))))</f>
        <v> </v>
      </c>
      <c r="L3237" s="27"/>
    </row>
    <row r="3238" spans="1:12">
      <c r="A3238" s="20" t="s">
        <v>2258</v>
      </c>
      <c r="E3238" s="22">
        <f>IF(D3238="?OLD","!!!","")</f>
        <v/>
      </c>
      <c r="F3238" s="23" t="str">
        <f>IF(OR(E3238="",E3238="!!!"),"",IF(NOT(ISNA(VLOOKUP(E3238,E$1:E3237,1,FALSE()))),"OLD",IF(AND(E3238&lt;&gt;"",E3238&lt;&gt;"!!!"),"NEW","")))</f>
        <v> </v>
      </c>
      <c r="G3238" s="24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5" t="str">
        <f>IF(J3238&lt;&gt;1,"",IF(I3238="SBJ","CB","?"))</f>
        <v> </v>
      </c>
      <c r="I3238" s="26" t="str">
        <f>IF(OR(E3238="",E3238="!!!",F3238="NEW"),"",INDEX(B3237:B$2,-1+SUMPRODUCT(MAX(ROW(E3237:E$2)*(E3238=E3237:E$2)))))</f>
        <v> </v>
      </c>
      <c r="J3238" s="26" t="str">
        <f>IF(OR(E3238="",E3238="!!!",F3238="NEW"),"",COUNTBLANK(OFFSET(A$1,,,SUMPRODUCT(MAX(ROW(E$2:E3238)*(E3238=E$2:E3238)))))-COUNTBLANK(OFFSET(A$1,,,SUMPRODUCT(MAX(ROW(E$1:E3237)*(E2=E$1:E3237))))))</f>
        <v> </v>
      </c>
      <c r="K3238" s="26" t="str">
        <f>IF(OR(E3238="",E3238="!!!",F3238="NEW"),"",INDEX(J$1:J3237,SUMPRODUCT(MAX(ROW(E$1:E3237)*(E3238=E$1:E3237)))))</f>
        <v> </v>
      </c>
      <c r="L3238" s="27"/>
    </row>
    <row r="3239" spans="1:12">
      <c r="A3239" s="20" t="s">
        <v>1013</v>
      </c>
      <c r="E3239" s="22">
        <f>IF(D3239="?OLD","!!!","")</f>
        <v/>
      </c>
      <c r="F3239" s="23" t="str">
        <f>IF(OR(E3239="",E3239="!!!"),"",IF(NOT(ISNA(VLOOKUP(E3239,E$1:E3238,1,FALSE()))),"OLD",IF(AND(E3239&lt;&gt;"",E3239&lt;&gt;"!!!"),"NEW","")))</f>
        <v> </v>
      </c>
      <c r="G3239" s="24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5" t="str">
        <f>IF(J3239&lt;&gt;1,"",IF(I3239="SBJ","CB","?"))</f>
        <v> </v>
      </c>
      <c r="I3239" s="26" t="str">
        <f>IF(OR(E3239="",E3239="!!!",F3239="NEW"),"",INDEX(B3238:B$2,-1+SUMPRODUCT(MAX(ROW(E3238:E$2)*(E3239=E3238:E$2)))))</f>
        <v> </v>
      </c>
      <c r="J3239" s="26" t="str">
        <f>IF(OR(E3239="",E3239="!!!",F3239="NEW"),"",COUNTBLANK(OFFSET(A$1,,,SUMPRODUCT(MAX(ROW(E$2:E3239)*(E3239=E$2:E3239)))))-COUNTBLANK(OFFSET(A$1,,,SUMPRODUCT(MAX(ROW(E$1:E3238)*(E2=E$1:E3238))))))</f>
        <v> </v>
      </c>
      <c r="K3239" s="26" t="str">
        <f>IF(OR(E3239="",E3239="!!!",F3239="NEW"),"",INDEX(J$1:J3238,SUMPRODUCT(MAX(ROW(E$1:E3238)*(E3239=E$1:E3238)))))</f>
        <v> </v>
      </c>
      <c r="L3239" s="27"/>
    </row>
    <row r="3240" spans="1:12">
      <c r="A3240" s="20" t="s">
        <v>149</v>
      </c>
      <c r="E3240" s="22">
        <f>IF(D3240="?OLD","!!!","")</f>
        <v/>
      </c>
      <c r="F3240" s="23" t="str">
        <f>IF(OR(E3240="",E3240="!!!"),"",IF(NOT(ISNA(VLOOKUP(E3240,E$1:E3239,1,FALSE()))),"OLD",IF(AND(E3240&lt;&gt;"",E3240&lt;&gt;"!!!"),"NEW","")))</f>
        <v> </v>
      </c>
      <c r="G3240" s="24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5" t="str">
        <f>IF(J3240&lt;&gt;1,"",IF(I3240="SBJ","CB","?"))</f>
        <v> </v>
      </c>
      <c r="I3240" s="26" t="str">
        <f>IF(OR(E3240="",E3240="!!!",F3240="NEW"),"",INDEX(B3239:B$2,-1+SUMPRODUCT(MAX(ROW(E3239:E$2)*(E3240=E3239:E$2)))))</f>
        <v> </v>
      </c>
      <c r="J3240" s="26" t="str">
        <f>IF(OR(E3240="",E3240="!!!",F3240="NEW"),"",COUNTBLANK(OFFSET(A$1,,,SUMPRODUCT(MAX(ROW(E$2:E3240)*(E3240=E$2:E3240)))))-COUNTBLANK(OFFSET(A$1,,,SUMPRODUCT(MAX(ROW(E$1:E3239)*(E2=E$1:E3239))))))</f>
        <v> </v>
      </c>
      <c r="K3240" s="26" t="str">
        <f>IF(OR(E3240="",E3240="!!!",F3240="NEW"),"",INDEX(J$1:J3239,SUMPRODUCT(MAX(ROW(E$1:E3239)*(E3240=E$1:E3239)))))</f>
        <v> </v>
      </c>
      <c r="L3240" s="27"/>
    </row>
    <row r="3241" spans="1:12">
      <c r="A3241" s="20" t="s">
        <v>400</v>
      </c>
      <c r="B3241" s="21" t="s">
        <v>1101</v>
      </c>
      <c r="C3241" s="21" t="s">
        <v>971</v>
      </c>
      <c r="D3241" s="21" t="s">
        <v>972</v>
      </c>
      <c r="E3241" s="22">
        <f>IF(D3241="?OLD","!!!","")</f>
        <v/>
      </c>
      <c r="F3241" s="23" t="str">
        <f>IF(OR(E3241="",E3241="!!!"),"",IF(NOT(ISNA(VLOOKUP(E3241,E$1:E3240,1,FALSE()))),"OLD",IF(AND(E3241&lt;&gt;"",E3241&lt;&gt;"!!!"),"NEW","")))</f>
        <v> </v>
      </c>
      <c r="G3241" s="24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5" t="str">
        <f>IF(J3241&lt;&gt;1,"",IF(I3241="SBJ","CB","?"))</f>
        <v> </v>
      </c>
      <c r="I3241" s="26" t="str">
        <f>IF(OR(E3241="",E3241="!!!",F3241="NEW"),"",INDEX(B3240:B$2,-1+SUMPRODUCT(MAX(ROW(E3240:E$2)*(E3241=E3240:E$2)))))</f>
        <v> </v>
      </c>
      <c r="J3241" s="26" t="str">
        <f>IF(OR(E3241="",E3241="!!!",F3241="NEW"),"",COUNTBLANK(OFFSET(A$1,,,SUMPRODUCT(MAX(ROW(E$2:E3241)*(E3241=E$2:E3241)))))-COUNTBLANK(OFFSET(A$1,,,SUMPRODUCT(MAX(ROW(E$1:E3240)*(E2=E$1:E3240))))))</f>
        <v> </v>
      </c>
      <c r="K3241" s="26" t="str">
        <f>IF(OR(E3241="",E3241="!!!",F3241="NEW"),"",INDEX(J$1:J3240,SUMPRODUCT(MAX(ROW(E$1:E3240)*(E3241=E$1:E3240)))))</f>
        <v> </v>
      </c>
      <c r="L3241" s="27"/>
    </row>
    <row r="3242" spans="1:12">
      <c r="A3242" s="20" t="s">
        <v>1534</v>
      </c>
      <c r="E3242" s="22">
        <f>IF(D3242="?OLD","!!!","")</f>
        <v/>
      </c>
      <c r="F3242" s="23" t="str">
        <f>IF(OR(E3242="",E3242="!!!"),"",IF(NOT(ISNA(VLOOKUP(E3242,E$1:E3241,1,FALSE()))),"OLD",IF(AND(E3242&lt;&gt;"",E3242&lt;&gt;"!!!"),"NEW","")))</f>
        <v> </v>
      </c>
      <c r="G3242" s="24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5" t="str">
        <f>IF(J3242&lt;&gt;1,"",IF(I3242="SBJ","CB","?"))</f>
        <v> </v>
      </c>
      <c r="I3242" s="26" t="str">
        <f>IF(OR(E3242="",E3242="!!!",F3242="NEW"),"",INDEX(B3241:B$2,-1+SUMPRODUCT(MAX(ROW(E3241:E$2)*(E3242=E3241:E$2)))))</f>
        <v> </v>
      </c>
      <c r="J3242" s="26" t="str">
        <f>IF(OR(E3242="",E3242="!!!",F3242="NEW"),"",COUNTBLANK(OFFSET(A$1,,,SUMPRODUCT(MAX(ROW(E$2:E3242)*(E3242=E$2:E3242)))))-COUNTBLANK(OFFSET(A$1,,,SUMPRODUCT(MAX(ROW(E$1:E3241)*(E2=E$1:E3241))))))</f>
        <v> </v>
      </c>
      <c r="K3242" s="26" t="str">
        <f>IF(OR(E3242="",E3242="!!!",F3242="NEW"),"",INDEX(J$1:J3241,SUMPRODUCT(MAX(ROW(E$1:E3241)*(E3242=E$1:E3241)))))</f>
        <v> </v>
      </c>
      <c r="L3242" s="27"/>
    </row>
    <row r="3243" spans="1:12">
      <c r="A3243" s="20" t="s">
        <v>1133</v>
      </c>
      <c r="E3243" s="22">
        <f>IF(D3243="?OLD","!!!","")</f>
        <v/>
      </c>
      <c r="F3243" s="23" t="str">
        <f>IF(OR(E3243="",E3243="!!!"),"",IF(NOT(ISNA(VLOOKUP(E3243,E$1:E3242,1,FALSE()))),"OLD",IF(AND(E3243&lt;&gt;"",E3243&lt;&gt;"!!!"),"NEW","")))</f>
        <v> </v>
      </c>
      <c r="G3243" s="24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5" t="str">
        <f>IF(J3243&lt;&gt;1,"",IF(I3243="SBJ","CB","?"))</f>
        <v> </v>
      </c>
      <c r="I3243" s="26" t="str">
        <f>IF(OR(E3243="",E3243="!!!",F3243="NEW"),"",INDEX(B3242:B$2,-1+SUMPRODUCT(MAX(ROW(E3242:E$2)*(E3243=E3242:E$2)))))</f>
        <v> </v>
      </c>
      <c r="J3243" s="26" t="str">
        <f>IF(OR(E3243="",E3243="!!!",F3243="NEW"),"",COUNTBLANK(OFFSET(A$1,,,SUMPRODUCT(MAX(ROW(E$2:E3243)*(E3243=E$2:E3243)))))-COUNTBLANK(OFFSET(A$1,,,SUMPRODUCT(MAX(ROW(E$1:E3242)*(E2=E$1:E3242))))))</f>
        <v> </v>
      </c>
      <c r="K3243" s="26" t="str">
        <f>IF(OR(E3243="",E3243="!!!",F3243="NEW"),"",INDEX(J$1:J3242,SUMPRODUCT(MAX(ROW(E$1:E3242)*(E3243=E$1:E3242)))))</f>
        <v> </v>
      </c>
      <c r="L3243" s="27"/>
    </row>
    <row r="3244" spans="1:12">
      <c r="A3244" s="20" t="s">
        <v>2259</v>
      </c>
      <c r="B3244" s="21" t="s">
        <v>1011</v>
      </c>
      <c r="C3244" s="21" t="s">
        <v>996</v>
      </c>
      <c r="D3244" s="21" t="s">
        <v>972</v>
      </c>
      <c r="E3244" s="22">
        <f>IF(D3244="?OLD","!!!","")</f>
        <v/>
      </c>
      <c r="F3244" s="23" t="str">
        <f>IF(OR(E3244="",E3244="!!!"),"",IF(NOT(ISNA(VLOOKUP(E3244,E$1:E3243,1,FALSE()))),"OLD",IF(AND(E3244&lt;&gt;"",E3244&lt;&gt;"!!!"),"NEW","")))</f>
        <v> </v>
      </c>
      <c r="G3244" s="24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5" t="str">
        <f>IF(J3244&lt;&gt;1,"",IF(I3244="SBJ","CB","?"))</f>
        <v> </v>
      </c>
      <c r="I3244" s="26" t="str">
        <f>IF(OR(E3244="",E3244="!!!",F3244="NEW"),"",INDEX(B3243:B$2,-1+SUMPRODUCT(MAX(ROW(E3243:E$2)*(E3244=E3243:E$2)))))</f>
        <v> </v>
      </c>
      <c r="J3244" s="26" t="str">
        <f>IF(OR(E3244="",E3244="!!!",F3244="NEW"),"",COUNTBLANK(OFFSET(A$1,,,SUMPRODUCT(MAX(ROW(E$2:E3244)*(E3244=E$2:E3244)))))-COUNTBLANK(OFFSET(A$1,,,SUMPRODUCT(MAX(ROW(E$1:E3243)*(E2=E$1:E3243))))))</f>
        <v> </v>
      </c>
      <c r="K3244" s="26" t="str">
        <f>IF(OR(E3244="",E3244="!!!",F3244="NEW"),"",INDEX(J$1:J3243,SUMPRODUCT(MAX(ROW(E$1:E3243)*(E3244=E$1:E3243)))))</f>
        <v> </v>
      </c>
      <c r="L3244" s="27"/>
    </row>
    <row r="3245" spans="1:12">
      <c r="A3245" s="20" t="s">
        <v>2260</v>
      </c>
      <c r="E3245" s="22">
        <f>IF(D3245="?OLD","!!!","")</f>
        <v/>
      </c>
      <c r="F3245" s="23" t="str">
        <f>IF(OR(E3245="",E3245="!!!"),"",IF(NOT(ISNA(VLOOKUP(E3245,E$1:E3244,1,FALSE()))),"OLD",IF(AND(E3245&lt;&gt;"",E3245&lt;&gt;"!!!"),"NEW","")))</f>
        <v> </v>
      </c>
      <c r="G3245" s="24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5" t="str">
        <f>IF(J3245&lt;&gt;1,"",IF(I3245="SBJ","CB","?"))</f>
        <v> </v>
      </c>
      <c r="I3245" s="26" t="str">
        <f>IF(OR(E3245="",E3245="!!!",F3245="NEW"),"",INDEX(B3244:B$2,-1+SUMPRODUCT(MAX(ROW(E3244:E$2)*(E3245=E3244:E$2)))))</f>
        <v> </v>
      </c>
      <c r="J3245" s="26" t="str">
        <f>IF(OR(E3245="",E3245="!!!",F3245="NEW"),"",COUNTBLANK(OFFSET(A$1,,,SUMPRODUCT(MAX(ROW(E$2:E3245)*(E3245=E$2:E3245)))))-COUNTBLANK(OFFSET(A$1,,,SUMPRODUCT(MAX(ROW(E$1:E3244)*(E2=E$1:E3244))))))</f>
        <v> </v>
      </c>
      <c r="K3245" s="26" t="str">
        <f>IF(OR(E3245="",E3245="!!!",F3245="NEW"),"",INDEX(J$1:J3244,SUMPRODUCT(MAX(ROW(E$1:E3244)*(E3245=E$1:E3244)))))</f>
        <v> </v>
      </c>
      <c r="L3245" s="27"/>
    </row>
    <row r="3246" spans="1:12">
      <c r="A3246" s="20" t="s">
        <v>1277</v>
      </c>
      <c r="E3246" s="22">
        <f>IF(D3246="?OLD","!!!","")</f>
        <v/>
      </c>
      <c r="F3246" s="23" t="str">
        <f>IF(OR(E3246="",E3246="!!!"),"",IF(NOT(ISNA(VLOOKUP(E3246,E$1:E3245,1,FALSE()))),"OLD",IF(AND(E3246&lt;&gt;"",E3246&lt;&gt;"!!!"),"NEW","")))</f>
        <v> </v>
      </c>
      <c r="G3246" s="24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5" t="str">
        <f>IF(J3246&lt;&gt;1,"",IF(I3246="SBJ","CB","?"))</f>
        <v> </v>
      </c>
      <c r="I3246" s="26" t="str">
        <f>IF(OR(E3246="",E3246="!!!",F3246="NEW"),"",INDEX(B3245:B$2,-1+SUMPRODUCT(MAX(ROW(E3245:E$2)*(E3246=E3245:E$2)))))</f>
        <v> </v>
      </c>
      <c r="J3246" s="26" t="str">
        <f>IF(OR(E3246="",E3246="!!!",F3246="NEW"),"",COUNTBLANK(OFFSET(A$1,,,SUMPRODUCT(MAX(ROW(E$2:E3246)*(E3246=E$2:E3246)))))-COUNTBLANK(OFFSET(A$1,,,SUMPRODUCT(MAX(ROW(E$1:E3245)*(E2=E$1:E3245))))))</f>
        <v> </v>
      </c>
      <c r="K3246" s="26" t="str">
        <f>IF(OR(E3246="",E3246="!!!",F3246="NEW"),"",INDEX(J$1:J3245,SUMPRODUCT(MAX(ROW(E$1:E3245)*(E3246=E$1:E3245)))))</f>
        <v> </v>
      </c>
      <c r="L3246" s="27"/>
    </row>
    <row r="3247" spans="1:12">
      <c r="A3247" s="20" t="s">
        <v>1015</v>
      </c>
      <c r="E3247" s="22">
        <f>IF(D3247="?OLD","!!!","")</f>
        <v/>
      </c>
      <c r="F3247" s="23" t="str">
        <f>IF(OR(E3247="",E3247="!!!"),"",IF(NOT(ISNA(VLOOKUP(E3247,E$1:E3246,1,FALSE()))),"OLD",IF(AND(E3247&lt;&gt;"",E3247&lt;&gt;"!!!"),"NEW","")))</f>
        <v> </v>
      </c>
      <c r="G3247" s="24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5" t="str">
        <f>IF(J3247&lt;&gt;1,"",IF(I3247="SBJ","CB","?"))</f>
        <v> </v>
      </c>
      <c r="I3247" s="26" t="str">
        <f>IF(OR(E3247="",E3247="!!!",F3247="NEW"),"",INDEX(B3246:B$2,-1+SUMPRODUCT(MAX(ROW(E3246:E$2)*(E3247=E3246:E$2)))))</f>
        <v> </v>
      </c>
      <c r="J3247" s="26" t="str">
        <f>IF(OR(E3247="",E3247="!!!",F3247="NEW"),"",COUNTBLANK(OFFSET(A$1,,,SUMPRODUCT(MAX(ROW(E$2:E3247)*(E3247=E$2:E3247)))))-COUNTBLANK(OFFSET(A$1,,,SUMPRODUCT(MAX(ROW(E$1:E3246)*(E2=E$1:E3246))))))</f>
        <v> </v>
      </c>
      <c r="K3247" s="26" t="str">
        <f>IF(OR(E3247="",E3247="!!!",F3247="NEW"),"",INDEX(J$1:J3246,SUMPRODUCT(MAX(ROW(E$1:E3246)*(E3247=E$1:E3246)))))</f>
        <v> </v>
      </c>
      <c r="L3247" s="27"/>
    </row>
    <row r="3248" spans="1:12">
      <c r="A3248" s="20" t="s">
        <v>979</v>
      </c>
      <c r="E3248" s="22">
        <f>IF(D3248="?OLD","!!!","")</f>
        <v/>
      </c>
      <c r="F3248" s="23" t="str">
        <f>IF(OR(E3248="",E3248="!!!"),"",IF(NOT(ISNA(VLOOKUP(E3248,E$1:E3247,1,FALSE()))),"OLD",IF(AND(E3248&lt;&gt;"",E3248&lt;&gt;"!!!"),"NEW","")))</f>
        <v> </v>
      </c>
      <c r="G3248" s="24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5" t="str">
        <f>IF(J3248&lt;&gt;1,"",IF(I3248="SBJ","CB","?"))</f>
        <v> </v>
      </c>
      <c r="I3248" s="26" t="str">
        <f>IF(OR(E3248="",E3248="!!!",F3248="NEW"),"",INDEX(B3247:B$2,-1+SUMPRODUCT(MAX(ROW(E3247:E$2)*(E3248=E3247:E$2)))))</f>
        <v> </v>
      </c>
      <c r="J3248" s="26" t="str">
        <f>IF(OR(E3248="",E3248="!!!",F3248="NEW"),"",COUNTBLANK(OFFSET(A$1,,,SUMPRODUCT(MAX(ROW(E$2:E3248)*(E3248=E$2:E3248)))))-COUNTBLANK(OFFSET(A$1,,,SUMPRODUCT(MAX(ROW(E$1:E3247)*(E2=E$1:E3247))))))</f>
        <v> </v>
      </c>
      <c r="K3248" s="26" t="str">
        <f>IF(OR(E3248="",E3248="!!!",F3248="NEW"),"",INDEX(J$1:J3247,SUMPRODUCT(MAX(ROW(E$1:E3247)*(E3248=E$1:E3247)))))</f>
        <v> </v>
      </c>
      <c r="L3248" s="27"/>
    </row>
    <row r="3249" spans="1:12">
      <c r="A3249" s="20"/>
    </row>
    <row r="3250" spans="1:12">
      <c r="A3250" s="20" t="s">
        <v>2261</v>
      </c>
    </row>
    <row r="3251" spans="1:12">
      <c r="A3251" s="20" t="s">
        <v>1502</v>
      </c>
      <c r="B3251" s="21" t="s">
        <v>975</v>
      </c>
      <c r="C3251" s="21" t="s">
        <v>971</v>
      </c>
      <c r="D3251" s="21" t="s">
        <v>972</v>
      </c>
      <c r="E3251" s="22">
        <f>IF(D3251="?OLD","!!!","")</f>
        <v/>
      </c>
      <c r="F3251" s="23" t="str">
        <f>IF(OR(E3251="",E3251="!!!"),"",IF(NOT(ISNA(VLOOKUP(E3251,E$1:E3250,1,FALSE()))),"OLD",IF(AND(E3251&lt;&gt;"",E3251&lt;&gt;"!!!"),"NEW","")))</f>
        <v> </v>
      </c>
      <c r="G3251" s="24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5" t="str">
        <f>IF(J3251&lt;&gt;1,"",IF(I3251="SBJ","CB","?"))</f>
        <v> </v>
      </c>
      <c r="I3251" s="26" t="str">
        <f>IF(OR(E3251="",E3251="!!!",F3251="NEW"),"",INDEX(B3250:B$2,-1+SUMPRODUCT(MAX(ROW(E3250:E$2)*(E3251=E3250:E$2)))))</f>
        <v> </v>
      </c>
      <c r="J3251" s="26" t="str">
        <f>IF(OR(E3251="",E3251="!!!",F3251="NEW"),"",COUNTBLANK(OFFSET(A$1,,,SUMPRODUCT(MAX(ROW(E$2:E3251)*(E3251=E$2:E3251)))))-COUNTBLANK(OFFSET(A$1,,,SUMPRODUCT(MAX(ROW(E$1:E3250)*(E2=E$1:E3250))))))</f>
        <v> </v>
      </c>
      <c r="K3251" s="26" t="str">
        <f>IF(OR(E3251="",E3251="!!!",F3251="NEW"),"",INDEX(J$1:J3250,SUMPRODUCT(MAX(ROW(E$1:E3250)*(E3251=E$1:E3250)))))</f>
        <v> </v>
      </c>
      <c r="L3251" s="27"/>
    </row>
    <row r="3252" spans="1:12">
      <c r="A3252" s="20" t="s">
        <v>2262</v>
      </c>
      <c r="E3252" s="22">
        <f>IF(D3252="?OLD","!!!","")</f>
        <v/>
      </c>
      <c r="F3252" s="23" t="str">
        <f>IF(OR(E3252="",E3252="!!!"),"",IF(NOT(ISNA(VLOOKUP(E3252,E$1:E3251,1,FALSE()))),"OLD",IF(AND(E3252&lt;&gt;"",E3252&lt;&gt;"!!!"),"NEW","")))</f>
        <v> </v>
      </c>
      <c r="G3252" s="24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5" t="str">
        <f>IF(J3252&lt;&gt;1,"",IF(I3252="SBJ","CB","?"))</f>
        <v> </v>
      </c>
      <c r="I3252" s="26" t="str">
        <f>IF(OR(E3252="",E3252="!!!",F3252="NEW"),"",INDEX(B3251:B$2,-1+SUMPRODUCT(MAX(ROW(E3251:E$2)*(E3252=E3251:E$2)))))</f>
        <v> </v>
      </c>
      <c r="J3252" s="26" t="str">
        <f>IF(OR(E3252="",E3252="!!!",F3252="NEW"),"",COUNTBLANK(OFFSET(A$1,,,SUMPRODUCT(MAX(ROW(E$2:E3252)*(E3252=E$2:E3252)))))-COUNTBLANK(OFFSET(A$1,,,SUMPRODUCT(MAX(ROW(E$1:E3251)*(E2=E$1:E3251))))))</f>
        <v> </v>
      </c>
      <c r="K3252" s="26" t="str">
        <f>IF(OR(E3252="",E3252="!!!",F3252="NEW"),"",INDEX(J$1:J3251,SUMPRODUCT(MAX(ROW(E$1:E3251)*(E3252=E$1:E3251)))))</f>
        <v> </v>
      </c>
      <c r="L3252" s="27"/>
    </row>
    <row r="3253" spans="1:12">
      <c r="A3253" s="20" t="s">
        <v>2263</v>
      </c>
      <c r="B3253" s="21" t="s">
        <v>970</v>
      </c>
      <c r="E3253" s="22">
        <f>IF(D3253="?OLD","!!!","")</f>
        <v/>
      </c>
      <c r="F3253" s="23" t="str">
        <f>IF(OR(E3253="",E3253="!!!"),"",IF(NOT(ISNA(VLOOKUP(E3253,E$1:E3252,1,FALSE()))),"OLD",IF(AND(E3253&lt;&gt;"",E3253&lt;&gt;"!!!"),"NEW","")))</f>
        <v> </v>
      </c>
      <c r="G3253" s="24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5" t="str">
        <f>IF(J3253&lt;&gt;1,"",IF(I3253="SBJ","CB","?"))</f>
        <v> </v>
      </c>
      <c r="I3253" s="26" t="str">
        <f>IF(OR(E3253="",E3253="!!!",F3253="NEW"),"",INDEX(B3252:B$2,-1+SUMPRODUCT(MAX(ROW(E3252:E$2)*(E3253=E3252:E$2)))))</f>
        <v> </v>
      </c>
      <c r="J3253" s="26" t="str">
        <f>IF(OR(E3253="",E3253="!!!",F3253="NEW"),"",COUNTBLANK(OFFSET(A$1,,,SUMPRODUCT(MAX(ROW(E$2:E3253)*(E3253=E$2:E3253)))))-COUNTBLANK(OFFSET(A$1,,,SUMPRODUCT(MAX(ROW(E$1:E3252)*(E2=E$1:E3252))))))</f>
        <v> </v>
      </c>
      <c r="K3253" s="26" t="str">
        <f>IF(OR(E3253="",E3253="!!!",F3253="NEW"),"",INDEX(J$1:J3252,SUMPRODUCT(MAX(ROW(E$1:E3252)*(E3253=E$1:E3252)))))</f>
        <v> </v>
      </c>
      <c r="L3253" s="27"/>
    </row>
    <row r="3254" spans="1:12">
      <c r="A3254" s="20" t="s">
        <v>2264</v>
      </c>
      <c r="E3254" s="22">
        <f>IF(D3254="?OLD","!!!","")</f>
        <v/>
      </c>
      <c r="F3254" s="23" t="str">
        <f>IF(OR(E3254="",E3254="!!!"),"",IF(NOT(ISNA(VLOOKUP(E3254,E$1:E3253,1,FALSE()))),"OLD",IF(AND(E3254&lt;&gt;"",E3254&lt;&gt;"!!!"),"NEW","")))</f>
        <v> </v>
      </c>
      <c r="G3254" s="24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5" t="str">
        <f>IF(J3254&lt;&gt;1,"",IF(I3254="SBJ","CB","?"))</f>
        <v> </v>
      </c>
      <c r="I3254" s="26" t="str">
        <f>IF(OR(E3254="",E3254="!!!",F3254="NEW"),"",INDEX(B3253:B$2,-1+SUMPRODUCT(MAX(ROW(E3253:E$2)*(E3254=E3253:E$2)))))</f>
        <v> </v>
      </c>
      <c r="J3254" s="26" t="str">
        <f>IF(OR(E3254="",E3254="!!!",F3254="NEW"),"",COUNTBLANK(OFFSET(A$1,,,SUMPRODUCT(MAX(ROW(E$2:E3254)*(E3254=E$2:E3254)))))-COUNTBLANK(OFFSET(A$1,,,SUMPRODUCT(MAX(ROW(E$1:E3253)*(E2=E$1:E3253))))))</f>
        <v> </v>
      </c>
      <c r="K3254" s="26" t="str">
        <f>IF(OR(E3254="",E3254="!!!",F3254="NEW"),"",INDEX(J$1:J3253,SUMPRODUCT(MAX(ROW(E$1:E3253)*(E3254=E$1:E3253)))))</f>
        <v> </v>
      </c>
      <c r="L3254" s="27"/>
    </row>
    <row r="3255" spans="1:12">
      <c r="A3255" s="20" t="s">
        <v>987</v>
      </c>
      <c r="E3255" s="22">
        <f>IF(D3255="?OLD","!!!","")</f>
        <v/>
      </c>
      <c r="F3255" s="23" t="str">
        <f>IF(OR(E3255="",E3255="!!!"),"",IF(NOT(ISNA(VLOOKUP(E3255,E$1:E3254,1,FALSE()))),"OLD",IF(AND(E3255&lt;&gt;"",E3255&lt;&gt;"!!!"),"NEW","")))</f>
        <v> </v>
      </c>
      <c r="G3255" s="24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5" t="str">
        <f>IF(J3255&lt;&gt;1,"",IF(I3255="SBJ","CB","?"))</f>
        <v> </v>
      </c>
      <c r="I3255" s="26" t="str">
        <f>IF(OR(E3255="",E3255="!!!",F3255="NEW"),"",INDEX(B3254:B$2,-1+SUMPRODUCT(MAX(ROW(E3254:E$2)*(E3255=E3254:E$2)))))</f>
        <v> </v>
      </c>
      <c r="J3255" s="26" t="str">
        <f>IF(OR(E3255="",E3255="!!!",F3255="NEW"),"",COUNTBLANK(OFFSET(A$1,,,SUMPRODUCT(MAX(ROW(E$2:E3255)*(E3255=E$2:E3255)))))-COUNTBLANK(OFFSET(A$1,,,SUMPRODUCT(MAX(ROW(E$1:E3254)*(E2=E$1:E3254))))))</f>
        <v> </v>
      </c>
      <c r="K3255" s="26" t="str">
        <f>IF(OR(E3255="",E3255="!!!",F3255="NEW"),"",INDEX(J$1:J3254,SUMPRODUCT(MAX(ROW(E$1:E3254)*(E3255=E$1:E3254)))))</f>
        <v> </v>
      </c>
      <c r="L3255" s="27"/>
    </row>
    <row r="3256" spans="1:12">
      <c r="A3256" s="20" t="s">
        <v>2265</v>
      </c>
      <c r="E3256" s="22">
        <f>IF(D3256="?OLD","!!!","")</f>
        <v/>
      </c>
      <c r="F3256" s="23" t="str">
        <f>IF(OR(E3256="",E3256="!!!"),"",IF(NOT(ISNA(VLOOKUP(E3256,E$1:E3255,1,FALSE()))),"OLD",IF(AND(E3256&lt;&gt;"",E3256&lt;&gt;"!!!"),"NEW","")))</f>
        <v> </v>
      </c>
      <c r="G3256" s="24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5" t="str">
        <f>IF(J3256&lt;&gt;1,"",IF(I3256="SBJ","CB","?"))</f>
        <v> </v>
      </c>
      <c r="I3256" s="26" t="str">
        <f>IF(OR(E3256="",E3256="!!!",F3256="NEW"),"",INDEX(B3255:B$2,-1+SUMPRODUCT(MAX(ROW(E3255:E$2)*(E3256=E3255:E$2)))))</f>
        <v> </v>
      </c>
      <c r="J3256" s="26" t="str">
        <f>IF(OR(E3256="",E3256="!!!",F3256="NEW"),"",COUNTBLANK(OFFSET(A$1,,,SUMPRODUCT(MAX(ROW(E$2:E3256)*(E3256=E$2:E3256)))))-COUNTBLANK(OFFSET(A$1,,,SUMPRODUCT(MAX(ROW(E$1:E3255)*(E2=E$1:E3255))))))</f>
        <v> </v>
      </c>
      <c r="K3256" s="26" t="str">
        <f>IF(OR(E3256="",E3256="!!!",F3256="NEW"),"",INDEX(J$1:J3255,SUMPRODUCT(MAX(ROW(E$1:E3255)*(E3256=E$1:E3255)))))</f>
        <v> </v>
      </c>
      <c r="L3256" s="27"/>
    </row>
    <row r="3257" spans="1:12">
      <c r="A3257" s="20" t="s">
        <v>2266</v>
      </c>
      <c r="E3257" s="22">
        <f>IF(D3257="?OLD","!!!","")</f>
        <v/>
      </c>
      <c r="F3257" s="23" t="str">
        <f>IF(OR(E3257="",E3257="!!!"),"",IF(NOT(ISNA(VLOOKUP(E3257,E$1:E3256,1,FALSE()))),"OLD",IF(AND(E3257&lt;&gt;"",E3257&lt;&gt;"!!!"),"NEW","")))</f>
        <v> </v>
      </c>
      <c r="G3257" s="24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5" t="str">
        <f>IF(J3257&lt;&gt;1,"",IF(I3257="SBJ","CB","?"))</f>
        <v> </v>
      </c>
      <c r="I3257" s="26" t="str">
        <f>IF(OR(E3257="",E3257="!!!",F3257="NEW"),"",INDEX(B3256:B$2,-1+SUMPRODUCT(MAX(ROW(E3256:E$2)*(E3257=E3256:E$2)))))</f>
        <v> </v>
      </c>
      <c r="J3257" s="26" t="str">
        <f>IF(OR(E3257="",E3257="!!!",F3257="NEW"),"",COUNTBLANK(OFFSET(A$1,,,SUMPRODUCT(MAX(ROW(E$2:E3257)*(E3257=E$2:E3257)))))-COUNTBLANK(OFFSET(A$1,,,SUMPRODUCT(MAX(ROW(E$1:E3256)*(E2=E$1:E3256))))))</f>
        <v> </v>
      </c>
      <c r="K3257" s="26" t="str">
        <f>IF(OR(E3257="",E3257="!!!",F3257="NEW"),"",INDEX(J$1:J3256,SUMPRODUCT(MAX(ROW(E$1:E3256)*(E3257=E$1:E3256)))))</f>
        <v> </v>
      </c>
      <c r="L3257" s="27"/>
    </row>
    <row r="3258" spans="1:12">
      <c r="A3258" s="20" t="s">
        <v>1004</v>
      </c>
      <c r="E3258" s="22">
        <f>IF(D3258="?OLD","!!!","")</f>
        <v/>
      </c>
      <c r="F3258" s="23" t="str">
        <f>IF(OR(E3258="",E3258="!!!"),"",IF(NOT(ISNA(VLOOKUP(E3258,E$1:E3257,1,FALSE()))),"OLD",IF(AND(E3258&lt;&gt;"",E3258&lt;&gt;"!!!"),"NEW","")))</f>
        <v> </v>
      </c>
      <c r="G3258" s="24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5" t="str">
        <f>IF(J3258&lt;&gt;1,"",IF(I3258="SBJ","CB","?"))</f>
        <v> </v>
      </c>
      <c r="I3258" s="26" t="str">
        <f>IF(OR(E3258="",E3258="!!!",F3258="NEW"),"",INDEX(B3257:B$2,-1+SUMPRODUCT(MAX(ROW(E3257:E$2)*(E3258=E3257:E$2)))))</f>
        <v> </v>
      </c>
      <c r="J3258" s="26" t="str">
        <f>IF(OR(E3258="",E3258="!!!",F3258="NEW"),"",COUNTBLANK(OFFSET(A$1,,,SUMPRODUCT(MAX(ROW(E$2:E3258)*(E3258=E$2:E3258)))))-COUNTBLANK(OFFSET(A$1,,,SUMPRODUCT(MAX(ROW(E$1:E3257)*(E2=E$1:E3257))))))</f>
        <v> </v>
      </c>
      <c r="K3258" s="26" t="str">
        <f>IF(OR(E3258="",E3258="!!!",F3258="NEW"),"",INDEX(J$1:J3257,SUMPRODUCT(MAX(ROW(E$1:E3257)*(E3258=E$1:E3257)))))</f>
        <v> </v>
      </c>
      <c r="L3258" s="27"/>
    </row>
    <row r="3259" spans="1:12">
      <c r="A3259" s="20" t="s">
        <v>979</v>
      </c>
      <c r="E3259" s="22">
        <f>IF(D3259="?OLD","!!!","")</f>
        <v/>
      </c>
      <c r="F3259" s="23" t="str">
        <f>IF(OR(E3259="",E3259="!!!"),"",IF(NOT(ISNA(VLOOKUP(E3259,E$1:E3258,1,FALSE()))),"OLD",IF(AND(E3259&lt;&gt;"",E3259&lt;&gt;"!!!"),"NEW","")))</f>
        <v> </v>
      </c>
      <c r="G3259" s="24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5" t="str">
        <f>IF(J3259&lt;&gt;1,"",IF(I3259="SBJ","CB","?"))</f>
        <v> </v>
      </c>
      <c r="I3259" s="26" t="str">
        <f>IF(OR(E3259="",E3259="!!!",F3259="NEW"),"",INDEX(B3258:B$2,-1+SUMPRODUCT(MAX(ROW(E3258:E$2)*(E3259=E3258:E$2)))))</f>
        <v> </v>
      </c>
      <c r="J3259" s="26" t="str">
        <f>IF(OR(E3259="",E3259="!!!",F3259="NEW"),"",COUNTBLANK(OFFSET(A$1,,,SUMPRODUCT(MAX(ROW(E$2:E3259)*(E3259=E$2:E3259)))))-COUNTBLANK(OFFSET(A$1,,,SUMPRODUCT(MAX(ROW(E$1:E3258)*(E2=E$1:E3258))))))</f>
        <v> </v>
      </c>
      <c r="K3259" s="26" t="str">
        <f>IF(OR(E3259="",E3259="!!!",F3259="NEW"),"",INDEX(J$1:J3258,SUMPRODUCT(MAX(ROW(E$1:E3258)*(E3259=E$1:E3258)))))</f>
        <v> </v>
      </c>
      <c r="L3259" s="27"/>
    </row>
    <row r="3260" spans="1:12">
      <c r="A3260" s="20"/>
    </row>
    <row r="3261" spans="1:12">
      <c r="A3261" s="20" t="s">
        <v>2267</v>
      </c>
    </row>
    <row r="3262" spans="1:12">
      <c r="A3262" s="20" t="s">
        <v>1273</v>
      </c>
      <c r="E3262" s="22">
        <f>IF(D3262="?OLD","!!!","")</f>
        <v/>
      </c>
      <c r="F3262" s="23" t="str">
        <f>IF(OR(E3262="",E3262="!!!"),"",IF(NOT(ISNA(VLOOKUP(E3262,E$1:E3261,1,FALSE()))),"OLD",IF(AND(E3262&lt;&gt;"",E3262&lt;&gt;"!!!"),"NEW","")))</f>
        <v> </v>
      </c>
      <c r="G3262" s="24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5" t="str">
        <f>IF(J3262&lt;&gt;1,"",IF(I3262="SBJ","CB","?"))</f>
        <v> </v>
      </c>
      <c r="I3262" s="26" t="str">
        <f>IF(OR(E3262="",E3262="!!!",F3262="NEW"),"",INDEX(B3261:B$2,-1+SUMPRODUCT(MAX(ROW(E3261:E$2)*(E3262=E3261:E$2)))))</f>
        <v> </v>
      </c>
      <c r="J3262" s="26" t="str">
        <f>IF(OR(E3262="",E3262="!!!",F3262="NEW"),"",COUNTBLANK(OFFSET(A$1,,,SUMPRODUCT(MAX(ROW(E$2:E3262)*(E3262=E$2:E3262)))))-COUNTBLANK(OFFSET(A$1,,,SUMPRODUCT(MAX(ROW(E$1:E3261)*(E2=E$1:E3261))))))</f>
        <v> </v>
      </c>
      <c r="K3262" s="26" t="str">
        <f>IF(OR(E3262="",E3262="!!!",F3262="NEW"),"",INDEX(J$1:J3261,SUMPRODUCT(MAX(ROW(E$1:E3261)*(E3262=E$1:E3261)))))</f>
        <v> </v>
      </c>
      <c r="L3262" s="27"/>
    </row>
    <row r="3263" spans="1:12">
      <c r="A3263" s="20" t="s">
        <v>2268</v>
      </c>
      <c r="E3263" s="22">
        <f>IF(D3263="?OLD","!!!","")</f>
        <v/>
      </c>
      <c r="F3263" s="23" t="str">
        <f>IF(OR(E3263="",E3263="!!!"),"",IF(NOT(ISNA(VLOOKUP(E3263,E$1:E3262,1,FALSE()))),"OLD",IF(AND(E3263&lt;&gt;"",E3263&lt;&gt;"!!!"),"NEW","")))</f>
        <v> </v>
      </c>
      <c r="G3263" s="24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5" t="str">
        <f>IF(J3263&lt;&gt;1,"",IF(I3263="SBJ","CB","?"))</f>
        <v> </v>
      </c>
      <c r="I3263" s="26" t="str">
        <f>IF(OR(E3263="",E3263="!!!",F3263="NEW"),"",INDEX(B3262:B$2,-1+SUMPRODUCT(MAX(ROW(E3262:E$2)*(E3263=E3262:E$2)))))</f>
        <v> </v>
      </c>
      <c r="J3263" s="26" t="str">
        <f>IF(OR(E3263="",E3263="!!!",F3263="NEW"),"",COUNTBLANK(OFFSET(A$1,,,SUMPRODUCT(MAX(ROW(E$2:E3263)*(E3263=E$2:E3263)))))-COUNTBLANK(OFFSET(A$1,,,SUMPRODUCT(MAX(ROW(E$1:E3262)*(E2=E$1:E3262))))))</f>
        <v> </v>
      </c>
      <c r="K3263" s="26" t="str">
        <f>IF(OR(E3263="",E3263="!!!",F3263="NEW"),"",INDEX(J$1:J3262,SUMPRODUCT(MAX(ROW(E$1:E3262)*(E3263=E$1:E3262)))))</f>
        <v> </v>
      </c>
      <c r="L3263" s="27"/>
    </row>
    <row r="3264" spans="1:12">
      <c r="A3264" s="20" t="s">
        <v>1090</v>
      </c>
      <c r="B3264" s="21" t="s">
        <v>975</v>
      </c>
      <c r="C3264" s="21" t="s">
        <v>971</v>
      </c>
      <c r="D3264" s="21" t="s">
        <v>972</v>
      </c>
      <c r="E3264" s="22">
        <f>IF(D3264="?OLD","!!!","")</f>
        <v/>
      </c>
      <c r="F3264" s="23" t="str">
        <f>IF(OR(E3264="",E3264="!!!"),"",IF(NOT(ISNA(VLOOKUP(E3264,E$1:E3263,1,FALSE()))),"OLD",IF(AND(E3264&lt;&gt;"",E3264&lt;&gt;"!!!"),"NEW","")))</f>
        <v> </v>
      </c>
      <c r="G3264" s="24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5" t="str">
        <f>IF(J3264&lt;&gt;1,"",IF(I3264="SBJ","CB","?"))</f>
        <v> </v>
      </c>
      <c r="I3264" s="26" t="str">
        <f>IF(OR(E3264="",E3264="!!!",F3264="NEW"),"",INDEX(B3263:B$2,-1+SUMPRODUCT(MAX(ROW(E3263:E$2)*(E3264=E3263:E$2)))))</f>
        <v> </v>
      </c>
      <c r="J3264" s="26" t="str">
        <f>IF(OR(E3264="",E3264="!!!",F3264="NEW"),"",COUNTBLANK(OFFSET(A$1,,,SUMPRODUCT(MAX(ROW(E$2:E3264)*(E3264=E$2:E3264)))))-COUNTBLANK(OFFSET(A$1,,,SUMPRODUCT(MAX(ROW(E$1:E3263)*(E2=E$1:E3263))))))</f>
        <v> </v>
      </c>
      <c r="K3264" s="26" t="str">
        <f>IF(OR(E3264="",E3264="!!!",F3264="NEW"),"",INDEX(J$1:J3263,SUMPRODUCT(MAX(ROW(E$1:E3263)*(E3264=E$1:E3263)))))</f>
        <v> </v>
      </c>
      <c r="L3264" s="27"/>
    </row>
    <row r="3265" spans="1:12">
      <c r="A3265" s="20" t="s">
        <v>2269</v>
      </c>
      <c r="E3265" s="22">
        <f>IF(D3265="?OLD","!!!","")</f>
        <v/>
      </c>
      <c r="F3265" s="23" t="str">
        <f>IF(OR(E3265="",E3265="!!!"),"",IF(NOT(ISNA(VLOOKUP(E3265,E$1:E3264,1,FALSE()))),"OLD",IF(AND(E3265&lt;&gt;"",E3265&lt;&gt;"!!!"),"NEW","")))</f>
        <v> </v>
      </c>
      <c r="G3265" s="24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5" t="str">
        <f>IF(J3265&lt;&gt;1,"",IF(I3265="SBJ","CB","?"))</f>
        <v> </v>
      </c>
      <c r="I3265" s="26" t="str">
        <f>IF(OR(E3265="",E3265="!!!",F3265="NEW"),"",INDEX(B3264:B$2,-1+SUMPRODUCT(MAX(ROW(E3264:E$2)*(E3265=E3264:E$2)))))</f>
        <v> </v>
      </c>
      <c r="J3265" s="26" t="str">
        <f>IF(OR(E3265="",E3265="!!!",F3265="NEW"),"",COUNTBLANK(OFFSET(A$1,,,SUMPRODUCT(MAX(ROW(E$2:E3265)*(E3265=E$2:E3265)))))-COUNTBLANK(OFFSET(A$1,,,SUMPRODUCT(MAX(ROW(E$1:E3264)*(E2=E$1:E3264))))))</f>
        <v> </v>
      </c>
      <c r="K3265" s="26" t="str">
        <f>IF(OR(E3265="",E3265="!!!",F3265="NEW"),"",INDEX(J$1:J3264,SUMPRODUCT(MAX(ROW(E$1:E3264)*(E3265=E$1:E3264)))))</f>
        <v> </v>
      </c>
      <c r="L3265" s="27"/>
    </row>
    <row r="3266" spans="1:12">
      <c r="A3266" s="20" t="s">
        <v>1444</v>
      </c>
      <c r="E3266" s="22">
        <f>IF(D3266="?OLD","!!!","")</f>
        <v/>
      </c>
      <c r="F3266" s="23" t="str">
        <f>IF(OR(E3266="",E3266="!!!"),"",IF(NOT(ISNA(VLOOKUP(E3266,E$1:E3265,1,FALSE()))),"OLD",IF(AND(E3266&lt;&gt;"",E3266&lt;&gt;"!!!"),"NEW","")))</f>
        <v> </v>
      </c>
      <c r="G3266" s="24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5" t="str">
        <f>IF(J3266&lt;&gt;1,"",IF(I3266="SBJ","CB","?"))</f>
        <v> </v>
      </c>
      <c r="I3266" s="26" t="str">
        <f>IF(OR(E3266="",E3266="!!!",F3266="NEW"),"",INDEX(B3265:B$2,-1+SUMPRODUCT(MAX(ROW(E3265:E$2)*(E3266=E3265:E$2)))))</f>
        <v> </v>
      </c>
      <c r="J3266" s="26" t="str">
        <f>IF(OR(E3266="",E3266="!!!",F3266="NEW"),"",COUNTBLANK(OFFSET(A$1,,,SUMPRODUCT(MAX(ROW(E$2:E3266)*(E3266=E$2:E3266)))))-COUNTBLANK(OFFSET(A$1,,,SUMPRODUCT(MAX(ROW(E$1:E3265)*(E2=E$1:E3265))))))</f>
        <v> </v>
      </c>
      <c r="K3266" s="26" t="str">
        <f>IF(OR(E3266="",E3266="!!!",F3266="NEW"),"",INDEX(J$1:J3265,SUMPRODUCT(MAX(ROW(E$1:E3265)*(E3266=E$1:E3265)))))</f>
        <v> </v>
      </c>
      <c r="L3266" s="27"/>
    </row>
    <row r="3267" spans="1:12">
      <c r="A3267" s="20" t="s">
        <v>92</v>
      </c>
      <c r="E3267" s="22">
        <f>IF(D3267="?OLD","!!!","")</f>
        <v/>
      </c>
      <c r="F3267" s="23" t="str">
        <f>IF(OR(E3267="",E3267="!!!"),"",IF(NOT(ISNA(VLOOKUP(E3267,E$1:E3266,1,FALSE()))),"OLD",IF(AND(E3267&lt;&gt;"",E3267&lt;&gt;"!!!"),"NEW","")))</f>
        <v> </v>
      </c>
      <c r="G3267" s="24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5" t="str">
        <f>IF(J3267&lt;&gt;1,"",IF(I3267="SBJ","CB","?"))</f>
        <v> </v>
      </c>
      <c r="I3267" s="26" t="str">
        <f>IF(OR(E3267="",E3267="!!!",F3267="NEW"),"",INDEX(B3266:B$2,-1+SUMPRODUCT(MAX(ROW(E3266:E$2)*(E3267=E3266:E$2)))))</f>
        <v> </v>
      </c>
      <c r="J3267" s="26" t="str">
        <f>IF(OR(E3267="",E3267="!!!",F3267="NEW"),"",COUNTBLANK(OFFSET(A$1,,,SUMPRODUCT(MAX(ROW(E$2:E3267)*(E3267=E$2:E3267)))))-COUNTBLANK(OFFSET(A$1,,,SUMPRODUCT(MAX(ROW(E$1:E3266)*(E2=E$1:E3266))))))</f>
        <v> </v>
      </c>
      <c r="K3267" s="26" t="str">
        <f>IF(OR(E3267="",E3267="!!!",F3267="NEW"),"",INDEX(J$1:J3266,SUMPRODUCT(MAX(ROW(E$1:E3266)*(E3267=E$1:E3266)))))</f>
        <v> </v>
      </c>
      <c r="L3267" s="27"/>
    </row>
    <row r="3268" spans="1:12">
      <c r="A3268" s="20" t="s">
        <v>1138</v>
      </c>
      <c r="B3268" s="21" t="s">
        <v>978</v>
      </c>
      <c r="C3268" s="21" t="s">
        <v>991</v>
      </c>
      <c r="E3268" s="22">
        <f>IF(D3268="?OLD","!!!","")</f>
        <v/>
      </c>
      <c r="F3268" s="23" t="str">
        <f>IF(OR(E3268="",E3268="!!!"),"",IF(NOT(ISNA(VLOOKUP(E3268,E$1:E3267,1,FALSE()))),"OLD",IF(AND(E3268&lt;&gt;"",E3268&lt;&gt;"!!!"),"NEW","")))</f>
        <v> </v>
      </c>
      <c r="G3268" s="24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5" t="str">
        <f>IF(J3268&lt;&gt;1,"",IF(I3268="SBJ","CB","?"))</f>
        <v> </v>
      </c>
      <c r="I3268" s="26" t="str">
        <f>IF(OR(E3268="",E3268="!!!",F3268="NEW"),"",INDEX(B3267:B$2,-1+SUMPRODUCT(MAX(ROW(E3267:E$2)*(E3268=E3267:E$2)))))</f>
        <v> </v>
      </c>
      <c r="J3268" s="26" t="str">
        <f>IF(OR(E3268="",E3268="!!!",F3268="NEW"),"",COUNTBLANK(OFFSET(A$1,,,SUMPRODUCT(MAX(ROW(E$2:E3268)*(E3268=E$2:E3268)))))-COUNTBLANK(OFFSET(A$1,,,SUMPRODUCT(MAX(ROW(E$1:E3267)*(E2=E$1:E3267))))))</f>
        <v> </v>
      </c>
      <c r="K3268" s="26" t="str">
        <f>IF(OR(E3268="",E3268="!!!",F3268="NEW"),"",INDEX(J$1:J3267,SUMPRODUCT(MAX(ROW(E$1:E3267)*(E3268=E$1:E3267)))))</f>
        <v> </v>
      </c>
      <c r="L3268" s="27"/>
    </row>
    <row r="3269" spans="1:12">
      <c r="A3269" s="20" t="s">
        <v>1042</v>
      </c>
      <c r="E3269" s="22">
        <f>IF(D3269="?OLD","!!!","")</f>
        <v/>
      </c>
      <c r="F3269" s="23" t="str">
        <f>IF(OR(E3269="",E3269="!!!"),"",IF(NOT(ISNA(VLOOKUP(E3269,E$1:E3268,1,FALSE()))),"OLD",IF(AND(E3269&lt;&gt;"",E3269&lt;&gt;"!!!"),"NEW","")))</f>
        <v> </v>
      </c>
      <c r="G3269" s="24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5" t="str">
        <f>IF(J3269&lt;&gt;1,"",IF(I3269="SBJ","CB","?"))</f>
        <v> </v>
      </c>
      <c r="I3269" s="26" t="str">
        <f>IF(OR(E3269="",E3269="!!!",F3269="NEW"),"",INDEX(B3268:B$2,-1+SUMPRODUCT(MAX(ROW(E3268:E$2)*(E3269=E3268:E$2)))))</f>
        <v> </v>
      </c>
      <c r="J3269" s="26" t="str">
        <f>IF(OR(E3269="",E3269="!!!",F3269="NEW"),"",COUNTBLANK(OFFSET(A$1,,,SUMPRODUCT(MAX(ROW(E$2:E3269)*(E3269=E$2:E3269)))))-COUNTBLANK(OFFSET(A$1,,,SUMPRODUCT(MAX(ROW(E$1:E3268)*(E2=E$1:E3268))))))</f>
        <v> </v>
      </c>
      <c r="K3269" s="26" t="str">
        <f>IF(OR(E3269="",E3269="!!!",F3269="NEW"),"",INDEX(J$1:J3268,SUMPRODUCT(MAX(ROW(E$1:E3268)*(E3269=E$1:E3268)))))</f>
        <v> </v>
      </c>
      <c r="L3269" s="27"/>
    </row>
    <row r="3270" spans="1:12">
      <c r="A3270" s="20" t="s">
        <v>1005</v>
      </c>
      <c r="E3270" s="22">
        <f>IF(D3270="?OLD","!!!","")</f>
        <v/>
      </c>
      <c r="F3270" s="23" t="str">
        <f>IF(OR(E3270="",E3270="!!!"),"",IF(NOT(ISNA(VLOOKUP(E3270,E$1:E3269,1,FALSE()))),"OLD",IF(AND(E3270&lt;&gt;"",E3270&lt;&gt;"!!!"),"NEW","")))</f>
        <v> </v>
      </c>
      <c r="G3270" s="24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5" t="str">
        <f>IF(J3270&lt;&gt;1,"",IF(I3270="SBJ","CB","?"))</f>
        <v> </v>
      </c>
      <c r="I3270" s="26" t="str">
        <f>IF(OR(E3270="",E3270="!!!",F3270="NEW"),"",INDEX(B3269:B$2,-1+SUMPRODUCT(MAX(ROW(E3269:E$2)*(E3270=E3269:E$2)))))</f>
        <v> </v>
      </c>
      <c r="J3270" s="26" t="str">
        <f>IF(OR(E3270="",E3270="!!!",F3270="NEW"),"",COUNTBLANK(OFFSET(A$1,,,SUMPRODUCT(MAX(ROW(E$2:E3270)*(E3270=E$2:E3270)))))-COUNTBLANK(OFFSET(A$1,,,SUMPRODUCT(MAX(ROW(E$1:E3269)*(E2=E$1:E3269))))))</f>
        <v> </v>
      </c>
      <c r="K3270" s="26" t="str">
        <f>IF(OR(E3270="",E3270="!!!",F3270="NEW"),"",INDEX(J$1:J3269,SUMPRODUCT(MAX(ROW(E$1:E3269)*(E3270=E$1:E3269)))))</f>
        <v> </v>
      </c>
      <c r="L3270" s="27"/>
    </row>
    <row r="3271" spans="1:12">
      <c r="A3271" s="20" t="s">
        <v>1043</v>
      </c>
      <c r="E3271" s="22">
        <f>IF(D3271="?OLD","!!!","")</f>
        <v/>
      </c>
      <c r="F3271" s="23" t="str">
        <f>IF(OR(E3271="",E3271="!!!"),"",IF(NOT(ISNA(VLOOKUP(E3271,E$1:E3270,1,FALSE()))),"OLD",IF(AND(E3271&lt;&gt;"",E3271&lt;&gt;"!!!"),"NEW","")))</f>
        <v> </v>
      </c>
      <c r="G3271" s="24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5" t="str">
        <f>IF(J3271&lt;&gt;1,"",IF(I3271="SBJ","CB","?"))</f>
        <v> </v>
      </c>
      <c r="I3271" s="26" t="str">
        <f>IF(OR(E3271="",E3271="!!!",F3271="NEW"),"",INDEX(B3270:B$2,-1+SUMPRODUCT(MAX(ROW(E3270:E$2)*(E3271=E3270:E$2)))))</f>
        <v> </v>
      </c>
      <c r="J3271" s="26" t="str">
        <f>IF(OR(E3271="",E3271="!!!",F3271="NEW"),"",COUNTBLANK(OFFSET(A$1,,,SUMPRODUCT(MAX(ROW(E$2:E3271)*(E3271=E$2:E3271)))))-COUNTBLANK(OFFSET(A$1,,,SUMPRODUCT(MAX(ROW(E$1:E3270)*(E2=E$1:E3270))))))</f>
        <v> </v>
      </c>
      <c r="K3271" s="26" t="str">
        <f>IF(OR(E3271="",E3271="!!!",F3271="NEW"),"",INDEX(J$1:J3270,SUMPRODUCT(MAX(ROW(E$1:E3270)*(E3271=E$1:E3270)))))</f>
        <v> </v>
      </c>
      <c r="L3271" s="27"/>
    </row>
    <row r="3272" spans="1:12">
      <c r="A3272" s="20" t="s">
        <v>987</v>
      </c>
      <c r="E3272" s="22">
        <f>IF(D3272="?OLD","!!!","")</f>
        <v/>
      </c>
      <c r="F3272" s="23" t="str">
        <f>IF(OR(E3272="",E3272="!!!"),"",IF(NOT(ISNA(VLOOKUP(E3272,E$1:E3271,1,FALSE()))),"OLD",IF(AND(E3272&lt;&gt;"",E3272&lt;&gt;"!!!"),"NEW","")))</f>
        <v> </v>
      </c>
      <c r="G3272" s="24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5" t="str">
        <f>IF(J3272&lt;&gt;1,"",IF(I3272="SBJ","CB","?"))</f>
        <v> </v>
      </c>
      <c r="I3272" s="26" t="str">
        <f>IF(OR(E3272="",E3272="!!!",F3272="NEW"),"",INDEX(B3271:B$2,-1+SUMPRODUCT(MAX(ROW(E3271:E$2)*(E3272=E3271:E$2)))))</f>
        <v> </v>
      </c>
      <c r="J3272" s="26" t="str">
        <f>IF(OR(E3272="",E3272="!!!",F3272="NEW"),"",COUNTBLANK(OFFSET(A$1,,,SUMPRODUCT(MAX(ROW(E$2:E3272)*(E3272=E$2:E3272)))))-COUNTBLANK(OFFSET(A$1,,,SUMPRODUCT(MAX(ROW(E$1:E3271)*(E2=E$1:E3271))))))</f>
        <v> </v>
      </c>
      <c r="K3272" s="26" t="str">
        <f>IF(OR(E3272="",E3272="!!!",F3272="NEW"),"",INDEX(J$1:J3271,SUMPRODUCT(MAX(ROW(E$1:E3271)*(E3272=E$1:E3271)))))</f>
        <v> </v>
      </c>
      <c r="L3272" s="27"/>
    </row>
    <row r="3273" spans="1:12">
      <c r="A3273" s="20" t="s">
        <v>985</v>
      </c>
      <c r="E3273" s="22">
        <f>IF(D3273="?OLD","!!!","")</f>
        <v/>
      </c>
      <c r="F3273" s="23" t="str">
        <f>IF(OR(E3273="",E3273="!!!"),"",IF(NOT(ISNA(VLOOKUP(E3273,E$1:E3272,1,FALSE()))),"OLD",IF(AND(E3273&lt;&gt;"",E3273&lt;&gt;"!!!"),"NEW","")))</f>
        <v> </v>
      </c>
      <c r="G3273" s="24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5" t="str">
        <f>IF(J3273&lt;&gt;1,"",IF(I3273="SBJ","CB","?"))</f>
        <v> </v>
      </c>
      <c r="I3273" s="26" t="str">
        <f>IF(OR(E3273="",E3273="!!!",F3273="NEW"),"",INDEX(B3272:B$2,-1+SUMPRODUCT(MAX(ROW(E3272:E$2)*(E3273=E3272:E$2)))))</f>
        <v> </v>
      </c>
      <c r="J3273" s="26" t="str">
        <f>IF(OR(E3273="",E3273="!!!",F3273="NEW"),"",COUNTBLANK(OFFSET(A$1,,,SUMPRODUCT(MAX(ROW(E$2:E3273)*(E3273=E$2:E3273)))))-COUNTBLANK(OFFSET(A$1,,,SUMPRODUCT(MAX(ROW(E$1:E3272)*(E2=E$1:E3272))))))</f>
        <v> </v>
      </c>
      <c r="K3273" s="26" t="str">
        <f>IF(OR(E3273="",E3273="!!!",F3273="NEW"),"",INDEX(J$1:J3272,SUMPRODUCT(MAX(ROW(E$1:E3272)*(E3273=E$1:E3272)))))</f>
        <v> </v>
      </c>
      <c r="L3273" s="27"/>
    </row>
    <row r="3274" spans="1:12">
      <c r="A3274" s="20" t="s">
        <v>979</v>
      </c>
      <c r="E3274" s="22">
        <f>IF(D3274="?OLD","!!!","")</f>
        <v/>
      </c>
      <c r="F3274" s="23" t="str">
        <f>IF(OR(E3274="",E3274="!!!"),"",IF(NOT(ISNA(VLOOKUP(E3274,E$1:E3273,1,FALSE()))),"OLD",IF(AND(E3274&lt;&gt;"",E3274&lt;&gt;"!!!"),"NEW","")))</f>
        <v> </v>
      </c>
      <c r="G3274" s="24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5" t="str">
        <f>IF(J3274&lt;&gt;1,"",IF(I3274="SBJ","CB","?"))</f>
        <v> </v>
      </c>
      <c r="I3274" s="26" t="str">
        <f>IF(OR(E3274="",E3274="!!!",F3274="NEW"),"",INDEX(B3273:B$2,-1+SUMPRODUCT(MAX(ROW(E3273:E$2)*(E3274=E3273:E$2)))))</f>
        <v> </v>
      </c>
      <c r="J3274" s="26" t="str">
        <f>IF(OR(E3274="",E3274="!!!",F3274="NEW"),"",COUNTBLANK(OFFSET(A$1,,,SUMPRODUCT(MAX(ROW(E$2:E3274)*(E3274=E$2:E3274)))))-COUNTBLANK(OFFSET(A$1,,,SUMPRODUCT(MAX(ROW(E$1:E3273)*(E2=E$1:E3273))))))</f>
        <v> </v>
      </c>
      <c r="K3274" s="26" t="str">
        <f>IF(OR(E3274="",E3274="!!!",F3274="NEW"),"",INDEX(J$1:J3273,SUMPRODUCT(MAX(ROW(E$1:E3273)*(E3274=E$1:E3273)))))</f>
        <v> </v>
      </c>
      <c r="L3274" s="27"/>
    </row>
    <row r="3275" spans="1:12">
      <c r="A3275" s="20"/>
    </row>
    <row r="3276" spans="1:12">
      <c r="A3276" s="20" t="s">
        <v>2270</v>
      </c>
    </row>
    <row r="3277" spans="1:12">
      <c r="A3277" s="20" t="s">
        <v>2271</v>
      </c>
      <c r="E3277" s="22">
        <f>IF(D3277="?OLD","!!!","")</f>
        <v/>
      </c>
      <c r="F3277" s="23" t="str">
        <f>IF(OR(E3277="",E3277="!!!"),"",IF(NOT(ISNA(VLOOKUP(E3277,E$1:E3276,1,FALSE()))),"OLD",IF(AND(E3277&lt;&gt;"",E3277&lt;&gt;"!!!"),"NEW","")))</f>
        <v> </v>
      </c>
      <c r="G3277" s="24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5" t="str">
        <f>IF(J3277&lt;&gt;1,"",IF(I3277="SBJ","CB","?"))</f>
        <v> </v>
      </c>
      <c r="I3277" s="26" t="str">
        <f>IF(OR(E3277="",E3277="!!!",F3277="NEW"),"",INDEX(B3276:B$2,-1+SUMPRODUCT(MAX(ROW(E3276:E$2)*(E3277=E3276:E$2)))))</f>
        <v> </v>
      </c>
      <c r="J3277" s="26" t="str">
        <f>IF(OR(E3277="",E3277="!!!",F3277="NEW"),"",COUNTBLANK(OFFSET(A$1,,,SUMPRODUCT(MAX(ROW(E$2:E3277)*(E3277=E$2:E3277)))))-COUNTBLANK(OFFSET(A$1,,,SUMPRODUCT(MAX(ROW(E$1:E3276)*(E2=E$1:E3276))))))</f>
        <v> </v>
      </c>
      <c r="K3277" s="26" t="str">
        <f>IF(OR(E3277="",E3277="!!!",F3277="NEW"),"",INDEX(J$1:J3276,SUMPRODUCT(MAX(ROW(E$1:E3276)*(E3277=E$1:E3276)))))</f>
        <v> </v>
      </c>
      <c r="L3277" s="27"/>
    </row>
    <row r="3278" spans="1:12">
      <c r="A3278" s="20" t="s">
        <v>2272</v>
      </c>
      <c r="E3278" s="22">
        <f>IF(D3278="?OLD","!!!","")</f>
        <v/>
      </c>
      <c r="F3278" s="23" t="str">
        <f>IF(OR(E3278="",E3278="!!!"),"",IF(NOT(ISNA(VLOOKUP(E3278,E$1:E3277,1,FALSE()))),"OLD",IF(AND(E3278&lt;&gt;"",E3278&lt;&gt;"!!!"),"NEW","")))</f>
        <v> </v>
      </c>
      <c r="G3278" s="24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5" t="str">
        <f>IF(J3278&lt;&gt;1,"",IF(I3278="SBJ","CB","?"))</f>
        <v> </v>
      </c>
      <c r="I3278" s="26" t="str">
        <f>IF(OR(E3278="",E3278="!!!",F3278="NEW"),"",INDEX(B3277:B$2,-1+SUMPRODUCT(MAX(ROW(E3277:E$2)*(E3278=E3277:E$2)))))</f>
        <v> </v>
      </c>
      <c r="J3278" s="26" t="str">
        <f>IF(OR(E3278="",E3278="!!!",F3278="NEW"),"",COUNTBLANK(OFFSET(A$1,,,SUMPRODUCT(MAX(ROW(E$2:E3278)*(E3278=E$2:E3278)))))-COUNTBLANK(OFFSET(A$1,,,SUMPRODUCT(MAX(ROW(E$1:E3277)*(E2=E$1:E3277))))))</f>
        <v> </v>
      </c>
      <c r="K3278" s="26" t="str">
        <f>IF(OR(E3278="",E3278="!!!",F3278="NEW"),"",INDEX(J$1:J3277,SUMPRODUCT(MAX(ROW(E$1:E3277)*(E3278=E$1:E3277)))))</f>
        <v> </v>
      </c>
      <c r="L3278" s="27"/>
    </row>
    <row r="3279" spans="1:12">
      <c r="A3279" s="20" t="s">
        <v>2263</v>
      </c>
      <c r="B3279" s="21" t="s">
        <v>1087</v>
      </c>
      <c r="E3279" s="22">
        <f>IF(D3279="?OLD","!!!","")</f>
        <v/>
      </c>
      <c r="F3279" s="23" t="str">
        <f>IF(OR(E3279="",E3279="!!!"),"",IF(NOT(ISNA(VLOOKUP(E3279,E$1:E3278,1,FALSE()))),"OLD",IF(AND(E3279&lt;&gt;"",E3279&lt;&gt;"!!!"),"NEW","")))</f>
        <v> </v>
      </c>
      <c r="G3279" s="24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5" t="str">
        <f>IF(J3279&lt;&gt;1,"",IF(I3279="SBJ","CB","?"))</f>
        <v> </v>
      </c>
      <c r="I3279" s="26" t="str">
        <f>IF(OR(E3279="",E3279="!!!",F3279="NEW"),"",INDEX(B3278:B$2,-1+SUMPRODUCT(MAX(ROW(E3278:E$2)*(E3279=E3278:E$2)))))</f>
        <v> </v>
      </c>
      <c r="J3279" s="26" t="str">
        <f>IF(OR(E3279="",E3279="!!!",F3279="NEW"),"",COUNTBLANK(OFFSET(A$1,,,SUMPRODUCT(MAX(ROW(E$2:E3279)*(E3279=E$2:E3279)))))-COUNTBLANK(OFFSET(A$1,,,SUMPRODUCT(MAX(ROW(E$1:E3278)*(E2=E$1:E3278))))))</f>
        <v> </v>
      </c>
      <c r="K3279" s="26" t="str">
        <f>IF(OR(E3279="",E3279="!!!",F3279="NEW"),"",INDEX(J$1:J3278,SUMPRODUCT(MAX(ROW(E$1:E3278)*(E3279=E$1:E3278)))))</f>
        <v> </v>
      </c>
      <c r="L3279" s="27"/>
    </row>
    <row r="3280" spans="1:12">
      <c r="A3280" s="20" t="s">
        <v>2273</v>
      </c>
      <c r="B3280" s="21" t="s">
        <v>1175</v>
      </c>
      <c r="C3280" s="21" t="s">
        <v>996</v>
      </c>
      <c r="D3280" s="21" t="s">
        <v>972</v>
      </c>
      <c r="E3280" s="22">
        <f>IF(D3280="?OLD","!!!","")</f>
        <v/>
      </c>
      <c r="F3280" s="23" t="str">
        <f>IF(OR(E3280="",E3280="!!!"),"",IF(NOT(ISNA(VLOOKUP(E3280,E$1:E3279,1,FALSE()))),"OLD",IF(AND(E3280&lt;&gt;"",E3280&lt;&gt;"!!!"),"NEW","")))</f>
        <v> </v>
      </c>
      <c r="G3280" s="24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5" t="str">
        <f>IF(J3280&lt;&gt;1,"",IF(I3280="SBJ","CB","?"))</f>
        <v> </v>
      </c>
      <c r="I3280" s="26" t="str">
        <f>IF(OR(E3280="",E3280="!!!",F3280="NEW"),"",INDEX(B3279:B$2,-1+SUMPRODUCT(MAX(ROW(E3279:E$2)*(E3280=E3279:E$2)))))</f>
        <v> </v>
      </c>
      <c r="J3280" s="26" t="str">
        <f>IF(OR(E3280="",E3280="!!!",F3280="NEW"),"",COUNTBLANK(OFFSET(A$1,,,SUMPRODUCT(MAX(ROW(E$2:E3280)*(E3280=E$2:E3280)))))-COUNTBLANK(OFFSET(A$1,,,SUMPRODUCT(MAX(ROW(E$1:E3279)*(E2=E$1:E3279))))))</f>
        <v> </v>
      </c>
      <c r="K3280" s="26" t="str">
        <f>IF(OR(E3280="",E3280="!!!",F3280="NEW"),"",INDEX(J$1:J3279,SUMPRODUCT(MAX(ROW(E$1:E3279)*(E3280=E$1:E3279)))))</f>
        <v> </v>
      </c>
      <c r="L3280" s="27"/>
    </row>
    <row r="3281" spans="1:12">
      <c r="A3281" s="20" t="s">
        <v>2274</v>
      </c>
      <c r="E3281" s="22">
        <f>IF(D3281="?OLD","!!!","")</f>
        <v/>
      </c>
      <c r="F3281" s="23" t="str">
        <f>IF(OR(E3281="",E3281="!!!"),"",IF(NOT(ISNA(VLOOKUP(E3281,E$1:E3280,1,FALSE()))),"OLD",IF(AND(E3281&lt;&gt;"",E3281&lt;&gt;"!!!"),"NEW","")))</f>
        <v> </v>
      </c>
      <c r="G3281" s="24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5" t="str">
        <f>IF(J3281&lt;&gt;1,"",IF(I3281="SBJ","CB","?"))</f>
        <v> </v>
      </c>
      <c r="I3281" s="26" t="str">
        <f>IF(OR(E3281="",E3281="!!!",F3281="NEW"),"",INDEX(B3280:B$2,-1+SUMPRODUCT(MAX(ROW(E3280:E$2)*(E3281=E3280:E$2)))))</f>
        <v> </v>
      </c>
      <c r="J3281" s="26" t="str">
        <f>IF(OR(E3281="",E3281="!!!",F3281="NEW"),"",COUNTBLANK(OFFSET(A$1,,,SUMPRODUCT(MAX(ROW(E$2:E3281)*(E3281=E$2:E3281)))))-COUNTBLANK(OFFSET(A$1,,,SUMPRODUCT(MAX(ROW(E$1:E3280)*(E2=E$1:E3280))))))</f>
        <v> </v>
      </c>
      <c r="K3281" s="26" t="str">
        <f>IF(OR(E3281="",E3281="!!!",F3281="NEW"),"",INDEX(J$1:J3280,SUMPRODUCT(MAX(ROW(E$1:E3280)*(E3281=E$1:E3280)))))</f>
        <v> </v>
      </c>
      <c r="L3281" s="27"/>
    </row>
    <row r="3282" spans="1:12">
      <c r="A3282" s="20" t="s">
        <v>1013</v>
      </c>
      <c r="E3282" s="22">
        <f>IF(D3282="?OLD","!!!","")</f>
        <v/>
      </c>
      <c r="F3282" s="23" t="str">
        <f>IF(OR(E3282="",E3282="!!!"),"",IF(NOT(ISNA(VLOOKUP(E3282,E$1:E3281,1,FALSE()))),"OLD",IF(AND(E3282&lt;&gt;"",E3282&lt;&gt;"!!!"),"NEW","")))</f>
        <v> </v>
      </c>
      <c r="G3282" s="24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5" t="str">
        <f>IF(J3282&lt;&gt;1,"",IF(I3282="SBJ","CB","?"))</f>
        <v> </v>
      </c>
      <c r="I3282" s="26" t="str">
        <f>IF(OR(E3282="",E3282="!!!",F3282="NEW"),"",INDEX(B3281:B$2,-1+SUMPRODUCT(MAX(ROW(E3281:E$2)*(E3282=E3281:E$2)))))</f>
        <v> </v>
      </c>
      <c r="J3282" s="26" t="str">
        <f>IF(OR(E3282="",E3282="!!!",F3282="NEW"),"",COUNTBLANK(OFFSET(A$1,,,SUMPRODUCT(MAX(ROW(E$2:E3282)*(E3282=E$2:E3282)))))-COUNTBLANK(OFFSET(A$1,,,SUMPRODUCT(MAX(ROW(E$1:E3281)*(E2=E$1:E3281))))))</f>
        <v> </v>
      </c>
      <c r="K3282" s="26" t="str">
        <f>IF(OR(E3282="",E3282="!!!",F3282="NEW"),"",INDEX(J$1:J3281,SUMPRODUCT(MAX(ROW(E$1:E3281)*(E3282=E$1:E3281)))))</f>
        <v> </v>
      </c>
      <c r="L3282" s="27"/>
    </row>
    <row r="3283" spans="1:12">
      <c r="A3283" s="20" t="s">
        <v>1493</v>
      </c>
      <c r="B3283" s="21" t="s">
        <v>1115</v>
      </c>
      <c r="C3283" s="21" t="s">
        <v>1232</v>
      </c>
      <c r="E3283" s="22">
        <f>IF(D3283="?OLD","!!!","")</f>
        <v/>
      </c>
      <c r="F3283" s="23" t="str">
        <f>IF(OR(E3283="",E3283="!!!"),"",IF(NOT(ISNA(VLOOKUP(E3283,E$1:E3282,1,FALSE()))),"OLD",IF(AND(E3283&lt;&gt;"",E3283&lt;&gt;"!!!"),"NEW","")))</f>
        <v> </v>
      </c>
      <c r="G3283" s="24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5" t="str">
        <f>IF(J3283&lt;&gt;1,"",IF(I3283="SBJ","CB","?"))</f>
        <v> </v>
      </c>
      <c r="I3283" s="26" t="str">
        <f>IF(OR(E3283="",E3283="!!!",F3283="NEW"),"",INDEX(B3282:B$2,-1+SUMPRODUCT(MAX(ROW(E3282:E$2)*(E3283=E3282:E$2)))))</f>
        <v> </v>
      </c>
      <c r="J3283" s="26" t="str">
        <f>IF(OR(E3283="",E3283="!!!",F3283="NEW"),"",COUNTBLANK(OFFSET(A$1,,,SUMPRODUCT(MAX(ROW(E$2:E3283)*(E3283=E$2:E3283)))))-COUNTBLANK(OFFSET(A$1,,,SUMPRODUCT(MAX(ROW(E$1:E3282)*(E2=E$1:E3282))))))</f>
        <v> </v>
      </c>
      <c r="K3283" s="26" t="str">
        <f>IF(OR(E3283="",E3283="!!!",F3283="NEW"),"",INDEX(J$1:J3282,SUMPRODUCT(MAX(ROW(E$1:E3282)*(E3283=E$1:E3282)))))</f>
        <v> </v>
      </c>
      <c r="L3283" s="27"/>
    </row>
    <row r="3284" spans="1:12">
      <c r="A3284" s="20" t="s">
        <v>2275</v>
      </c>
      <c r="E3284" s="22">
        <f>IF(D3284="?OLD","!!!","")</f>
        <v/>
      </c>
      <c r="F3284" s="23" t="str">
        <f>IF(OR(E3284="",E3284="!!!"),"",IF(NOT(ISNA(VLOOKUP(E3284,E$1:E3283,1,FALSE()))),"OLD",IF(AND(E3284&lt;&gt;"",E3284&lt;&gt;"!!!"),"NEW","")))</f>
        <v> </v>
      </c>
      <c r="G3284" s="24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5" t="str">
        <f>IF(J3284&lt;&gt;1,"",IF(I3284="SBJ","CB","?"))</f>
        <v> </v>
      </c>
      <c r="I3284" s="26" t="str">
        <f>IF(OR(E3284="",E3284="!!!",F3284="NEW"),"",INDEX(B3283:B$2,-1+SUMPRODUCT(MAX(ROW(E3283:E$2)*(E3284=E3283:E$2)))))</f>
        <v> </v>
      </c>
      <c r="J3284" s="26" t="str">
        <f>IF(OR(E3284="",E3284="!!!",F3284="NEW"),"",COUNTBLANK(OFFSET(A$1,,,SUMPRODUCT(MAX(ROW(E$2:E3284)*(E3284=E$2:E3284)))))-COUNTBLANK(OFFSET(A$1,,,SUMPRODUCT(MAX(ROW(E$1:E3283)*(E2=E$1:E3283))))))</f>
        <v> </v>
      </c>
      <c r="K3284" s="26" t="str">
        <f>IF(OR(E3284="",E3284="!!!",F3284="NEW"),"",INDEX(J$1:J3283,SUMPRODUCT(MAX(ROW(E$1:E3283)*(E3284=E$1:E3283)))))</f>
        <v> </v>
      </c>
      <c r="L3284" s="27"/>
    </row>
    <row r="3285" spans="1:12">
      <c r="A3285" s="20" t="s">
        <v>32</v>
      </c>
      <c r="E3285" s="22">
        <f>IF(D3285="?OLD","!!!","")</f>
        <v/>
      </c>
      <c r="F3285" s="23" t="str">
        <f>IF(OR(E3285="",E3285="!!!"),"",IF(NOT(ISNA(VLOOKUP(E3285,E$1:E3284,1,FALSE()))),"OLD",IF(AND(E3285&lt;&gt;"",E3285&lt;&gt;"!!!"),"NEW","")))</f>
        <v> </v>
      </c>
      <c r="G3285" s="24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5" t="str">
        <f>IF(J3285&lt;&gt;1,"",IF(I3285="SBJ","CB","?"))</f>
        <v> </v>
      </c>
      <c r="I3285" s="26" t="str">
        <f>IF(OR(E3285="",E3285="!!!",F3285="NEW"),"",INDEX(B3284:B$2,-1+SUMPRODUCT(MAX(ROW(E3284:E$2)*(E3285=E3284:E$2)))))</f>
        <v> </v>
      </c>
      <c r="J3285" s="26" t="str">
        <f>IF(OR(E3285="",E3285="!!!",F3285="NEW"),"",COUNTBLANK(OFFSET(A$1,,,SUMPRODUCT(MAX(ROW(E$2:E3285)*(E3285=E$2:E3285)))))-COUNTBLANK(OFFSET(A$1,,,SUMPRODUCT(MAX(ROW(E$1:E3284)*(E2=E$1:E3284))))))</f>
        <v> </v>
      </c>
      <c r="K3285" s="26" t="str">
        <f>IF(OR(E3285="",E3285="!!!",F3285="NEW"),"",INDEX(J$1:J3284,SUMPRODUCT(MAX(ROW(E$1:E3284)*(E3285=E$1:E3284)))))</f>
        <v> </v>
      </c>
      <c r="L3285" s="27"/>
    </row>
    <row r="3286" spans="1:12">
      <c r="A3286" s="20" t="s">
        <v>1044</v>
      </c>
      <c r="E3286" s="22">
        <f>IF(D3286="?OLD","!!!","")</f>
        <v/>
      </c>
      <c r="F3286" s="23" t="str">
        <f>IF(OR(E3286="",E3286="!!!"),"",IF(NOT(ISNA(VLOOKUP(E3286,E$1:E3285,1,FALSE()))),"OLD",IF(AND(E3286&lt;&gt;"",E3286&lt;&gt;"!!!"),"NEW","")))</f>
        <v> </v>
      </c>
      <c r="G3286" s="24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5" t="str">
        <f>IF(J3286&lt;&gt;1,"",IF(I3286="SBJ","CB","?"))</f>
        <v> </v>
      </c>
      <c r="I3286" s="26" t="str">
        <f>IF(OR(E3286="",E3286="!!!",F3286="NEW"),"",INDEX(B3285:B$2,-1+SUMPRODUCT(MAX(ROW(E3285:E$2)*(E3286=E3285:E$2)))))</f>
        <v> </v>
      </c>
      <c r="J3286" s="26" t="str">
        <f>IF(OR(E3286="",E3286="!!!",F3286="NEW"),"",COUNTBLANK(OFFSET(A$1,,,SUMPRODUCT(MAX(ROW(E$2:E3286)*(E3286=E$2:E3286)))))-COUNTBLANK(OFFSET(A$1,,,SUMPRODUCT(MAX(ROW(E$1:E3285)*(E2=E$1:E3285))))))</f>
        <v> </v>
      </c>
      <c r="K3286" s="26" t="str">
        <f>IF(OR(E3286="",E3286="!!!",F3286="NEW"),"",INDEX(J$1:J3285,SUMPRODUCT(MAX(ROW(E$1:E3285)*(E3286=E$1:E3285)))))</f>
        <v> </v>
      </c>
      <c r="L3286" s="27"/>
    </row>
    <row r="3287" spans="1:12">
      <c r="A3287" s="20" t="s">
        <v>1045</v>
      </c>
      <c r="E3287" s="22">
        <f>IF(D3287="?OLD","!!!","")</f>
        <v/>
      </c>
      <c r="F3287" s="23" t="str">
        <f>IF(OR(E3287="",E3287="!!!"),"",IF(NOT(ISNA(VLOOKUP(E3287,E$1:E3286,1,FALSE()))),"OLD",IF(AND(E3287&lt;&gt;"",E3287&lt;&gt;"!!!"),"NEW","")))</f>
        <v> </v>
      </c>
      <c r="G3287" s="24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5" t="str">
        <f>IF(J3287&lt;&gt;1,"",IF(I3287="SBJ","CB","?"))</f>
        <v> </v>
      </c>
      <c r="I3287" s="26" t="str">
        <f>IF(OR(E3287="",E3287="!!!",F3287="NEW"),"",INDEX(B3286:B$2,-1+SUMPRODUCT(MAX(ROW(E3286:E$2)*(E3287=E3286:E$2)))))</f>
        <v> </v>
      </c>
      <c r="J3287" s="26" t="str">
        <f>IF(OR(E3287="",E3287="!!!",F3287="NEW"),"",COUNTBLANK(OFFSET(A$1,,,SUMPRODUCT(MAX(ROW(E$2:E3287)*(E3287=E$2:E3287)))))-COUNTBLANK(OFFSET(A$1,,,SUMPRODUCT(MAX(ROW(E$1:E3286)*(E2=E$1:E3286))))))</f>
        <v> </v>
      </c>
      <c r="K3287" s="26" t="str">
        <f>IF(OR(E3287="",E3287="!!!",F3287="NEW"),"",INDEX(J$1:J3286,SUMPRODUCT(MAX(ROW(E$1:E3286)*(E3287=E$1:E3286)))))</f>
        <v> </v>
      </c>
      <c r="L3287" s="27"/>
    </row>
    <row r="3288" spans="1:12">
      <c r="A3288" s="20" t="s">
        <v>374</v>
      </c>
      <c r="B3288" s="21" t="s">
        <v>1338</v>
      </c>
      <c r="E3288" s="22">
        <f>IF(D3288="?OLD","!!!","")</f>
        <v/>
      </c>
      <c r="F3288" s="23" t="str">
        <f>IF(OR(E3288="",E3288="!!!"),"",IF(NOT(ISNA(VLOOKUP(E3288,E$1:E3287,1,FALSE()))),"OLD",IF(AND(E3288&lt;&gt;"",E3288&lt;&gt;"!!!"),"NEW","")))</f>
        <v> </v>
      </c>
      <c r="G3288" s="24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5" t="str">
        <f>IF(J3288&lt;&gt;1,"",IF(I3288="SBJ","CB","?"))</f>
        <v> </v>
      </c>
      <c r="I3288" s="26" t="str">
        <f>IF(OR(E3288="",E3288="!!!",F3288="NEW"),"",INDEX(B3287:B$2,-1+SUMPRODUCT(MAX(ROW(E3287:E$2)*(E3288=E3287:E$2)))))</f>
        <v> </v>
      </c>
      <c r="J3288" s="26" t="str">
        <f>IF(OR(E3288="",E3288="!!!",F3288="NEW"),"",COUNTBLANK(OFFSET(A$1,,,SUMPRODUCT(MAX(ROW(E$2:E3288)*(E3288=E$2:E3288)))))-COUNTBLANK(OFFSET(A$1,,,SUMPRODUCT(MAX(ROW(E$1:E3287)*(E2=E$1:E3287))))))</f>
        <v> </v>
      </c>
      <c r="K3288" s="26" t="str">
        <f>IF(OR(E3288="",E3288="!!!",F3288="NEW"),"",INDEX(J$1:J3287,SUMPRODUCT(MAX(ROW(E$1:E3287)*(E3288=E$1:E3287)))))</f>
        <v> </v>
      </c>
      <c r="L3288" s="27"/>
    </row>
    <row r="3289" spans="1:12">
      <c r="A3289" s="20" t="s">
        <v>1005</v>
      </c>
      <c r="E3289" s="22">
        <f>IF(D3289="?OLD","!!!","")</f>
        <v/>
      </c>
      <c r="F3289" s="23" t="str">
        <f>IF(OR(E3289="",E3289="!!!"),"",IF(NOT(ISNA(VLOOKUP(E3289,E$1:E3288,1,FALSE()))),"OLD",IF(AND(E3289&lt;&gt;"",E3289&lt;&gt;"!!!"),"NEW","")))</f>
        <v> </v>
      </c>
      <c r="G3289" s="24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5" t="str">
        <f>IF(J3289&lt;&gt;1,"",IF(I3289="SBJ","CB","?"))</f>
        <v> </v>
      </c>
      <c r="I3289" s="26" t="str">
        <f>IF(OR(E3289="",E3289="!!!",F3289="NEW"),"",INDEX(B3288:B$2,-1+SUMPRODUCT(MAX(ROW(E3288:E$2)*(E3289=E3288:E$2)))))</f>
        <v> </v>
      </c>
      <c r="J3289" s="26" t="str">
        <f>IF(OR(E3289="",E3289="!!!",F3289="NEW"),"",COUNTBLANK(OFFSET(A$1,,,SUMPRODUCT(MAX(ROW(E$2:E3289)*(E3289=E$2:E3289)))))-COUNTBLANK(OFFSET(A$1,,,SUMPRODUCT(MAX(ROW(E$1:E3288)*(E2=E$1:E3288))))))</f>
        <v> </v>
      </c>
      <c r="K3289" s="26" t="str">
        <f>IF(OR(E3289="",E3289="!!!",F3289="NEW"),"",INDEX(J$1:J3288,SUMPRODUCT(MAX(ROW(E$1:E3288)*(E3289=E$1:E3288)))))</f>
        <v> </v>
      </c>
      <c r="L3289" s="27"/>
    </row>
    <row r="3290" spans="1:12">
      <c r="A3290" s="20" t="s">
        <v>2276</v>
      </c>
      <c r="E3290" s="22">
        <f>IF(D3290="?OLD","!!!","")</f>
        <v/>
      </c>
      <c r="F3290" s="23" t="str">
        <f>IF(OR(E3290="",E3290="!!!"),"",IF(NOT(ISNA(VLOOKUP(E3290,E$1:E3289,1,FALSE()))),"OLD",IF(AND(E3290&lt;&gt;"",E3290&lt;&gt;"!!!"),"NEW","")))</f>
        <v> </v>
      </c>
      <c r="G3290" s="24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5" t="str">
        <f>IF(J3290&lt;&gt;1,"",IF(I3290="SBJ","CB","?"))</f>
        <v> </v>
      </c>
      <c r="I3290" s="26" t="str">
        <f>IF(OR(E3290="",E3290="!!!",F3290="NEW"),"",INDEX(B3289:B$2,-1+SUMPRODUCT(MAX(ROW(E3289:E$2)*(E3290=E3289:E$2)))))</f>
        <v> </v>
      </c>
      <c r="J3290" s="26" t="str">
        <f>IF(OR(E3290="",E3290="!!!",F3290="NEW"),"",COUNTBLANK(OFFSET(A$1,,,SUMPRODUCT(MAX(ROW(E$2:E3290)*(E3290=E$2:E3290)))))-COUNTBLANK(OFFSET(A$1,,,SUMPRODUCT(MAX(ROW(E$1:E3289)*(E2=E$1:E3289))))))</f>
        <v> </v>
      </c>
      <c r="K3290" s="26" t="str">
        <f>IF(OR(E3290="",E3290="!!!",F3290="NEW"),"",INDEX(J$1:J3289,SUMPRODUCT(MAX(ROW(E$1:E3289)*(E3290=E$1:E3289)))))</f>
        <v> </v>
      </c>
      <c r="L3290" s="27"/>
    </row>
    <row r="3291" spans="1:12">
      <c r="A3291" s="20" t="s">
        <v>1013</v>
      </c>
      <c r="E3291" s="22">
        <f>IF(D3291="?OLD","!!!","")</f>
        <v/>
      </c>
      <c r="F3291" s="23" t="str">
        <f>IF(OR(E3291="",E3291="!!!"),"",IF(NOT(ISNA(VLOOKUP(E3291,E$1:E3290,1,FALSE()))),"OLD",IF(AND(E3291&lt;&gt;"",E3291&lt;&gt;"!!!"),"NEW","")))</f>
        <v> </v>
      </c>
      <c r="G3291" s="24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5" t="str">
        <f>IF(J3291&lt;&gt;1,"",IF(I3291="SBJ","CB","?"))</f>
        <v> </v>
      </c>
      <c r="I3291" s="26" t="str">
        <f>IF(OR(E3291="",E3291="!!!",F3291="NEW"),"",INDEX(B3290:B$2,-1+SUMPRODUCT(MAX(ROW(E3290:E$2)*(E3291=E3290:E$2)))))</f>
        <v> </v>
      </c>
      <c r="J3291" s="26" t="str">
        <f>IF(OR(E3291="",E3291="!!!",F3291="NEW"),"",COUNTBLANK(OFFSET(A$1,,,SUMPRODUCT(MAX(ROW(E$2:E3291)*(E3291=E$2:E3291)))))-COUNTBLANK(OFFSET(A$1,,,SUMPRODUCT(MAX(ROW(E$1:E3290)*(E2=E$1:E3290))))))</f>
        <v> </v>
      </c>
      <c r="K3291" s="26" t="str">
        <f>IF(OR(E3291="",E3291="!!!",F3291="NEW"),"",INDEX(J$1:J3290,SUMPRODUCT(MAX(ROW(E$1:E3290)*(E3291=E$1:E3290)))))</f>
        <v> </v>
      </c>
      <c r="L3291" s="27"/>
    </row>
    <row r="3292" spans="1:12">
      <c r="A3292" s="20" t="s">
        <v>1260</v>
      </c>
      <c r="E3292" s="22">
        <f>IF(D3292="?OLD","!!!","")</f>
        <v/>
      </c>
      <c r="F3292" s="23" t="str">
        <f>IF(OR(E3292="",E3292="!!!"),"",IF(NOT(ISNA(VLOOKUP(E3292,E$1:E3291,1,FALSE()))),"OLD",IF(AND(E3292&lt;&gt;"",E3292&lt;&gt;"!!!"),"NEW","")))</f>
        <v> </v>
      </c>
      <c r="G3292" s="24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5" t="str">
        <f>IF(J3292&lt;&gt;1,"",IF(I3292="SBJ","CB","?"))</f>
        <v> </v>
      </c>
      <c r="I3292" s="26" t="str">
        <f>IF(OR(E3292="",E3292="!!!",F3292="NEW"),"",INDEX(B3291:B$2,-1+SUMPRODUCT(MAX(ROW(E3291:E$2)*(E3292=E3291:E$2)))))</f>
        <v> </v>
      </c>
      <c r="J3292" s="26" t="str">
        <f>IF(OR(E3292="",E3292="!!!",F3292="NEW"),"",COUNTBLANK(OFFSET(A$1,,,SUMPRODUCT(MAX(ROW(E$2:E3292)*(E3292=E$2:E3292)))))-COUNTBLANK(OFFSET(A$1,,,SUMPRODUCT(MAX(ROW(E$1:E3291)*(E2=E$1:E3291))))))</f>
        <v> </v>
      </c>
      <c r="K3292" s="26" t="str">
        <f>IF(OR(E3292="",E3292="!!!",F3292="NEW"),"",INDEX(J$1:J3291,SUMPRODUCT(MAX(ROW(E$1:E3291)*(E3292=E$1:E3291)))))</f>
        <v> </v>
      </c>
      <c r="L3292" s="27"/>
    </row>
    <row r="3293" spans="1:12">
      <c r="A3293" s="20" t="s">
        <v>400</v>
      </c>
      <c r="B3293" s="21" t="s">
        <v>1552</v>
      </c>
      <c r="C3293" s="21" t="s">
        <v>971</v>
      </c>
      <c r="D3293" s="21" t="s">
        <v>972</v>
      </c>
      <c r="E3293" s="22">
        <f>IF(D3293="?OLD","!!!","")</f>
        <v/>
      </c>
      <c r="F3293" s="23" t="str">
        <f>IF(OR(E3293="",E3293="!!!"),"",IF(NOT(ISNA(VLOOKUP(E3293,E$1:E3292,1,FALSE()))),"OLD",IF(AND(E3293&lt;&gt;"",E3293&lt;&gt;"!!!"),"NEW","")))</f>
        <v> </v>
      </c>
      <c r="G3293" s="24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5" t="str">
        <f>IF(J3293&lt;&gt;1,"",IF(I3293="SBJ","CB","?"))</f>
        <v> </v>
      </c>
      <c r="I3293" s="26" t="str">
        <f>IF(OR(E3293="",E3293="!!!",F3293="NEW"),"",INDEX(B3292:B$2,-1+SUMPRODUCT(MAX(ROW(E3292:E$2)*(E3293=E3292:E$2)))))</f>
        <v> </v>
      </c>
      <c r="J3293" s="26" t="str">
        <f>IF(OR(E3293="",E3293="!!!",F3293="NEW"),"",COUNTBLANK(OFFSET(A$1,,,SUMPRODUCT(MAX(ROW(E$2:E3293)*(E3293=E$2:E3293)))))-COUNTBLANK(OFFSET(A$1,,,SUMPRODUCT(MAX(ROW(E$1:E3292)*(E2=E$1:E3292))))))</f>
        <v> </v>
      </c>
      <c r="K3293" s="26" t="str">
        <f>IF(OR(E3293="",E3293="!!!",F3293="NEW"),"",INDEX(J$1:J3292,SUMPRODUCT(MAX(ROW(E$1:E3292)*(E3293=E$1:E3292)))))</f>
        <v> </v>
      </c>
      <c r="L3293" s="27"/>
    </row>
    <row r="3294" spans="1:12">
      <c r="A3294" s="20" t="s">
        <v>1195</v>
      </c>
      <c r="E3294" s="22">
        <f>IF(D3294="?OLD","!!!","")</f>
        <v/>
      </c>
      <c r="F3294" s="23" t="str">
        <f>IF(OR(E3294="",E3294="!!!"),"",IF(NOT(ISNA(VLOOKUP(E3294,E$1:E3293,1,FALSE()))),"OLD",IF(AND(E3294&lt;&gt;"",E3294&lt;&gt;"!!!"),"NEW","")))</f>
        <v> </v>
      </c>
      <c r="G3294" s="24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5" t="str">
        <f>IF(J3294&lt;&gt;1,"",IF(I3294="SBJ","CB","?"))</f>
        <v> </v>
      </c>
      <c r="I3294" s="26" t="str">
        <f>IF(OR(E3294="",E3294="!!!",F3294="NEW"),"",INDEX(B3293:B$2,-1+SUMPRODUCT(MAX(ROW(E3293:E$2)*(E3294=E3293:E$2)))))</f>
        <v> </v>
      </c>
      <c r="J3294" s="26" t="str">
        <f>IF(OR(E3294="",E3294="!!!",F3294="NEW"),"",COUNTBLANK(OFFSET(A$1,,,SUMPRODUCT(MAX(ROW(E$2:E3294)*(E3294=E$2:E3294)))))-COUNTBLANK(OFFSET(A$1,,,SUMPRODUCT(MAX(ROW(E$1:E3293)*(E2=E$1:E3293))))))</f>
        <v> </v>
      </c>
      <c r="K3294" s="26" t="str">
        <f>IF(OR(E3294="",E3294="!!!",F3294="NEW"),"",INDEX(J$1:J3293,SUMPRODUCT(MAX(ROW(E$1:E3293)*(E3294=E$1:E3293)))))</f>
        <v> </v>
      </c>
      <c r="L3294" s="27"/>
    </row>
    <row r="3295" spans="1:12">
      <c r="A3295" s="20" t="s">
        <v>2277</v>
      </c>
      <c r="E3295" s="22">
        <f>IF(D3295="?OLD","!!!","")</f>
        <v/>
      </c>
      <c r="F3295" s="23" t="str">
        <f>IF(OR(E3295="",E3295="!!!"),"",IF(NOT(ISNA(VLOOKUP(E3295,E$1:E3294,1,FALSE()))),"OLD",IF(AND(E3295&lt;&gt;"",E3295&lt;&gt;"!!!"),"NEW","")))</f>
        <v> </v>
      </c>
      <c r="G3295" s="24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5" t="str">
        <f>IF(J3295&lt;&gt;1,"",IF(I3295="SBJ","CB","?"))</f>
        <v> </v>
      </c>
      <c r="I3295" s="26" t="str">
        <f>IF(OR(E3295="",E3295="!!!",F3295="NEW"),"",INDEX(B3294:B$2,-1+SUMPRODUCT(MAX(ROW(E3294:E$2)*(E3295=E3294:E$2)))))</f>
        <v> </v>
      </c>
      <c r="J3295" s="26" t="str">
        <f>IF(OR(E3295="",E3295="!!!",F3295="NEW"),"",COUNTBLANK(OFFSET(A$1,,,SUMPRODUCT(MAX(ROW(E$2:E3295)*(E3295=E$2:E3295)))))-COUNTBLANK(OFFSET(A$1,,,SUMPRODUCT(MAX(ROW(E$1:E3294)*(E2=E$1:E3294))))))</f>
        <v> </v>
      </c>
      <c r="K3295" s="26" t="str">
        <f>IF(OR(E3295="",E3295="!!!",F3295="NEW"),"",INDEX(J$1:J3294,SUMPRODUCT(MAX(ROW(E$1:E3294)*(E3295=E$1:E3294)))))</f>
        <v> </v>
      </c>
      <c r="L3295" s="27"/>
    </row>
    <row r="3296" spans="1:12">
      <c r="A3296" s="20" t="s">
        <v>1086</v>
      </c>
      <c r="E3296" s="22">
        <f>IF(D3296="?OLD","!!!","")</f>
        <v/>
      </c>
      <c r="F3296" s="23" t="str">
        <f>IF(OR(E3296="",E3296="!!!"),"",IF(NOT(ISNA(VLOOKUP(E3296,E$1:E3295,1,FALSE()))),"OLD",IF(AND(E3296&lt;&gt;"",E3296&lt;&gt;"!!!"),"NEW","")))</f>
        <v> </v>
      </c>
      <c r="G3296" s="24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5" t="str">
        <f>IF(J3296&lt;&gt;1,"",IF(I3296="SBJ","CB","?"))</f>
        <v> </v>
      </c>
      <c r="I3296" s="26" t="str">
        <f>IF(OR(E3296="",E3296="!!!",F3296="NEW"),"",INDEX(B3295:B$2,-1+SUMPRODUCT(MAX(ROW(E3295:E$2)*(E3296=E3295:E$2)))))</f>
        <v> </v>
      </c>
      <c r="J3296" s="26" t="str">
        <f>IF(OR(E3296="",E3296="!!!",F3296="NEW"),"",COUNTBLANK(OFFSET(A$1,,,SUMPRODUCT(MAX(ROW(E$2:E3296)*(E3296=E$2:E3296)))))-COUNTBLANK(OFFSET(A$1,,,SUMPRODUCT(MAX(ROW(E$1:E3295)*(E2=E$1:E3295))))))</f>
        <v> </v>
      </c>
      <c r="K3296" s="26" t="str">
        <f>IF(OR(E3296="",E3296="!!!",F3296="NEW"),"",INDEX(J$1:J3295,SUMPRODUCT(MAX(ROW(E$1:E3295)*(E3296=E$1:E3295)))))</f>
        <v> </v>
      </c>
      <c r="L3296" s="27"/>
    </row>
    <row r="3297" spans="1:12">
      <c r="A3297" s="20" t="s">
        <v>2162</v>
      </c>
      <c r="E3297" s="22">
        <f>IF(D3297="?OLD","!!!","")</f>
        <v/>
      </c>
      <c r="F3297" s="23" t="str">
        <f>IF(OR(E3297="",E3297="!!!"),"",IF(NOT(ISNA(VLOOKUP(E3297,E$1:E3296,1,FALSE()))),"OLD",IF(AND(E3297&lt;&gt;"",E3297&lt;&gt;"!!!"),"NEW","")))</f>
        <v> </v>
      </c>
      <c r="G3297" s="24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5" t="str">
        <f>IF(J3297&lt;&gt;1,"",IF(I3297="SBJ","CB","?"))</f>
        <v> </v>
      </c>
      <c r="I3297" s="26" t="str">
        <f>IF(OR(E3297="",E3297="!!!",F3297="NEW"),"",INDEX(B3296:B$2,-1+SUMPRODUCT(MAX(ROW(E3296:E$2)*(E3297=E3296:E$2)))))</f>
        <v> </v>
      </c>
      <c r="J3297" s="26" t="str">
        <f>IF(OR(E3297="",E3297="!!!",F3297="NEW"),"",COUNTBLANK(OFFSET(A$1,,,SUMPRODUCT(MAX(ROW(E$2:E3297)*(E3297=E$2:E3297)))))-COUNTBLANK(OFFSET(A$1,,,SUMPRODUCT(MAX(ROW(E$1:E3296)*(E2=E$1:E3296))))))</f>
        <v> </v>
      </c>
      <c r="K3297" s="26" t="str">
        <f>IF(OR(E3297="",E3297="!!!",F3297="NEW"),"",INDEX(J$1:J3296,SUMPRODUCT(MAX(ROW(E$1:E3296)*(E3297=E$1:E3296)))))</f>
        <v> </v>
      </c>
      <c r="L3297" s="27"/>
    </row>
    <row r="3298" spans="1:12">
      <c r="A3298" s="20" t="s">
        <v>1004</v>
      </c>
      <c r="E3298" s="22">
        <f>IF(D3298="?OLD","!!!","")</f>
        <v/>
      </c>
      <c r="F3298" s="23" t="str">
        <f>IF(OR(E3298="",E3298="!!!"),"",IF(NOT(ISNA(VLOOKUP(E3298,E$1:E3297,1,FALSE()))),"OLD",IF(AND(E3298&lt;&gt;"",E3298&lt;&gt;"!!!"),"NEW","")))</f>
        <v> </v>
      </c>
      <c r="G3298" s="24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5" t="str">
        <f>IF(J3298&lt;&gt;1,"",IF(I3298="SBJ","CB","?"))</f>
        <v> </v>
      </c>
      <c r="I3298" s="26" t="str">
        <f>IF(OR(E3298="",E3298="!!!",F3298="NEW"),"",INDEX(B3297:B$2,-1+SUMPRODUCT(MAX(ROW(E3297:E$2)*(E3298=E3297:E$2)))))</f>
        <v> </v>
      </c>
      <c r="J3298" s="26" t="str">
        <f>IF(OR(E3298="",E3298="!!!",F3298="NEW"),"",COUNTBLANK(OFFSET(A$1,,,SUMPRODUCT(MAX(ROW(E$2:E3298)*(E3298=E$2:E3298)))))-COUNTBLANK(OFFSET(A$1,,,SUMPRODUCT(MAX(ROW(E$1:E3297)*(E2=E$1:E3297))))))</f>
        <v> </v>
      </c>
      <c r="K3298" s="26" t="str">
        <f>IF(OR(E3298="",E3298="!!!",F3298="NEW"),"",INDEX(J$1:J3297,SUMPRODUCT(MAX(ROW(E$1:E3297)*(E3298=E$1:E3297)))))</f>
        <v> </v>
      </c>
      <c r="L3298" s="27"/>
    </row>
    <row r="3299" spans="1:12">
      <c r="A3299" s="20" t="s">
        <v>979</v>
      </c>
      <c r="E3299" s="22">
        <f>IF(D3299="?OLD","!!!","")</f>
        <v/>
      </c>
      <c r="F3299" s="23" t="str">
        <f>IF(OR(E3299="",E3299="!!!"),"",IF(NOT(ISNA(VLOOKUP(E3299,E$1:E3298,1,FALSE()))),"OLD",IF(AND(E3299&lt;&gt;"",E3299&lt;&gt;"!!!"),"NEW","")))</f>
        <v> </v>
      </c>
      <c r="G3299" s="24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5" t="str">
        <f>IF(J3299&lt;&gt;1,"",IF(I3299="SBJ","CB","?"))</f>
        <v> </v>
      </c>
      <c r="I3299" s="26" t="str">
        <f>IF(OR(E3299="",E3299="!!!",F3299="NEW"),"",INDEX(B3298:B$2,-1+SUMPRODUCT(MAX(ROW(E3298:E$2)*(E3299=E3298:E$2)))))</f>
        <v> </v>
      </c>
      <c r="J3299" s="26" t="str">
        <f>IF(OR(E3299="",E3299="!!!",F3299="NEW"),"",COUNTBLANK(OFFSET(A$1,,,SUMPRODUCT(MAX(ROW(E$2:E3299)*(E3299=E$2:E3299)))))-COUNTBLANK(OFFSET(A$1,,,SUMPRODUCT(MAX(ROW(E$1:E3298)*(E2=E$1:E3298))))))</f>
        <v> </v>
      </c>
      <c r="K3299" s="26" t="str">
        <f>IF(OR(E3299="",E3299="!!!",F3299="NEW"),"",INDEX(J$1:J3298,SUMPRODUCT(MAX(ROW(E$1:E3298)*(E3299=E$1:E3298)))))</f>
        <v> </v>
      </c>
      <c r="L3299" s="27"/>
    </row>
    <row r="3300" spans="1:12">
      <c r="A3300" s="20"/>
    </row>
    <row r="3301" spans="1:12">
      <c r="A3301" s="20" t="s">
        <v>2278</v>
      </c>
    </row>
    <row r="3302" spans="1:12">
      <c r="A3302" s="20" t="s">
        <v>981</v>
      </c>
      <c r="B3302" s="21" t="s">
        <v>975</v>
      </c>
      <c r="C3302" s="21" t="s">
        <v>971</v>
      </c>
      <c r="D3302" s="21" t="s">
        <v>972</v>
      </c>
      <c r="E3302" s="22">
        <f>IF(D3302="?OLD","!!!","")</f>
        <v/>
      </c>
      <c r="F3302" s="23" t="str">
        <f>IF(OR(E3302="",E3302="!!!"),"",IF(NOT(ISNA(VLOOKUP(E3302,E$1:E3301,1,FALSE()))),"OLD",IF(AND(E3302&lt;&gt;"",E3302&lt;&gt;"!!!"),"NEW","")))</f>
        <v> </v>
      </c>
      <c r="G3302" s="24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5" t="str">
        <f>IF(J3302&lt;&gt;1,"",IF(I3302="SBJ","CB","?"))</f>
        <v> </v>
      </c>
      <c r="I3302" s="26" t="str">
        <f>IF(OR(E3302="",E3302="!!!",F3302="NEW"),"",INDEX(B3301:B$2,-1+SUMPRODUCT(MAX(ROW(E3301:E$2)*(E3302=E3301:E$2)))))</f>
        <v> </v>
      </c>
      <c r="J3302" s="26" t="str">
        <f>IF(OR(E3302="",E3302="!!!",F3302="NEW"),"",COUNTBLANK(OFFSET(A$1,,,SUMPRODUCT(MAX(ROW(E$2:E3302)*(E3302=E$2:E3302)))))-COUNTBLANK(OFFSET(A$1,,,SUMPRODUCT(MAX(ROW(E$1:E3301)*(E2=E$1:E3301))))))</f>
        <v> </v>
      </c>
      <c r="K3302" s="26" t="str">
        <f>IF(OR(E3302="",E3302="!!!",F3302="NEW"),"",INDEX(J$1:J3301,SUMPRODUCT(MAX(ROW(E$1:E3301)*(E3302=E$1:E3301)))))</f>
        <v> </v>
      </c>
      <c r="L3302" s="27"/>
    </row>
    <row r="3303" spans="1:12">
      <c r="A3303" s="20" t="s">
        <v>2279</v>
      </c>
      <c r="E3303" s="22">
        <f>IF(D3303="?OLD","!!!","")</f>
        <v/>
      </c>
      <c r="F3303" s="23" t="str">
        <f>IF(OR(E3303="",E3303="!!!"),"",IF(NOT(ISNA(VLOOKUP(E3303,E$1:E3302,1,FALSE()))),"OLD",IF(AND(E3303&lt;&gt;"",E3303&lt;&gt;"!!!"),"NEW","")))</f>
        <v> </v>
      </c>
      <c r="G3303" s="24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5" t="str">
        <f>IF(J3303&lt;&gt;1,"",IF(I3303="SBJ","CB","?"))</f>
        <v> </v>
      </c>
      <c r="I3303" s="26" t="str">
        <f>IF(OR(E3303="",E3303="!!!",F3303="NEW"),"",INDEX(B3302:B$2,-1+SUMPRODUCT(MAX(ROW(E3302:E$2)*(E3303=E3302:E$2)))))</f>
        <v> </v>
      </c>
      <c r="J3303" s="26" t="str">
        <f>IF(OR(E3303="",E3303="!!!",F3303="NEW"),"",COUNTBLANK(OFFSET(A$1,,,SUMPRODUCT(MAX(ROW(E$2:E3303)*(E3303=E$2:E3303)))))-COUNTBLANK(OFFSET(A$1,,,SUMPRODUCT(MAX(ROW(E$1:E3302)*(E2=E$1:E3302))))))</f>
        <v> </v>
      </c>
      <c r="K3303" s="26" t="str">
        <f>IF(OR(E3303="",E3303="!!!",F3303="NEW"),"",INDEX(J$1:J3302,SUMPRODUCT(MAX(ROW(E$1:E3302)*(E3303=E$1:E3302)))))</f>
        <v> </v>
      </c>
      <c r="L3303" s="27"/>
    </row>
    <row r="3304" spans="1:12">
      <c r="A3304" s="20" t="s">
        <v>1013</v>
      </c>
      <c r="E3304" s="22">
        <f>IF(D3304="?OLD","!!!","")</f>
        <v/>
      </c>
      <c r="F3304" s="23" t="str">
        <f>IF(OR(E3304="",E3304="!!!"),"",IF(NOT(ISNA(VLOOKUP(E3304,E$1:E3303,1,FALSE()))),"OLD",IF(AND(E3304&lt;&gt;"",E3304&lt;&gt;"!!!"),"NEW","")))</f>
        <v> </v>
      </c>
      <c r="G3304" s="24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5" t="str">
        <f>IF(J3304&lt;&gt;1,"",IF(I3304="SBJ","CB","?"))</f>
        <v> </v>
      </c>
      <c r="I3304" s="26" t="str">
        <f>IF(OR(E3304="",E3304="!!!",F3304="NEW"),"",INDEX(B3303:B$2,-1+SUMPRODUCT(MAX(ROW(E3303:E$2)*(E3304=E3303:E$2)))))</f>
        <v> </v>
      </c>
      <c r="J3304" s="26" t="str">
        <f>IF(OR(E3304="",E3304="!!!",F3304="NEW"),"",COUNTBLANK(OFFSET(A$1,,,SUMPRODUCT(MAX(ROW(E$2:E3304)*(E3304=E$2:E3304)))))-COUNTBLANK(OFFSET(A$1,,,SUMPRODUCT(MAX(ROW(E$1:E3303)*(E2=E$1:E3303))))))</f>
        <v> </v>
      </c>
      <c r="K3304" s="26" t="str">
        <f>IF(OR(E3304="",E3304="!!!",F3304="NEW"),"",INDEX(J$1:J3303,SUMPRODUCT(MAX(ROW(E$1:E3303)*(E3304=E$1:E3303)))))</f>
        <v> </v>
      </c>
      <c r="L3304" s="27"/>
    </row>
    <row r="3305" spans="1:12">
      <c r="A3305" s="20" t="s">
        <v>1489</v>
      </c>
      <c r="E3305" s="22">
        <f>IF(D3305="?OLD","!!!","")</f>
        <v/>
      </c>
      <c r="F3305" s="23" t="str">
        <f>IF(OR(E3305="",E3305="!!!"),"",IF(NOT(ISNA(VLOOKUP(E3305,E$1:E3304,1,FALSE()))),"OLD",IF(AND(E3305&lt;&gt;"",E3305&lt;&gt;"!!!"),"NEW","")))</f>
        <v> </v>
      </c>
      <c r="G3305" s="24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5" t="str">
        <f>IF(J3305&lt;&gt;1,"",IF(I3305="SBJ","CB","?"))</f>
        <v> </v>
      </c>
      <c r="I3305" s="26" t="str">
        <f>IF(OR(E3305="",E3305="!!!",F3305="NEW"),"",INDEX(B3304:B$2,-1+SUMPRODUCT(MAX(ROW(E3304:E$2)*(E3305=E3304:E$2)))))</f>
        <v> </v>
      </c>
      <c r="J3305" s="26" t="str">
        <f>IF(OR(E3305="",E3305="!!!",F3305="NEW"),"",COUNTBLANK(OFFSET(A$1,,,SUMPRODUCT(MAX(ROW(E$2:E3305)*(E3305=E$2:E3305)))))-COUNTBLANK(OFFSET(A$1,,,SUMPRODUCT(MAX(ROW(E$1:E3304)*(E2=E$1:E3304))))))</f>
        <v> </v>
      </c>
      <c r="K3305" s="26" t="str">
        <f>IF(OR(E3305="",E3305="!!!",F3305="NEW"),"",INDEX(J$1:J3304,SUMPRODUCT(MAX(ROW(E$1:E3304)*(E3305=E$1:E3304)))))</f>
        <v> </v>
      </c>
      <c r="L3305" s="27"/>
    </row>
    <row r="3306" spans="1:12">
      <c r="A3306" s="20" t="s">
        <v>145</v>
      </c>
      <c r="B3306" s="21" t="s">
        <v>1101</v>
      </c>
      <c r="C3306" s="21" t="s">
        <v>971</v>
      </c>
      <c r="D3306" s="21" t="s">
        <v>972</v>
      </c>
      <c r="E3306" s="22">
        <f>IF(D3306="?OLD","!!!","")</f>
        <v/>
      </c>
      <c r="F3306" s="23" t="str">
        <f>IF(OR(E3306="",E3306="!!!"),"",IF(NOT(ISNA(VLOOKUP(E3306,E$1:E3305,1,FALSE()))),"OLD",IF(AND(E3306&lt;&gt;"",E3306&lt;&gt;"!!!"),"NEW","")))</f>
        <v> </v>
      </c>
      <c r="G3306" s="24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5" t="str">
        <f>IF(J3306&lt;&gt;1,"",IF(I3306="SBJ","CB","?"))</f>
        <v> </v>
      </c>
      <c r="I3306" s="26" t="str">
        <f>IF(OR(E3306="",E3306="!!!",F3306="NEW"),"",INDEX(B3305:B$2,-1+SUMPRODUCT(MAX(ROW(E3305:E$2)*(E3306=E3305:E$2)))))</f>
        <v> </v>
      </c>
      <c r="J3306" s="26" t="str">
        <f>IF(OR(E3306="",E3306="!!!",F3306="NEW"),"",COUNTBLANK(OFFSET(A$1,,,SUMPRODUCT(MAX(ROW(E$2:E3306)*(E3306=E$2:E3306)))))-COUNTBLANK(OFFSET(A$1,,,SUMPRODUCT(MAX(ROW(E$1:E3305)*(E2=E$1:E3305))))))</f>
        <v> </v>
      </c>
      <c r="K3306" s="26" t="str">
        <f>IF(OR(E3306="",E3306="!!!",F3306="NEW"),"",INDEX(J$1:J3305,SUMPRODUCT(MAX(ROW(E$1:E3305)*(E3306=E$1:E3305)))))</f>
        <v> </v>
      </c>
      <c r="L3306" s="27"/>
    </row>
    <row r="3307" spans="1:12">
      <c r="A3307" s="20" t="s">
        <v>2280</v>
      </c>
      <c r="E3307" s="22">
        <f>IF(D3307="?OLD","!!!","")</f>
        <v/>
      </c>
      <c r="F3307" s="23" t="str">
        <f>IF(OR(E3307="",E3307="!!!"),"",IF(NOT(ISNA(VLOOKUP(E3307,E$1:E3306,1,FALSE()))),"OLD",IF(AND(E3307&lt;&gt;"",E3307&lt;&gt;"!!!"),"NEW","")))</f>
        <v> </v>
      </c>
      <c r="G3307" s="24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5" t="str">
        <f>IF(J3307&lt;&gt;1,"",IF(I3307="SBJ","CB","?"))</f>
        <v> </v>
      </c>
      <c r="I3307" s="26" t="str">
        <f>IF(OR(E3307="",E3307="!!!",F3307="NEW"),"",INDEX(B3306:B$2,-1+SUMPRODUCT(MAX(ROW(E3306:E$2)*(E3307=E3306:E$2)))))</f>
        <v> </v>
      </c>
      <c r="J3307" s="26" t="str">
        <f>IF(OR(E3307="",E3307="!!!",F3307="NEW"),"",COUNTBLANK(OFFSET(A$1,,,SUMPRODUCT(MAX(ROW(E$2:E3307)*(E3307=E$2:E3307)))))-COUNTBLANK(OFFSET(A$1,,,SUMPRODUCT(MAX(ROW(E$1:E3306)*(E2=E$1:E3306))))))</f>
        <v> </v>
      </c>
      <c r="K3307" s="26" t="str">
        <f>IF(OR(E3307="",E3307="!!!",F3307="NEW"),"",INDEX(J$1:J3306,SUMPRODUCT(MAX(ROW(E$1:E3306)*(E3307=E$1:E3306)))))</f>
        <v> </v>
      </c>
      <c r="L3307" s="27"/>
    </row>
    <row r="3308" spans="1:12">
      <c r="A3308" s="20" t="s">
        <v>1023</v>
      </c>
      <c r="E3308" s="22">
        <f>IF(D3308="?OLD","!!!","")</f>
        <v/>
      </c>
      <c r="F3308" s="23" t="str">
        <f>IF(OR(E3308="",E3308="!!!"),"",IF(NOT(ISNA(VLOOKUP(E3308,E$1:E3307,1,FALSE()))),"OLD",IF(AND(E3308&lt;&gt;"",E3308&lt;&gt;"!!!"),"NEW","")))</f>
        <v> </v>
      </c>
      <c r="G3308" s="24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5" t="str">
        <f>IF(J3308&lt;&gt;1,"",IF(I3308="SBJ","CB","?"))</f>
        <v> </v>
      </c>
      <c r="I3308" s="26" t="str">
        <f>IF(OR(E3308="",E3308="!!!",F3308="NEW"),"",INDEX(B3307:B$2,-1+SUMPRODUCT(MAX(ROW(E3307:E$2)*(E3308=E3307:E$2)))))</f>
        <v> </v>
      </c>
      <c r="J3308" s="26" t="str">
        <f>IF(OR(E3308="",E3308="!!!",F3308="NEW"),"",COUNTBLANK(OFFSET(A$1,,,SUMPRODUCT(MAX(ROW(E$2:E3308)*(E3308=E$2:E3308)))))-COUNTBLANK(OFFSET(A$1,,,SUMPRODUCT(MAX(ROW(E$1:E3307)*(E2=E$1:E3307))))))</f>
        <v> </v>
      </c>
      <c r="K3308" s="26" t="str">
        <f>IF(OR(E3308="",E3308="!!!",F3308="NEW"),"",INDEX(J$1:J3307,SUMPRODUCT(MAX(ROW(E$1:E3307)*(E3308=E$1:E3307)))))</f>
        <v> </v>
      </c>
      <c r="L3308" s="27"/>
    </row>
    <row r="3309" spans="1:12">
      <c r="A3309" s="20" t="s">
        <v>2281</v>
      </c>
      <c r="E3309" s="22">
        <f>IF(D3309="?OLD","!!!","")</f>
        <v/>
      </c>
      <c r="F3309" s="23" t="str">
        <f>IF(OR(E3309="",E3309="!!!"),"",IF(NOT(ISNA(VLOOKUP(E3309,E$1:E3308,1,FALSE()))),"OLD",IF(AND(E3309&lt;&gt;"",E3309&lt;&gt;"!!!"),"NEW","")))</f>
        <v> </v>
      </c>
      <c r="G3309" s="24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5" t="str">
        <f>IF(J3309&lt;&gt;1,"",IF(I3309="SBJ","CB","?"))</f>
        <v> </v>
      </c>
      <c r="I3309" s="26" t="str">
        <f>IF(OR(E3309="",E3309="!!!",F3309="NEW"),"",INDEX(B3308:B$2,-1+SUMPRODUCT(MAX(ROW(E3308:E$2)*(E3309=E3308:E$2)))))</f>
        <v> </v>
      </c>
      <c r="J3309" s="26" t="str">
        <f>IF(OR(E3309="",E3309="!!!",F3309="NEW"),"",COUNTBLANK(OFFSET(A$1,,,SUMPRODUCT(MAX(ROW(E$2:E3309)*(E3309=E$2:E3309)))))-COUNTBLANK(OFFSET(A$1,,,SUMPRODUCT(MAX(ROW(E$1:E3308)*(E2=E$1:E3308))))))</f>
        <v> </v>
      </c>
      <c r="K3309" s="26" t="str">
        <f>IF(OR(E3309="",E3309="!!!",F3309="NEW"),"",INDEX(J$1:J3308,SUMPRODUCT(MAX(ROW(E$1:E3308)*(E3309=E$1:E3308)))))</f>
        <v> </v>
      </c>
      <c r="L3309" s="27"/>
    </row>
    <row r="3310" spans="1:12">
      <c r="A3310" s="20" t="s">
        <v>400</v>
      </c>
      <c r="B3310" s="21" t="s">
        <v>1093</v>
      </c>
      <c r="C3310" s="21" t="s">
        <v>971</v>
      </c>
      <c r="D3310" s="21" t="s">
        <v>972</v>
      </c>
      <c r="E3310" s="22">
        <f>IF(D3310="?OLD","!!!","")</f>
        <v/>
      </c>
      <c r="F3310" s="23" t="str">
        <f>IF(OR(E3310="",E3310="!!!"),"",IF(NOT(ISNA(VLOOKUP(E3310,E$1:E3309,1,FALSE()))),"OLD",IF(AND(E3310&lt;&gt;"",E3310&lt;&gt;"!!!"),"NEW","")))</f>
        <v> </v>
      </c>
      <c r="G3310" s="24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5" t="str">
        <f>IF(J3310&lt;&gt;1,"",IF(I3310="SBJ","CB","?"))</f>
        <v> </v>
      </c>
      <c r="I3310" s="26" t="str">
        <f>IF(OR(E3310="",E3310="!!!",F3310="NEW"),"",INDEX(B3309:B$2,-1+SUMPRODUCT(MAX(ROW(E3309:E$2)*(E3310=E3309:E$2)))))</f>
        <v> </v>
      </c>
      <c r="J3310" s="26" t="str">
        <f>IF(OR(E3310="",E3310="!!!",F3310="NEW"),"",COUNTBLANK(OFFSET(A$1,,,SUMPRODUCT(MAX(ROW(E$2:E3310)*(E3310=E$2:E3310)))))-COUNTBLANK(OFFSET(A$1,,,SUMPRODUCT(MAX(ROW(E$1:E3309)*(E2=E$1:E3309))))))</f>
        <v> </v>
      </c>
      <c r="K3310" s="26" t="str">
        <f>IF(OR(E3310="",E3310="!!!",F3310="NEW"),"",INDEX(J$1:J3309,SUMPRODUCT(MAX(ROW(E$1:E3309)*(E3310=E$1:E3309)))))</f>
        <v> </v>
      </c>
      <c r="L3310" s="27"/>
    </row>
    <row r="3311" spans="1:12">
      <c r="A3311" s="20" t="s">
        <v>2282</v>
      </c>
      <c r="E3311" s="22">
        <f>IF(D3311="?OLD","!!!","")</f>
        <v/>
      </c>
      <c r="F3311" s="23" t="str">
        <f>IF(OR(E3311="",E3311="!!!"),"",IF(NOT(ISNA(VLOOKUP(E3311,E$1:E3310,1,FALSE()))),"OLD",IF(AND(E3311&lt;&gt;"",E3311&lt;&gt;"!!!"),"NEW","")))</f>
        <v> </v>
      </c>
      <c r="G3311" s="24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5" t="str">
        <f>IF(J3311&lt;&gt;1,"",IF(I3311="SBJ","CB","?"))</f>
        <v> </v>
      </c>
      <c r="I3311" s="26" t="str">
        <f>IF(OR(E3311="",E3311="!!!",F3311="NEW"),"",INDEX(B3310:B$2,-1+SUMPRODUCT(MAX(ROW(E3310:E$2)*(E3311=E3310:E$2)))))</f>
        <v> </v>
      </c>
      <c r="J3311" s="26" t="str">
        <f>IF(OR(E3311="",E3311="!!!",F3311="NEW"),"",COUNTBLANK(OFFSET(A$1,,,SUMPRODUCT(MAX(ROW(E$2:E3311)*(E3311=E$2:E3311)))))-COUNTBLANK(OFFSET(A$1,,,SUMPRODUCT(MAX(ROW(E$1:E3310)*(E2=E$1:E3310))))))</f>
        <v> </v>
      </c>
      <c r="K3311" s="26" t="str">
        <f>IF(OR(E3311="",E3311="!!!",F3311="NEW"),"",INDEX(J$1:J3310,SUMPRODUCT(MAX(ROW(E$1:E3310)*(E3311=E$1:E3310)))))</f>
        <v> </v>
      </c>
      <c r="L3311" s="27"/>
    </row>
    <row r="3312" spans="1:12">
      <c r="A3312" s="20" t="s">
        <v>1082</v>
      </c>
      <c r="E3312" s="22">
        <f>IF(D3312="?OLD","!!!","")</f>
        <v/>
      </c>
      <c r="F3312" s="23" t="str">
        <f>IF(OR(E3312="",E3312="!!!"),"",IF(NOT(ISNA(VLOOKUP(E3312,E$1:E3311,1,FALSE()))),"OLD",IF(AND(E3312&lt;&gt;"",E3312&lt;&gt;"!!!"),"NEW","")))</f>
        <v> </v>
      </c>
      <c r="G3312" s="24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5" t="str">
        <f>IF(J3312&lt;&gt;1,"",IF(I3312="SBJ","CB","?"))</f>
        <v> </v>
      </c>
      <c r="I3312" s="26" t="str">
        <f>IF(OR(E3312="",E3312="!!!",F3312="NEW"),"",INDEX(B3311:B$2,-1+SUMPRODUCT(MAX(ROW(E3311:E$2)*(E3312=E3311:E$2)))))</f>
        <v> </v>
      </c>
      <c r="J3312" s="26" t="str">
        <f>IF(OR(E3312="",E3312="!!!",F3312="NEW"),"",COUNTBLANK(OFFSET(A$1,,,SUMPRODUCT(MAX(ROW(E$2:E3312)*(E3312=E$2:E3312)))))-COUNTBLANK(OFFSET(A$1,,,SUMPRODUCT(MAX(ROW(E$1:E3311)*(E2=E$1:E3311))))))</f>
        <v> </v>
      </c>
      <c r="K3312" s="26" t="str">
        <f>IF(OR(E3312="",E3312="!!!",F3312="NEW"),"",INDEX(J$1:J3311,SUMPRODUCT(MAX(ROW(E$1:E3311)*(E3312=E$1:E3311)))))</f>
        <v> </v>
      </c>
      <c r="L3312" s="27"/>
    </row>
    <row r="3313" spans="1:12">
      <c r="A3313" s="20" t="s">
        <v>1086</v>
      </c>
      <c r="B3313" s="21" t="s">
        <v>1055</v>
      </c>
      <c r="E3313" s="22">
        <f>IF(D3313="?OLD","!!!","")</f>
        <v/>
      </c>
      <c r="F3313" s="23" t="str">
        <f>IF(OR(E3313="",E3313="!!!"),"",IF(NOT(ISNA(VLOOKUP(E3313,E$1:E3312,1,FALSE()))),"OLD",IF(AND(E3313&lt;&gt;"",E3313&lt;&gt;"!!!"),"NEW","")))</f>
        <v> </v>
      </c>
      <c r="G3313" s="24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5" t="str">
        <f>IF(J3313&lt;&gt;1,"",IF(I3313="SBJ","CB","?"))</f>
        <v> </v>
      </c>
      <c r="I3313" s="26" t="str">
        <f>IF(OR(E3313="",E3313="!!!",F3313="NEW"),"",INDEX(B3312:B$2,-1+SUMPRODUCT(MAX(ROW(E3312:E$2)*(E3313=E3312:E$2)))))</f>
        <v> </v>
      </c>
      <c r="J3313" s="26" t="str">
        <f>IF(OR(E3313="",E3313="!!!",F3313="NEW"),"",COUNTBLANK(OFFSET(A$1,,,SUMPRODUCT(MAX(ROW(E$2:E3313)*(E3313=E$2:E3313)))))-COUNTBLANK(OFFSET(A$1,,,SUMPRODUCT(MAX(ROW(E$1:E3312)*(E2=E$1:E3312))))))</f>
        <v> </v>
      </c>
      <c r="K3313" s="26" t="str">
        <f>IF(OR(E3313="",E3313="!!!",F3313="NEW"),"",INDEX(J$1:J3312,SUMPRODUCT(MAX(ROW(E$1:E3312)*(E3313=E$1:E3312)))))</f>
        <v> </v>
      </c>
      <c r="L3313" s="27"/>
    </row>
    <row r="3314" spans="1:12">
      <c r="A3314" s="20" t="s">
        <v>2283</v>
      </c>
      <c r="E3314" s="22">
        <f>IF(D3314="?OLD","!!!","")</f>
        <v/>
      </c>
      <c r="F3314" s="23" t="str">
        <f>IF(OR(E3314="",E3314="!!!"),"",IF(NOT(ISNA(VLOOKUP(E3314,E$1:E3313,1,FALSE()))),"OLD",IF(AND(E3314&lt;&gt;"",E3314&lt;&gt;"!!!"),"NEW","")))</f>
        <v> </v>
      </c>
      <c r="G3314" s="24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5" t="str">
        <f>IF(J3314&lt;&gt;1,"",IF(I3314="SBJ","CB","?"))</f>
        <v> </v>
      </c>
      <c r="I3314" s="26" t="str">
        <f>IF(OR(E3314="",E3314="!!!",F3314="NEW"),"",INDEX(B3313:B$2,-1+SUMPRODUCT(MAX(ROW(E3313:E$2)*(E3314=E3313:E$2)))))</f>
        <v> </v>
      </c>
      <c r="J3314" s="26" t="str">
        <f>IF(OR(E3314="",E3314="!!!",F3314="NEW"),"",COUNTBLANK(OFFSET(A$1,,,SUMPRODUCT(MAX(ROW(E$2:E3314)*(E3314=E$2:E3314)))))-COUNTBLANK(OFFSET(A$1,,,SUMPRODUCT(MAX(ROW(E$1:E3313)*(E2=E$1:E3313))))))</f>
        <v> </v>
      </c>
      <c r="K3314" s="26" t="str">
        <f>IF(OR(E3314="",E3314="!!!",F3314="NEW"),"",INDEX(J$1:J3313,SUMPRODUCT(MAX(ROW(E$1:E3313)*(E3314=E$1:E3313)))))</f>
        <v> </v>
      </c>
      <c r="L3314" s="27"/>
    </row>
    <row r="3315" spans="1:12">
      <c r="A3315" s="20" t="s">
        <v>1004</v>
      </c>
      <c r="E3315" s="22">
        <f>IF(D3315="?OLD","!!!","")</f>
        <v/>
      </c>
      <c r="F3315" s="23" t="str">
        <f>IF(OR(E3315="",E3315="!!!"),"",IF(NOT(ISNA(VLOOKUP(E3315,E$1:E3314,1,FALSE()))),"OLD",IF(AND(E3315&lt;&gt;"",E3315&lt;&gt;"!!!"),"NEW","")))</f>
        <v> </v>
      </c>
      <c r="G3315" s="24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5" t="str">
        <f>IF(J3315&lt;&gt;1,"",IF(I3315="SBJ","CB","?"))</f>
        <v> </v>
      </c>
      <c r="I3315" s="26" t="str">
        <f>IF(OR(E3315="",E3315="!!!",F3315="NEW"),"",INDEX(B3314:B$2,-1+SUMPRODUCT(MAX(ROW(E3314:E$2)*(E3315=E3314:E$2)))))</f>
        <v> </v>
      </c>
      <c r="J3315" s="26" t="str">
        <f>IF(OR(E3315="",E3315="!!!",F3315="NEW"),"",COUNTBLANK(OFFSET(A$1,,,SUMPRODUCT(MAX(ROW(E$2:E3315)*(E3315=E$2:E3315)))))-COUNTBLANK(OFFSET(A$1,,,SUMPRODUCT(MAX(ROW(E$1:E3314)*(E2=E$1:E3314))))))</f>
        <v> </v>
      </c>
      <c r="K3315" s="26" t="str">
        <f>IF(OR(E3315="",E3315="!!!",F3315="NEW"),"",INDEX(J$1:J3314,SUMPRODUCT(MAX(ROW(E$1:E3314)*(E3315=E$1:E3314)))))</f>
        <v> </v>
      </c>
      <c r="L3315" s="27"/>
    </row>
    <row r="3316" spans="1:12">
      <c r="A3316" s="20" t="s">
        <v>1005</v>
      </c>
      <c r="E3316" s="22">
        <f>IF(D3316="?OLD","!!!","")</f>
        <v/>
      </c>
      <c r="F3316" s="23" t="str">
        <f>IF(OR(E3316="",E3316="!!!"),"",IF(NOT(ISNA(VLOOKUP(E3316,E$1:E3315,1,FALSE()))),"OLD",IF(AND(E3316&lt;&gt;"",E3316&lt;&gt;"!!!"),"NEW","")))</f>
        <v> </v>
      </c>
      <c r="G3316" s="24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5" t="str">
        <f>IF(J3316&lt;&gt;1,"",IF(I3316="SBJ","CB","?"))</f>
        <v> </v>
      </c>
      <c r="I3316" s="26" t="str">
        <f>IF(OR(E3316="",E3316="!!!",F3316="NEW"),"",INDEX(B3315:B$2,-1+SUMPRODUCT(MAX(ROW(E3315:E$2)*(E3316=E3315:E$2)))))</f>
        <v> </v>
      </c>
      <c r="J3316" s="26" t="str">
        <f>IF(OR(E3316="",E3316="!!!",F3316="NEW"),"",COUNTBLANK(OFFSET(A$1,,,SUMPRODUCT(MAX(ROW(E$2:E3316)*(E3316=E$2:E3316)))))-COUNTBLANK(OFFSET(A$1,,,SUMPRODUCT(MAX(ROW(E$1:E3315)*(E2=E$1:E3315))))))</f>
        <v> </v>
      </c>
      <c r="K3316" s="26" t="str">
        <f>IF(OR(E3316="",E3316="!!!",F3316="NEW"),"",INDEX(J$1:J3315,SUMPRODUCT(MAX(ROW(E$1:E3315)*(E3316=E$1:E3315)))))</f>
        <v> </v>
      </c>
      <c r="L3316" s="27"/>
    </row>
    <row r="3317" spans="1:12">
      <c r="A3317" s="20" t="s">
        <v>1341</v>
      </c>
      <c r="E3317" s="22">
        <f>IF(D3317="?OLD","!!!","")</f>
        <v/>
      </c>
      <c r="F3317" s="23" t="str">
        <f>IF(OR(E3317="",E3317="!!!"),"",IF(NOT(ISNA(VLOOKUP(E3317,E$1:E3316,1,FALSE()))),"OLD",IF(AND(E3317&lt;&gt;"",E3317&lt;&gt;"!!!"),"NEW","")))</f>
        <v> </v>
      </c>
      <c r="G3317" s="24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5" t="str">
        <f>IF(J3317&lt;&gt;1,"",IF(I3317="SBJ","CB","?"))</f>
        <v> </v>
      </c>
      <c r="I3317" s="26" t="str">
        <f>IF(OR(E3317="",E3317="!!!",F3317="NEW"),"",INDEX(B3316:B$2,-1+SUMPRODUCT(MAX(ROW(E3316:E$2)*(E3317=E3316:E$2)))))</f>
        <v> </v>
      </c>
      <c r="J3317" s="26" t="str">
        <f>IF(OR(E3317="",E3317="!!!",F3317="NEW"),"",COUNTBLANK(OFFSET(A$1,,,SUMPRODUCT(MAX(ROW(E$2:E3317)*(E3317=E$2:E3317)))))-COUNTBLANK(OFFSET(A$1,,,SUMPRODUCT(MAX(ROW(E$1:E3316)*(E2=E$1:E3316))))))</f>
        <v> </v>
      </c>
      <c r="K3317" s="26" t="str">
        <f>IF(OR(E3317="",E3317="!!!",F3317="NEW"),"",INDEX(J$1:J3316,SUMPRODUCT(MAX(ROW(E$1:E3316)*(E3317=E$1:E3316)))))</f>
        <v> </v>
      </c>
      <c r="L3317" s="27"/>
    </row>
    <row r="3318" spans="1:12">
      <c r="A3318" s="20" t="s">
        <v>1319</v>
      </c>
      <c r="E3318" s="22">
        <f>IF(D3318="?OLD","!!!","")</f>
        <v/>
      </c>
      <c r="F3318" s="23" t="str">
        <f>IF(OR(E3318="",E3318="!!!"),"",IF(NOT(ISNA(VLOOKUP(E3318,E$1:E3317,1,FALSE()))),"OLD",IF(AND(E3318&lt;&gt;"",E3318&lt;&gt;"!!!"),"NEW","")))</f>
        <v> </v>
      </c>
      <c r="G3318" s="24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5" t="str">
        <f>IF(J3318&lt;&gt;1,"",IF(I3318="SBJ","CB","?"))</f>
        <v> </v>
      </c>
      <c r="I3318" s="26" t="str">
        <f>IF(OR(E3318="",E3318="!!!",F3318="NEW"),"",INDEX(B3317:B$2,-1+SUMPRODUCT(MAX(ROW(E3317:E$2)*(E3318=E3317:E$2)))))</f>
        <v> </v>
      </c>
      <c r="J3318" s="26" t="str">
        <f>IF(OR(E3318="",E3318="!!!",F3318="NEW"),"",COUNTBLANK(OFFSET(A$1,,,SUMPRODUCT(MAX(ROW(E$2:E3318)*(E3318=E$2:E3318)))))-COUNTBLANK(OFFSET(A$1,,,SUMPRODUCT(MAX(ROW(E$1:E3317)*(E2=E$1:E3317))))))</f>
        <v> </v>
      </c>
      <c r="K3318" s="26" t="str">
        <f>IF(OR(E3318="",E3318="!!!",F3318="NEW"),"",INDEX(J$1:J3317,SUMPRODUCT(MAX(ROW(E$1:E3317)*(E3318=E$1:E3317)))))</f>
        <v> </v>
      </c>
      <c r="L3318" s="27"/>
    </row>
    <row r="3319" spans="1:12">
      <c r="A3319" s="20" t="s">
        <v>2284</v>
      </c>
      <c r="E3319" s="22">
        <f>IF(D3319="?OLD","!!!","")</f>
        <v/>
      </c>
      <c r="F3319" s="23" t="str">
        <f>IF(OR(E3319="",E3319="!!!"),"",IF(NOT(ISNA(VLOOKUP(E3319,E$1:E3318,1,FALSE()))),"OLD",IF(AND(E3319&lt;&gt;"",E3319&lt;&gt;"!!!"),"NEW","")))</f>
        <v> </v>
      </c>
      <c r="G3319" s="24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5" t="str">
        <f>IF(J3319&lt;&gt;1,"",IF(I3319="SBJ","CB","?"))</f>
        <v> </v>
      </c>
      <c r="I3319" s="26" t="str">
        <f>IF(OR(E3319="",E3319="!!!",F3319="NEW"),"",INDEX(B3318:B$2,-1+SUMPRODUCT(MAX(ROW(E3318:E$2)*(E3319=E3318:E$2)))))</f>
        <v> </v>
      </c>
      <c r="J3319" s="26" t="str">
        <f>IF(OR(E3319="",E3319="!!!",F3319="NEW"),"",COUNTBLANK(OFFSET(A$1,,,SUMPRODUCT(MAX(ROW(E$2:E3319)*(E3319=E$2:E3319)))))-COUNTBLANK(OFFSET(A$1,,,SUMPRODUCT(MAX(ROW(E$1:E3318)*(E2=E$1:E3318))))))</f>
        <v> </v>
      </c>
      <c r="K3319" s="26" t="str">
        <f>IF(OR(E3319="",E3319="!!!",F3319="NEW"),"",INDEX(J$1:J3318,SUMPRODUCT(MAX(ROW(E$1:E3318)*(E3319=E$1:E3318)))))</f>
        <v> </v>
      </c>
      <c r="L3319" s="27"/>
    </row>
    <row r="3320" spans="1:12">
      <c r="A3320" s="20" t="s">
        <v>2285</v>
      </c>
      <c r="E3320" s="22">
        <f>IF(D3320="?OLD","!!!","")</f>
        <v/>
      </c>
      <c r="F3320" s="23" t="str">
        <f>IF(OR(E3320="",E3320="!!!"),"",IF(NOT(ISNA(VLOOKUP(E3320,E$1:E3319,1,FALSE()))),"OLD",IF(AND(E3320&lt;&gt;"",E3320&lt;&gt;"!!!"),"NEW","")))</f>
        <v> </v>
      </c>
      <c r="G3320" s="24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5" t="str">
        <f>IF(J3320&lt;&gt;1,"",IF(I3320="SBJ","CB","?"))</f>
        <v> </v>
      </c>
      <c r="I3320" s="26" t="str">
        <f>IF(OR(E3320="",E3320="!!!",F3320="NEW"),"",INDEX(B3319:B$2,-1+SUMPRODUCT(MAX(ROW(E3319:E$2)*(E3320=E3319:E$2)))))</f>
        <v> </v>
      </c>
      <c r="J3320" s="26" t="str">
        <f>IF(OR(E3320="",E3320="!!!",F3320="NEW"),"",COUNTBLANK(OFFSET(A$1,,,SUMPRODUCT(MAX(ROW(E$2:E3320)*(E3320=E$2:E3320)))))-COUNTBLANK(OFFSET(A$1,,,SUMPRODUCT(MAX(ROW(E$1:E3319)*(E2=E$1:E3319))))))</f>
        <v> </v>
      </c>
      <c r="K3320" s="26" t="str">
        <f>IF(OR(E3320="",E3320="!!!",F3320="NEW"),"",INDEX(J$1:J3319,SUMPRODUCT(MAX(ROW(E$1:E3319)*(E3320=E$1:E3319)))))</f>
        <v> </v>
      </c>
      <c r="L3320" s="27"/>
    </row>
    <row r="3321" spans="1:12">
      <c r="A3321" s="20" t="s">
        <v>1013</v>
      </c>
      <c r="E3321" s="22">
        <f>IF(D3321="?OLD","!!!","")</f>
        <v/>
      </c>
      <c r="F3321" s="23" t="str">
        <f>IF(OR(E3321="",E3321="!!!"),"",IF(NOT(ISNA(VLOOKUP(E3321,E$1:E3320,1,FALSE()))),"OLD",IF(AND(E3321&lt;&gt;"",E3321&lt;&gt;"!!!"),"NEW","")))</f>
        <v> </v>
      </c>
      <c r="G3321" s="24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5" t="str">
        <f>IF(J3321&lt;&gt;1,"",IF(I3321="SBJ","CB","?"))</f>
        <v> </v>
      </c>
      <c r="I3321" s="26" t="str">
        <f>IF(OR(E3321="",E3321="!!!",F3321="NEW"),"",INDEX(B3320:B$2,-1+SUMPRODUCT(MAX(ROW(E3320:E$2)*(E3321=E3320:E$2)))))</f>
        <v> </v>
      </c>
      <c r="J3321" s="26" t="str">
        <f>IF(OR(E3321="",E3321="!!!",F3321="NEW"),"",COUNTBLANK(OFFSET(A$1,,,SUMPRODUCT(MAX(ROW(E$2:E3321)*(E3321=E$2:E3321)))))-COUNTBLANK(OFFSET(A$1,,,SUMPRODUCT(MAX(ROW(E$1:E3320)*(E2=E$1:E3320))))))</f>
        <v> </v>
      </c>
      <c r="K3321" s="26" t="str">
        <f>IF(OR(E3321="",E3321="!!!",F3321="NEW"),"",INDEX(J$1:J3320,SUMPRODUCT(MAX(ROW(E$1:E3320)*(E3321=E$1:E3320)))))</f>
        <v> </v>
      </c>
      <c r="L3321" s="27"/>
    </row>
    <row r="3322" spans="1:12">
      <c r="A3322" s="20" t="s">
        <v>257</v>
      </c>
      <c r="E3322" s="22">
        <f>IF(D3322="?OLD","!!!","")</f>
        <v/>
      </c>
      <c r="F3322" s="23" t="str">
        <f>IF(OR(E3322="",E3322="!!!"),"",IF(NOT(ISNA(VLOOKUP(E3322,E$1:E3321,1,FALSE()))),"OLD",IF(AND(E3322&lt;&gt;"",E3322&lt;&gt;"!!!"),"NEW","")))</f>
        <v> </v>
      </c>
      <c r="G3322" s="24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5" t="str">
        <f>IF(J3322&lt;&gt;1,"",IF(I3322="SBJ","CB","?"))</f>
        <v> </v>
      </c>
      <c r="I3322" s="26" t="str">
        <f>IF(OR(E3322="",E3322="!!!",F3322="NEW"),"",INDEX(B3321:B$2,-1+SUMPRODUCT(MAX(ROW(E3321:E$2)*(E3322=E3321:E$2)))))</f>
        <v> </v>
      </c>
      <c r="J3322" s="26" t="str">
        <f>IF(OR(E3322="",E3322="!!!",F3322="NEW"),"",COUNTBLANK(OFFSET(A$1,,,SUMPRODUCT(MAX(ROW(E$2:E3322)*(E3322=E$2:E3322)))))-COUNTBLANK(OFFSET(A$1,,,SUMPRODUCT(MAX(ROW(E$1:E3321)*(E2=E$1:E3321))))))</f>
        <v> </v>
      </c>
      <c r="K3322" s="26" t="str">
        <f>IF(OR(E3322="",E3322="!!!",F3322="NEW"),"",INDEX(J$1:J3321,SUMPRODUCT(MAX(ROW(E$1:E3321)*(E3322=E$1:E3321)))))</f>
        <v> </v>
      </c>
      <c r="L3322" s="27"/>
    </row>
    <row r="3323" spans="1:12">
      <c r="A3323" s="20" t="s">
        <v>2286</v>
      </c>
      <c r="B3323" s="21" t="s">
        <v>1030</v>
      </c>
      <c r="C3323" s="21" t="s">
        <v>1012</v>
      </c>
      <c r="D3323" s="21" t="s">
        <v>972</v>
      </c>
      <c r="E3323" s="22">
        <f>IF(D3323="?OLD","!!!","")</f>
        <v/>
      </c>
      <c r="F3323" s="23" t="str">
        <f>IF(OR(E3323="",E3323="!!!"),"",IF(NOT(ISNA(VLOOKUP(E3323,E$1:E3322,1,FALSE()))),"OLD",IF(AND(E3323&lt;&gt;"",E3323&lt;&gt;"!!!"),"NEW","")))</f>
        <v> </v>
      </c>
      <c r="G3323" s="24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5" t="str">
        <f>IF(J3323&lt;&gt;1,"",IF(I3323="SBJ","CB","?"))</f>
        <v> </v>
      </c>
      <c r="I3323" s="26" t="str">
        <f>IF(OR(E3323="",E3323="!!!",F3323="NEW"),"",INDEX(B3322:B$2,-1+SUMPRODUCT(MAX(ROW(E3322:E$2)*(E3323=E3322:E$2)))))</f>
        <v> </v>
      </c>
      <c r="J3323" s="26" t="str">
        <f>IF(OR(E3323="",E3323="!!!",F3323="NEW"),"",COUNTBLANK(OFFSET(A$1,,,SUMPRODUCT(MAX(ROW(E$2:E3323)*(E3323=E$2:E3323)))))-COUNTBLANK(OFFSET(A$1,,,SUMPRODUCT(MAX(ROW(E$1:E3322)*(E2=E$1:E3322))))))</f>
        <v> </v>
      </c>
      <c r="K3323" s="26" t="str">
        <f>IF(OR(E3323="",E3323="!!!",F3323="NEW"),"",INDEX(J$1:J3322,SUMPRODUCT(MAX(ROW(E$1:E3322)*(E3323=E$1:E3322)))))</f>
        <v> </v>
      </c>
      <c r="L3323" s="27"/>
    </row>
    <row r="3324" spans="1:12">
      <c r="A3324" s="20" t="s">
        <v>1222</v>
      </c>
      <c r="E3324" s="22">
        <f>IF(D3324="?OLD","!!!","")</f>
        <v/>
      </c>
      <c r="F3324" s="23" t="str">
        <f>IF(OR(E3324="",E3324="!!!"),"",IF(NOT(ISNA(VLOOKUP(E3324,E$1:E3323,1,FALSE()))),"OLD",IF(AND(E3324&lt;&gt;"",E3324&lt;&gt;"!!!"),"NEW","")))</f>
        <v> </v>
      </c>
      <c r="G3324" s="24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5" t="str">
        <f>IF(J3324&lt;&gt;1,"",IF(I3324="SBJ","CB","?"))</f>
        <v> </v>
      </c>
      <c r="I3324" s="26" t="str">
        <f>IF(OR(E3324="",E3324="!!!",F3324="NEW"),"",INDEX(B3323:B$2,-1+SUMPRODUCT(MAX(ROW(E3323:E$2)*(E3324=E3323:E$2)))))</f>
        <v> </v>
      </c>
      <c r="J3324" s="26" t="str">
        <f>IF(OR(E3324="",E3324="!!!",F3324="NEW"),"",COUNTBLANK(OFFSET(A$1,,,SUMPRODUCT(MAX(ROW(E$2:E3324)*(E3324=E$2:E3324)))))-COUNTBLANK(OFFSET(A$1,,,SUMPRODUCT(MAX(ROW(E$1:E3323)*(E2=E$1:E3323))))))</f>
        <v> </v>
      </c>
      <c r="K3324" s="26" t="str">
        <f>IF(OR(E3324="",E3324="!!!",F3324="NEW"),"",INDEX(J$1:J3323,SUMPRODUCT(MAX(ROW(E$1:E3323)*(E3324=E$1:E3323)))))</f>
        <v> </v>
      </c>
      <c r="L3324" s="27"/>
    </row>
    <row r="3325" spans="1:12">
      <c r="A3325" s="20" t="s">
        <v>2287</v>
      </c>
      <c r="E3325" s="22">
        <f>IF(D3325="?OLD","!!!","")</f>
        <v/>
      </c>
      <c r="F3325" s="23" t="str">
        <f>IF(OR(E3325="",E3325="!!!"),"",IF(NOT(ISNA(VLOOKUP(E3325,E$1:E3324,1,FALSE()))),"OLD",IF(AND(E3325&lt;&gt;"",E3325&lt;&gt;"!!!"),"NEW","")))</f>
        <v> </v>
      </c>
      <c r="G3325" s="24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5" t="str">
        <f>IF(J3325&lt;&gt;1,"",IF(I3325="SBJ","CB","?"))</f>
        <v> </v>
      </c>
      <c r="I3325" s="26" t="str">
        <f>IF(OR(E3325="",E3325="!!!",F3325="NEW"),"",INDEX(B3324:B$2,-1+SUMPRODUCT(MAX(ROW(E3324:E$2)*(E3325=E3324:E$2)))))</f>
        <v> </v>
      </c>
      <c r="J3325" s="26" t="str">
        <f>IF(OR(E3325="",E3325="!!!",F3325="NEW"),"",COUNTBLANK(OFFSET(A$1,,,SUMPRODUCT(MAX(ROW(E$2:E3325)*(E3325=E$2:E3325)))))-COUNTBLANK(OFFSET(A$1,,,SUMPRODUCT(MAX(ROW(E$1:E3324)*(E2=E$1:E3324))))))</f>
        <v> </v>
      </c>
      <c r="K3325" s="26" t="str">
        <f>IF(OR(E3325="",E3325="!!!",F3325="NEW"),"",INDEX(J$1:J3324,SUMPRODUCT(MAX(ROW(E$1:E3324)*(E3325=E$1:E3324)))))</f>
        <v> </v>
      </c>
      <c r="L3325" s="27"/>
    </row>
    <row r="3326" spans="1:12">
      <c r="A3326" s="20" t="s">
        <v>994</v>
      </c>
      <c r="B3326" s="21" t="s">
        <v>1716</v>
      </c>
      <c r="C3326" s="21" t="s">
        <v>996</v>
      </c>
      <c r="D3326" s="21" t="s">
        <v>972</v>
      </c>
      <c r="E3326" s="22">
        <f>IF(D3326="?OLD","!!!","")</f>
        <v/>
      </c>
      <c r="F3326" s="23" t="str">
        <f>IF(OR(E3326="",E3326="!!!"),"",IF(NOT(ISNA(VLOOKUP(E3326,E$1:E3325,1,FALSE()))),"OLD",IF(AND(E3326&lt;&gt;"",E3326&lt;&gt;"!!!"),"NEW","")))</f>
        <v> </v>
      </c>
      <c r="G3326" s="24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5" t="str">
        <f>IF(J3326&lt;&gt;1,"",IF(I3326="SBJ","CB","?"))</f>
        <v> </v>
      </c>
      <c r="I3326" s="26" t="str">
        <f>IF(OR(E3326="",E3326="!!!",F3326="NEW"),"",INDEX(B3325:B$2,-1+SUMPRODUCT(MAX(ROW(E3325:E$2)*(E3326=E3325:E$2)))))</f>
        <v> </v>
      </c>
      <c r="J3326" s="26" t="str">
        <f>IF(OR(E3326="",E3326="!!!",F3326="NEW"),"",COUNTBLANK(OFFSET(A$1,,,SUMPRODUCT(MAX(ROW(E$2:E3326)*(E3326=E$2:E3326)))))-COUNTBLANK(OFFSET(A$1,,,SUMPRODUCT(MAX(ROW(E$1:E3325)*(E2=E$1:E3325))))))</f>
        <v> </v>
      </c>
      <c r="K3326" s="26" t="str">
        <f>IF(OR(E3326="",E3326="!!!",F3326="NEW"),"",INDEX(J$1:J3325,SUMPRODUCT(MAX(ROW(E$1:E3325)*(E3326=E$1:E3325)))))</f>
        <v> </v>
      </c>
      <c r="L3326" s="27"/>
    </row>
    <row r="3327" spans="1:12">
      <c r="A3327" s="20" t="s">
        <v>2010</v>
      </c>
      <c r="B3327" s="21" t="s">
        <v>1552</v>
      </c>
      <c r="E3327" s="22">
        <f>IF(D3327="?OLD","!!!","")</f>
        <v/>
      </c>
      <c r="F3327" s="23" t="str">
        <f>IF(OR(E3327="",E3327="!!!"),"",IF(NOT(ISNA(VLOOKUP(E3327,E$1:E3326,1,FALSE()))),"OLD",IF(AND(E3327&lt;&gt;"",E3327&lt;&gt;"!!!"),"NEW","")))</f>
        <v> </v>
      </c>
      <c r="G3327" s="24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5" t="str">
        <f>IF(J3327&lt;&gt;1,"",IF(I3327="SBJ","CB","?"))</f>
        <v> </v>
      </c>
      <c r="I3327" s="26" t="str">
        <f>IF(OR(E3327="",E3327="!!!",F3327="NEW"),"",INDEX(B3326:B$2,-1+SUMPRODUCT(MAX(ROW(E3326:E$2)*(E3327=E3326:E$2)))))</f>
        <v> </v>
      </c>
      <c r="J3327" s="26" t="str">
        <f>IF(OR(E3327="",E3327="!!!",F3327="NEW"),"",COUNTBLANK(OFFSET(A$1,,,SUMPRODUCT(MAX(ROW(E$2:E3327)*(E3327=E$2:E3327)))))-COUNTBLANK(OFFSET(A$1,,,SUMPRODUCT(MAX(ROW(E$1:E3326)*(E2=E$1:E3326))))))</f>
        <v> </v>
      </c>
      <c r="K3327" s="26" t="str">
        <f>IF(OR(E3327="",E3327="!!!",F3327="NEW"),"",INDEX(J$1:J3326,SUMPRODUCT(MAX(ROW(E$1:E3326)*(E3327=E$1:E3326)))))</f>
        <v> </v>
      </c>
      <c r="L3327" s="27"/>
    </row>
    <row r="3328" spans="1:12">
      <c r="A3328" s="20" t="s">
        <v>1005</v>
      </c>
      <c r="E3328" s="22">
        <f>IF(D3328="?OLD","!!!","")</f>
        <v/>
      </c>
      <c r="F3328" s="23" t="str">
        <f>IF(OR(E3328="",E3328="!!!"),"",IF(NOT(ISNA(VLOOKUP(E3328,E$1:E3327,1,FALSE()))),"OLD",IF(AND(E3328&lt;&gt;"",E3328&lt;&gt;"!!!"),"NEW","")))</f>
        <v> </v>
      </c>
      <c r="G3328" s="24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5" t="str">
        <f>IF(J3328&lt;&gt;1,"",IF(I3328="SBJ","CB","?"))</f>
        <v> </v>
      </c>
      <c r="I3328" s="26" t="str">
        <f>IF(OR(E3328="",E3328="!!!",F3328="NEW"),"",INDEX(B3327:B$2,-1+SUMPRODUCT(MAX(ROW(E3327:E$2)*(E3328=E3327:E$2)))))</f>
        <v> </v>
      </c>
      <c r="J3328" s="26" t="str">
        <f>IF(OR(E3328="",E3328="!!!",F3328="NEW"),"",COUNTBLANK(OFFSET(A$1,,,SUMPRODUCT(MAX(ROW(E$2:E3328)*(E3328=E$2:E3328)))))-COUNTBLANK(OFFSET(A$1,,,SUMPRODUCT(MAX(ROW(E$1:E3327)*(E2=E$1:E3327))))))</f>
        <v> </v>
      </c>
      <c r="K3328" s="26" t="str">
        <f>IF(OR(E3328="",E3328="!!!",F3328="NEW"),"",INDEX(J$1:J3327,SUMPRODUCT(MAX(ROW(E$1:E3327)*(E3328=E$1:E3327)))))</f>
        <v> </v>
      </c>
      <c r="L3328" s="27"/>
    </row>
    <row r="3329" spans="1:12">
      <c r="A3329" s="20" t="s">
        <v>2239</v>
      </c>
      <c r="E3329" s="22">
        <f>IF(D3329="?OLD","!!!","")</f>
        <v/>
      </c>
      <c r="F3329" s="23" t="str">
        <f>IF(OR(E3329="",E3329="!!!"),"",IF(NOT(ISNA(VLOOKUP(E3329,E$1:E3328,1,FALSE()))),"OLD",IF(AND(E3329&lt;&gt;"",E3329&lt;&gt;"!!!"),"NEW","")))</f>
        <v> </v>
      </c>
      <c r="G3329" s="24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5" t="str">
        <f>IF(J3329&lt;&gt;1,"",IF(I3329="SBJ","CB","?"))</f>
        <v> </v>
      </c>
      <c r="I3329" s="26" t="str">
        <f>IF(OR(E3329="",E3329="!!!",F3329="NEW"),"",INDEX(B3328:B$2,-1+SUMPRODUCT(MAX(ROW(E3328:E$2)*(E3329=E3328:E$2)))))</f>
        <v> </v>
      </c>
      <c r="J3329" s="26" t="str">
        <f>IF(OR(E3329="",E3329="!!!",F3329="NEW"),"",COUNTBLANK(OFFSET(A$1,,,SUMPRODUCT(MAX(ROW(E$2:E3329)*(E3329=E$2:E3329)))))-COUNTBLANK(OFFSET(A$1,,,SUMPRODUCT(MAX(ROW(E$1:E3328)*(E2=E$1:E3328))))))</f>
        <v> </v>
      </c>
      <c r="K3329" s="26" t="str">
        <f>IF(OR(E3329="",E3329="!!!",F3329="NEW"),"",INDEX(J$1:J3328,SUMPRODUCT(MAX(ROW(E$1:E3328)*(E3329=E$1:E3328)))))</f>
        <v> </v>
      </c>
      <c r="L3329" s="27"/>
    </row>
    <row r="3330" spans="1:12">
      <c r="A3330" s="20" t="s">
        <v>2288</v>
      </c>
      <c r="E3330" s="22">
        <f>IF(D3330="?OLD","!!!","")</f>
        <v/>
      </c>
      <c r="F3330" s="23" t="str">
        <f>IF(OR(E3330="",E3330="!!!"),"",IF(NOT(ISNA(VLOOKUP(E3330,E$1:E3329,1,FALSE()))),"OLD",IF(AND(E3330&lt;&gt;"",E3330&lt;&gt;"!!!"),"NEW","")))</f>
        <v> </v>
      </c>
      <c r="G3330" s="24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5" t="str">
        <f>IF(J3330&lt;&gt;1,"",IF(I3330="SBJ","CB","?"))</f>
        <v> </v>
      </c>
      <c r="I3330" s="26" t="str">
        <f>IF(OR(E3330="",E3330="!!!",F3330="NEW"),"",INDEX(B3329:B$2,-1+SUMPRODUCT(MAX(ROW(E3329:E$2)*(E3330=E3329:E$2)))))</f>
        <v> </v>
      </c>
      <c r="J3330" s="26" t="str">
        <f>IF(OR(E3330="",E3330="!!!",F3330="NEW"),"",COUNTBLANK(OFFSET(A$1,,,SUMPRODUCT(MAX(ROW(E$2:E3330)*(E3330=E$2:E3330)))))-COUNTBLANK(OFFSET(A$1,,,SUMPRODUCT(MAX(ROW(E$1:E3329)*(E2=E$1:E3329))))))</f>
        <v> </v>
      </c>
      <c r="K3330" s="26" t="str">
        <f>IF(OR(E3330="",E3330="!!!",F3330="NEW"),"",INDEX(J$1:J3329,SUMPRODUCT(MAX(ROW(E$1:E3329)*(E3330=E$1:E3329)))))</f>
        <v> </v>
      </c>
      <c r="L3330" s="27"/>
    </row>
    <row r="3331" spans="1:12">
      <c r="A3331" s="20" t="s">
        <v>2289</v>
      </c>
      <c r="E3331" s="22">
        <f>IF(D3331="?OLD","!!!","")</f>
        <v/>
      </c>
      <c r="F3331" s="23" t="str">
        <f>IF(OR(E3331="",E3331="!!!"),"",IF(NOT(ISNA(VLOOKUP(E3331,E$1:E3330,1,FALSE()))),"OLD",IF(AND(E3331&lt;&gt;"",E3331&lt;&gt;"!!!"),"NEW","")))</f>
        <v> </v>
      </c>
      <c r="G3331" s="24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5" t="str">
        <f>IF(J3331&lt;&gt;1,"",IF(I3331="SBJ","CB","?"))</f>
        <v> </v>
      </c>
      <c r="I3331" s="26" t="str">
        <f>IF(OR(E3331="",E3331="!!!",F3331="NEW"),"",INDEX(B3330:B$2,-1+SUMPRODUCT(MAX(ROW(E3330:E$2)*(E3331=E3330:E$2)))))</f>
        <v> </v>
      </c>
      <c r="J3331" s="26" t="str">
        <f>IF(OR(E3331="",E3331="!!!",F3331="NEW"),"",COUNTBLANK(OFFSET(A$1,,,SUMPRODUCT(MAX(ROW(E$2:E3331)*(E3331=E$2:E3331)))))-COUNTBLANK(OFFSET(A$1,,,SUMPRODUCT(MAX(ROW(E$1:E3330)*(E2=E$1:E3330))))))</f>
        <v> </v>
      </c>
      <c r="K3331" s="26" t="str">
        <f>IF(OR(E3331="",E3331="!!!",F3331="NEW"),"",INDEX(J$1:J3330,SUMPRODUCT(MAX(ROW(E$1:E3330)*(E3331=E$1:E3330)))))</f>
        <v> </v>
      </c>
      <c r="L3331" s="27"/>
    </row>
    <row r="3332" spans="1:12">
      <c r="A3332" s="20" t="s">
        <v>990</v>
      </c>
      <c r="E3332" s="22">
        <f>IF(D3332="?OLD","!!!","")</f>
        <v/>
      </c>
      <c r="F3332" s="23" t="str">
        <f>IF(OR(E3332="",E3332="!!!"),"",IF(NOT(ISNA(VLOOKUP(E3332,E$1:E3331,1,FALSE()))),"OLD",IF(AND(E3332&lt;&gt;"",E3332&lt;&gt;"!!!"),"NEW","")))</f>
        <v> </v>
      </c>
      <c r="G3332" s="24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5" t="str">
        <f>IF(J3332&lt;&gt;1,"",IF(I3332="SBJ","CB","?"))</f>
        <v> </v>
      </c>
      <c r="I3332" s="26" t="str">
        <f>IF(OR(E3332="",E3332="!!!",F3332="NEW"),"",INDEX(B3331:B$2,-1+SUMPRODUCT(MAX(ROW(E3331:E$2)*(E3332=E3331:E$2)))))</f>
        <v> </v>
      </c>
      <c r="J3332" s="26" t="str">
        <f>IF(OR(E3332="",E3332="!!!",F3332="NEW"),"",COUNTBLANK(OFFSET(A$1,,,SUMPRODUCT(MAX(ROW(E$2:E3332)*(E3332=E$2:E3332)))))-COUNTBLANK(OFFSET(A$1,,,SUMPRODUCT(MAX(ROW(E$1:E3331)*(E2=E$1:E3331))))))</f>
        <v> </v>
      </c>
      <c r="K3332" s="26" t="str">
        <f>IF(OR(E3332="",E3332="!!!",F3332="NEW"),"",INDEX(J$1:J3331,SUMPRODUCT(MAX(ROW(E$1:E3331)*(E3332=E$1:E3331)))))</f>
        <v> </v>
      </c>
      <c r="L3332" s="27"/>
    </row>
    <row r="3333" spans="1:12">
      <c r="A3333" s="20" t="s">
        <v>1005</v>
      </c>
      <c r="E3333" s="22">
        <f>IF(D3333="?OLD","!!!","")</f>
        <v/>
      </c>
      <c r="F3333" s="23" t="str">
        <f>IF(OR(E3333="",E3333="!!!"),"",IF(NOT(ISNA(VLOOKUP(E3333,E$1:E3332,1,FALSE()))),"OLD",IF(AND(E3333&lt;&gt;"",E3333&lt;&gt;"!!!"),"NEW","")))</f>
        <v> </v>
      </c>
      <c r="G3333" s="24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5" t="str">
        <f>IF(J3333&lt;&gt;1,"",IF(I3333="SBJ","CB","?"))</f>
        <v> </v>
      </c>
      <c r="I3333" s="26" t="str">
        <f>IF(OR(E3333="",E3333="!!!",F3333="NEW"),"",INDEX(B3332:B$2,-1+SUMPRODUCT(MAX(ROW(E3332:E$2)*(E3333=E3332:E$2)))))</f>
        <v> </v>
      </c>
      <c r="J3333" s="26" t="str">
        <f>IF(OR(E3333="",E3333="!!!",F3333="NEW"),"",COUNTBLANK(OFFSET(A$1,,,SUMPRODUCT(MAX(ROW(E$2:E3333)*(E3333=E$2:E3333)))))-COUNTBLANK(OFFSET(A$1,,,SUMPRODUCT(MAX(ROW(E$1:E3332)*(E2=E$1:E3332))))))</f>
        <v> </v>
      </c>
      <c r="K3333" s="26" t="str">
        <f>IF(OR(E3333="",E3333="!!!",F3333="NEW"),"",INDEX(J$1:J3332,SUMPRODUCT(MAX(ROW(E$1:E3332)*(E3333=E$1:E3332)))))</f>
        <v> </v>
      </c>
      <c r="L3333" s="27"/>
    </row>
    <row r="3334" spans="1:12">
      <c r="A3334" s="20" t="s">
        <v>1077</v>
      </c>
      <c r="B3334" s="21" t="s">
        <v>1287</v>
      </c>
      <c r="C3334" s="21" t="s">
        <v>976</v>
      </c>
      <c r="D3334" s="21" t="s">
        <v>972</v>
      </c>
      <c r="E3334" s="22">
        <f>IF(D3334="?OLD","!!!","")</f>
        <v/>
      </c>
      <c r="F3334" s="23" t="str">
        <f>IF(OR(E3334="",E3334="!!!"),"",IF(NOT(ISNA(VLOOKUP(E3334,E$1:E3333,1,FALSE()))),"OLD",IF(AND(E3334&lt;&gt;"",E3334&lt;&gt;"!!!"),"NEW","")))</f>
        <v> </v>
      </c>
      <c r="G3334" s="24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5" t="str">
        <f>IF(J3334&lt;&gt;1,"",IF(I3334="SBJ","CB","?"))</f>
        <v> </v>
      </c>
      <c r="I3334" s="26" t="str">
        <f>IF(OR(E3334="",E3334="!!!",F3334="NEW"),"",INDEX(B3333:B$2,-1+SUMPRODUCT(MAX(ROW(E3333:E$2)*(E3334=E3333:E$2)))))</f>
        <v> </v>
      </c>
      <c r="J3334" s="26" t="str">
        <f>IF(OR(E3334="",E3334="!!!",F3334="NEW"),"",COUNTBLANK(OFFSET(A$1,,,SUMPRODUCT(MAX(ROW(E$2:E3334)*(E3334=E$2:E3334)))))-COUNTBLANK(OFFSET(A$1,,,SUMPRODUCT(MAX(ROW(E$1:E3333)*(E2=E$1:E3333))))))</f>
        <v> </v>
      </c>
      <c r="K3334" s="26" t="str">
        <f>IF(OR(E3334="",E3334="!!!",F3334="NEW"),"",INDEX(J$1:J3333,SUMPRODUCT(MAX(ROW(E$1:E3333)*(E3334=E$1:E3333)))))</f>
        <v> </v>
      </c>
      <c r="L3334" s="27"/>
    </row>
    <row r="3335" spans="1:12">
      <c r="A3335" s="20" t="s">
        <v>2290</v>
      </c>
      <c r="E3335" s="22">
        <f>IF(D3335="?OLD","!!!","")</f>
        <v/>
      </c>
      <c r="F3335" s="23" t="str">
        <f>IF(OR(E3335="",E3335="!!!"),"",IF(NOT(ISNA(VLOOKUP(E3335,E$1:E3334,1,FALSE()))),"OLD",IF(AND(E3335&lt;&gt;"",E3335&lt;&gt;"!!!"),"NEW","")))</f>
        <v> </v>
      </c>
      <c r="G3335" s="24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5" t="str">
        <f>IF(J3335&lt;&gt;1,"",IF(I3335="SBJ","CB","?"))</f>
        <v> </v>
      </c>
      <c r="I3335" s="26" t="str">
        <f>IF(OR(E3335="",E3335="!!!",F3335="NEW"),"",INDEX(B3334:B$2,-1+SUMPRODUCT(MAX(ROW(E3334:E$2)*(E3335=E3334:E$2)))))</f>
        <v> </v>
      </c>
      <c r="J3335" s="26" t="str">
        <f>IF(OR(E3335="",E3335="!!!",F3335="NEW"),"",COUNTBLANK(OFFSET(A$1,,,SUMPRODUCT(MAX(ROW(E$2:E3335)*(E3335=E$2:E3335)))))-COUNTBLANK(OFFSET(A$1,,,SUMPRODUCT(MAX(ROW(E$1:E3334)*(E2=E$1:E3334))))))</f>
        <v> </v>
      </c>
      <c r="K3335" s="26" t="str">
        <f>IF(OR(E3335="",E3335="!!!",F3335="NEW"),"",INDEX(J$1:J3334,SUMPRODUCT(MAX(ROW(E$1:E3334)*(E3335=E$1:E3334)))))</f>
        <v> </v>
      </c>
      <c r="L3335" s="27"/>
    </row>
    <row r="3336" spans="1:12">
      <c r="A3336" s="20" t="s">
        <v>979</v>
      </c>
      <c r="E3336" s="22">
        <f>IF(D3336="?OLD","!!!","")</f>
        <v/>
      </c>
      <c r="F3336" s="23" t="str">
        <f>IF(OR(E3336="",E3336="!!!"),"",IF(NOT(ISNA(VLOOKUP(E3336,E$1:E3335,1,FALSE()))),"OLD",IF(AND(E3336&lt;&gt;"",E3336&lt;&gt;"!!!"),"NEW","")))</f>
        <v> </v>
      </c>
      <c r="G3336" s="24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5" t="str">
        <f>IF(J3336&lt;&gt;1,"",IF(I3336="SBJ","CB","?"))</f>
        <v> </v>
      </c>
      <c r="I3336" s="26" t="str">
        <f>IF(OR(E3336="",E3336="!!!",F3336="NEW"),"",INDEX(B3335:B$2,-1+SUMPRODUCT(MAX(ROW(E3335:E$2)*(E3336=E3335:E$2)))))</f>
        <v> </v>
      </c>
      <c r="J3336" s="26" t="str">
        <f>IF(OR(E3336="",E3336="!!!",F3336="NEW"),"",COUNTBLANK(OFFSET(A$1,,,SUMPRODUCT(MAX(ROW(E$2:E3336)*(E3336=E$2:E3336)))))-COUNTBLANK(OFFSET(A$1,,,SUMPRODUCT(MAX(ROW(E$1:E3335)*(E2=E$1:E3335))))))</f>
        <v> </v>
      </c>
      <c r="K3336" s="26" t="str">
        <f>IF(OR(E3336="",E3336="!!!",F3336="NEW"),"",INDEX(J$1:J3335,SUMPRODUCT(MAX(ROW(E$1:E3335)*(E3336=E$1:E3335)))))</f>
        <v> </v>
      </c>
      <c r="L3336" s="27"/>
    </row>
    <row r="3337" spans="1:12">
      <c r="A3337" s="20"/>
    </row>
    <row r="3338" spans="1:12">
      <c r="A3338" s="20" t="s">
        <v>2291</v>
      </c>
    </row>
    <row r="3339" spans="1:12">
      <c r="A3339" s="20" t="s">
        <v>1273</v>
      </c>
      <c r="E3339" s="22">
        <f>IF(D3339="?OLD","!!!","")</f>
        <v/>
      </c>
      <c r="F3339" s="23" t="str">
        <f>IF(OR(E3339="",E3339="!!!"),"",IF(NOT(ISNA(VLOOKUP(E3339,E$1:E3338,1,FALSE()))),"OLD",IF(AND(E3339&lt;&gt;"",E3339&lt;&gt;"!!!"),"NEW","")))</f>
        <v> </v>
      </c>
      <c r="G3339" s="24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5" t="str">
        <f>IF(J3339&lt;&gt;1,"",IF(I3339="SBJ","CB","?"))</f>
        <v> </v>
      </c>
      <c r="I3339" s="26" t="str">
        <f>IF(OR(E3339="",E3339="!!!",F3339="NEW"),"",INDEX(B3338:B$2,-1+SUMPRODUCT(MAX(ROW(E3338:E$2)*(E3339=E3338:E$2)))))</f>
        <v> </v>
      </c>
      <c r="J3339" s="26" t="str">
        <f>IF(OR(E3339="",E3339="!!!",F3339="NEW"),"",COUNTBLANK(OFFSET(A$1,,,SUMPRODUCT(MAX(ROW(E$2:E3339)*(E3339=E$2:E3339)))))-COUNTBLANK(OFFSET(A$1,,,SUMPRODUCT(MAX(ROW(E$1:E3338)*(E2=E$1:E3338))))))</f>
        <v> </v>
      </c>
      <c r="K3339" s="26" t="str">
        <f>IF(OR(E3339="",E3339="!!!",F3339="NEW"),"",INDEX(J$1:J3338,SUMPRODUCT(MAX(ROW(E$1:E3338)*(E3339=E$1:E3338)))))</f>
        <v> </v>
      </c>
      <c r="L3339" s="27"/>
    </row>
    <row r="3340" spans="1:12">
      <c r="A3340" s="20" t="s">
        <v>1112</v>
      </c>
      <c r="B3340" s="21" t="s">
        <v>1087</v>
      </c>
      <c r="C3340" s="21" t="s">
        <v>1012</v>
      </c>
      <c r="D3340" s="21" t="s">
        <v>972</v>
      </c>
      <c r="E3340" s="22">
        <f>IF(D3340="?OLD","!!!","")</f>
        <v/>
      </c>
      <c r="F3340" s="23" t="str">
        <f>IF(OR(E3340="",E3340="!!!"),"",IF(NOT(ISNA(VLOOKUP(E3340,E$1:E3339,1,FALSE()))),"OLD",IF(AND(E3340&lt;&gt;"",E3340&lt;&gt;"!!!"),"NEW","")))</f>
        <v> </v>
      </c>
      <c r="G3340" s="24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5" t="str">
        <f>IF(J3340&lt;&gt;1,"",IF(I3340="SBJ","CB","?"))</f>
        <v> </v>
      </c>
      <c r="I3340" s="26" t="str">
        <f>IF(OR(E3340="",E3340="!!!",F3340="NEW"),"",INDEX(B3339:B$2,-1+SUMPRODUCT(MAX(ROW(E3339:E$2)*(E3340=E3339:E$2)))))</f>
        <v> </v>
      </c>
      <c r="J3340" s="26" t="str">
        <f>IF(OR(E3340="",E3340="!!!",F3340="NEW"),"",COUNTBLANK(OFFSET(A$1,,,SUMPRODUCT(MAX(ROW(E$2:E3340)*(E3340=E$2:E3340)))))-COUNTBLANK(OFFSET(A$1,,,SUMPRODUCT(MAX(ROW(E$1:E3339)*(E2=E$1:E3339))))))</f>
        <v> </v>
      </c>
      <c r="K3340" s="26" t="str">
        <f>IF(OR(E3340="",E3340="!!!",F3340="NEW"),"",INDEX(J$1:J3339,SUMPRODUCT(MAX(ROW(E$1:E3339)*(E3340=E$1:E3339)))))</f>
        <v> </v>
      </c>
      <c r="L3340" s="27"/>
    </row>
    <row r="3341" spans="1:12">
      <c r="A3341" s="20" t="s">
        <v>2292</v>
      </c>
      <c r="E3341" s="22">
        <f>IF(D3341="?OLD","!!!","")</f>
        <v/>
      </c>
      <c r="F3341" s="23" t="str">
        <f>IF(OR(E3341="",E3341="!!!"),"",IF(NOT(ISNA(VLOOKUP(E3341,E$1:E3340,1,FALSE()))),"OLD",IF(AND(E3341&lt;&gt;"",E3341&lt;&gt;"!!!"),"NEW","")))</f>
        <v> </v>
      </c>
      <c r="G3341" s="24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5" t="str">
        <f>IF(J3341&lt;&gt;1,"",IF(I3341="SBJ","CB","?"))</f>
        <v> </v>
      </c>
      <c r="I3341" s="26" t="str">
        <f>IF(OR(E3341="",E3341="!!!",F3341="NEW"),"",INDEX(B3340:B$2,-1+SUMPRODUCT(MAX(ROW(E3340:E$2)*(E3341=E3340:E$2)))))</f>
        <v> </v>
      </c>
      <c r="J3341" s="26" t="str">
        <f>IF(OR(E3341="",E3341="!!!",F3341="NEW"),"",COUNTBLANK(OFFSET(A$1,,,SUMPRODUCT(MAX(ROW(E$2:E3341)*(E3341=E$2:E3341)))))-COUNTBLANK(OFFSET(A$1,,,SUMPRODUCT(MAX(ROW(E$1:E3340)*(E2=E$1:E3340))))))</f>
        <v> </v>
      </c>
      <c r="K3341" s="26" t="str">
        <f>IF(OR(E3341="",E3341="!!!",F3341="NEW"),"",INDEX(J$1:J3340,SUMPRODUCT(MAX(ROW(E$1:E3340)*(E3341=E$1:E3340)))))</f>
        <v> </v>
      </c>
      <c r="L3341" s="27"/>
    </row>
    <row r="3342" spans="1:12">
      <c r="A3342" s="20" t="s">
        <v>1048</v>
      </c>
      <c r="E3342" s="22">
        <f>IF(D3342="?OLD","!!!","")</f>
        <v/>
      </c>
      <c r="F3342" s="23" t="str">
        <f>IF(OR(E3342="",E3342="!!!"),"",IF(NOT(ISNA(VLOOKUP(E3342,E$1:E3341,1,FALSE()))),"OLD",IF(AND(E3342&lt;&gt;"",E3342&lt;&gt;"!!!"),"NEW","")))</f>
        <v> </v>
      </c>
      <c r="G3342" s="24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5" t="str">
        <f>IF(J3342&lt;&gt;1,"",IF(I3342="SBJ","CB","?"))</f>
        <v> </v>
      </c>
      <c r="I3342" s="26" t="str">
        <f>IF(OR(E3342="",E3342="!!!",F3342="NEW"),"",INDEX(B3341:B$2,-1+SUMPRODUCT(MAX(ROW(E3341:E$2)*(E3342=E3341:E$2)))))</f>
        <v> </v>
      </c>
      <c r="J3342" s="26" t="str">
        <f>IF(OR(E3342="",E3342="!!!",F3342="NEW"),"",COUNTBLANK(OFFSET(A$1,,,SUMPRODUCT(MAX(ROW(E$2:E3342)*(E3342=E$2:E3342)))))-COUNTBLANK(OFFSET(A$1,,,SUMPRODUCT(MAX(ROW(E$1:E3341)*(E2=E$1:E3341))))))</f>
        <v> </v>
      </c>
      <c r="K3342" s="26" t="str">
        <f>IF(OR(E3342="",E3342="!!!",F3342="NEW"),"",INDEX(J$1:J3341,SUMPRODUCT(MAX(ROW(E$1:E3341)*(E3342=E$1:E3341)))))</f>
        <v> </v>
      </c>
      <c r="L3342" s="27"/>
    </row>
    <row r="3343" spans="1:12">
      <c r="A3343" s="20" t="s">
        <v>2273</v>
      </c>
      <c r="B3343" s="21" t="s">
        <v>978</v>
      </c>
      <c r="C3343" s="21" t="s">
        <v>996</v>
      </c>
      <c r="D3343" s="21" t="s">
        <v>972</v>
      </c>
      <c r="E3343" s="22">
        <f>IF(D3343="?OLD","!!!","")</f>
        <v/>
      </c>
      <c r="F3343" s="23" t="str">
        <f>IF(OR(E3343="",E3343="!!!"),"",IF(NOT(ISNA(VLOOKUP(E3343,E$1:E3342,1,FALSE()))),"OLD",IF(AND(E3343&lt;&gt;"",E3343&lt;&gt;"!!!"),"NEW","")))</f>
        <v> </v>
      </c>
      <c r="G3343" s="24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5" t="str">
        <f>IF(J3343&lt;&gt;1,"",IF(I3343="SBJ","CB","?"))</f>
        <v> </v>
      </c>
      <c r="I3343" s="26" t="str">
        <f>IF(OR(E3343="",E3343="!!!",F3343="NEW"),"",INDEX(B3342:B$2,-1+SUMPRODUCT(MAX(ROW(E3342:E$2)*(E3343=E3342:E$2)))))</f>
        <v> </v>
      </c>
      <c r="J3343" s="26" t="str">
        <f>IF(OR(E3343="",E3343="!!!",F3343="NEW"),"",COUNTBLANK(OFFSET(A$1,,,SUMPRODUCT(MAX(ROW(E$2:E3343)*(E3343=E$2:E3343)))))-COUNTBLANK(OFFSET(A$1,,,SUMPRODUCT(MAX(ROW(E$1:E3342)*(E2=E$1:E3342))))))</f>
        <v> </v>
      </c>
      <c r="K3343" s="26" t="str">
        <f>IF(OR(E3343="",E3343="!!!",F3343="NEW"),"",INDEX(J$1:J3342,SUMPRODUCT(MAX(ROW(E$1:E3342)*(E3343=E$1:E3342)))))</f>
        <v> </v>
      </c>
      <c r="L3343" s="27"/>
    </row>
    <row r="3344" spans="1:12">
      <c r="A3344" s="20" t="s">
        <v>2293</v>
      </c>
      <c r="E3344" s="22">
        <f>IF(D3344="?OLD","!!!","")</f>
        <v/>
      </c>
      <c r="F3344" s="23" t="str">
        <f>IF(OR(E3344="",E3344="!!!"),"",IF(NOT(ISNA(VLOOKUP(E3344,E$1:E3343,1,FALSE()))),"OLD",IF(AND(E3344&lt;&gt;"",E3344&lt;&gt;"!!!"),"NEW","")))</f>
        <v> </v>
      </c>
      <c r="G3344" s="24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5" t="str">
        <f>IF(J3344&lt;&gt;1,"",IF(I3344="SBJ","CB","?"))</f>
        <v> </v>
      </c>
      <c r="I3344" s="26" t="str">
        <f>IF(OR(E3344="",E3344="!!!",F3344="NEW"),"",INDEX(B3343:B$2,-1+SUMPRODUCT(MAX(ROW(E3343:E$2)*(E3344=E3343:E$2)))))</f>
        <v> </v>
      </c>
      <c r="J3344" s="26" t="str">
        <f>IF(OR(E3344="",E3344="!!!",F3344="NEW"),"",COUNTBLANK(OFFSET(A$1,,,SUMPRODUCT(MAX(ROW(E$2:E3344)*(E3344=E$2:E3344)))))-COUNTBLANK(OFFSET(A$1,,,SUMPRODUCT(MAX(ROW(E$1:E3343)*(E2=E$1:E3343))))))</f>
        <v> </v>
      </c>
      <c r="K3344" s="26" t="str">
        <f>IF(OR(E3344="",E3344="!!!",F3344="NEW"),"",INDEX(J$1:J3343,SUMPRODUCT(MAX(ROW(E$1:E3343)*(E3344=E$1:E3343)))))</f>
        <v> </v>
      </c>
      <c r="L3344" s="27"/>
    </row>
    <row r="3345" spans="1:12">
      <c r="A3345" s="20" t="s">
        <v>1005</v>
      </c>
      <c r="E3345" s="22">
        <f>IF(D3345="?OLD","!!!","")</f>
        <v/>
      </c>
      <c r="F3345" s="23" t="str">
        <f>IF(OR(E3345="",E3345="!!!"),"",IF(NOT(ISNA(VLOOKUP(E3345,E$1:E3344,1,FALSE()))),"OLD",IF(AND(E3345&lt;&gt;"",E3345&lt;&gt;"!!!"),"NEW","")))</f>
        <v> </v>
      </c>
      <c r="G3345" s="24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5" t="str">
        <f>IF(J3345&lt;&gt;1,"",IF(I3345="SBJ","CB","?"))</f>
        <v> </v>
      </c>
      <c r="I3345" s="26" t="str">
        <f>IF(OR(E3345="",E3345="!!!",F3345="NEW"),"",INDEX(B3344:B$2,-1+SUMPRODUCT(MAX(ROW(E3344:E$2)*(E3345=E3344:E$2)))))</f>
        <v> </v>
      </c>
      <c r="J3345" s="26" t="str">
        <f>IF(OR(E3345="",E3345="!!!",F3345="NEW"),"",COUNTBLANK(OFFSET(A$1,,,SUMPRODUCT(MAX(ROW(E$2:E3345)*(E3345=E$2:E3345)))))-COUNTBLANK(OFFSET(A$1,,,SUMPRODUCT(MAX(ROW(E$1:E3344)*(E2=E$1:E3344))))))</f>
        <v> </v>
      </c>
      <c r="K3345" s="26" t="str">
        <f>IF(OR(E3345="",E3345="!!!",F3345="NEW"),"",INDEX(J$1:J3344,SUMPRODUCT(MAX(ROW(E$1:E3344)*(E3345=E$1:E3344)))))</f>
        <v> </v>
      </c>
      <c r="L3345" s="27"/>
    </row>
    <row r="3346" spans="1:12">
      <c r="A3346" s="20" t="s">
        <v>789</v>
      </c>
      <c r="E3346" s="22">
        <f>IF(D3346="?OLD","!!!","")</f>
        <v/>
      </c>
      <c r="F3346" s="23" t="str">
        <f>IF(OR(E3346="",E3346="!!!"),"",IF(NOT(ISNA(VLOOKUP(E3346,E$1:E3345,1,FALSE()))),"OLD",IF(AND(E3346&lt;&gt;"",E3346&lt;&gt;"!!!"),"NEW","")))</f>
        <v> </v>
      </c>
      <c r="G3346" s="24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5" t="str">
        <f>IF(J3346&lt;&gt;1,"",IF(I3346="SBJ","CB","?"))</f>
        <v> </v>
      </c>
      <c r="I3346" s="26" t="str">
        <f>IF(OR(E3346="",E3346="!!!",F3346="NEW"),"",INDEX(B3345:B$2,-1+SUMPRODUCT(MAX(ROW(E3345:E$2)*(E3346=E3345:E$2)))))</f>
        <v> </v>
      </c>
      <c r="J3346" s="26" t="str">
        <f>IF(OR(E3346="",E3346="!!!",F3346="NEW"),"",COUNTBLANK(OFFSET(A$1,,,SUMPRODUCT(MAX(ROW(E$2:E3346)*(E3346=E$2:E3346)))))-COUNTBLANK(OFFSET(A$1,,,SUMPRODUCT(MAX(ROW(E$1:E3345)*(E2=E$1:E3345))))))</f>
        <v> </v>
      </c>
      <c r="K3346" s="26" t="str">
        <f>IF(OR(E3346="",E3346="!!!",F3346="NEW"),"",INDEX(J$1:J3345,SUMPRODUCT(MAX(ROW(E$1:E3345)*(E3346=E$1:E3345)))))</f>
        <v> </v>
      </c>
      <c r="L3346" s="27"/>
    </row>
    <row r="3347" spans="1:12">
      <c r="A3347" s="20" t="s">
        <v>2294</v>
      </c>
      <c r="B3347" s="21" t="s">
        <v>975</v>
      </c>
      <c r="C3347" s="21" t="s">
        <v>971</v>
      </c>
      <c r="D3347" s="21" t="s">
        <v>972</v>
      </c>
      <c r="E3347" s="22">
        <f>IF(D3347="?OLD","!!!","")</f>
        <v/>
      </c>
      <c r="F3347" s="23" t="str">
        <f>IF(OR(E3347="",E3347="!!!"),"",IF(NOT(ISNA(VLOOKUP(E3347,E$1:E3346,1,FALSE()))),"OLD",IF(AND(E3347&lt;&gt;"",E3347&lt;&gt;"!!!"),"NEW","")))</f>
        <v> </v>
      </c>
      <c r="G3347" s="24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5" t="str">
        <f>IF(J3347&lt;&gt;1,"",IF(I3347="SBJ","CB","?"))</f>
        <v> </v>
      </c>
      <c r="I3347" s="26" t="str">
        <f>IF(OR(E3347="",E3347="!!!",F3347="NEW"),"",INDEX(B3346:B$2,-1+SUMPRODUCT(MAX(ROW(E3346:E$2)*(E3347=E3346:E$2)))))</f>
        <v> </v>
      </c>
      <c r="J3347" s="26" t="str">
        <f>IF(OR(E3347="",E3347="!!!",F3347="NEW"),"",COUNTBLANK(OFFSET(A$1,,,SUMPRODUCT(MAX(ROW(E$2:E3347)*(E3347=E$2:E3347)))))-COUNTBLANK(OFFSET(A$1,,,SUMPRODUCT(MAX(ROW(E$1:E3346)*(E2=E$1:E3346))))))</f>
        <v> </v>
      </c>
      <c r="K3347" s="26" t="str">
        <f>IF(OR(E3347="",E3347="!!!",F3347="NEW"),"",INDEX(J$1:J3346,SUMPRODUCT(MAX(ROW(E$1:E3346)*(E3347=E$1:E3346)))))</f>
        <v> </v>
      </c>
      <c r="L3347" s="27"/>
    </row>
    <row r="3348" spans="1:12">
      <c r="A3348" s="20" t="s">
        <v>1013</v>
      </c>
      <c r="E3348" s="22">
        <f>IF(D3348="?OLD","!!!","")</f>
        <v/>
      </c>
      <c r="F3348" s="23" t="str">
        <f>IF(OR(E3348="",E3348="!!!"),"",IF(NOT(ISNA(VLOOKUP(E3348,E$1:E3347,1,FALSE()))),"OLD",IF(AND(E3348&lt;&gt;"",E3348&lt;&gt;"!!!"),"NEW","")))</f>
        <v> </v>
      </c>
      <c r="G3348" s="24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5" t="str">
        <f>IF(J3348&lt;&gt;1,"",IF(I3348="SBJ","CB","?"))</f>
        <v> </v>
      </c>
      <c r="I3348" s="26" t="str">
        <f>IF(OR(E3348="",E3348="!!!",F3348="NEW"),"",INDEX(B3347:B$2,-1+SUMPRODUCT(MAX(ROW(E3347:E$2)*(E3348=E3347:E$2)))))</f>
        <v> </v>
      </c>
      <c r="J3348" s="26" t="str">
        <f>IF(OR(E3348="",E3348="!!!",F3348="NEW"),"",COUNTBLANK(OFFSET(A$1,,,SUMPRODUCT(MAX(ROW(E$2:E3348)*(E3348=E$2:E3348)))))-COUNTBLANK(OFFSET(A$1,,,SUMPRODUCT(MAX(ROW(E$1:E3347)*(E2=E$1:E3347))))))</f>
        <v> </v>
      </c>
      <c r="K3348" s="26" t="str">
        <f>IF(OR(E3348="",E3348="!!!",F3348="NEW"),"",INDEX(J$1:J3347,SUMPRODUCT(MAX(ROW(E$1:E3347)*(E3348=E$1:E3347)))))</f>
        <v> </v>
      </c>
      <c r="L3348" s="27"/>
    </row>
    <row r="3349" spans="1:12">
      <c r="A3349" s="20" t="s">
        <v>1231</v>
      </c>
      <c r="B3349" s="21" t="s">
        <v>1093</v>
      </c>
      <c r="C3349" s="21" t="s">
        <v>1232</v>
      </c>
      <c r="E3349" s="22">
        <f>IF(D3349="?OLD","!!!","")</f>
        <v/>
      </c>
      <c r="F3349" s="23" t="str">
        <f>IF(OR(E3349="",E3349="!!!"),"",IF(NOT(ISNA(VLOOKUP(E3349,E$1:E3348,1,FALSE()))),"OLD",IF(AND(E3349&lt;&gt;"",E3349&lt;&gt;"!!!"),"NEW","")))</f>
        <v> </v>
      </c>
      <c r="G3349" s="24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5" t="str">
        <f>IF(J3349&lt;&gt;1,"",IF(I3349="SBJ","CB","?"))</f>
        <v> </v>
      </c>
      <c r="I3349" s="26" t="str">
        <f>IF(OR(E3349="",E3349="!!!",F3349="NEW"),"",INDEX(B3348:B$2,-1+SUMPRODUCT(MAX(ROW(E3348:E$2)*(E3349=E3348:E$2)))))</f>
        <v> </v>
      </c>
      <c r="J3349" s="26" t="str">
        <f>IF(OR(E3349="",E3349="!!!",F3349="NEW"),"",COUNTBLANK(OFFSET(A$1,,,SUMPRODUCT(MAX(ROW(E$2:E3349)*(E3349=E$2:E3349)))))-COUNTBLANK(OFFSET(A$1,,,SUMPRODUCT(MAX(ROW(E$1:E3348)*(E2=E$1:E3348))))))</f>
        <v> </v>
      </c>
      <c r="K3349" s="26" t="str">
        <f>IF(OR(E3349="",E3349="!!!",F3349="NEW"),"",INDEX(J$1:J3348,SUMPRODUCT(MAX(ROW(E$1:E3348)*(E3349=E$1:E3348)))))</f>
        <v> </v>
      </c>
      <c r="L3349" s="27"/>
    </row>
    <row r="3350" spans="1:12">
      <c r="A3350" s="20" t="s">
        <v>2295</v>
      </c>
      <c r="E3350" s="22">
        <f>IF(D3350="?OLD","!!!","")</f>
        <v/>
      </c>
      <c r="F3350" s="23" t="str">
        <f>IF(OR(E3350="",E3350="!!!"),"",IF(NOT(ISNA(VLOOKUP(E3350,E$1:E3349,1,FALSE()))),"OLD",IF(AND(E3350&lt;&gt;"",E3350&lt;&gt;"!!!"),"NEW","")))</f>
        <v> </v>
      </c>
      <c r="G3350" s="24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5" t="str">
        <f>IF(J3350&lt;&gt;1,"",IF(I3350="SBJ","CB","?"))</f>
        <v> </v>
      </c>
      <c r="I3350" s="26" t="str">
        <f>IF(OR(E3350="",E3350="!!!",F3350="NEW"),"",INDEX(B3349:B$2,-1+SUMPRODUCT(MAX(ROW(E3349:E$2)*(E3350=E3349:E$2)))))</f>
        <v> </v>
      </c>
      <c r="J3350" s="26" t="str">
        <f>IF(OR(E3350="",E3350="!!!",F3350="NEW"),"",COUNTBLANK(OFFSET(A$1,,,SUMPRODUCT(MAX(ROW(E$2:E3350)*(E3350=E$2:E3350)))))-COUNTBLANK(OFFSET(A$1,,,SUMPRODUCT(MAX(ROW(E$1:E3349)*(E2=E$1:E3349))))))</f>
        <v> </v>
      </c>
      <c r="K3350" s="26" t="str">
        <f>IF(OR(E3350="",E3350="!!!",F3350="NEW"),"",INDEX(J$1:J3349,SUMPRODUCT(MAX(ROW(E$1:E3349)*(E3350=E$1:E3349)))))</f>
        <v> </v>
      </c>
      <c r="L3350" s="27"/>
    </row>
    <row r="3351" spans="1:12">
      <c r="A3351" s="20" t="s">
        <v>1013</v>
      </c>
      <c r="E3351" s="22">
        <f>IF(D3351="?OLD","!!!","")</f>
        <v/>
      </c>
      <c r="F3351" s="23" t="str">
        <f>IF(OR(E3351="",E3351="!!!"),"",IF(NOT(ISNA(VLOOKUP(E3351,E$1:E3350,1,FALSE()))),"OLD",IF(AND(E3351&lt;&gt;"",E3351&lt;&gt;"!!!"),"NEW","")))</f>
        <v> </v>
      </c>
      <c r="G3351" s="24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5" t="str">
        <f>IF(J3351&lt;&gt;1,"",IF(I3351="SBJ","CB","?"))</f>
        <v> </v>
      </c>
      <c r="I3351" s="26" t="str">
        <f>IF(OR(E3351="",E3351="!!!",F3351="NEW"),"",INDEX(B3350:B$2,-1+SUMPRODUCT(MAX(ROW(E3350:E$2)*(E3351=E3350:E$2)))))</f>
        <v> </v>
      </c>
      <c r="J3351" s="26" t="str">
        <f>IF(OR(E3351="",E3351="!!!",F3351="NEW"),"",COUNTBLANK(OFFSET(A$1,,,SUMPRODUCT(MAX(ROW(E$2:E3351)*(E3351=E$2:E3351)))))-COUNTBLANK(OFFSET(A$1,,,SUMPRODUCT(MAX(ROW(E$1:E3350)*(E2=E$1:E3350))))))</f>
        <v> </v>
      </c>
      <c r="K3351" s="26" t="str">
        <f>IF(OR(E3351="",E3351="!!!",F3351="NEW"),"",INDEX(J$1:J3350,SUMPRODUCT(MAX(ROW(E$1:E3350)*(E3351=E$1:E3350)))))</f>
        <v> </v>
      </c>
      <c r="L3351" s="27"/>
    </row>
    <row r="3352" spans="1:12">
      <c r="A3352" s="20" t="s">
        <v>1014</v>
      </c>
      <c r="E3352" s="22">
        <f>IF(D3352="?OLD","!!!","")</f>
        <v/>
      </c>
      <c r="F3352" s="23" t="str">
        <f>IF(OR(E3352="",E3352="!!!"),"",IF(NOT(ISNA(VLOOKUP(E3352,E$1:E3351,1,FALSE()))),"OLD",IF(AND(E3352&lt;&gt;"",E3352&lt;&gt;"!!!"),"NEW","")))</f>
        <v> </v>
      </c>
      <c r="G3352" s="24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5" t="str">
        <f>IF(J3352&lt;&gt;1,"",IF(I3352="SBJ","CB","?"))</f>
        <v> </v>
      </c>
      <c r="I3352" s="26" t="str">
        <f>IF(OR(E3352="",E3352="!!!",F3352="NEW"),"",INDEX(B3351:B$2,-1+SUMPRODUCT(MAX(ROW(E3351:E$2)*(E3352=E3351:E$2)))))</f>
        <v> </v>
      </c>
      <c r="J3352" s="26" t="str">
        <f>IF(OR(E3352="",E3352="!!!",F3352="NEW"),"",COUNTBLANK(OFFSET(A$1,,,SUMPRODUCT(MAX(ROW(E$2:E3352)*(E3352=E$2:E3352)))))-COUNTBLANK(OFFSET(A$1,,,SUMPRODUCT(MAX(ROW(E$1:E3351)*(E2=E$1:E3351))))))</f>
        <v> </v>
      </c>
      <c r="K3352" s="26" t="str">
        <f>IF(OR(E3352="",E3352="!!!",F3352="NEW"),"",INDEX(J$1:J3351,SUMPRODUCT(MAX(ROW(E$1:E3351)*(E3352=E$1:E3351)))))</f>
        <v> </v>
      </c>
      <c r="L3352" s="27"/>
    </row>
    <row r="3353" spans="1:12">
      <c r="A3353" s="20" t="s">
        <v>1013</v>
      </c>
      <c r="E3353" s="22">
        <f>IF(D3353="?OLD","!!!","")</f>
        <v/>
      </c>
      <c r="F3353" s="23" t="str">
        <f>IF(OR(E3353="",E3353="!!!"),"",IF(NOT(ISNA(VLOOKUP(E3353,E$1:E3352,1,FALSE()))),"OLD",IF(AND(E3353&lt;&gt;"",E3353&lt;&gt;"!!!"),"NEW","")))</f>
        <v> </v>
      </c>
      <c r="G3353" s="24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5" t="str">
        <f>IF(J3353&lt;&gt;1,"",IF(I3353="SBJ","CB","?"))</f>
        <v> </v>
      </c>
      <c r="I3353" s="26" t="str">
        <f>IF(OR(E3353="",E3353="!!!",F3353="NEW"),"",INDEX(B3352:B$2,-1+SUMPRODUCT(MAX(ROW(E3352:E$2)*(E3353=E3352:E$2)))))</f>
        <v> </v>
      </c>
      <c r="J3353" s="26" t="str">
        <f>IF(OR(E3353="",E3353="!!!",F3353="NEW"),"",COUNTBLANK(OFFSET(A$1,,,SUMPRODUCT(MAX(ROW(E$2:E3353)*(E3353=E$2:E3353)))))-COUNTBLANK(OFFSET(A$1,,,SUMPRODUCT(MAX(ROW(E$1:E3352)*(E2=E$1:E3352))))))</f>
        <v> </v>
      </c>
      <c r="K3353" s="26" t="str">
        <f>IF(OR(E3353="",E3353="!!!",F3353="NEW"),"",INDEX(J$1:J3352,SUMPRODUCT(MAX(ROW(E$1:E3352)*(E3353=E$1:E3352)))))</f>
        <v> </v>
      </c>
      <c r="L3353" s="27"/>
    </row>
    <row r="3354" spans="1:12">
      <c r="A3354" s="20" t="s">
        <v>987</v>
      </c>
      <c r="E3354" s="22">
        <f>IF(D3354="?OLD","!!!","")</f>
        <v/>
      </c>
      <c r="F3354" s="23" t="str">
        <f>IF(OR(E3354="",E3354="!!!"),"",IF(NOT(ISNA(VLOOKUP(E3354,E$1:E3353,1,FALSE()))),"OLD",IF(AND(E3354&lt;&gt;"",E3354&lt;&gt;"!!!"),"NEW","")))</f>
        <v> </v>
      </c>
      <c r="G3354" s="24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5" t="str">
        <f>IF(J3354&lt;&gt;1,"",IF(I3354="SBJ","CB","?"))</f>
        <v> </v>
      </c>
      <c r="I3354" s="26" t="str">
        <f>IF(OR(E3354="",E3354="!!!",F3354="NEW"),"",INDEX(B3353:B$2,-1+SUMPRODUCT(MAX(ROW(E3353:E$2)*(E3354=E3353:E$2)))))</f>
        <v> </v>
      </c>
      <c r="J3354" s="26" t="str">
        <f>IF(OR(E3354="",E3354="!!!",F3354="NEW"),"",COUNTBLANK(OFFSET(A$1,,,SUMPRODUCT(MAX(ROW(E$2:E3354)*(E3354=E$2:E3354)))))-COUNTBLANK(OFFSET(A$1,,,SUMPRODUCT(MAX(ROW(E$1:E3353)*(E2=E$1:E3353))))))</f>
        <v> </v>
      </c>
      <c r="K3354" s="26" t="str">
        <f>IF(OR(E3354="",E3354="!!!",F3354="NEW"),"",INDEX(J$1:J3353,SUMPRODUCT(MAX(ROW(E$1:E3353)*(E3354=E$1:E3353)))))</f>
        <v> </v>
      </c>
      <c r="L3354" s="27"/>
    </row>
    <row r="3355" spans="1:12">
      <c r="A3355" s="20" t="s">
        <v>2296</v>
      </c>
      <c r="B3355" s="21" t="s">
        <v>1175</v>
      </c>
      <c r="C3355" s="21" t="s">
        <v>996</v>
      </c>
      <c r="D3355" s="21" t="s">
        <v>972</v>
      </c>
      <c r="E3355" s="22">
        <f>IF(D3355="?OLD","!!!","")</f>
        <v/>
      </c>
      <c r="F3355" s="23" t="str">
        <f>IF(OR(E3355="",E3355="!!!"),"",IF(NOT(ISNA(VLOOKUP(E3355,E$1:E3354,1,FALSE()))),"OLD",IF(AND(E3355&lt;&gt;"",E3355&lt;&gt;"!!!"),"NEW","")))</f>
        <v> </v>
      </c>
      <c r="G3355" s="24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5" t="str">
        <f>IF(J3355&lt;&gt;1,"",IF(I3355="SBJ","CB","?"))</f>
        <v> </v>
      </c>
      <c r="I3355" s="26" t="str">
        <f>IF(OR(E3355="",E3355="!!!",F3355="NEW"),"",INDEX(B3354:B$2,-1+SUMPRODUCT(MAX(ROW(E3354:E$2)*(E3355=E3354:E$2)))))</f>
        <v> </v>
      </c>
      <c r="J3355" s="26" t="str">
        <f>IF(OR(E3355="",E3355="!!!",F3355="NEW"),"",COUNTBLANK(OFFSET(A$1,,,SUMPRODUCT(MAX(ROW(E$2:E3355)*(E3355=E$2:E3355)))))-COUNTBLANK(OFFSET(A$1,,,SUMPRODUCT(MAX(ROW(E$1:E3354)*(E2=E$1:E3354))))))</f>
        <v> </v>
      </c>
      <c r="K3355" s="26" t="str">
        <f>IF(OR(E3355="",E3355="!!!",F3355="NEW"),"",INDEX(J$1:J3354,SUMPRODUCT(MAX(ROW(E$1:E3354)*(E3355=E$1:E3354)))))</f>
        <v> </v>
      </c>
      <c r="L3355" s="27"/>
    </row>
    <row r="3356" spans="1:12">
      <c r="A3356" s="20" t="s">
        <v>2297</v>
      </c>
      <c r="E3356" s="22">
        <f>IF(D3356="?OLD","!!!","")</f>
        <v/>
      </c>
      <c r="F3356" s="23" t="str">
        <f>IF(OR(E3356="",E3356="!!!"),"",IF(NOT(ISNA(VLOOKUP(E3356,E$1:E3355,1,FALSE()))),"OLD",IF(AND(E3356&lt;&gt;"",E3356&lt;&gt;"!!!"),"NEW","")))</f>
        <v> </v>
      </c>
      <c r="G3356" s="24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5" t="str">
        <f>IF(J3356&lt;&gt;1,"",IF(I3356="SBJ","CB","?"))</f>
        <v> </v>
      </c>
      <c r="I3356" s="26" t="str">
        <f>IF(OR(E3356="",E3356="!!!",F3356="NEW"),"",INDEX(B3355:B$2,-1+SUMPRODUCT(MAX(ROW(E3355:E$2)*(E3356=E3355:E$2)))))</f>
        <v> </v>
      </c>
      <c r="J3356" s="26" t="str">
        <f>IF(OR(E3356="",E3356="!!!",F3356="NEW"),"",COUNTBLANK(OFFSET(A$1,,,SUMPRODUCT(MAX(ROW(E$2:E3356)*(E3356=E$2:E3356)))))-COUNTBLANK(OFFSET(A$1,,,SUMPRODUCT(MAX(ROW(E$1:E3355)*(E2=E$1:E3355))))))</f>
        <v> </v>
      </c>
      <c r="K3356" s="26" t="str">
        <f>IF(OR(E3356="",E3356="!!!",F3356="NEW"),"",INDEX(J$1:J3355,SUMPRODUCT(MAX(ROW(E$1:E3355)*(E3356=E$1:E3355)))))</f>
        <v> </v>
      </c>
      <c r="L3356" s="27"/>
    </row>
    <row r="3357" spans="1:12">
      <c r="A3357" s="20" t="s">
        <v>1013</v>
      </c>
      <c r="E3357" s="22">
        <f>IF(D3357="?OLD","!!!","")</f>
        <v/>
      </c>
      <c r="F3357" s="23" t="str">
        <f>IF(OR(E3357="",E3357="!!!"),"",IF(NOT(ISNA(VLOOKUP(E3357,E$1:E3356,1,FALSE()))),"OLD",IF(AND(E3357&lt;&gt;"",E3357&lt;&gt;"!!!"),"NEW","")))</f>
        <v> </v>
      </c>
      <c r="G3357" s="24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5" t="str">
        <f>IF(J3357&lt;&gt;1,"",IF(I3357="SBJ","CB","?"))</f>
        <v> </v>
      </c>
      <c r="I3357" s="26" t="str">
        <f>IF(OR(E3357="",E3357="!!!",F3357="NEW"),"",INDEX(B3356:B$2,-1+SUMPRODUCT(MAX(ROW(E3356:E$2)*(E3357=E3356:E$2)))))</f>
        <v> </v>
      </c>
      <c r="J3357" s="26" t="str">
        <f>IF(OR(E3357="",E3357="!!!",F3357="NEW"),"",COUNTBLANK(OFFSET(A$1,,,SUMPRODUCT(MAX(ROW(E$2:E3357)*(E3357=E$2:E3357)))))-COUNTBLANK(OFFSET(A$1,,,SUMPRODUCT(MAX(ROW(E$1:E3356)*(E2=E$1:E3356))))))</f>
        <v> </v>
      </c>
      <c r="K3357" s="26" t="str">
        <f>IF(OR(E3357="",E3357="!!!",F3357="NEW"),"",INDEX(J$1:J3356,SUMPRODUCT(MAX(ROW(E$1:E3356)*(E3357=E$1:E3356)))))</f>
        <v> </v>
      </c>
      <c r="L3357" s="27"/>
    </row>
    <row r="3358" spans="1:12">
      <c r="A3358" s="20" t="s">
        <v>400</v>
      </c>
      <c r="B3358" s="21" t="s">
        <v>1101</v>
      </c>
      <c r="C3358" s="21" t="s">
        <v>971</v>
      </c>
      <c r="D3358" s="21" t="s">
        <v>972</v>
      </c>
      <c r="E3358" s="22">
        <f>IF(D3358="?OLD","!!!","")</f>
        <v/>
      </c>
      <c r="F3358" s="23" t="str">
        <f>IF(OR(E3358="",E3358="!!!"),"",IF(NOT(ISNA(VLOOKUP(E3358,E$1:E3357,1,FALSE()))),"OLD",IF(AND(E3358&lt;&gt;"",E3358&lt;&gt;"!!!"),"NEW","")))</f>
        <v> </v>
      </c>
      <c r="G3358" s="24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5" t="str">
        <f>IF(J3358&lt;&gt;1,"",IF(I3358="SBJ","CB","?"))</f>
        <v> </v>
      </c>
      <c r="I3358" s="26" t="str">
        <f>IF(OR(E3358="",E3358="!!!",F3358="NEW"),"",INDEX(B3357:B$2,-1+SUMPRODUCT(MAX(ROW(E3357:E$2)*(E3358=E3357:E$2)))))</f>
        <v> </v>
      </c>
      <c r="J3358" s="26" t="str">
        <f>IF(OR(E3358="",E3358="!!!",F3358="NEW"),"",COUNTBLANK(OFFSET(A$1,,,SUMPRODUCT(MAX(ROW(E$2:E3358)*(E3358=E$2:E3358)))))-COUNTBLANK(OFFSET(A$1,,,SUMPRODUCT(MAX(ROW(E$1:E3357)*(E2=E$1:E3357))))))</f>
        <v> </v>
      </c>
      <c r="K3358" s="26" t="str">
        <f>IF(OR(E3358="",E3358="!!!",F3358="NEW"),"",INDEX(J$1:J3357,SUMPRODUCT(MAX(ROW(E$1:E3357)*(E3358=E$1:E3357)))))</f>
        <v> </v>
      </c>
      <c r="L3358" s="27"/>
    </row>
    <row r="3359" spans="1:12">
      <c r="A3359" s="20" t="s">
        <v>1102</v>
      </c>
      <c r="E3359" s="22">
        <f>IF(D3359="?OLD","!!!","")</f>
        <v/>
      </c>
      <c r="F3359" s="23" t="str">
        <f>IF(OR(E3359="",E3359="!!!"),"",IF(NOT(ISNA(VLOOKUP(E3359,E$1:E3358,1,FALSE()))),"OLD",IF(AND(E3359&lt;&gt;"",E3359&lt;&gt;"!!!"),"NEW","")))</f>
        <v> </v>
      </c>
      <c r="G3359" s="24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5" t="str">
        <f>IF(J3359&lt;&gt;1,"",IF(I3359="SBJ","CB","?"))</f>
        <v> </v>
      </c>
      <c r="I3359" s="26" t="str">
        <f>IF(OR(E3359="",E3359="!!!",F3359="NEW"),"",INDEX(B3358:B$2,-1+SUMPRODUCT(MAX(ROW(E3358:E$2)*(E3359=E3358:E$2)))))</f>
        <v> </v>
      </c>
      <c r="J3359" s="26" t="str">
        <f>IF(OR(E3359="",E3359="!!!",F3359="NEW"),"",COUNTBLANK(OFFSET(A$1,,,SUMPRODUCT(MAX(ROW(E$2:E3359)*(E3359=E$2:E3359)))))-COUNTBLANK(OFFSET(A$1,,,SUMPRODUCT(MAX(ROW(E$1:E3358)*(E2=E$1:E3358))))))</f>
        <v> </v>
      </c>
      <c r="K3359" s="26" t="str">
        <f>IF(OR(E3359="",E3359="!!!",F3359="NEW"),"",INDEX(J$1:J3358,SUMPRODUCT(MAX(ROW(E$1:E3358)*(E3359=E$1:E3358)))))</f>
        <v> </v>
      </c>
      <c r="L3359" s="27"/>
    </row>
    <row r="3360" spans="1:12">
      <c r="A3360" s="20" t="s">
        <v>2298</v>
      </c>
      <c r="E3360" s="22">
        <f>IF(D3360="?OLD","!!!","")</f>
        <v/>
      </c>
      <c r="F3360" s="23" t="str">
        <f>IF(OR(E3360="",E3360="!!!"),"",IF(NOT(ISNA(VLOOKUP(E3360,E$1:E3359,1,FALSE()))),"OLD",IF(AND(E3360&lt;&gt;"",E3360&lt;&gt;"!!!"),"NEW","")))</f>
        <v> </v>
      </c>
      <c r="G3360" s="24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5" t="str">
        <f>IF(J3360&lt;&gt;1,"",IF(I3360="SBJ","CB","?"))</f>
        <v> </v>
      </c>
      <c r="I3360" s="26" t="str">
        <f>IF(OR(E3360="",E3360="!!!",F3360="NEW"),"",INDEX(B3359:B$2,-1+SUMPRODUCT(MAX(ROW(E3359:E$2)*(E3360=E3359:E$2)))))</f>
        <v> </v>
      </c>
      <c r="J3360" s="26" t="str">
        <f>IF(OR(E3360="",E3360="!!!",F3360="NEW"),"",COUNTBLANK(OFFSET(A$1,,,SUMPRODUCT(MAX(ROW(E$2:E3360)*(E3360=E$2:E3360)))))-COUNTBLANK(OFFSET(A$1,,,SUMPRODUCT(MAX(ROW(E$1:E3359)*(E2=E$1:E3359))))))</f>
        <v> </v>
      </c>
      <c r="K3360" s="26" t="str">
        <f>IF(OR(E3360="",E3360="!!!",F3360="NEW"),"",INDEX(J$1:J3359,SUMPRODUCT(MAX(ROW(E$1:E3359)*(E3360=E$1:E3359)))))</f>
        <v> </v>
      </c>
      <c r="L3360" s="27"/>
    </row>
    <row r="3361" spans="1:12">
      <c r="A3361" s="20" t="s">
        <v>1133</v>
      </c>
      <c r="E3361" s="22">
        <f>IF(D3361="?OLD","!!!","")</f>
        <v/>
      </c>
      <c r="F3361" s="23" t="str">
        <f>IF(OR(E3361="",E3361="!!!"),"",IF(NOT(ISNA(VLOOKUP(E3361,E$1:E3360,1,FALSE()))),"OLD",IF(AND(E3361&lt;&gt;"",E3361&lt;&gt;"!!!"),"NEW","")))</f>
        <v> </v>
      </c>
      <c r="G3361" s="24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5" t="str">
        <f>IF(J3361&lt;&gt;1,"",IF(I3361="SBJ","CB","?"))</f>
        <v> </v>
      </c>
      <c r="I3361" s="26" t="str">
        <f>IF(OR(E3361="",E3361="!!!",F3361="NEW"),"",INDEX(B3360:B$2,-1+SUMPRODUCT(MAX(ROW(E3360:E$2)*(E3361=E3360:E$2)))))</f>
        <v> </v>
      </c>
      <c r="J3361" s="26" t="str">
        <f>IF(OR(E3361="",E3361="!!!",F3361="NEW"),"",COUNTBLANK(OFFSET(A$1,,,SUMPRODUCT(MAX(ROW(E$2:E3361)*(E3361=E$2:E3361)))))-COUNTBLANK(OFFSET(A$1,,,SUMPRODUCT(MAX(ROW(E$1:E3360)*(E2=E$1:E3360))))))</f>
        <v> </v>
      </c>
      <c r="K3361" s="26" t="str">
        <f>IF(OR(E3361="",E3361="!!!",F3361="NEW"),"",INDEX(J$1:J3360,SUMPRODUCT(MAX(ROW(E$1:E3360)*(E3361=E$1:E3360)))))</f>
        <v> </v>
      </c>
      <c r="L3361" s="27"/>
    </row>
    <row r="3362" spans="1:12">
      <c r="A3362" s="20" t="s">
        <v>2299</v>
      </c>
      <c r="E3362" s="22">
        <f>IF(D3362="?OLD","!!!","")</f>
        <v/>
      </c>
      <c r="F3362" s="23" t="str">
        <f>IF(OR(E3362="",E3362="!!!"),"",IF(NOT(ISNA(VLOOKUP(E3362,E$1:E3361,1,FALSE()))),"OLD",IF(AND(E3362&lt;&gt;"",E3362&lt;&gt;"!!!"),"NEW","")))</f>
        <v> </v>
      </c>
      <c r="G3362" s="24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5" t="str">
        <f>IF(J3362&lt;&gt;1,"",IF(I3362="SBJ","CB","?"))</f>
        <v> </v>
      </c>
      <c r="I3362" s="26" t="str">
        <f>IF(OR(E3362="",E3362="!!!",F3362="NEW"),"",INDEX(B3361:B$2,-1+SUMPRODUCT(MAX(ROW(E3361:E$2)*(E3362=E3361:E$2)))))</f>
        <v> </v>
      </c>
      <c r="J3362" s="26" t="str">
        <f>IF(OR(E3362="",E3362="!!!",F3362="NEW"),"",COUNTBLANK(OFFSET(A$1,,,SUMPRODUCT(MAX(ROW(E$2:E3362)*(E3362=E$2:E3362)))))-COUNTBLANK(OFFSET(A$1,,,SUMPRODUCT(MAX(ROW(E$1:E3361)*(E2=E$1:E3361))))))</f>
        <v> </v>
      </c>
      <c r="K3362" s="26" t="str">
        <f>IF(OR(E3362="",E3362="!!!",F3362="NEW"),"",INDEX(J$1:J3361,SUMPRODUCT(MAX(ROW(E$1:E3361)*(E3362=E$1:E3361)))))</f>
        <v> </v>
      </c>
      <c r="L3362" s="27"/>
    </row>
    <row r="3363" spans="1:12">
      <c r="A3363" s="20" t="s">
        <v>979</v>
      </c>
      <c r="E3363" s="22">
        <f>IF(D3363="?OLD","!!!","")</f>
        <v/>
      </c>
      <c r="F3363" s="23" t="str">
        <f>IF(OR(E3363="",E3363="!!!"),"",IF(NOT(ISNA(VLOOKUP(E3363,E$1:E3362,1,FALSE()))),"OLD",IF(AND(E3363&lt;&gt;"",E3363&lt;&gt;"!!!"),"NEW","")))</f>
        <v> </v>
      </c>
      <c r="G3363" s="24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5" t="str">
        <f>IF(J3363&lt;&gt;1,"",IF(I3363="SBJ","CB","?"))</f>
        <v> </v>
      </c>
      <c r="I3363" s="26" t="str">
        <f>IF(OR(E3363="",E3363="!!!",F3363="NEW"),"",INDEX(B3362:B$2,-1+SUMPRODUCT(MAX(ROW(E3362:E$2)*(E3363=E3362:E$2)))))</f>
        <v> </v>
      </c>
      <c r="J3363" s="26" t="str">
        <f>IF(OR(E3363="",E3363="!!!",F3363="NEW"),"",COUNTBLANK(OFFSET(A$1,,,SUMPRODUCT(MAX(ROW(E$2:E3363)*(E3363=E$2:E3363)))))-COUNTBLANK(OFFSET(A$1,,,SUMPRODUCT(MAX(ROW(E$1:E3362)*(E2=E$1:E3362))))))</f>
        <v> </v>
      </c>
      <c r="K3363" s="26" t="str">
        <f>IF(OR(E3363="",E3363="!!!",F3363="NEW"),"",INDEX(J$1:J3362,SUMPRODUCT(MAX(ROW(E$1:E3362)*(E3363=E$1:E3362)))))</f>
        <v> </v>
      </c>
      <c r="L3363" s="27"/>
    </row>
    <row r="3364" spans="1:12">
      <c r="A3364" s="20"/>
    </row>
    <row r="3365" spans="1:12">
      <c r="A3365" s="20" t="s">
        <v>2300</v>
      </c>
    </row>
    <row r="3366" spans="1:12">
      <c r="A3366" s="20" t="s">
        <v>1348</v>
      </c>
      <c r="B3366" s="21" t="s">
        <v>975</v>
      </c>
      <c r="C3366" s="21" t="s">
        <v>971</v>
      </c>
      <c r="D3366" s="21" t="s">
        <v>972</v>
      </c>
      <c r="E3366" s="22">
        <f>IF(D3366="?OLD","!!!","")</f>
        <v/>
      </c>
      <c r="F3366" s="23" t="str">
        <f>IF(OR(E3366="",E3366="!!!"),"",IF(NOT(ISNA(VLOOKUP(E3366,E$1:E3365,1,FALSE()))),"OLD",IF(AND(E3366&lt;&gt;"",E3366&lt;&gt;"!!!"),"NEW","")))</f>
        <v> </v>
      </c>
      <c r="G3366" s="24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5" t="str">
        <f>IF(J3366&lt;&gt;1,"",IF(I3366="SBJ","CB","?"))</f>
        <v> </v>
      </c>
      <c r="I3366" s="26" t="str">
        <f>IF(OR(E3366="",E3366="!!!",F3366="NEW"),"",INDEX(B3365:B$2,-1+SUMPRODUCT(MAX(ROW(E3365:E$2)*(E3366=E3365:E$2)))))</f>
        <v> </v>
      </c>
      <c r="J3366" s="26" t="str">
        <f>IF(OR(E3366="",E3366="!!!",F3366="NEW"),"",COUNTBLANK(OFFSET(A$1,,,SUMPRODUCT(MAX(ROW(E$2:E3366)*(E3366=E$2:E3366)))))-COUNTBLANK(OFFSET(A$1,,,SUMPRODUCT(MAX(ROW(E$1:E3365)*(E2=E$1:E3365))))))</f>
        <v> </v>
      </c>
      <c r="K3366" s="26" t="str">
        <f>IF(OR(E3366="",E3366="!!!",F3366="NEW"),"",INDEX(J$1:J3365,SUMPRODUCT(MAX(ROW(E$1:E3365)*(E3366=E$1:E3365)))))</f>
        <v> </v>
      </c>
      <c r="L3366" s="27"/>
    </row>
    <row r="3367" spans="1:12">
      <c r="A3367" s="20" t="s">
        <v>1195</v>
      </c>
      <c r="E3367" s="22">
        <f>IF(D3367="?OLD","!!!","")</f>
        <v/>
      </c>
      <c r="F3367" s="23" t="str">
        <f>IF(OR(E3367="",E3367="!!!"),"",IF(NOT(ISNA(VLOOKUP(E3367,E$1:E3366,1,FALSE()))),"OLD",IF(AND(E3367&lt;&gt;"",E3367&lt;&gt;"!!!"),"NEW","")))</f>
        <v> </v>
      </c>
      <c r="G3367" s="24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5" t="str">
        <f>IF(J3367&lt;&gt;1,"",IF(I3367="SBJ","CB","?"))</f>
        <v> </v>
      </c>
      <c r="I3367" s="26" t="str">
        <f>IF(OR(E3367="",E3367="!!!",F3367="NEW"),"",INDEX(B3366:B$2,-1+SUMPRODUCT(MAX(ROW(E3366:E$2)*(E3367=E3366:E$2)))))</f>
        <v> </v>
      </c>
      <c r="J3367" s="26" t="str">
        <f>IF(OR(E3367="",E3367="!!!",F3367="NEW"),"",COUNTBLANK(OFFSET(A$1,,,SUMPRODUCT(MAX(ROW(E$2:E3367)*(E3367=E$2:E3367)))))-COUNTBLANK(OFFSET(A$1,,,SUMPRODUCT(MAX(ROW(E$1:E3366)*(E2=E$1:E3366))))))</f>
        <v> </v>
      </c>
      <c r="K3367" s="26" t="str">
        <f>IF(OR(E3367="",E3367="!!!",F3367="NEW"),"",INDEX(J$1:J3366,SUMPRODUCT(MAX(ROW(E$1:E3366)*(E3367=E$1:E3366)))))</f>
        <v> </v>
      </c>
      <c r="L3367" s="27"/>
    </row>
    <row r="3368" spans="1:12">
      <c r="A3368" s="20" t="s">
        <v>1094</v>
      </c>
      <c r="E3368" s="22">
        <f>IF(D3368="?OLD","!!!","")</f>
        <v/>
      </c>
      <c r="F3368" s="23" t="str">
        <f>IF(OR(E3368="",E3368="!!!"),"",IF(NOT(ISNA(VLOOKUP(E3368,E$1:E3367,1,FALSE()))),"OLD",IF(AND(E3368&lt;&gt;"",E3368&lt;&gt;"!!!"),"NEW","")))</f>
        <v> </v>
      </c>
      <c r="G3368" s="24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5" t="str">
        <f>IF(J3368&lt;&gt;1,"",IF(I3368="SBJ","CB","?"))</f>
        <v> </v>
      </c>
      <c r="I3368" s="26" t="str">
        <f>IF(OR(E3368="",E3368="!!!",F3368="NEW"),"",INDEX(B3367:B$2,-1+SUMPRODUCT(MAX(ROW(E3367:E$2)*(E3368=E3367:E$2)))))</f>
        <v> </v>
      </c>
      <c r="J3368" s="26" t="str">
        <f>IF(OR(E3368="",E3368="!!!",F3368="NEW"),"",COUNTBLANK(OFFSET(A$1,,,SUMPRODUCT(MAX(ROW(E$2:E3368)*(E3368=E$2:E3368)))))-COUNTBLANK(OFFSET(A$1,,,SUMPRODUCT(MAX(ROW(E$1:E3367)*(E2=E$1:E3367))))))</f>
        <v> </v>
      </c>
      <c r="K3368" s="26" t="str">
        <f>IF(OR(E3368="",E3368="!!!",F3368="NEW"),"",INDEX(J$1:J3367,SUMPRODUCT(MAX(ROW(E$1:E3367)*(E3368=E$1:E3367)))))</f>
        <v> </v>
      </c>
      <c r="L3368" s="27"/>
    </row>
    <row r="3369" spans="1:12">
      <c r="A3369" s="20" t="s">
        <v>2301</v>
      </c>
      <c r="E3369" s="22">
        <f>IF(D3369="?OLD","!!!","")</f>
        <v/>
      </c>
      <c r="F3369" s="23" t="str">
        <f>IF(OR(E3369="",E3369="!!!"),"",IF(NOT(ISNA(VLOOKUP(E3369,E$1:E3368,1,FALSE()))),"OLD",IF(AND(E3369&lt;&gt;"",E3369&lt;&gt;"!!!"),"NEW","")))</f>
        <v> </v>
      </c>
      <c r="G3369" s="24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5" t="str">
        <f>IF(J3369&lt;&gt;1,"",IF(I3369="SBJ","CB","?"))</f>
        <v> </v>
      </c>
      <c r="I3369" s="26" t="str">
        <f>IF(OR(E3369="",E3369="!!!",F3369="NEW"),"",INDEX(B3368:B$2,-1+SUMPRODUCT(MAX(ROW(E3368:E$2)*(E3369=E3368:E$2)))))</f>
        <v> </v>
      </c>
      <c r="J3369" s="26" t="str">
        <f>IF(OR(E3369="",E3369="!!!",F3369="NEW"),"",COUNTBLANK(OFFSET(A$1,,,SUMPRODUCT(MAX(ROW(E$2:E3369)*(E3369=E$2:E3369)))))-COUNTBLANK(OFFSET(A$1,,,SUMPRODUCT(MAX(ROW(E$1:E3368)*(E2=E$1:E3368))))))</f>
        <v> </v>
      </c>
      <c r="K3369" s="26" t="str">
        <f>IF(OR(E3369="",E3369="!!!",F3369="NEW"),"",INDEX(J$1:J3368,SUMPRODUCT(MAX(ROW(E$1:E3368)*(E3369=E$1:E3368)))))</f>
        <v> </v>
      </c>
      <c r="L3369" s="27"/>
    </row>
    <row r="3370" spans="1:12">
      <c r="A3370" s="20" t="s">
        <v>1955</v>
      </c>
      <c r="B3370" s="21" t="s">
        <v>1087</v>
      </c>
      <c r="E3370" s="22">
        <f>IF(D3370="?OLD","!!!","")</f>
        <v/>
      </c>
      <c r="F3370" s="23" t="str">
        <f>IF(OR(E3370="",E3370="!!!"),"",IF(NOT(ISNA(VLOOKUP(E3370,E$1:E3369,1,FALSE()))),"OLD",IF(AND(E3370&lt;&gt;"",E3370&lt;&gt;"!!!"),"NEW","")))</f>
        <v> </v>
      </c>
      <c r="G3370" s="24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5" t="str">
        <f>IF(J3370&lt;&gt;1,"",IF(I3370="SBJ","CB","?"))</f>
        <v> </v>
      </c>
      <c r="I3370" s="26" t="str">
        <f>IF(OR(E3370="",E3370="!!!",F3370="NEW"),"",INDEX(B3369:B$2,-1+SUMPRODUCT(MAX(ROW(E3369:E$2)*(E3370=E3369:E$2)))))</f>
        <v> </v>
      </c>
      <c r="J3370" s="26" t="str">
        <f>IF(OR(E3370="",E3370="!!!",F3370="NEW"),"",COUNTBLANK(OFFSET(A$1,,,SUMPRODUCT(MAX(ROW(E$2:E3370)*(E3370=E$2:E3370)))))-COUNTBLANK(OFFSET(A$1,,,SUMPRODUCT(MAX(ROW(E$1:E3369)*(E2=E$1:E3369))))))</f>
        <v> </v>
      </c>
      <c r="K3370" s="26" t="str">
        <f>IF(OR(E3370="",E3370="!!!",F3370="NEW"),"",INDEX(J$1:J3369,SUMPRODUCT(MAX(ROW(E$1:E3369)*(E3370=E$1:E3369)))))</f>
        <v> </v>
      </c>
      <c r="L3370" s="27"/>
    </row>
    <row r="3371" spans="1:12">
      <c r="A3371" s="20" t="s">
        <v>979</v>
      </c>
      <c r="E3371" s="22">
        <f>IF(D3371="?OLD","!!!","")</f>
        <v/>
      </c>
      <c r="F3371" s="23" t="str">
        <f>IF(OR(E3371="",E3371="!!!"),"",IF(NOT(ISNA(VLOOKUP(E3371,E$1:E3370,1,FALSE()))),"OLD",IF(AND(E3371&lt;&gt;"",E3371&lt;&gt;"!!!"),"NEW","")))</f>
        <v> </v>
      </c>
      <c r="G3371" s="24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5" t="str">
        <f>IF(J3371&lt;&gt;1,"",IF(I3371="SBJ","CB","?"))</f>
        <v> </v>
      </c>
      <c r="I3371" s="26" t="str">
        <f>IF(OR(E3371="",E3371="!!!",F3371="NEW"),"",INDEX(B3370:B$2,-1+SUMPRODUCT(MAX(ROW(E3370:E$2)*(E3371=E3370:E$2)))))</f>
        <v> </v>
      </c>
      <c r="J3371" s="26" t="str">
        <f>IF(OR(E3371="",E3371="!!!",F3371="NEW"),"",COUNTBLANK(OFFSET(A$1,,,SUMPRODUCT(MAX(ROW(E$2:E3371)*(E3371=E$2:E3371)))))-COUNTBLANK(OFFSET(A$1,,,SUMPRODUCT(MAX(ROW(E$1:E3370)*(E2=E$1:E3370))))))</f>
        <v> </v>
      </c>
      <c r="K3371" s="26" t="str">
        <f>IF(OR(E3371="",E3371="!!!",F3371="NEW"),"",INDEX(J$1:J3370,SUMPRODUCT(MAX(ROW(E$1:E3370)*(E3371=E$1:E3370)))))</f>
        <v> </v>
      </c>
      <c r="L3371" s="27"/>
    </row>
    <row r="3372" spans="1:12">
      <c r="A3372" s="20"/>
    </row>
    <row r="3373" spans="1:12">
      <c r="A3373" s="20" t="s">
        <v>2302</v>
      </c>
    </row>
    <row r="3374" spans="1:12">
      <c r="A3374" s="20" t="s">
        <v>1348</v>
      </c>
      <c r="B3374" s="21" t="s">
        <v>975</v>
      </c>
      <c r="C3374" s="21" t="s">
        <v>971</v>
      </c>
      <c r="D3374" s="21" t="s">
        <v>972</v>
      </c>
      <c r="E3374" s="22">
        <f>IF(D3374="?OLD","!!!","")</f>
        <v/>
      </c>
      <c r="F3374" s="23" t="str">
        <f>IF(OR(E3374="",E3374="!!!"),"",IF(NOT(ISNA(VLOOKUP(E3374,E$1:E3373,1,FALSE()))),"OLD",IF(AND(E3374&lt;&gt;"",E3374&lt;&gt;"!!!"),"NEW","")))</f>
        <v> </v>
      </c>
      <c r="G3374" s="24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5" t="str">
        <f>IF(J3374&lt;&gt;1,"",IF(I3374="SBJ","CB","?"))</f>
        <v> </v>
      </c>
      <c r="I3374" s="26" t="str">
        <f>IF(OR(E3374="",E3374="!!!",F3374="NEW"),"",INDEX(B3373:B$2,-1+SUMPRODUCT(MAX(ROW(E3373:E$2)*(E3374=E3373:E$2)))))</f>
        <v> </v>
      </c>
      <c r="J3374" s="26" t="str">
        <f>IF(OR(E3374="",E3374="!!!",F3374="NEW"),"",COUNTBLANK(OFFSET(A$1,,,SUMPRODUCT(MAX(ROW(E$2:E3374)*(E3374=E$2:E3374)))))-COUNTBLANK(OFFSET(A$1,,,SUMPRODUCT(MAX(ROW(E$1:E3373)*(E2=E$1:E3373))))))</f>
        <v> </v>
      </c>
      <c r="K3374" s="26" t="str">
        <f>IF(OR(E3374="",E3374="!!!",F3374="NEW"),"",INDEX(J$1:J3373,SUMPRODUCT(MAX(ROW(E$1:E3373)*(E3374=E$1:E3373)))))</f>
        <v> </v>
      </c>
      <c r="L3374" s="27"/>
    </row>
    <row r="3375" spans="1:12">
      <c r="A3375" s="20" t="s">
        <v>1094</v>
      </c>
      <c r="E3375" s="22">
        <f>IF(D3375="?OLD","!!!","")</f>
        <v/>
      </c>
      <c r="F3375" s="23" t="str">
        <f>IF(OR(E3375="",E3375="!!!"),"",IF(NOT(ISNA(VLOOKUP(E3375,E$1:E3374,1,FALSE()))),"OLD",IF(AND(E3375&lt;&gt;"",E3375&lt;&gt;"!!!"),"NEW","")))</f>
        <v> </v>
      </c>
      <c r="G3375" s="24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5" t="str">
        <f>IF(J3375&lt;&gt;1,"",IF(I3375="SBJ","CB","?"))</f>
        <v> </v>
      </c>
      <c r="I3375" s="26" t="str">
        <f>IF(OR(E3375="",E3375="!!!",F3375="NEW"),"",INDEX(B3374:B$2,-1+SUMPRODUCT(MAX(ROW(E3374:E$2)*(E3375=E3374:E$2)))))</f>
        <v> </v>
      </c>
      <c r="J3375" s="26" t="str">
        <f>IF(OR(E3375="",E3375="!!!",F3375="NEW"),"",COUNTBLANK(OFFSET(A$1,,,SUMPRODUCT(MAX(ROW(E$2:E3375)*(E3375=E$2:E3375)))))-COUNTBLANK(OFFSET(A$1,,,SUMPRODUCT(MAX(ROW(E$1:E3374)*(E2=E$1:E3374))))))</f>
        <v> </v>
      </c>
      <c r="K3375" s="26" t="str">
        <f>IF(OR(E3375="",E3375="!!!",F3375="NEW"),"",INDEX(J$1:J3374,SUMPRODUCT(MAX(ROW(E$1:E3374)*(E3375=E$1:E3374)))))</f>
        <v> </v>
      </c>
      <c r="L3375" s="27"/>
    </row>
    <row r="3376" spans="1:12">
      <c r="A3376" s="20" t="s">
        <v>20</v>
      </c>
      <c r="E3376" s="22">
        <f>IF(D3376="?OLD","!!!","")</f>
        <v/>
      </c>
      <c r="F3376" s="23" t="str">
        <f>IF(OR(E3376="",E3376="!!!"),"",IF(NOT(ISNA(VLOOKUP(E3376,E$1:E3375,1,FALSE()))),"OLD",IF(AND(E3376&lt;&gt;"",E3376&lt;&gt;"!!!"),"NEW","")))</f>
        <v> </v>
      </c>
      <c r="G3376" s="24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5" t="str">
        <f>IF(J3376&lt;&gt;1,"",IF(I3376="SBJ","CB","?"))</f>
        <v> </v>
      </c>
      <c r="I3376" s="26" t="str">
        <f>IF(OR(E3376="",E3376="!!!",F3376="NEW"),"",INDEX(B3375:B$2,-1+SUMPRODUCT(MAX(ROW(E3375:E$2)*(E3376=E3375:E$2)))))</f>
        <v> </v>
      </c>
      <c r="J3376" s="26" t="str">
        <f>IF(OR(E3376="",E3376="!!!",F3376="NEW"),"",COUNTBLANK(OFFSET(A$1,,,SUMPRODUCT(MAX(ROW(E$2:E3376)*(E3376=E$2:E3376)))))-COUNTBLANK(OFFSET(A$1,,,SUMPRODUCT(MAX(ROW(E$1:E3375)*(E2=E$1:E3375))))))</f>
        <v> </v>
      </c>
      <c r="K3376" s="26" t="str">
        <f>IF(OR(E3376="",E3376="!!!",F3376="NEW"),"",INDEX(J$1:J3375,SUMPRODUCT(MAX(ROW(E$1:E3375)*(E3376=E$1:E3375)))))</f>
        <v> </v>
      </c>
      <c r="L3376" s="27"/>
    </row>
    <row r="3377" spans="1:12">
      <c r="A3377" s="20" t="s">
        <v>1955</v>
      </c>
      <c r="B3377" s="21" t="s">
        <v>1087</v>
      </c>
      <c r="E3377" s="22">
        <f>IF(D3377="?OLD","!!!","")</f>
        <v/>
      </c>
      <c r="F3377" s="23" t="str">
        <f>IF(OR(E3377="",E3377="!!!"),"",IF(NOT(ISNA(VLOOKUP(E3377,E$1:E3376,1,FALSE()))),"OLD",IF(AND(E3377&lt;&gt;"",E3377&lt;&gt;"!!!"),"NEW","")))</f>
        <v> </v>
      </c>
      <c r="G3377" s="24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5" t="str">
        <f>IF(J3377&lt;&gt;1,"",IF(I3377="SBJ","CB","?"))</f>
        <v> </v>
      </c>
      <c r="I3377" s="26" t="str">
        <f>IF(OR(E3377="",E3377="!!!",F3377="NEW"),"",INDEX(B3376:B$2,-1+SUMPRODUCT(MAX(ROW(E3376:E$2)*(E3377=E3376:E$2)))))</f>
        <v> </v>
      </c>
      <c r="J3377" s="26" t="str">
        <f>IF(OR(E3377="",E3377="!!!",F3377="NEW"),"",COUNTBLANK(OFFSET(A$1,,,SUMPRODUCT(MAX(ROW(E$2:E3377)*(E3377=E$2:E3377)))))-COUNTBLANK(OFFSET(A$1,,,SUMPRODUCT(MAX(ROW(E$1:E3376)*(E2=E$1:E3376))))))</f>
        <v> </v>
      </c>
      <c r="K3377" s="26" t="str">
        <f>IF(OR(E3377="",E3377="!!!",F3377="NEW"),"",INDEX(J$1:J3376,SUMPRODUCT(MAX(ROW(E$1:E3376)*(E3377=E$1:E3376)))))</f>
        <v> </v>
      </c>
      <c r="L3377" s="27"/>
    </row>
    <row r="3378" spans="1:12">
      <c r="A3378" s="20" t="s">
        <v>979</v>
      </c>
      <c r="E3378" s="22">
        <f>IF(D3378="?OLD","!!!","")</f>
        <v/>
      </c>
      <c r="F3378" s="23" t="str">
        <f>IF(OR(E3378="",E3378="!!!"),"",IF(NOT(ISNA(VLOOKUP(E3378,E$1:E3377,1,FALSE()))),"OLD",IF(AND(E3378&lt;&gt;"",E3378&lt;&gt;"!!!"),"NEW","")))</f>
        <v> </v>
      </c>
      <c r="G3378" s="24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5" t="str">
        <f>IF(J3378&lt;&gt;1,"",IF(I3378="SBJ","CB","?"))</f>
        <v> </v>
      </c>
      <c r="I3378" s="26" t="str">
        <f>IF(OR(E3378="",E3378="!!!",F3378="NEW"),"",INDEX(B3377:B$2,-1+SUMPRODUCT(MAX(ROW(E3377:E$2)*(E3378=E3377:E$2)))))</f>
        <v> </v>
      </c>
      <c r="J3378" s="26" t="str">
        <f>IF(OR(E3378="",E3378="!!!",F3378="NEW"),"",COUNTBLANK(OFFSET(A$1,,,SUMPRODUCT(MAX(ROW(E$2:E3378)*(E3378=E$2:E3378)))))-COUNTBLANK(OFFSET(A$1,,,SUMPRODUCT(MAX(ROW(E$1:E3377)*(E2=E$1:E3377))))))</f>
        <v> </v>
      </c>
      <c r="K3378" s="26" t="str">
        <f>IF(OR(E3378="",E3378="!!!",F3378="NEW"),"",INDEX(J$1:J3377,SUMPRODUCT(MAX(ROW(E$1:E3377)*(E3378=E$1:E3377)))))</f>
        <v> </v>
      </c>
      <c r="L3378" s="27"/>
    </row>
    <row r="3379" spans="1:12">
      <c r="A3379" s="20"/>
    </row>
    <row r="3380" spans="1:12">
      <c r="A3380" s="20" t="s">
        <v>2303</v>
      </c>
    </row>
    <row r="3381" spans="1:12">
      <c r="A3381" s="20" t="s">
        <v>1348</v>
      </c>
      <c r="B3381" s="21" t="s">
        <v>975</v>
      </c>
      <c r="C3381" s="21" t="s">
        <v>971</v>
      </c>
      <c r="D3381" s="21" t="s">
        <v>972</v>
      </c>
      <c r="E3381" s="22">
        <f>IF(D3381="?OLD","!!!","")</f>
        <v/>
      </c>
      <c r="F3381" s="23" t="str">
        <f>IF(OR(E3381="",E3381="!!!"),"",IF(NOT(ISNA(VLOOKUP(E3381,E$1:E3380,1,FALSE()))),"OLD",IF(AND(E3381&lt;&gt;"",E3381&lt;&gt;"!!!"),"NEW","")))</f>
        <v> </v>
      </c>
      <c r="G3381" s="24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5" t="str">
        <f>IF(J3381&lt;&gt;1,"",IF(I3381="SBJ","CB","?"))</f>
        <v> </v>
      </c>
      <c r="I3381" s="26" t="str">
        <f>IF(OR(E3381="",E3381="!!!",F3381="NEW"),"",INDEX(B3380:B$2,-1+SUMPRODUCT(MAX(ROW(E3380:E$2)*(E3381=E3380:E$2)))))</f>
        <v> </v>
      </c>
      <c r="J3381" s="26" t="str">
        <f>IF(OR(E3381="",E3381="!!!",F3381="NEW"),"",COUNTBLANK(OFFSET(A$1,,,SUMPRODUCT(MAX(ROW(E$2:E3381)*(E3381=E$2:E3381)))))-COUNTBLANK(OFFSET(A$1,,,SUMPRODUCT(MAX(ROW(E$1:E3380)*(E2=E$1:E3380))))))</f>
        <v> </v>
      </c>
      <c r="K3381" s="26" t="str">
        <f>IF(OR(E3381="",E3381="!!!",F3381="NEW"),"",INDEX(J$1:J3380,SUMPRODUCT(MAX(ROW(E$1:E3380)*(E3381=E$1:E3380)))))</f>
        <v> </v>
      </c>
      <c r="L3381" s="27"/>
    </row>
    <row r="3382" spans="1:12">
      <c r="A3382" s="20" t="s">
        <v>1094</v>
      </c>
      <c r="E3382" s="22">
        <f>IF(D3382="?OLD","!!!","")</f>
        <v/>
      </c>
      <c r="F3382" s="23" t="str">
        <f>IF(OR(E3382="",E3382="!!!"),"",IF(NOT(ISNA(VLOOKUP(E3382,E$1:E3381,1,FALSE()))),"OLD",IF(AND(E3382&lt;&gt;"",E3382&lt;&gt;"!!!"),"NEW","")))</f>
        <v> </v>
      </c>
      <c r="G3382" s="24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5" t="str">
        <f>IF(J3382&lt;&gt;1,"",IF(I3382="SBJ","CB","?"))</f>
        <v> </v>
      </c>
      <c r="I3382" s="26" t="str">
        <f>IF(OR(E3382="",E3382="!!!",F3382="NEW"),"",INDEX(B3381:B$2,-1+SUMPRODUCT(MAX(ROW(E3381:E$2)*(E3382=E3381:E$2)))))</f>
        <v> </v>
      </c>
      <c r="J3382" s="26" t="str">
        <f>IF(OR(E3382="",E3382="!!!",F3382="NEW"),"",COUNTBLANK(OFFSET(A$1,,,SUMPRODUCT(MAX(ROW(E$2:E3382)*(E3382=E$2:E3382)))))-COUNTBLANK(OFFSET(A$1,,,SUMPRODUCT(MAX(ROW(E$1:E3381)*(E2=E$1:E3381))))))</f>
        <v> </v>
      </c>
      <c r="K3382" s="26" t="str">
        <f>IF(OR(E3382="",E3382="!!!",F3382="NEW"),"",INDEX(J$1:J3381,SUMPRODUCT(MAX(ROW(E$1:E3381)*(E3382=E$1:E3381)))))</f>
        <v> </v>
      </c>
      <c r="L3382" s="27"/>
    </row>
    <row r="3383" spans="1:12">
      <c r="A3383" s="20" t="s">
        <v>1257</v>
      </c>
      <c r="E3383" s="22">
        <f>IF(D3383="?OLD","!!!","")</f>
        <v/>
      </c>
      <c r="F3383" s="23" t="str">
        <f>IF(OR(E3383="",E3383="!!!"),"",IF(NOT(ISNA(VLOOKUP(E3383,E$1:E3382,1,FALSE()))),"OLD",IF(AND(E3383&lt;&gt;"",E3383&lt;&gt;"!!!"),"NEW","")))</f>
        <v> </v>
      </c>
      <c r="G3383" s="24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5" t="str">
        <f>IF(J3383&lt;&gt;1,"",IF(I3383="SBJ","CB","?"))</f>
        <v> </v>
      </c>
      <c r="I3383" s="26" t="str">
        <f>IF(OR(E3383="",E3383="!!!",F3383="NEW"),"",INDEX(B3382:B$2,-1+SUMPRODUCT(MAX(ROW(E3382:E$2)*(E3383=E3382:E$2)))))</f>
        <v> </v>
      </c>
      <c r="J3383" s="26" t="str">
        <f>IF(OR(E3383="",E3383="!!!",F3383="NEW"),"",COUNTBLANK(OFFSET(A$1,,,SUMPRODUCT(MAX(ROW(E$2:E3383)*(E3383=E$2:E3383)))))-COUNTBLANK(OFFSET(A$1,,,SUMPRODUCT(MAX(ROW(E$1:E3382)*(E2=E$1:E3382))))))</f>
        <v> </v>
      </c>
      <c r="K3383" s="26" t="str">
        <f>IF(OR(E3383="",E3383="!!!",F3383="NEW"),"",INDEX(J$1:J3382,SUMPRODUCT(MAX(ROW(E$1:E3382)*(E3383=E$1:E3382)))))</f>
        <v> </v>
      </c>
      <c r="L3383" s="27"/>
    </row>
    <row r="3384" spans="1:12">
      <c r="A3384" s="20" t="s">
        <v>2304</v>
      </c>
      <c r="E3384" s="22">
        <f>IF(D3384="?OLD","!!!","")</f>
        <v/>
      </c>
      <c r="F3384" s="23" t="str">
        <f>IF(OR(E3384="",E3384="!!!"),"",IF(NOT(ISNA(VLOOKUP(E3384,E$1:E3383,1,FALSE()))),"OLD",IF(AND(E3384&lt;&gt;"",E3384&lt;&gt;"!!!"),"NEW","")))</f>
        <v> </v>
      </c>
      <c r="G3384" s="24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5" t="str">
        <f>IF(J3384&lt;&gt;1,"",IF(I3384="SBJ","CB","?"))</f>
        <v> </v>
      </c>
      <c r="I3384" s="26" t="str">
        <f>IF(OR(E3384="",E3384="!!!",F3384="NEW"),"",INDEX(B3383:B$2,-1+SUMPRODUCT(MAX(ROW(E3383:E$2)*(E3384=E3383:E$2)))))</f>
        <v> </v>
      </c>
      <c r="J3384" s="26" t="str">
        <f>IF(OR(E3384="",E3384="!!!",F3384="NEW"),"",COUNTBLANK(OFFSET(A$1,,,SUMPRODUCT(MAX(ROW(E$2:E3384)*(E3384=E$2:E3384)))))-COUNTBLANK(OFFSET(A$1,,,SUMPRODUCT(MAX(ROW(E$1:E3383)*(E2=E$1:E3383))))))</f>
        <v> </v>
      </c>
      <c r="K3384" s="26" t="str">
        <f>IF(OR(E3384="",E3384="!!!",F3384="NEW"),"",INDEX(J$1:J3383,SUMPRODUCT(MAX(ROW(E$1:E3383)*(E3384=E$1:E3383)))))</f>
        <v> </v>
      </c>
      <c r="L3384" s="27"/>
    </row>
    <row r="3385" spans="1:12">
      <c r="A3385" s="20" t="s">
        <v>2305</v>
      </c>
      <c r="E3385" s="22">
        <f>IF(D3385="?OLD","!!!","")</f>
        <v/>
      </c>
      <c r="F3385" s="23" t="str">
        <f>IF(OR(E3385="",E3385="!!!"),"",IF(NOT(ISNA(VLOOKUP(E3385,E$1:E3384,1,FALSE()))),"OLD",IF(AND(E3385&lt;&gt;"",E3385&lt;&gt;"!!!"),"NEW","")))</f>
        <v> </v>
      </c>
      <c r="G3385" s="24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5" t="str">
        <f>IF(J3385&lt;&gt;1,"",IF(I3385="SBJ","CB","?"))</f>
        <v> </v>
      </c>
      <c r="I3385" s="26" t="str">
        <f>IF(OR(E3385="",E3385="!!!",F3385="NEW"),"",INDEX(B3384:B$2,-1+SUMPRODUCT(MAX(ROW(E3384:E$2)*(E3385=E3384:E$2)))))</f>
        <v> </v>
      </c>
      <c r="J3385" s="26" t="str">
        <f>IF(OR(E3385="",E3385="!!!",F3385="NEW"),"",COUNTBLANK(OFFSET(A$1,,,SUMPRODUCT(MAX(ROW(E$2:E3385)*(E3385=E$2:E3385)))))-COUNTBLANK(OFFSET(A$1,,,SUMPRODUCT(MAX(ROW(E$1:E3384)*(E2=E$1:E3384))))))</f>
        <v> </v>
      </c>
      <c r="K3385" s="26" t="str">
        <f>IF(OR(E3385="",E3385="!!!",F3385="NEW"),"",INDEX(J$1:J3384,SUMPRODUCT(MAX(ROW(E$1:E3384)*(E3385=E$1:E3384)))))</f>
        <v> </v>
      </c>
      <c r="L3385" s="27"/>
    </row>
    <row r="3386" spans="1:12">
      <c r="A3386" s="20" t="s">
        <v>2306</v>
      </c>
      <c r="B3386" s="21" t="s">
        <v>1087</v>
      </c>
      <c r="E3386" s="22">
        <f>IF(D3386="?OLD","!!!","")</f>
        <v/>
      </c>
      <c r="F3386" s="23" t="str">
        <f>IF(OR(E3386="",E3386="!!!"),"",IF(NOT(ISNA(VLOOKUP(E3386,E$1:E3385,1,FALSE()))),"OLD",IF(AND(E3386&lt;&gt;"",E3386&lt;&gt;"!!!"),"NEW","")))</f>
        <v> </v>
      </c>
      <c r="G3386" s="24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5" t="str">
        <f>IF(J3386&lt;&gt;1,"",IF(I3386="SBJ","CB","?"))</f>
        <v> </v>
      </c>
      <c r="I3386" s="26" t="str">
        <f>IF(OR(E3386="",E3386="!!!",F3386="NEW"),"",INDEX(B3385:B$2,-1+SUMPRODUCT(MAX(ROW(E3385:E$2)*(E3386=E3385:E$2)))))</f>
        <v> </v>
      </c>
      <c r="J3386" s="26" t="str">
        <f>IF(OR(E3386="",E3386="!!!",F3386="NEW"),"",COUNTBLANK(OFFSET(A$1,,,SUMPRODUCT(MAX(ROW(E$2:E3386)*(E3386=E$2:E3386)))))-COUNTBLANK(OFFSET(A$1,,,SUMPRODUCT(MAX(ROW(E$1:E3385)*(E2=E$1:E3385))))))</f>
        <v> </v>
      </c>
      <c r="K3386" s="26" t="str">
        <f>IF(OR(E3386="",E3386="!!!",F3386="NEW"),"",INDEX(J$1:J3385,SUMPRODUCT(MAX(ROW(E$1:E3385)*(E3386=E$1:E3385)))))</f>
        <v> </v>
      </c>
      <c r="L3386" s="27"/>
    </row>
    <row r="3387" spans="1:12">
      <c r="A3387" s="20" t="s">
        <v>1013</v>
      </c>
      <c r="E3387" s="22">
        <f>IF(D3387="?OLD","!!!","")</f>
        <v/>
      </c>
      <c r="F3387" s="23" t="str">
        <f>IF(OR(E3387="",E3387="!!!"),"",IF(NOT(ISNA(VLOOKUP(E3387,E$1:E3386,1,FALSE()))),"OLD",IF(AND(E3387&lt;&gt;"",E3387&lt;&gt;"!!!"),"NEW","")))</f>
        <v> </v>
      </c>
      <c r="G3387" s="24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5" t="str">
        <f>IF(J3387&lt;&gt;1,"",IF(I3387="SBJ","CB","?"))</f>
        <v> </v>
      </c>
      <c r="I3387" s="26" t="str">
        <f>IF(OR(E3387="",E3387="!!!",F3387="NEW"),"",INDEX(B3386:B$2,-1+SUMPRODUCT(MAX(ROW(E3386:E$2)*(E3387=E3386:E$2)))))</f>
        <v> </v>
      </c>
      <c r="J3387" s="26" t="str">
        <f>IF(OR(E3387="",E3387="!!!",F3387="NEW"),"",COUNTBLANK(OFFSET(A$1,,,SUMPRODUCT(MAX(ROW(E$2:E3387)*(E3387=E$2:E3387)))))-COUNTBLANK(OFFSET(A$1,,,SUMPRODUCT(MAX(ROW(E$1:E3386)*(E2=E$1:E3386))))))</f>
        <v> </v>
      </c>
      <c r="K3387" s="26" t="str">
        <f>IF(OR(E3387="",E3387="!!!",F3387="NEW"),"",INDEX(J$1:J3386,SUMPRODUCT(MAX(ROW(E$1:E3386)*(E3387=E$1:E3386)))))</f>
        <v> </v>
      </c>
      <c r="L3387" s="27"/>
    </row>
    <row r="3388" spans="1:12">
      <c r="A3388" s="20" t="s">
        <v>1491</v>
      </c>
      <c r="E3388" s="22">
        <f>IF(D3388="?OLD","!!!","")</f>
        <v/>
      </c>
      <c r="F3388" s="23" t="str">
        <f>IF(OR(E3388="",E3388="!!!"),"",IF(NOT(ISNA(VLOOKUP(E3388,E$1:E3387,1,FALSE()))),"OLD",IF(AND(E3388&lt;&gt;"",E3388&lt;&gt;"!!!"),"NEW","")))</f>
        <v> </v>
      </c>
      <c r="G3388" s="24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5" t="str">
        <f>IF(J3388&lt;&gt;1,"",IF(I3388="SBJ","CB","?"))</f>
        <v> </v>
      </c>
      <c r="I3388" s="26" t="str">
        <f>IF(OR(E3388="",E3388="!!!",F3388="NEW"),"",INDEX(B3387:B$2,-1+SUMPRODUCT(MAX(ROW(E3387:E$2)*(E3388=E3387:E$2)))))</f>
        <v> </v>
      </c>
      <c r="J3388" s="26" t="str">
        <f>IF(OR(E3388="",E3388="!!!",F3388="NEW"),"",COUNTBLANK(OFFSET(A$1,,,SUMPRODUCT(MAX(ROW(E$2:E3388)*(E3388=E$2:E3388)))))-COUNTBLANK(OFFSET(A$1,,,SUMPRODUCT(MAX(ROW(E$1:E3387)*(E2=E$1:E3387))))))</f>
        <v> </v>
      </c>
      <c r="K3388" s="26" t="str">
        <f>IF(OR(E3388="",E3388="!!!",F3388="NEW"),"",INDEX(J$1:J3387,SUMPRODUCT(MAX(ROW(E$1:E3387)*(E3388=E$1:E3387)))))</f>
        <v> </v>
      </c>
      <c r="L3388" s="27"/>
    </row>
    <row r="3389" spans="1:12">
      <c r="A3389" s="20" t="s">
        <v>2307</v>
      </c>
      <c r="E3389" s="22">
        <f>IF(D3389="?OLD","!!!","")</f>
        <v/>
      </c>
      <c r="F3389" s="23" t="str">
        <f>IF(OR(E3389="",E3389="!!!"),"",IF(NOT(ISNA(VLOOKUP(E3389,E$1:E3388,1,FALSE()))),"OLD",IF(AND(E3389&lt;&gt;"",E3389&lt;&gt;"!!!"),"NEW","")))</f>
        <v> </v>
      </c>
      <c r="G3389" s="24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5" t="str">
        <f>IF(J3389&lt;&gt;1,"",IF(I3389="SBJ","CB","?"))</f>
        <v> </v>
      </c>
      <c r="I3389" s="26" t="str">
        <f>IF(OR(E3389="",E3389="!!!",F3389="NEW"),"",INDEX(B3388:B$2,-1+SUMPRODUCT(MAX(ROW(E3388:E$2)*(E3389=E3388:E$2)))))</f>
        <v> </v>
      </c>
      <c r="J3389" s="26" t="str">
        <f>IF(OR(E3389="",E3389="!!!",F3389="NEW"),"",COUNTBLANK(OFFSET(A$1,,,SUMPRODUCT(MAX(ROW(E$2:E3389)*(E3389=E$2:E3389)))))-COUNTBLANK(OFFSET(A$1,,,SUMPRODUCT(MAX(ROW(E$1:E3388)*(E2=E$1:E3388))))))</f>
        <v> </v>
      </c>
      <c r="K3389" s="26" t="str">
        <f>IF(OR(E3389="",E3389="!!!",F3389="NEW"),"",INDEX(J$1:J3388,SUMPRODUCT(MAX(ROW(E$1:E3388)*(E3389=E$1:E3388)))))</f>
        <v> </v>
      </c>
      <c r="L3389" s="27"/>
    </row>
    <row r="3390" spans="1:12">
      <c r="A3390" s="20" t="s">
        <v>1013</v>
      </c>
      <c r="E3390" s="22">
        <f>IF(D3390="?OLD","!!!","")</f>
        <v/>
      </c>
      <c r="F3390" s="23" t="str">
        <f>IF(OR(E3390="",E3390="!!!"),"",IF(NOT(ISNA(VLOOKUP(E3390,E$1:E3389,1,FALSE()))),"OLD",IF(AND(E3390&lt;&gt;"",E3390&lt;&gt;"!!!"),"NEW","")))</f>
        <v> </v>
      </c>
      <c r="G3390" s="24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5" t="str">
        <f>IF(J3390&lt;&gt;1,"",IF(I3390="SBJ","CB","?"))</f>
        <v> </v>
      </c>
      <c r="I3390" s="26" t="str">
        <f>IF(OR(E3390="",E3390="!!!",F3390="NEW"),"",INDEX(B3389:B$2,-1+SUMPRODUCT(MAX(ROW(E3389:E$2)*(E3390=E3389:E$2)))))</f>
        <v> </v>
      </c>
      <c r="J3390" s="26" t="str">
        <f>IF(OR(E3390="",E3390="!!!",F3390="NEW"),"",COUNTBLANK(OFFSET(A$1,,,SUMPRODUCT(MAX(ROW(E$2:E3390)*(E3390=E$2:E3390)))))-COUNTBLANK(OFFSET(A$1,,,SUMPRODUCT(MAX(ROW(E$1:E3389)*(E2=E$1:E3389))))))</f>
        <v> </v>
      </c>
      <c r="K3390" s="26" t="str">
        <f>IF(OR(E3390="",E3390="!!!",F3390="NEW"),"",INDEX(J$1:J3389,SUMPRODUCT(MAX(ROW(E$1:E3389)*(E3390=E$1:E3389)))))</f>
        <v> </v>
      </c>
      <c r="L3390" s="27"/>
    </row>
    <row r="3391" spans="1:12">
      <c r="A3391" s="20" t="s">
        <v>400</v>
      </c>
      <c r="B3391" s="21" t="s">
        <v>1101</v>
      </c>
      <c r="C3391" s="21" t="s">
        <v>971</v>
      </c>
      <c r="D3391" s="21" t="s">
        <v>972</v>
      </c>
      <c r="E3391" s="22">
        <f>IF(D3391="?OLD","!!!","")</f>
        <v/>
      </c>
      <c r="F3391" s="23" t="str">
        <f>IF(OR(E3391="",E3391="!!!"),"",IF(NOT(ISNA(VLOOKUP(E3391,E$1:E3390,1,FALSE()))),"OLD",IF(AND(E3391&lt;&gt;"",E3391&lt;&gt;"!!!"),"NEW","")))</f>
        <v> </v>
      </c>
      <c r="G3391" s="24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5" t="str">
        <f>IF(J3391&lt;&gt;1,"",IF(I3391="SBJ","CB","?"))</f>
        <v> </v>
      </c>
      <c r="I3391" s="26" t="str">
        <f>IF(OR(E3391="",E3391="!!!",F3391="NEW"),"",INDEX(B3390:B$2,-1+SUMPRODUCT(MAX(ROW(E3390:E$2)*(E3391=E3390:E$2)))))</f>
        <v> </v>
      </c>
      <c r="J3391" s="26" t="str">
        <f>IF(OR(E3391="",E3391="!!!",F3391="NEW"),"",COUNTBLANK(OFFSET(A$1,,,SUMPRODUCT(MAX(ROW(E$2:E3391)*(E3391=E$2:E3391)))))-COUNTBLANK(OFFSET(A$1,,,SUMPRODUCT(MAX(ROW(E$1:E3390)*(E2=E$1:E3390))))))</f>
        <v> </v>
      </c>
      <c r="K3391" s="26" t="str">
        <f>IF(OR(E3391="",E3391="!!!",F3391="NEW"),"",INDEX(J$1:J3390,SUMPRODUCT(MAX(ROW(E$1:E3390)*(E3391=E$1:E3390)))))</f>
        <v> </v>
      </c>
      <c r="L3391" s="27"/>
    </row>
    <row r="3392" spans="1:12">
      <c r="A3392" s="20" t="s">
        <v>1094</v>
      </c>
      <c r="E3392" s="22">
        <f>IF(D3392="?OLD","!!!","")</f>
        <v/>
      </c>
      <c r="F3392" s="23" t="str">
        <f>IF(OR(E3392="",E3392="!!!"),"",IF(NOT(ISNA(VLOOKUP(E3392,E$1:E3391,1,FALSE()))),"OLD",IF(AND(E3392&lt;&gt;"",E3392&lt;&gt;"!!!"),"NEW","")))</f>
        <v> </v>
      </c>
      <c r="G3392" s="24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5" t="str">
        <f>IF(J3392&lt;&gt;1,"",IF(I3392="SBJ","CB","?"))</f>
        <v> </v>
      </c>
      <c r="I3392" s="26" t="str">
        <f>IF(OR(E3392="",E3392="!!!",F3392="NEW"),"",INDEX(B3391:B$2,-1+SUMPRODUCT(MAX(ROW(E3391:E$2)*(E3392=E3391:E$2)))))</f>
        <v> </v>
      </c>
      <c r="J3392" s="26" t="str">
        <f>IF(OR(E3392="",E3392="!!!",F3392="NEW"),"",COUNTBLANK(OFFSET(A$1,,,SUMPRODUCT(MAX(ROW(E$2:E3392)*(E3392=E$2:E3392)))))-COUNTBLANK(OFFSET(A$1,,,SUMPRODUCT(MAX(ROW(E$1:E3391)*(E2=E$1:E3391))))))</f>
        <v> </v>
      </c>
      <c r="K3392" s="26" t="str">
        <f>IF(OR(E3392="",E3392="!!!",F3392="NEW"),"",INDEX(J$1:J3391,SUMPRODUCT(MAX(ROW(E$1:E3391)*(E3392=E$1:E3391)))))</f>
        <v> </v>
      </c>
      <c r="L3392" s="27"/>
    </row>
    <row r="3393" spans="1:12">
      <c r="A3393" s="20" t="s">
        <v>2308</v>
      </c>
      <c r="E3393" s="22">
        <f>IF(D3393="?OLD","!!!","")</f>
        <v/>
      </c>
      <c r="F3393" s="23" t="str">
        <f>IF(OR(E3393="",E3393="!!!"),"",IF(NOT(ISNA(VLOOKUP(E3393,E$1:E3392,1,FALSE()))),"OLD",IF(AND(E3393&lt;&gt;"",E3393&lt;&gt;"!!!"),"NEW","")))</f>
        <v> </v>
      </c>
      <c r="G3393" s="24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5" t="str">
        <f>IF(J3393&lt;&gt;1,"",IF(I3393="SBJ","CB","?"))</f>
        <v> </v>
      </c>
      <c r="I3393" s="26" t="str">
        <f>IF(OR(E3393="",E3393="!!!",F3393="NEW"),"",INDEX(B3392:B$2,-1+SUMPRODUCT(MAX(ROW(E3392:E$2)*(E3393=E3392:E$2)))))</f>
        <v> </v>
      </c>
      <c r="J3393" s="26" t="str">
        <f>IF(OR(E3393="",E3393="!!!",F3393="NEW"),"",COUNTBLANK(OFFSET(A$1,,,SUMPRODUCT(MAX(ROW(E$2:E3393)*(E3393=E$2:E3393)))))-COUNTBLANK(OFFSET(A$1,,,SUMPRODUCT(MAX(ROW(E$1:E3392)*(E2=E$1:E3392))))))</f>
        <v> </v>
      </c>
      <c r="K3393" s="26" t="str">
        <f>IF(OR(E3393="",E3393="!!!",F3393="NEW"),"",INDEX(J$1:J3392,SUMPRODUCT(MAX(ROW(E$1:E3392)*(E3393=E$1:E3392)))))</f>
        <v> </v>
      </c>
      <c r="L3393" s="27"/>
    </row>
    <row r="3394" spans="1:12">
      <c r="A3394" s="20" t="s">
        <v>2309</v>
      </c>
      <c r="B3394" s="21" t="s">
        <v>1003</v>
      </c>
      <c r="E3394" s="22">
        <f>IF(D3394="?OLD","!!!","")</f>
        <v/>
      </c>
      <c r="F3394" s="23" t="str">
        <f>IF(OR(E3394="",E3394="!!!"),"",IF(NOT(ISNA(VLOOKUP(E3394,E$1:E3393,1,FALSE()))),"OLD",IF(AND(E3394&lt;&gt;"",E3394&lt;&gt;"!!!"),"NEW","")))</f>
        <v> </v>
      </c>
      <c r="G3394" s="24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5" t="str">
        <f>IF(J3394&lt;&gt;1,"",IF(I3394="SBJ","CB","?"))</f>
        <v> </v>
      </c>
      <c r="I3394" s="26" t="str">
        <f>IF(OR(E3394="",E3394="!!!",F3394="NEW"),"",INDEX(B3393:B$2,-1+SUMPRODUCT(MAX(ROW(E3393:E$2)*(E3394=E3393:E$2)))))</f>
        <v> </v>
      </c>
      <c r="J3394" s="26" t="str">
        <f>IF(OR(E3394="",E3394="!!!",F3394="NEW"),"",COUNTBLANK(OFFSET(A$1,,,SUMPRODUCT(MAX(ROW(E$2:E3394)*(E3394=E$2:E3394)))))-COUNTBLANK(OFFSET(A$1,,,SUMPRODUCT(MAX(ROW(E$1:E3393)*(E2=E$1:E3393))))))</f>
        <v> </v>
      </c>
      <c r="K3394" s="26" t="str">
        <f>IF(OR(E3394="",E3394="!!!",F3394="NEW"),"",INDEX(J$1:J3393,SUMPRODUCT(MAX(ROW(E$1:E3393)*(E3394=E$1:E3393)))))</f>
        <v> </v>
      </c>
      <c r="L3394" s="27"/>
    </row>
    <row r="3395" spans="1:12">
      <c r="A3395" s="20" t="s">
        <v>2310</v>
      </c>
      <c r="B3395" s="21" t="s">
        <v>1003</v>
      </c>
      <c r="E3395" s="22">
        <f>IF(D3395="?OLD","!!!","")</f>
        <v/>
      </c>
      <c r="F3395" s="23" t="str">
        <f>IF(OR(E3395="",E3395="!!!"),"",IF(NOT(ISNA(VLOOKUP(E3395,E$1:E3394,1,FALSE()))),"OLD",IF(AND(E3395&lt;&gt;"",E3395&lt;&gt;"!!!"),"NEW","")))</f>
        <v> </v>
      </c>
      <c r="G3395" s="24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5" t="str">
        <f>IF(J3395&lt;&gt;1,"",IF(I3395="SBJ","CB","?"))</f>
        <v> </v>
      </c>
      <c r="I3395" s="26" t="str">
        <f>IF(OR(E3395="",E3395="!!!",F3395="NEW"),"",INDEX(B3394:B$2,-1+SUMPRODUCT(MAX(ROW(E3394:E$2)*(E3395=E3394:E$2)))))</f>
        <v> </v>
      </c>
      <c r="J3395" s="26" t="str">
        <f>IF(OR(E3395="",E3395="!!!",F3395="NEW"),"",COUNTBLANK(OFFSET(A$1,,,SUMPRODUCT(MAX(ROW(E$2:E3395)*(E3395=E$2:E3395)))))-COUNTBLANK(OFFSET(A$1,,,SUMPRODUCT(MAX(ROW(E$1:E3394)*(E2=E$1:E3394))))))</f>
        <v> </v>
      </c>
      <c r="K3395" s="26" t="str">
        <f>IF(OR(E3395="",E3395="!!!",F3395="NEW"),"",INDEX(J$1:J3394,SUMPRODUCT(MAX(ROW(E$1:E3394)*(E3395=E$1:E3394)))))</f>
        <v> </v>
      </c>
      <c r="L3395" s="27"/>
    </row>
    <row r="3396" spans="1:12">
      <c r="A3396" s="20" t="s">
        <v>1001</v>
      </c>
      <c r="E3396" s="22">
        <f>IF(D3396="?OLD","!!!","")</f>
        <v/>
      </c>
      <c r="F3396" s="23" t="str">
        <f>IF(OR(E3396="",E3396="!!!"),"",IF(NOT(ISNA(VLOOKUP(E3396,E$1:E3395,1,FALSE()))),"OLD",IF(AND(E3396&lt;&gt;"",E3396&lt;&gt;"!!!"),"NEW","")))</f>
        <v> </v>
      </c>
      <c r="G3396" s="24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5" t="str">
        <f>IF(J3396&lt;&gt;1,"",IF(I3396="SBJ","CB","?"))</f>
        <v> </v>
      </c>
      <c r="I3396" s="26" t="str">
        <f>IF(OR(E3396="",E3396="!!!",F3396="NEW"),"",INDEX(B3395:B$2,-1+SUMPRODUCT(MAX(ROW(E3395:E$2)*(E3396=E3395:E$2)))))</f>
        <v> </v>
      </c>
      <c r="J3396" s="26" t="str">
        <f>IF(OR(E3396="",E3396="!!!",F3396="NEW"),"",COUNTBLANK(OFFSET(A$1,,,SUMPRODUCT(MAX(ROW(E$2:E3396)*(E3396=E$2:E3396)))))-COUNTBLANK(OFFSET(A$1,,,SUMPRODUCT(MAX(ROW(E$1:E3395)*(E2=E$1:E3395))))))</f>
        <v> </v>
      </c>
      <c r="K3396" s="26" t="str">
        <f>IF(OR(E3396="",E3396="!!!",F3396="NEW"),"",INDEX(J$1:J3395,SUMPRODUCT(MAX(ROW(E$1:E3395)*(E3396=E$1:E3395)))))</f>
        <v> </v>
      </c>
      <c r="L3396" s="27"/>
    </row>
    <row r="3397" spans="1:12">
      <c r="A3397" s="20" t="s">
        <v>2311</v>
      </c>
      <c r="E3397" s="22">
        <f>IF(D3397="?OLD","!!!","")</f>
        <v/>
      </c>
      <c r="F3397" s="23" t="str">
        <f>IF(OR(E3397="",E3397="!!!"),"",IF(NOT(ISNA(VLOOKUP(E3397,E$1:E3396,1,FALSE()))),"OLD",IF(AND(E3397&lt;&gt;"",E3397&lt;&gt;"!!!"),"NEW","")))</f>
        <v> </v>
      </c>
      <c r="G3397" s="24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5" t="str">
        <f>IF(J3397&lt;&gt;1,"",IF(I3397="SBJ","CB","?"))</f>
        <v> </v>
      </c>
      <c r="I3397" s="26" t="str">
        <f>IF(OR(E3397="",E3397="!!!",F3397="NEW"),"",INDEX(B3396:B$2,-1+SUMPRODUCT(MAX(ROW(E3396:E$2)*(E3397=E3396:E$2)))))</f>
        <v> </v>
      </c>
      <c r="J3397" s="26" t="str">
        <f>IF(OR(E3397="",E3397="!!!",F3397="NEW"),"",COUNTBLANK(OFFSET(A$1,,,SUMPRODUCT(MAX(ROW(E$2:E3397)*(E3397=E$2:E3397)))))-COUNTBLANK(OFFSET(A$1,,,SUMPRODUCT(MAX(ROW(E$1:E3396)*(E2=E$1:E3396))))))</f>
        <v> </v>
      </c>
      <c r="K3397" s="26" t="str">
        <f>IF(OR(E3397="",E3397="!!!",F3397="NEW"),"",INDEX(J$1:J3396,SUMPRODUCT(MAX(ROW(E$1:E3396)*(E3397=E$1:E3396)))))</f>
        <v> </v>
      </c>
      <c r="L3397" s="27"/>
    </row>
    <row r="3398" spans="1:12">
      <c r="A3398" s="20" t="s">
        <v>2306</v>
      </c>
      <c r="B3398" s="21" t="s">
        <v>1338</v>
      </c>
      <c r="C3398" s="21" t="s">
        <v>1100</v>
      </c>
      <c r="D3398" s="21" t="s">
        <v>972</v>
      </c>
      <c r="E3398" s="22">
        <f>IF(D3398="?OLD","!!!","")</f>
        <v/>
      </c>
      <c r="F3398" s="23" t="str">
        <f>IF(OR(E3398="",E3398="!!!"),"",IF(NOT(ISNA(VLOOKUP(E3398,E$1:E3397,1,FALSE()))),"OLD",IF(AND(E3398&lt;&gt;"",E3398&lt;&gt;"!!!"),"NEW","")))</f>
        <v> </v>
      </c>
      <c r="G3398" s="24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5" t="str">
        <f>IF(J3398&lt;&gt;1,"",IF(I3398="SBJ","CB","?"))</f>
        <v> </v>
      </c>
      <c r="I3398" s="26" t="str">
        <f>IF(OR(E3398="",E3398="!!!",F3398="NEW"),"",INDEX(B3397:B$2,-1+SUMPRODUCT(MAX(ROW(E3397:E$2)*(E3398=E3397:E$2)))))</f>
        <v> </v>
      </c>
      <c r="J3398" s="26" t="str">
        <f>IF(OR(E3398="",E3398="!!!",F3398="NEW"),"",COUNTBLANK(OFFSET(A$1,,,SUMPRODUCT(MAX(ROW(E$2:E3398)*(E3398=E$2:E3398)))))-COUNTBLANK(OFFSET(A$1,,,SUMPRODUCT(MAX(ROW(E$1:E3397)*(E2=E$1:E3397))))))</f>
        <v> </v>
      </c>
      <c r="K3398" s="26" t="str">
        <f>IF(OR(E3398="",E3398="!!!",F3398="NEW"),"",INDEX(J$1:J3397,SUMPRODUCT(MAX(ROW(E$1:E3397)*(E3398=E$1:E3397)))))</f>
        <v> </v>
      </c>
      <c r="L3398" s="27"/>
    </row>
    <row r="3399" spans="1:12">
      <c r="A3399" s="20" t="s">
        <v>2312</v>
      </c>
      <c r="E3399" s="22">
        <f>IF(D3399="?OLD","!!!","")</f>
        <v/>
      </c>
      <c r="F3399" s="23" t="str">
        <f>IF(OR(E3399="",E3399="!!!"),"",IF(NOT(ISNA(VLOOKUP(E3399,E$1:E3398,1,FALSE()))),"OLD",IF(AND(E3399&lt;&gt;"",E3399&lt;&gt;"!!!"),"NEW","")))</f>
        <v> </v>
      </c>
      <c r="G3399" s="24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5" t="str">
        <f>IF(J3399&lt;&gt;1,"",IF(I3399="SBJ","CB","?"))</f>
        <v> </v>
      </c>
      <c r="I3399" s="26" t="str">
        <f>IF(OR(E3399="",E3399="!!!",F3399="NEW"),"",INDEX(B3398:B$2,-1+SUMPRODUCT(MAX(ROW(E3398:E$2)*(E3399=E3398:E$2)))))</f>
        <v> </v>
      </c>
      <c r="J3399" s="26" t="str">
        <f>IF(OR(E3399="",E3399="!!!",F3399="NEW"),"",COUNTBLANK(OFFSET(A$1,,,SUMPRODUCT(MAX(ROW(E$2:E3399)*(E3399=E$2:E3399)))))-COUNTBLANK(OFFSET(A$1,,,SUMPRODUCT(MAX(ROW(E$1:E3398)*(E2=E$1:E3398))))))</f>
        <v> </v>
      </c>
      <c r="K3399" s="26" t="str">
        <f>IF(OR(E3399="",E3399="!!!",F3399="NEW"),"",INDEX(J$1:J3398,SUMPRODUCT(MAX(ROW(E$1:E3398)*(E3399=E$1:E3398)))))</f>
        <v> </v>
      </c>
      <c r="L3399" s="27"/>
    </row>
    <row r="3400" spans="1:12">
      <c r="A3400" s="20" t="s">
        <v>979</v>
      </c>
      <c r="E3400" s="22">
        <f>IF(D3400="?OLD","!!!","")</f>
        <v/>
      </c>
      <c r="F3400" s="23" t="str">
        <f>IF(OR(E3400="",E3400="!!!"),"",IF(NOT(ISNA(VLOOKUP(E3400,E$1:E3399,1,FALSE()))),"OLD",IF(AND(E3400&lt;&gt;"",E3400&lt;&gt;"!!!"),"NEW","")))</f>
        <v> </v>
      </c>
      <c r="G3400" s="24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5" t="str">
        <f>IF(J3400&lt;&gt;1,"",IF(I3400="SBJ","CB","?"))</f>
        <v> </v>
      </c>
      <c r="I3400" s="26" t="str">
        <f>IF(OR(E3400="",E3400="!!!",F3400="NEW"),"",INDEX(B3399:B$2,-1+SUMPRODUCT(MAX(ROW(E3399:E$2)*(E3400=E3399:E$2)))))</f>
        <v> </v>
      </c>
      <c r="J3400" s="26" t="str">
        <f>IF(OR(E3400="",E3400="!!!",F3400="NEW"),"",COUNTBLANK(OFFSET(A$1,,,SUMPRODUCT(MAX(ROW(E$2:E3400)*(E3400=E$2:E3400)))))-COUNTBLANK(OFFSET(A$1,,,SUMPRODUCT(MAX(ROW(E$1:E3399)*(E2=E$1:E3399))))))</f>
        <v> </v>
      </c>
      <c r="K3400" s="26" t="str">
        <f>IF(OR(E3400="",E3400="!!!",F3400="NEW"),"",INDEX(J$1:J3399,SUMPRODUCT(MAX(ROW(E$1:E3399)*(E3400=E$1:E3399)))))</f>
        <v> </v>
      </c>
      <c r="L3400" s="27"/>
    </row>
    <row r="3401" spans="1:12">
      <c r="A3401" s="20"/>
    </row>
    <row r="3402" spans="1:12">
      <c r="A3402" s="20" t="s">
        <v>2313</v>
      </c>
    </row>
    <row r="3403" spans="1:12">
      <c r="A3403" s="20" t="s">
        <v>1348</v>
      </c>
      <c r="B3403" s="21" t="s">
        <v>975</v>
      </c>
      <c r="C3403" s="21" t="s">
        <v>971</v>
      </c>
      <c r="D3403" s="21" t="s">
        <v>972</v>
      </c>
      <c r="E3403" s="22">
        <f>IF(D3403="?OLD","!!!","")</f>
        <v/>
      </c>
      <c r="F3403" s="23" t="str">
        <f>IF(OR(E3403="",E3403="!!!"),"",IF(NOT(ISNA(VLOOKUP(E3403,E$1:E3402,1,FALSE()))),"OLD",IF(AND(E3403&lt;&gt;"",E3403&lt;&gt;"!!!"),"NEW","")))</f>
        <v> </v>
      </c>
      <c r="G3403" s="24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5" t="str">
        <f>IF(J3403&lt;&gt;1,"",IF(I3403="SBJ","CB","?"))</f>
        <v> </v>
      </c>
      <c r="I3403" s="26" t="str">
        <f>IF(OR(E3403="",E3403="!!!",F3403="NEW"),"",INDEX(B3402:B$2,-1+SUMPRODUCT(MAX(ROW(E3402:E$2)*(E3403=E3402:E$2)))))</f>
        <v> </v>
      </c>
      <c r="J3403" s="26" t="str">
        <f>IF(OR(E3403="",E3403="!!!",F3403="NEW"),"",COUNTBLANK(OFFSET(A$1,,,SUMPRODUCT(MAX(ROW(E$2:E3403)*(E3403=E$2:E3403)))))-COUNTBLANK(OFFSET(A$1,,,SUMPRODUCT(MAX(ROW(E$1:E3402)*(E2=E$1:E3402))))))</f>
        <v> </v>
      </c>
      <c r="K3403" s="26" t="str">
        <f>IF(OR(E3403="",E3403="!!!",F3403="NEW"),"",INDEX(J$1:J3402,SUMPRODUCT(MAX(ROW(E$1:E3402)*(E3403=E$1:E3402)))))</f>
        <v> </v>
      </c>
      <c r="L3403" s="27"/>
    </row>
    <row r="3404" spans="1:12">
      <c r="A3404" s="20" t="s">
        <v>1094</v>
      </c>
      <c r="E3404" s="22">
        <f>IF(D3404="?OLD","!!!","")</f>
        <v/>
      </c>
      <c r="F3404" s="23" t="str">
        <f>IF(OR(E3404="",E3404="!!!"),"",IF(NOT(ISNA(VLOOKUP(E3404,E$1:E3403,1,FALSE()))),"OLD",IF(AND(E3404&lt;&gt;"",E3404&lt;&gt;"!!!"),"NEW","")))</f>
        <v> </v>
      </c>
      <c r="G3404" s="24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5" t="str">
        <f>IF(J3404&lt;&gt;1,"",IF(I3404="SBJ","CB","?"))</f>
        <v> </v>
      </c>
      <c r="I3404" s="26" t="str">
        <f>IF(OR(E3404="",E3404="!!!",F3404="NEW"),"",INDEX(B3403:B$2,-1+SUMPRODUCT(MAX(ROW(E3403:E$2)*(E3404=E3403:E$2)))))</f>
        <v> </v>
      </c>
      <c r="J3404" s="26" t="str">
        <f>IF(OR(E3404="",E3404="!!!",F3404="NEW"),"",COUNTBLANK(OFFSET(A$1,,,SUMPRODUCT(MAX(ROW(E$2:E3404)*(E3404=E$2:E3404)))))-COUNTBLANK(OFFSET(A$1,,,SUMPRODUCT(MAX(ROW(E$1:E3403)*(E2=E$1:E3403))))))</f>
        <v> </v>
      </c>
      <c r="K3404" s="26" t="str">
        <f>IF(OR(E3404="",E3404="!!!",F3404="NEW"),"",INDEX(J$1:J3403,SUMPRODUCT(MAX(ROW(E$1:E3403)*(E3404=E$1:E3403)))))</f>
        <v> </v>
      </c>
      <c r="L3404" s="27"/>
    </row>
    <row r="3405" spans="1:12">
      <c r="A3405" s="20" t="s">
        <v>633</v>
      </c>
      <c r="E3405" s="22">
        <f>IF(D3405="?OLD","!!!","")</f>
        <v/>
      </c>
      <c r="F3405" s="23" t="str">
        <f>IF(OR(E3405="",E3405="!!!"),"",IF(NOT(ISNA(VLOOKUP(E3405,E$1:E3404,1,FALSE()))),"OLD",IF(AND(E3405&lt;&gt;"",E3405&lt;&gt;"!!!"),"NEW","")))</f>
        <v> </v>
      </c>
      <c r="G3405" s="24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5" t="str">
        <f>IF(J3405&lt;&gt;1,"",IF(I3405="SBJ","CB","?"))</f>
        <v> </v>
      </c>
      <c r="I3405" s="26" t="str">
        <f>IF(OR(E3405="",E3405="!!!",F3405="NEW"),"",INDEX(B3404:B$2,-1+SUMPRODUCT(MAX(ROW(E3404:E$2)*(E3405=E3404:E$2)))))</f>
        <v> </v>
      </c>
      <c r="J3405" s="26" t="str">
        <f>IF(OR(E3405="",E3405="!!!",F3405="NEW"),"",COUNTBLANK(OFFSET(A$1,,,SUMPRODUCT(MAX(ROW(E$2:E3405)*(E3405=E$2:E3405)))))-COUNTBLANK(OFFSET(A$1,,,SUMPRODUCT(MAX(ROW(E$1:E3404)*(E2=E$1:E3404))))))</f>
        <v> </v>
      </c>
      <c r="K3405" s="26" t="str">
        <f>IF(OR(E3405="",E3405="!!!",F3405="NEW"),"",INDEX(J$1:J3404,SUMPRODUCT(MAX(ROW(E$1:E3404)*(E3405=E$1:E3404)))))</f>
        <v> </v>
      </c>
      <c r="L3405" s="27"/>
    </row>
    <row r="3406" spans="1:12">
      <c r="A3406" s="20" t="s">
        <v>2314</v>
      </c>
      <c r="E3406" s="22">
        <f>IF(D3406="?OLD","!!!","")</f>
        <v/>
      </c>
      <c r="F3406" s="23" t="str">
        <f>IF(OR(E3406="",E3406="!!!"),"",IF(NOT(ISNA(VLOOKUP(E3406,E$1:E3405,1,FALSE()))),"OLD",IF(AND(E3406&lt;&gt;"",E3406&lt;&gt;"!!!"),"NEW","")))</f>
        <v> </v>
      </c>
      <c r="G3406" s="24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5" t="str">
        <f>IF(J3406&lt;&gt;1,"",IF(I3406="SBJ","CB","?"))</f>
        <v> </v>
      </c>
      <c r="I3406" s="26" t="str">
        <f>IF(OR(E3406="",E3406="!!!",F3406="NEW"),"",INDEX(B3405:B$2,-1+SUMPRODUCT(MAX(ROW(E3405:E$2)*(E3406=E3405:E$2)))))</f>
        <v> </v>
      </c>
      <c r="J3406" s="26" t="str">
        <f>IF(OR(E3406="",E3406="!!!",F3406="NEW"),"",COUNTBLANK(OFFSET(A$1,,,SUMPRODUCT(MAX(ROW(E$2:E3406)*(E3406=E$2:E3406)))))-COUNTBLANK(OFFSET(A$1,,,SUMPRODUCT(MAX(ROW(E$1:E3405)*(E2=E$1:E3405))))))</f>
        <v> </v>
      </c>
      <c r="K3406" s="26" t="str">
        <f>IF(OR(E3406="",E3406="!!!",F3406="NEW"),"",INDEX(J$1:J3405,SUMPRODUCT(MAX(ROW(E$1:E3405)*(E3406=E$1:E3405)))))</f>
        <v> </v>
      </c>
      <c r="L3406" s="27"/>
    </row>
    <row r="3407" spans="1:12">
      <c r="A3407" s="20" t="s">
        <v>1278</v>
      </c>
      <c r="B3407" s="21" t="s">
        <v>1087</v>
      </c>
      <c r="E3407" s="22">
        <f>IF(D3407="?OLD","!!!","")</f>
        <v/>
      </c>
      <c r="F3407" s="23" t="str">
        <f>IF(OR(E3407="",E3407="!!!"),"",IF(NOT(ISNA(VLOOKUP(E3407,E$1:E3406,1,FALSE()))),"OLD",IF(AND(E3407&lt;&gt;"",E3407&lt;&gt;"!!!"),"NEW","")))</f>
        <v> </v>
      </c>
      <c r="G3407" s="24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5" t="str">
        <f>IF(J3407&lt;&gt;1,"",IF(I3407="SBJ","CB","?"))</f>
        <v> </v>
      </c>
      <c r="I3407" s="26" t="str">
        <f>IF(OR(E3407="",E3407="!!!",F3407="NEW"),"",INDEX(B3406:B$2,-1+SUMPRODUCT(MAX(ROW(E3406:E$2)*(E3407=E3406:E$2)))))</f>
        <v> </v>
      </c>
      <c r="J3407" s="26" t="str">
        <f>IF(OR(E3407="",E3407="!!!",F3407="NEW"),"",COUNTBLANK(OFFSET(A$1,,,SUMPRODUCT(MAX(ROW(E$2:E3407)*(E3407=E$2:E3407)))))-COUNTBLANK(OFFSET(A$1,,,SUMPRODUCT(MAX(ROW(E$1:E3406)*(E2=E$1:E3406))))))</f>
        <v> </v>
      </c>
      <c r="K3407" s="26" t="str">
        <f>IF(OR(E3407="",E3407="!!!",F3407="NEW"),"",INDEX(J$1:J3406,SUMPRODUCT(MAX(ROW(E$1:E3406)*(E3407=E$1:E3406)))))</f>
        <v> </v>
      </c>
      <c r="L3407" s="27"/>
    </row>
    <row r="3408" spans="1:12">
      <c r="A3408" s="20" t="s">
        <v>1013</v>
      </c>
      <c r="E3408" s="22">
        <f>IF(D3408="?OLD","!!!","")</f>
        <v/>
      </c>
      <c r="F3408" s="23" t="str">
        <f>IF(OR(E3408="",E3408="!!!"),"",IF(NOT(ISNA(VLOOKUP(E3408,E$1:E3407,1,FALSE()))),"OLD",IF(AND(E3408&lt;&gt;"",E3408&lt;&gt;"!!!"),"NEW","")))</f>
        <v> </v>
      </c>
      <c r="G3408" s="24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5" t="str">
        <f>IF(J3408&lt;&gt;1,"",IF(I3408="SBJ","CB","?"))</f>
        <v> </v>
      </c>
      <c r="I3408" s="26" t="str">
        <f>IF(OR(E3408="",E3408="!!!",F3408="NEW"),"",INDEX(B3407:B$2,-1+SUMPRODUCT(MAX(ROW(E3407:E$2)*(E3408=E3407:E$2)))))</f>
        <v> </v>
      </c>
      <c r="J3408" s="26" t="str">
        <f>IF(OR(E3408="",E3408="!!!",F3408="NEW"),"",COUNTBLANK(OFFSET(A$1,,,SUMPRODUCT(MAX(ROW(E$2:E3408)*(E3408=E$2:E3408)))))-COUNTBLANK(OFFSET(A$1,,,SUMPRODUCT(MAX(ROW(E$1:E3407)*(E2=E$1:E3407))))))</f>
        <v> </v>
      </c>
      <c r="K3408" s="26" t="str">
        <f>IF(OR(E3408="",E3408="!!!",F3408="NEW"),"",INDEX(J$1:J3407,SUMPRODUCT(MAX(ROW(E$1:E3407)*(E3408=E$1:E3407)))))</f>
        <v> </v>
      </c>
      <c r="L3408" s="27"/>
    </row>
    <row r="3409" spans="1:12">
      <c r="A3409" s="20" t="s">
        <v>1222</v>
      </c>
      <c r="E3409" s="22">
        <f>IF(D3409="?OLD","!!!","")</f>
        <v/>
      </c>
      <c r="F3409" s="23" t="str">
        <f>IF(OR(E3409="",E3409="!!!"),"",IF(NOT(ISNA(VLOOKUP(E3409,E$1:E3408,1,FALSE()))),"OLD",IF(AND(E3409&lt;&gt;"",E3409&lt;&gt;"!!!"),"NEW","")))</f>
        <v> </v>
      </c>
      <c r="G3409" s="24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5" t="str">
        <f>IF(J3409&lt;&gt;1,"",IF(I3409="SBJ","CB","?"))</f>
        <v> </v>
      </c>
      <c r="I3409" s="26" t="str">
        <f>IF(OR(E3409="",E3409="!!!",F3409="NEW"),"",INDEX(B3408:B$2,-1+SUMPRODUCT(MAX(ROW(E3408:E$2)*(E3409=E3408:E$2)))))</f>
        <v> </v>
      </c>
      <c r="J3409" s="26" t="str">
        <f>IF(OR(E3409="",E3409="!!!",F3409="NEW"),"",COUNTBLANK(OFFSET(A$1,,,SUMPRODUCT(MAX(ROW(E$2:E3409)*(E3409=E$2:E3409)))))-COUNTBLANK(OFFSET(A$1,,,SUMPRODUCT(MAX(ROW(E$1:E3408)*(E2=E$1:E3408))))))</f>
        <v> </v>
      </c>
      <c r="K3409" s="26" t="str">
        <f>IF(OR(E3409="",E3409="!!!",F3409="NEW"),"",INDEX(J$1:J3408,SUMPRODUCT(MAX(ROW(E$1:E3408)*(E3409=E$1:E3408)))))</f>
        <v> </v>
      </c>
      <c r="L3409" s="27"/>
    </row>
    <row r="3410" spans="1:12">
      <c r="A3410" s="20" t="s">
        <v>2307</v>
      </c>
      <c r="E3410" s="22">
        <f>IF(D3410="?OLD","!!!","")</f>
        <v/>
      </c>
      <c r="F3410" s="23" t="str">
        <f>IF(OR(E3410="",E3410="!!!"),"",IF(NOT(ISNA(VLOOKUP(E3410,E$1:E3409,1,FALSE()))),"OLD",IF(AND(E3410&lt;&gt;"",E3410&lt;&gt;"!!!"),"NEW","")))</f>
        <v> </v>
      </c>
      <c r="G3410" s="24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5" t="str">
        <f>IF(J3410&lt;&gt;1,"",IF(I3410="SBJ","CB","?"))</f>
        <v> </v>
      </c>
      <c r="I3410" s="26" t="str">
        <f>IF(OR(E3410="",E3410="!!!",F3410="NEW"),"",INDEX(B3409:B$2,-1+SUMPRODUCT(MAX(ROW(E3409:E$2)*(E3410=E3409:E$2)))))</f>
        <v> </v>
      </c>
      <c r="J3410" s="26" t="str">
        <f>IF(OR(E3410="",E3410="!!!",F3410="NEW"),"",COUNTBLANK(OFFSET(A$1,,,SUMPRODUCT(MAX(ROW(E$2:E3410)*(E3410=E$2:E3410)))))-COUNTBLANK(OFFSET(A$1,,,SUMPRODUCT(MAX(ROW(E$1:E3409)*(E2=E$1:E3409))))))</f>
        <v> </v>
      </c>
      <c r="K3410" s="26" t="str">
        <f>IF(OR(E3410="",E3410="!!!",F3410="NEW"),"",INDEX(J$1:J3409,SUMPRODUCT(MAX(ROW(E$1:E3409)*(E3410=E$1:E3409)))))</f>
        <v> </v>
      </c>
      <c r="L3410" s="27"/>
    </row>
    <row r="3411" spans="1:12">
      <c r="A3411" s="20" t="s">
        <v>264</v>
      </c>
      <c r="E3411" s="22">
        <f>IF(D3411="?OLD","!!!","")</f>
        <v/>
      </c>
      <c r="F3411" s="23" t="str">
        <f>IF(OR(E3411="",E3411="!!!"),"",IF(NOT(ISNA(VLOOKUP(E3411,E$1:E3410,1,FALSE()))),"OLD",IF(AND(E3411&lt;&gt;"",E3411&lt;&gt;"!!!"),"NEW","")))</f>
        <v> </v>
      </c>
      <c r="G3411" s="24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5" t="str">
        <f>IF(J3411&lt;&gt;1,"",IF(I3411="SBJ","CB","?"))</f>
        <v> </v>
      </c>
      <c r="I3411" s="26" t="str">
        <f>IF(OR(E3411="",E3411="!!!",F3411="NEW"),"",INDEX(B3410:B$2,-1+SUMPRODUCT(MAX(ROW(E3410:E$2)*(E3411=E3410:E$2)))))</f>
        <v> </v>
      </c>
      <c r="J3411" s="26" t="str">
        <f>IF(OR(E3411="",E3411="!!!",F3411="NEW"),"",COUNTBLANK(OFFSET(A$1,,,SUMPRODUCT(MAX(ROW(E$2:E3411)*(E3411=E$2:E3411)))))-COUNTBLANK(OFFSET(A$1,,,SUMPRODUCT(MAX(ROW(E$1:E3410)*(E2=E$1:E3410))))))</f>
        <v> </v>
      </c>
      <c r="K3411" s="26" t="str">
        <f>IF(OR(E3411="",E3411="!!!",F3411="NEW"),"",INDEX(J$1:J3410,SUMPRODUCT(MAX(ROW(E$1:E3410)*(E3411=E$1:E3410)))))</f>
        <v> </v>
      </c>
      <c r="L3411" s="27"/>
    </row>
    <row r="3412" spans="1:12">
      <c r="A3412" s="20" t="s">
        <v>2310</v>
      </c>
      <c r="B3412" s="21" t="s">
        <v>1087</v>
      </c>
      <c r="E3412" s="22">
        <f>IF(D3412="?OLD","!!!","")</f>
        <v/>
      </c>
      <c r="F3412" s="23" t="str">
        <f>IF(OR(E3412="",E3412="!!!"),"",IF(NOT(ISNA(VLOOKUP(E3412,E$1:E3411,1,FALSE()))),"OLD",IF(AND(E3412&lt;&gt;"",E3412&lt;&gt;"!!!"),"NEW","")))</f>
        <v> </v>
      </c>
      <c r="G3412" s="24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5" t="str">
        <f>IF(J3412&lt;&gt;1,"",IF(I3412="SBJ","CB","?"))</f>
        <v> </v>
      </c>
      <c r="I3412" s="26" t="str">
        <f>IF(OR(E3412="",E3412="!!!",F3412="NEW"),"",INDEX(B3411:B$2,-1+SUMPRODUCT(MAX(ROW(E3411:E$2)*(E3412=E3411:E$2)))))</f>
        <v> </v>
      </c>
      <c r="J3412" s="26" t="str">
        <f>IF(OR(E3412="",E3412="!!!",F3412="NEW"),"",COUNTBLANK(OFFSET(A$1,,,SUMPRODUCT(MAX(ROW(E$2:E3412)*(E3412=E$2:E3412)))))-COUNTBLANK(OFFSET(A$1,,,SUMPRODUCT(MAX(ROW(E$1:E3411)*(E2=E$1:E3411))))))</f>
        <v> </v>
      </c>
      <c r="K3412" s="26" t="str">
        <f>IF(OR(E3412="",E3412="!!!",F3412="NEW"),"",INDEX(J$1:J3411,SUMPRODUCT(MAX(ROW(E$1:E3411)*(E3412=E$1:E3411)))))</f>
        <v> </v>
      </c>
      <c r="L3412" s="27"/>
    </row>
    <row r="3413" spans="1:12">
      <c r="A3413" s="20" t="s">
        <v>1651</v>
      </c>
      <c r="B3413" s="21" t="s">
        <v>1087</v>
      </c>
      <c r="E3413" s="22">
        <f>IF(D3413="?OLD","!!!","")</f>
        <v/>
      </c>
      <c r="F3413" s="23" t="str">
        <f>IF(OR(E3413="",E3413="!!!"),"",IF(NOT(ISNA(VLOOKUP(E3413,E$1:E3412,1,FALSE()))),"OLD",IF(AND(E3413&lt;&gt;"",E3413&lt;&gt;"!!!"),"NEW","")))</f>
        <v> </v>
      </c>
      <c r="G3413" s="24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5" t="str">
        <f>IF(J3413&lt;&gt;1,"",IF(I3413="SBJ","CB","?"))</f>
        <v> </v>
      </c>
      <c r="I3413" s="26" t="str">
        <f>IF(OR(E3413="",E3413="!!!",F3413="NEW"),"",INDEX(B3412:B$2,-1+SUMPRODUCT(MAX(ROW(E3412:E$2)*(E3413=E3412:E$2)))))</f>
        <v> </v>
      </c>
      <c r="J3413" s="26" t="str">
        <f>IF(OR(E3413="",E3413="!!!",F3413="NEW"),"",COUNTBLANK(OFFSET(A$1,,,SUMPRODUCT(MAX(ROW(E$2:E3413)*(E3413=E$2:E3413)))))-COUNTBLANK(OFFSET(A$1,,,SUMPRODUCT(MAX(ROW(E$1:E3412)*(E2=E$1:E3412))))))</f>
        <v> </v>
      </c>
      <c r="K3413" s="26" t="str">
        <f>IF(OR(E3413="",E3413="!!!",F3413="NEW"),"",INDEX(J$1:J3412,SUMPRODUCT(MAX(ROW(E$1:E3412)*(E3413=E$1:E3412)))))</f>
        <v> </v>
      </c>
      <c r="L3413" s="27"/>
    </row>
    <row r="3414" spans="1:12">
      <c r="A3414" s="20" t="s">
        <v>2315</v>
      </c>
      <c r="E3414" s="22">
        <f>IF(D3414="?OLD","!!!","")</f>
        <v/>
      </c>
      <c r="F3414" s="23" t="str">
        <f>IF(OR(E3414="",E3414="!!!"),"",IF(NOT(ISNA(VLOOKUP(E3414,E$1:E3413,1,FALSE()))),"OLD",IF(AND(E3414&lt;&gt;"",E3414&lt;&gt;"!!!"),"NEW","")))</f>
        <v> </v>
      </c>
      <c r="G3414" s="24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5" t="str">
        <f>IF(J3414&lt;&gt;1,"",IF(I3414="SBJ","CB","?"))</f>
        <v> </v>
      </c>
      <c r="I3414" s="26" t="str">
        <f>IF(OR(E3414="",E3414="!!!",F3414="NEW"),"",INDEX(B3413:B$2,-1+SUMPRODUCT(MAX(ROW(E3413:E$2)*(E3414=E3413:E$2)))))</f>
        <v> </v>
      </c>
      <c r="J3414" s="26" t="str">
        <f>IF(OR(E3414="",E3414="!!!",F3414="NEW"),"",COUNTBLANK(OFFSET(A$1,,,SUMPRODUCT(MAX(ROW(E$2:E3414)*(E3414=E$2:E3414)))))-COUNTBLANK(OFFSET(A$1,,,SUMPRODUCT(MAX(ROW(E$1:E3413)*(E2=E$1:E3413))))))</f>
        <v> </v>
      </c>
      <c r="K3414" s="26" t="str">
        <f>IF(OR(E3414="",E3414="!!!",F3414="NEW"),"",INDEX(J$1:J3413,SUMPRODUCT(MAX(ROW(E$1:E3413)*(E3414=E$1:E3413)))))</f>
        <v> </v>
      </c>
      <c r="L3414" s="27"/>
    </row>
    <row r="3415" spans="1:12">
      <c r="A3415" s="20" t="s">
        <v>2314</v>
      </c>
      <c r="E3415" s="22">
        <f>IF(D3415="?OLD","!!!","")</f>
        <v/>
      </c>
      <c r="F3415" s="23" t="str">
        <f>IF(OR(E3415="",E3415="!!!"),"",IF(NOT(ISNA(VLOOKUP(E3415,E$1:E3414,1,FALSE()))),"OLD",IF(AND(E3415&lt;&gt;"",E3415&lt;&gt;"!!!"),"NEW","")))</f>
        <v> </v>
      </c>
      <c r="G3415" s="24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5" t="str">
        <f>IF(J3415&lt;&gt;1,"",IF(I3415="SBJ","CB","?"))</f>
        <v> </v>
      </c>
      <c r="I3415" s="26" t="str">
        <f>IF(OR(E3415="",E3415="!!!",F3415="NEW"),"",INDEX(B3414:B$2,-1+SUMPRODUCT(MAX(ROW(E3414:E$2)*(E3415=E3414:E$2)))))</f>
        <v> </v>
      </c>
      <c r="J3415" s="26" t="str">
        <f>IF(OR(E3415="",E3415="!!!",F3415="NEW"),"",COUNTBLANK(OFFSET(A$1,,,SUMPRODUCT(MAX(ROW(E$2:E3415)*(E3415=E$2:E3415)))))-COUNTBLANK(OFFSET(A$1,,,SUMPRODUCT(MAX(ROW(E$1:E3414)*(E2=E$1:E3414))))))</f>
        <v> </v>
      </c>
      <c r="K3415" s="26" t="str">
        <f>IF(OR(E3415="",E3415="!!!",F3415="NEW"),"",INDEX(J$1:J3414,SUMPRODUCT(MAX(ROW(E$1:E3414)*(E3415=E$1:E3414)))))</f>
        <v> </v>
      </c>
      <c r="L3415" s="27"/>
    </row>
    <row r="3416" spans="1:12">
      <c r="A3416" s="20" t="s">
        <v>1278</v>
      </c>
      <c r="B3416" s="21" t="s">
        <v>1055</v>
      </c>
      <c r="E3416" s="22">
        <f>IF(D3416="?OLD","!!!","")</f>
        <v/>
      </c>
      <c r="F3416" s="23" t="str">
        <f>IF(OR(E3416="",E3416="!!!"),"",IF(NOT(ISNA(VLOOKUP(E3416,E$1:E3415,1,FALSE()))),"OLD",IF(AND(E3416&lt;&gt;"",E3416&lt;&gt;"!!!"),"NEW","")))</f>
        <v> </v>
      </c>
      <c r="G3416" s="24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5" t="str">
        <f>IF(J3416&lt;&gt;1,"",IF(I3416="SBJ","CB","?"))</f>
        <v> </v>
      </c>
      <c r="I3416" s="26" t="str">
        <f>IF(OR(E3416="",E3416="!!!",F3416="NEW"),"",INDEX(B3415:B$2,-1+SUMPRODUCT(MAX(ROW(E3415:E$2)*(E3416=E3415:E$2)))))</f>
        <v> </v>
      </c>
      <c r="J3416" s="26" t="str">
        <f>IF(OR(E3416="",E3416="!!!",F3416="NEW"),"",COUNTBLANK(OFFSET(A$1,,,SUMPRODUCT(MAX(ROW(E$2:E3416)*(E3416=E$2:E3416)))))-COUNTBLANK(OFFSET(A$1,,,SUMPRODUCT(MAX(ROW(E$1:E3415)*(E2=E$1:E3415))))))</f>
        <v> </v>
      </c>
      <c r="K3416" s="26" t="str">
        <f>IF(OR(E3416="",E3416="!!!",F3416="NEW"),"",INDEX(J$1:J3415,SUMPRODUCT(MAX(ROW(E$1:E3415)*(E3416=E$1:E3415)))))</f>
        <v> </v>
      </c>
      <c r="L3416" s="27"/>
    </row>
    <row r="3417" spans="1:12">
      <c r="A3417" s="20" t="s">
        <v>979</v>
      </c>
      <c r="E3417" s="22">
        <f>IF(D3417="?OLD","!!!","")</f>
        <v/>
      </c>
      <c r="F3417" s="23" t="str">
        <f>IF(OR(E3417="",E3417="!!!"),"",IF(NOT(ISNA(VLOOKUP(E3417,E$1:E3416,1,FALSE()))),"OLD",IF(AND(E3417&lt;&gt;"",E3417&lt;&gt;"!!!"),"NEW","")))</f>
        <v> </v>
      </c>
      <c r="G3417" s="24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5" t="str">
        <f>IF(J3417&lt;&gt;1,"",IF(I3417="SBJ","CB","?"))</f>
        <v> </v>
      </c>
      <c r="I3417" s="26" t="str">
        <f>IF(OR(E3417="",E3417="!!!",F3417="NEW"),"",INDEX(B3416:B$2,-1+SUMPRODUCT(MAX(ROW(E3416:E$2)*(E3417=E3416:E$2)))))</f>
        <v> </v>
      </c>
      <c r="J3417" s="26" t="str">
        <f>IF(OR(E3417="",E3417="!!!",F3417="NEW"),"",COUNTBLANK(OFFSET(A$1,,,SUMPRODUCT(MAX(ROW(E$2:E3417)*(E3417=E$2:E3417)))))-COUNTBLANK(OFFSET(A$1,,,SUMPRODUCT(MAX(ROW(E$1:E3416)*(E2=E$1:E3416))))))</f>
        <v> </v>
      </c>
      <c r="K3417" s="26" t="str">
        <f>IF(OR(E3417="",E3417="!!!",F3417="NEW"),"",INDEX(J$1:J3416,SUMPRODUCT(MAX(ROW(E$1:E3416)*(E3417=E$1:E3416)))))</f>
        <v> </v>
      </c>
      <c r="L3417" s="27"/>
    </row>
    <row r="3418" spans="1:12">
      <c r="A3418" s="20"/>
    </row>
    <row r="3419" spans="1:12">
      <c r="A3419" s="20" t="s">
        <v>2316</v>
      </c>
    </row>
    <row r="3420" spans="1:12">
      <c r="A3420" s="20" t="s">
        <v>981</v>
      </c>
      <c r="B3420" s="21" t="s">
        <v>975</v>
      </c>
      <c r="C3420" s="21" t="s">
        <v>971</v>
      </c>
      <c r="D3420" s="21" t="s">
        <v>972</v>
      </c>
      <c r="E3420" s="22">
        <f>IF(D3420="?OLD","!!!","")</f>
        <v/>
      </c>
      <c r="F3420" s="23" t="str">
        <f>IF(OR(E3420="",E3420="!!!"),"",IF(NOT(ISNA(VLOOKUP(E3420,E$1:E3419,1,FALSE()))),"OLD",IF(AND(E3420&lt;&gt;"",E3420&lt;&gt;"!!!"),"NEW","")))</f>
        <v> </v>
      </c>
      <c r="G3420" s="24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5" t="str">
        <f>IF(J3420&lt;&gt;1,"",IF(I3420="SBJ","CB","?"))</f>
        <v> </v>
      </c>
      <c r="I3420" s="26" t="str">
        <f>IF(OR(E3420="",E3420="!!!",F3420="NEW"),"",INDEX(B3419:B$2,-1+SUMPRODUCT(MAX(ROW(E3419:E$2)*(E3420=E3419:E$2)))))</f>
        <v> </v>
      </c>
      <c r="J3420" s="26" t="str">
        <f>IF(OR(E3420="",E3420="!!!",F3420="NEW"),"",COUNTBLANK(OFFSET(A$1,,,SUMPRODUCT(MAX(ROW(E$2:E3420)*(E3420=E$2:E3420)))))-COUNTBLANK(OFFSET(A$1,,,SUMPRODUCT(MAX(ROW(E$1:E3419)*(E2=E$1:E3419))))))</f>
        <v> </v>
      </c>
      <c r="K3420" s="26" t="str">
        <f>IF(OR(E3420="",E3420="!!!",F3420="NEW"),"",INDEX(J$1:J3419,SUMPRODUCT(MAX(ROW(E$1:E3419)*(E3420=E$1:E3419)))))</f>
        <v> </v>
      </c>
      <c r="L3420" s="27"/>
    </row>
    <row r="3421" spans="1:12">
      <c r="A3421" s="20" t="s">
        <v>2317</v>
      </c>
      <c r="E3421" s="22">
        <f>IF(D3421="?OLD","!!!","")</f>
        <v/>
      </c>
      <c r="F3421" s="23" t="str">
        <f>IF(OR(E3421="",E3421="!!!"),"",IF(NOT(ISNA(VLOOKUP(E3421,E$1:E3420,1,FALSE()))),"OLD",IF(AND(E3421&lt;&gt;"",E3421&lt;&gt;"!!!"),"NEW","")))</f>
        <v> </v>
      </c>
      <c r="G3421" s="24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5" t="str">
        <f>IF(J3421&lt;&gt;1,"",IF(I3421="SBJ","CB","?"))</f>
        <v> </v>
      </c>
      <c r="I3421" s="26" t="str">
        <f>IF(OR(E3421="",E3421="!!!",F3421="NEW"),"",INDEX(B3420:B$2,-1+SUMPRODUCT(MAX(ROW(E3420:E$2)*(E3421=E3420:E$2)))))</f>
        <v> </v>
      </c>
      <c r="J3421" s="26" t="str">
        <f>IF(OR(E3421="",E3421="!!!",F3421="NEW"),"",COUNTBLANK(OFFSET(A$1,,,SUMPRODUCT(MAX(ROW(E$2:E3421)*(E3421=E$2:E3421)))))-COUNTBLANK(OFFSET(A$1,,,SUMPRODUCT(MAX(ROW(E$1:E3420)*(E2=E$1:E3420))))))</f>
        <v> </v>
      </c>
      <c r="K3421" s="26" t="str">
        <f>IF(OR(E3421="",E3421="!!!",F3421="NEW"),"",INDEX(J$1:J3420,SUMPRODUCT(MAX(ROW(E$1:E3420)*(E3421=E$1:E3420)))))</f>
        <v> </v>
      </c>
      <c r="L3421" s="27"/>
    </row>
    <row r="3422" spans="1:12">
      <c r="A3422" s="20" t="s">
        <v>1510</v>
      </c>
      <c r="E3422" s="22">
        <f>IF(D3422="?OLD","!!!","")</f>
        <v/>
      </c>
      <c r="F3422" s="23" t="str">
        <f>IF(OR(E3422="",E3422="!!!"),"",IF(NOT(ISNA(VLOOKUP(E3422,E$1:E3421,1,FALSE()))),"OLD",IF(AND(E3422&lt;&gt;"",E3422&lt;&gt;"!!!"),"NEW","")))</f>
        <v> </v>
      </c>
      <c r="G3422" s="24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5" t="str">
        <f>IF(J3422&lt;&gt;1,"",IF(I3422="SBJ","CB","?"))</f>
        <v> </v>
      </c>
      <c r="I3422" s="26" t="str">
        <f>IF(OR(E3422="",E3422="!!!",F3422="NEW"),"",INDEX(B3421:B$2,-1+SUMPRODUCT(MAX(ROW(E3421:E$2)*(E3422=E3421:E$2)))))</f>
        <v> </v>
      </c>
      <c r="J3422" s="26" t="str">
        <f>IF(OR(E3422="",E3422="!!!",F3422="NEW"),"",COUNTBLANK(OFFSET(A$1,,,SUMPRODUCT(MAX(ROW(E$2:E3422)*(E3422=E$2:E3422)))))-COUNTBLANK(OFFSET(A$1,,,SUMPRODUCT(MAX(ROW(E$1:E3421)*(E2=E$1:E3421))))))</f>
        <v> </v>
      </c>
      <c r="K3422" s="26" t="str">
        <f>IF(OR(E3422="",E3422="!!!",F3422="NEW"),"",INDEX(J$1:J3421,SUMPRODUCT(MAX(ROW(E$1:E3421)*(E3422=E$1:E3421)))))</f>
        <v> </v>
      </c>
      <c r="L3422" s="27"/>
    </row>
    <row r="3423" spans="1:12">
      <c r="A3423" s="20" t="s">
        <v>2318</v>
      </c>
      <c r="E3423" s="22">
        <f>IF(D3423="?OLD","!!!","")</f>
        <v/>
      </c>
      <c r="F3423" s="23" t="str">
        <f>IF(OR(E3423="",E3423="!!!"),"",IF(NOT(ISNA(VLOOKUP(E3423,E$1:E3422,1,FALSE()))),"OLD",IF(AND(E3423&lt;&gt;"",E3423&lt;&gt;"!!!"),"NEW","")))</f>
        <v> </v>
      </c>
      <c r="G3423" s="24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5" t="str">
        <f>IF(J3423&lt;&gt;1,"",IF(I3423="SBJ","CB","?"))</f>
        <v> </v>
      </c>
      <c r="I3423" s="26" t="str">
        <f>IF(OR(E3423="",E3423="!!!",F3423="NEW"),"",INDEX(B3422:B$2,-1+SUMPRODUCT(MAX(ROW(E3422:E$2)*(E3423=E3422:E$2)))))</f>
        <v> </v>
      </c>
      <c r="J3423" s="26" t="str">
        <f>IF(OR(E3423="",E3423="!!!",F3423="NEW"),"",COUNTBLANK(OFFSET(A$1,,,SUMPRODUCT(MAX(ROW(E$2:E3423)*(E3423=E$2:E3423)))))-COUNTBLANK(OFFSET(A$1,,,SUMPRODUCT(MAX(ROW(E$1:E3422)*(E2=E$1:E3422))))))</f>
        <v> </v>
      </c>
      <c r="K3423" s="26" t="str">
        <f>IF(OR(E3423="",E3423="!!!",F3423="NEW"),"",INDEX(J$1:J3422,SUMPRODUCT(MAX(ROW(E$1:E3422)*(E3423=E$1:E3422)))))</f>
        <v> </v>
      </c>
      <c r="L3423" s="27"/>
    </row>
    <row r="3424" spans="1:12">
      <c r="A3424" s="20" t="s">
        <v>734</v>
      </c>
      <c r="E3424" s="22">
        <f>IF(D3424="?OLD","!!!","")</f>
        <v/>
      </c>
      <c r="F3424" s="23" t="str">
        <f>IF(OR(E3424="",E3424="!!!"),"",IF(NOT(ISNA(VLOOKUP(E3424,E$1:E3423,1,FALSE()))),"OLD",IF(AND(E3424&lt;&gt;"",E3424&lt;&gt;"!!!"),"NEW","")))</f>
        <v> </v>
      </c>
      <c r="G3424" s="24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5" t="str">
        <f>IF(J3424&lt;&gt;1,"",IF(I3424="SBJ","CB","?"))</f>
        <v> </v>
      </c>
      <c r="I3424" s="26" t="str">
        <f>IF(OR(E3424="",E3424="!!!",F3424="NEW"),"",INDEX(B3423:B$2,-1+SUMPRODUCT(MAX(ROW(E3423:E$2)*(E3424=E3423:E$2)))))</f>
        <v> </v>
      </c>
      <c r="J3424" s="26" t="str">
        <f>IF(OR(E3424="",E3424="!!!",F3424="NEW"),"",COUNTBLANK(OFFSET(A$1,,,SUMPRODUCT(MAX(ROW(E$2:E3424)*(E3424=E$2:E3424)))))-COUNTBLANK(OFFSET(A$1,,,SUMPRODUCT(MAX(ROW(E$1:E3423)*(E2=E$1:E3423))))))</f>
        <v> </v>
      </c>
      <c r="K3424" s="26" t="str">
        <f>IF(OR(E3424="",E3424="!!!",F3424="NEW"),"",INDEX(J$1:J3423,SUMPRODUCT(MAX(ROW(E$1:E3423)*(E3424=E$1:E3423)))))</f>
        <v> </v>
      </c>
      <c r="L3424" s="27"/>
    </row>
    <row r="3425" spans="1:12">
      <c r="A3425" s="20" t="s">
        <v>1040</v>
      </c>
      <c r="E3425" s="22">
        <f>IF(D3425="?OLD","!!!","")</f>
        <v/>
      </c>
      <c r="F3425" s="23" t="str">
        <f>IF(OR(E3425="",E3425="!!!"),"",IF(NOT(ISNA(VLOOKUP(E3425,E$1:E3424,1,FALSE()))),"OLD",IF(AND(E3425&lt;&gt;"",E3425&lt;&gt;"!!!"),"NEW","")))</f>
        <v> </v>
      </c>
      <c r="G3425" s="24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5" t="str">
        <f>IF(J3425&lt;&gt;1,"",IF(I3425="SBJ","CB","?"))</f>
        <v> </v>
      </c>
      <c r="I3425" s="26" t="str">
        <f>IF(OR(E3425="",E3425="!!!",F3425="NEW"),"",INDEX(B3424:B$2,-1+SUMPRODUCT(MAX(ROW(E3424:E$2)*(E3425=E3424:E$2)))))</f>
        <v> </v>
      </c>
      <c r="J3425" s="26" t="str">
        <f>IF(OR(E3425="",E3425="!!!",F3425="NEW"),"",COUNTBLANK(OFFSET(A$1,,,SUMPRODUCT(MAX(ROW(E$2:E3425)*(E3425=E$2:E3425)))))-COUNTBLANK(OFFSET(A$1,,,SUMPRODUCT(MAX(ROW(E$1:E3424)*(E2=E$1:E3424))))))</f>
        <v> </v>
      </c>
      <c r="K3425" s="26" t="str">
        <f>IF(OR(E3425="",E3425="!!!",F3425="NEW"),"",INDEX(J$1:J3424,SUMPRODUCT(MAX(ROW(E$1:E3424)*(E3425=E$1:E3424)))))</f>
        <v> </v>
      </c>
      <c r="L3425" s="27"/>
    </row>
    <row r="3426" spans="1:12">
      <c r="A3426" s="20" t="s">
        <v>985</v>
      </c>
      <c r="B3426" s="21" t="s">
        <v>978</v>
      </c>
      <c r="C3426" s="21" t="s">
        <v>991</v>
      </c>
      <c r="E3426" s="22">
        <f>IF(D3426="?OLD","!!!","")</f>
        <v/>
      </c>
      <c r="F3426" s="23" t="str">
        <f>IF(OR(E3426="",E3426="!!!"),"",IF(NOT(ISNA(VLOOKUP(E3426,E$1:E3425,1,FALSE()))),"OLD",IF(AND(E3426&lt;&gt;"",E3426&lt;&gt;"!!!"),"NEW","")))</f>
        <v> </v>
      </c>
      <c r="G3426" s="24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5" t="str">
        <f>IF(J3426&lt;&gt;1,"",IF(I3426="SBJ","CB","?"))</f>
        <v> </v>
      </c>
      <c r="I3426" s="26" t="str">
        <f>IF(OR(E3426="",E3426="!!!",F3426="NEW"),"",INDEX(B3425:B$2,-1+SUMPRODUCT(MAX(ROW(E3425:E$2)*(E3426=E3425:E$2)))))</f>
        <v> </v>
      </c>
      <c r="J3426" s="26" t="str">
        <f>IF(OR(E3426="",E3426="!!!",F3426="NEW"),"",COUNTBLANK(OFFSET(A$1,,,SUMPRODUCT(MAX(ROW(E$2:E3426)*(E3426=E$2:E3426)))))-COUNTBLANK(OFFSET(A$1,,,SUMPRODUCT(MAX(ROW(E$1:E3425)*(E2=E$1:E3425))))))</f>
        <v> </v>
      </c>
      <c r="K3426" s="26" t="str">
        <f>IF(OR(E3426="",E3426="!!!",F3426="NEW"),"",INDEX(J$1:J3425,SUMPRODUCT(MAX(ROW(E$1:E3425)*(E3426=E$1:E3425)))))</f>
        <v> </v>
      </c>
      <c r="L3426" s="27"/>
    </row>
    <row r="3427" spans="1:12">
      <c r="A3427" s="20" t="s">
        <v>1013</v>
      </c>
      <c r="E3427" s="22">
        <f>IF(D3427="?OLD","!!!","")</f>
        <v/>
      </c>
      <c r="F3427" s="23" t="str">
        <f>IF(OR(E3427="",E3427="!!!"),"",IF(NOT(ISNA(VLOOKUP(E3427,E$1:E3426,1,FALSE()))),"OLD",IF(AND(E3427&lt;&gt;"",E3427&lt;&gt;"!!!"),"NEW","")))</f>
        <v> </v>
      </c>
      <c r="G3427" s="24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5" t="str">
        <f>IF(J3427&lt;&gt;1,"",IF(I3427="SBJ","CB","?"))</f>
        <v> </v>
      </c>
      <c r="I3427" s="26" t="str">
        <f>IF(OR(E3427="",E3427="!!!",F3427="NEW"),"",INDEX(B3426:B$2,-1+SUMPRODUCT(MAX(ROW(E3426:E$2)*(E3427=E3426:E$2)))))</f>
        <v> </v>
      </c>
      <c r="J3427" s="26" t="str">
        <f>IF(OR(E3427="",E3427="!!!",F3427="NEW"),"",COUNTBLANK(OFFSET(A$1,,,SUMPRODUCT(MAX(ROW(E$2:E3427)*(E3427=E$2:E3427)))))-COUNTBLANK(OFFSET(A$1,,,SUMPRODUCT(MAX(ROW(E$1:E3426)*(E2=E$1:E3426))))))</f>
        <v> </v>
      </c>
      <c r="K3427" s="26" t="str">
        <f>IF(OR(E3427="",E3427="!!!",F3427="NEW"),"",INDEX(J$1:J3426,SUMPRODUCT(MAX(ROW(E$1:E3426)*(E3427=E$1:E3426)))))</f>
        <v> </v>
      </c>
      <c r="L3427" s="27"/>
    </row>
    <row r="3428" spans="1:12">
      <c r="A3428" s="20" t="s">
        <v>1462</v>
      </c>
      <c r="B3428" s="21" t="s">
        <v>1055</v>
      </c>
      <c r="C3428" s="21" t="s">
        <v>1232</v>
      </c>
      <c r="E3428" s="22">
        <f>IF(D3428="?OLD","!!!","")</f>
        <v/>
      </c>
      <c r="F3428" s="23" t="str">
        <f>IF(OR(E3428="",E3428="!!!"),"",IF(NOT(ISNA(VLOOKUP(E3428,E$1:E3427,1,FALSE()))),"OLD",IF(AND(E3428&lt;&gt;"",E3428&lt;&gt;"!!!"),"NEW","")))</f>
        <v> </v>
      </c>
      <c r="G3428" s="24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5" t="str">
        <f>IF(J3428&lt;&gt;1,"",IF(I3428="SBJ","CB","?"))</f>
        <v> </v>
      </c>
      <c r="I3428" s="26" t="str">
        <f>IF(OR(E3428="",E3428="!!!",F3428="NEW"),"",INDEX(B3427:B$2,-1+SUMPRODUCT(MAX(ROW(E3427:E$2)*(E3428=E3427:E$2)))))</f>
        <v> </v>
      </c>
      <c r="J3428" s="26" t="str">
        <f>IF(OR(E3428="",E3428="!!!",F3428="NEW"),"",COUNTBLANK(OFFSET(A$1,,,SUMPRODUCT(MAX(ROW(E$2:E3428)*(E3428=E$2:E3428)))))-COUNTBLANK(OFFSET(A$1,,,SUMPRODUCT(MAX(ROW(E$1:E3427)*(E2=E$1:E3427))))))</f>
        <v> </v>
      </c>
      <c r="K3428" s="26" t="str">
        <f>IF(OR(E3428="",E3428="!!!",F3428="NEW"),"",INDEX(J$1:J3427,SUMPRODUCT(MAX(ROW(E$1:E3427)*(E3428=E$1:E3427)))))</f>
        <v> </v>
      </c>
      <c r="L3428" s="27"/>
    </row>
    <row r="3429" spans="1:12">
      <c r="A3429" s="20" t="s">
        <v>1090</v>
      </c>
      <c r="B3429" s="21" t="s">
        <v>1115</v>
      </c>
      <c r="C3429" s="21" t="s">
        <v>971</v>
      </c>
      <c r="D3429" s="21" t="s">
        <v>972</v>
      </c>
      <c r="E3429" s="22">
        <f>IF(D3429="?OLD","!!!","")</f>
        <v/>
      </c>
      <c r="F3429" s="23" t="str">
        <f>IF(OR(E3429="",E3429="!!!"),"",IF(NOT(ISNA(VLOOKUP(E3429,E$1:E3428,1,FALSE()))),"OLD",IF(AND(E3429&lt;&gt;"",E3429&lt;&gt;"!!!"),"NEW","")))</f>
        <v> </v>
      </c>
      <c r="G3429" s="24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5" t="str">
        <f>IF(J3429&lt;&gt;1,"",IF(I3429="SBJ","CB","?"))</f>
        <v> </v>
      </c>
      <c r="I3429" s="26" t="str">
        <f>IF(OR(E3429="",E3429="!!!",F3429="NEW"),"",INDEX(B3428:B$2,-1+SUMPRODUCT(MAX(ROW(E3428:E$2)*(E3429=E3428:E$2)))))</f>
        <v> </v>
      </c>
      <c r="J3429" s="26" t="str">
        <f>IF(OR(E3429="",E3429="!!!",F3429="NEW"),"",COUNTBLANK(OFFSET(A$1,,,SUMPRODUCT(MAX(ROW(E$2:E3429)*(E3429=E$2:E3429)))))-COUNTBLANK(OFFSET(A$1,,,SUMPRODUCT(MAX(ROW(E$1:E3428)*(E2=E$1:E3428))))))</f>
        <v> </v>
      </c>
      <c r="K3429" s="26" t="str">
        <f>IF(OR(E3429="",E3429="!!!",F3429="NEW"),"",INDEX(J$1:J3428,SUMPRODUCT(MAX(ROW(E$1:E3428)*(E3429=E$1:E3428)))))</f>
        <v> </v>
      </c>
      <c r="L3429" s="27"/>
    </row>
    <row r="3430" spans="1:12">
      <c r="A3430" s="20" t="s">
        <v>2319</v>
      </c>
      <c r="E3430" s="22">
        <f>IF(D3430="?OLD","!!!","")</f>
        <v/>
      </c>
      <c r="F3430" s="23" t="str">
        <f>IF(OR(E3430="",E3430="!!!"),"",IF(NOT(ISNA(VLOOKUP(E3430,E$1:E3429,1,FALSE()))),"OLD",IF(AND(E3430&lt;&gt;"",E3430&lt;&gt;"!!!"),"NEW","")))</f>
        <v> </v>
      </c>
      <c r="G3430" s="24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5" t="str">
        <f>IF(J3430&lt;&gt;1,"",IF(I3430="SBJ","CB","?"))</f>
        <v> </v>
      </c>
      <c r="I3430" s="26" t="str">
        <f>IF(OR(E3430="",E3430="!!!",F3430="NEW"),"",INDEX(B3429:B$2,-1+SUMPRODUCT(MAX(ROW(E3429:E$2)*(E3430=E3429:E$2)))))</f>
        <v> </v>
      </c>
      <c r="J3430" s="26" t="str">
        <f>IF(OR(E3430="",E3430="!!!",F3430="NEW"),"",COUNTBLANK(OFFSET(A$1,,,SUMPRODUCT(MAX(ROW(E$2:E3430)*(E3430=E$2:E3430)))))-COUNTBLANK(OFFSET(A$1,,,SUMPRODUCT(MAX(ROW(E$1:E3429)*(E2=E$1:E3429))))))</f>
        <v> </v>
      </c>
      <c r="K3430" s="26" t="str">
        <f>IF(OR(E3430="",E3430="!!!",F3430="NEW"),"",INDEX(J$1:J3429,SUMPRODUCT(MAX(ROW(E$1:E3429)*(E3430=E$1:E3429)))))</f>
        <v> </v>
      </c>
      <c r="L3430" s="27"/>
    </row>
    <row r="3431" spans="1:12">
      <c r="A3431" s="20" t="s">
        <v>1013</v>
      </c>
      <c r="E3431" s="22">
        <f>IF(D3431="?OLD","!!!","")</f>
        <v/>
      </c>
      <c r="F3431" s="23" t="str">
        <f>IF(OR(E3431="",E3431="!!!"),"",IF(NOT(ISNA(VLOOKUP(E3431,E$1:E3430,1,FALSE()))),"OLD",IF(AND(E3431&lt;&gt;"",E3431&lt;&gt;"!!!"),"NEW","")))</f>
        <v> </v>
      </c>
      <c r="G3431" s="24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5" t="str">
        <f>IF(J3431&lt;&gt;1,"",IF(I3431="SBJ","CB","?"))</f>
        <v> </v>
      </c>
      <c r="I3431" s="26" t="str">
        <f>IF(OR(E3431="",E3431="!!!",F3431="NEW"),"",INDEX(B3430:B$2,-1+SUMPRODUCT(MAX(ROW(E3430:E$2)*(E3431=E3430:E$2)))))</f>
        <v> </v>
      </c>
      <c r="J3431" s="26" t="str">
        <f>IF(OR(E3431="",E3431="!!!",F3431="NEW"),"",COUNTBLANK(OFFSET(A$1,,,SUMPRODUCT(MAX(ROW(E$2:E3431)*(E3431=E$2:E3431)))))-COUNTBLANK(OFFSET(A$1,,,SUMPRODUCT(MAX(ROW(E$1:E3430)*(E2=E$1:E3430))))))</f>
        <v> </v>
      </c>
      <c r="K3431" s="26" t="str">
        <f>IF(OR(E3431="",E3431="!!!",F3431="NEW"),"",INDEX(J$1:J3430,SUMPRODUCT(MAX(ROW(E$1:E3430)*(E3431=E$1:E3430)))))</f>
        <v> </v>
      </c>
      <c r="L3431" s="27"/>
    </row>
    <row r="3432" spans="1:12">
      <c r="A3432" s="20" t="s">
        <v>1005</v>
      </c>
      <c r="E3432" s="22">
        <f>IF(D3432="?OLD","!!!","")</f>
        <v/>
      </c>
      <c r="F3432" s="23" t="str">
        <f>IF(OR(E3432="",E3432="!!!"),"",IF(NOT(ISNA(VLOOKUP(E3432,E$1:E3431,1,FALSE()))),"OLD",IF(AND(E3432&lt;&gt;"",E3432&lt;&gt;"!!!"),"NEW","")))</f>
        <v> </v>
      </c>
      <c r="G3432" s="24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5" t="str">
        <f>IF(J3432&lt;&gt;1,"",IF(I3432="SBJ","CB","?"))</f>
        <v> </v>
      </c>
      <c r="I3432" s="26" t="str">
        <f>IF(OR(E3432="",E3432="!!!",F3432="NEW"),"",INDEX(B3431:B$2,-1+SUMPRODUCT(MAX(ROW(E3431:E$2)*(E3432=E3431:E$2)))))</f>
        <v> </v>
      </c>
      <c r="J3432" s="26" t="str">
        <f>IF(OR(E3432="",E3432="!!!",F3432="NEW"),"",COUNTBLANK(OFFSET(A$1,,,SUMPRODUCT(MAX(ROW(E$2:E3432)*(E3432=E$2:E3432)))))-COUNTBLANK(OFFSET(A$1,,,SUMPRODUCT(MAX(ROW(E$1:E3431)*(E2=E$1:E3431))))))</f>
        <v> </v>
      </c>
      <c r="K3432" s="26" t="str">
        <f>IF(OR(E3432="",E3432="!!!",F3432="NEW"),"",INDEX(J$1:J3431,SUMPRODUCT(MAX(ROW(E$1:E3431)*(E3432=E$1:E3431)))))</f>
        <v> </v>
      </c>
      <c r="L3432" s="27"/>
    </row>
    <row r="3433" spans="1:12">
      <c r="A3433" s="20" t="s">
        <v>2320</v>
      </c>
      <c r="E3433" s="22">
        <f>IF(D3433="?OLD","!!!","")</f>
        <v/>
      </c>
      <c r="F3433" s="23" t="str">
        <f>IF(OR(E3433="",E3433="!!!"),"",IF(NOT(ISNA(VLOOKUP(E3433,E$1:E3432,1,FALSE()))),"OLD",IF(AND(E3433&lt;&gt;"",E3433&lt;&gt;"!!!"),"NEW","")))</f>
        <v> </v>
      </c>
      <c r="G3433" s="24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5" t="str">
        <f>IF(J3433&lt;&gt;1,"",IF(I3433="SBJ","CB","?"))</f>
        <v> </v>
      </c>
      <c r="I3433" s="26" t="str">
        <f>IF(OR(E3433="",E3433="!!!",F3433="NEW"),"",INDEX(B3432:B$2,-1+SUMPRODUCT(MAX(ROW(E3432:E$2)*(E3433=E3432:E$2)))))</f>
        <v> </v>
      </c>
      <c r="J3433" s="26" t="str">
        <f>IF(OR(E3433="",E3433="!!!",F3433="NEW"),"",COUNTBLANK(OFFSET(A$1,,,SUMPRODUCT(MAX(ROW(E$2:E3433)*(E3433=E$2:E3433)))))-COUNTBLANK(OFFSET(A$1,,,SUMPRODUCT(MAX(ROW(E$1:E3432)*(E2=E$1:E3432))))))</f>
        <v> </v>
      </c>
      <c r="K3433" s="26" t="str">
        <f>IF(OR(E3433="",E3433="!!!",F3433="NEW"),"",INDEX(J$1:J3432,SUMPRODUCT(MAX(ROW(E$1:E3432)*(E3433=E$1:E3432)))))</f>
        <v> </v>
      </c>
      <c r="L3433" s="27"/>
    </row>
    <row r="3434" spans="1:12">
      <c r="A3434" s="20" t="s">
        <v>2308</v>
      </c>
      <c r="E3434" s="22">
        <f>IF(D3434="?OLD","!!!","")</f>
        <v/>
      </c>
      <c r="F3434" s="23" t="str">
        <f>IF(OR(E3434="",E3434="!!!"),"",IF(NOT(ISNA(VLOOKUP(E3434,E$1:E3433,1,FALSE()))),"OLD",IF(AND(E3434&lt;&gt;"",E3434&lt;&gt;"!!!"),"NEW","")))</f>
        <v> </v>
      </c>
      <c r="G3434" s="24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5" t="str">
        <f>IF(J3434&lt;&gt;1,"",IF(I3434="SBJ","CB","?"))</f>
        <v> </v>
      </c>
      <c r="I3434" s="26" t="str">
        <f>IF(OR(E3434="",E3434="!!!",F3434="NEW"),"",INDEX(B3433:B$2,-1+SUMPRODUCT(MAX(ROW(E3433:E$2)*(E3434=E3433:E$2)))))</f>
        <v> </v>
      </c>
      <c r="J3434" s="26" t="str">
        <f>IF(OR(E3434="",E3434="!!!",F3434="NEW"),"",COUNTBLANK(OFFSET(A$1,,,SUMPRODUCT(MAX(ROW(E$2:E3434)*(E3434=E$2:E3434)))))-COUNTBLANK(OFFSET(A$1,,,SUMPRODUCT(MAX(ROW(E$1:E3433)*(E2=E$1:E3433))))))</f>
        <v> </v>
      </c>
      <c r="K3434" s="26" t="str">
        <f>IF(OR(E3434="",E3434="!!!",F3434="NEW"),"",INDEX(J$1:J3433,SUMPRODUCT(MAX(ROW(E$1:E3433)*(E3434=E$1:E3433)))))</f>
        <v> </v>
      </c>
      <c r="L3434" s="27"/>
    </row>
    <row r="3435" spans="1:12">
      <c r="A3435" s="20" t="s">
        <v>2310</v>
      </c>
      <c r="B3435" s="21" t="s">
        <v>1055</v>
      </c>
      <c r="E3435" s="22">
        <f>IF(D3435="?OLD","!!!","")</f>
        <v/>
      </c>
      <c r="F3435" s="23" t="str">
        <f>IF(OR(E3435="",E3435="!!!"),"",IF(NOT(ISNA(VLOOKUP(E3435,E$1:E3434,1,FALSE()))),"OLD",IF(AND(E3435&lt;&gt;"",E3435&lt;&gt;"!!!"),"NEW","")))</f>
        <v> </v>
      </c>
      <c r="G3435" s="24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5" t="str">
        <f>IF(J3435&lt;&gt;1,"",IF(I3435="SBJ","CB","?"))</f>
        <v> </v>
      </c>
      <c r="I3435" s="26" t="str">
        <f>IF(OR(E3435="",E3435="!!!",F3435="NEW"),"",INDEX(B3434:B$2,-1+SUMPRODUCT(MAX(ROW(E3434:E$2)*(E3435=E3434:E$2)))))</f>
        <v> </v>
      </c>
      <c r="J3435" s="26" t="str">
        <f>IF(OR(E3435="",E3435="!!!",F3435="NEW"),"",COUNTBLANK(OFFSET(A$1,,,SUMPRODUCT(MAX(ROW(E$2:E3435)*(E3435=E$2:E3435)))))-COUNTBLANK(OFFSET(A$1,,,SUMPRODUCT(MAX(ROW(E$1:E3434)*(E2=E$1:E3434))))))</f>
        <v> </v>
      </c>
      <c r="K3435" s="26" t="str">
        <f>IF(OR(E3435="",E3435="!!!",F3435="NEW"),"",INDEX(J$1:J3434,SUMPRODUCT(MAX(ROW(E$1:E3434)*(E3435=E$1:E3434)))))</f>
        <v> </v>
      </c>
      <c r="L3435" s="27"/>
    </row>
    <row r="3436" spans="1:12">
      <c r="A3436" s="20" t="s">
        <v>2309</v>
      </c>
      <c r="B3436" s="21" t="s">
        <v>1055</v>
      </c>
      <c r="E3436" s="22">
        <f>IF(D3436="?OLD","!!!","")</f>
        <v/>
      </c>
      <c r="F3436" s="23" t="str">
        <f>IF(OR(E3436="",E3436="!!!"),"",IF(NOT(ISNA(VLOOKUP(E3436,E$1:E3435,1,FALSE()))),"OLD",IF(AND(E3436&lt;&gt;"",E3436&lt;&gt;"!!!"),"NEW","")))</f>
        <v> </v>
      </c>
      <c r="G3436" s="24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5" t="str">
        <f>IF(J3436&lt;&gt;1,"",IF(I3436="SBJ","CB","?"))</f>
        <v> </v>
      </c>
      <c r="I3436" s="26" t="str">
        <f>IF(OR(E3436="",E3436="!!!",F3436="NEW"),"",INDEX(B3435:B$2,-1+SUMPRODUCT(MAX(ROW(E3435:E$2)*(E3436=E3435:E$2)))))</f>
        <v> </v>
      </c>
      <c r="J3436" s="26" t="str">
        <f>IF(OR(E3436="",E3436="!!!",F3436="NEW"),"",COUNTBLANK(OFFSET(A$1,,,SUMPRODUCT(MAX(ROW(E$2:E3436)*(E3436=E$2:E3436)))))-COUNTBLANK(OFFSET(A$1,,,SUMPRODUCT(MAX(ROW(E$1:E3435)*(E2=E$1:E3435))))))</f>
        <v> </v>
      </c>
      <c r="K3436" s="26" t="str">
        <f>IF(OR(E3436="",E3436="!!!",F3436="NEW"),"",INDEX(J$1:J3435,SUMPRODUCT(MAX(ROW(E$1:E3435)*(E3436=E$1:E3435)))))</f>
        <v> </v>
      </c>
      <c r="L3436" s="27"/>
    </row>
    <row r="3437" spans="1:12">
      <c r="A3437" s="20" t="s">
        <v>2321</v>
      </c>
      <c r="E3437" s="22">
        <f>IF(D3437="?OLD","!!!","")</f>
        <v/>
      </c>
      <c r="F3437" s="23" t="str">
        <f>IF(OR(E3437="",E3437="!!!"),"",IF(NOT(ISNA(VLOOKUP(E3437,E$1:E3436,1,FALSE()))),"OLD",IF(AND(E3437&lt;&gt;"",E3437&lt;&gt;"!!!"),"NEW","")))</f>
        <v> </v>
      </c>
      <c r="G3437" s="24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5" t="str">
        <f>IF(J3437&lt;&gt;1,"",IF(I3437="SBJ","CB","?"))</f>
        <v> </v>
      </c>
      <c r="I3437" s="26" t="str">
        <f>IF(OR(E3437="",E3437="!!!",F3437="NEW"),"",INDEX(B3436:B$2,-1+SUMPRODUCT(MAX(ROW(E3436:E$2)*(E3437=E3436:E$2)))))</f>
        <v> </v>
      </c>
      <c r="J3437" s="26" t="str">
        <f>IF(OR(E3437="",E3437="!!!",F3437="NEW"),"",COUNTBLANK(OFFSET(A$1,,,SUMPRODUCT(MAX(ROW(E$2:E3437)*(E3437=E$2:E3437)))))-COUNTBLANK(OFFSET(A$1,,,SUMPRODUCT(MAX(ROW(E$1:E3436)*(E2=E$1:E3436))))))</f>
        <v> </v>
      </c>
      <c r="K3437" s="26" t="str">
        <f>IF(OR(E3437="",E3437="!!!",F3437="NEW"),"",INDEX(J$1:J3436,SUMPRODUCT(MAX(ROW(E$1:E3436)*(E3437=E$1:E3436)))))</f>
        <v> </v>
      </c>
      <c r="L3437" s="27"/>
    </row>
    <row r="3438" spans="1:12">
      <c r="A3438" s="20" t="s">
        <v>1464</v>
      </c>
      <c r="E3438" s="22">
        <f>IF(D3438="?OLD","!!!","")</f>
        <v/>
      </c>
      <c r="F3438" s="23" t="str">
        <f>IF(OR(E3438="",E3438="!!!"),"",IF(NOT(ISNA(VLOOKUP(E3438,E$1:E3437,1,FALSE()))),"OLD",IF(AND(E3438&lt;&gt;"",E3438&lt;&gt;"!!!"),"NEW","")))</f>
        <v> </v>
      </c>
      <c r="G3438" s="24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5" t="str">
        <f>IF(J3438&lt;&gt;1,"",IF(I3438="SBJ","CB","?"))</f>
        <v> </v>
      </c>
      <c r="I3438" s="26" t="str">
        <f>IF(OR(E3438="",E3438="!!!",F3438="NEW"),"",INDEX(B3437:B$2,-1+SUMPRODUCT(MAX(ROW(E3437:E$2)*(E3438=E3437:E$2)))))</f>
        <v> </v>
      </c>
      <c r="J3438" s="26" t="str">
        <f>IF(OR(E3438="",E3438="!!!",F3438="NEW"),"",COUNTBLANK(OFFSET(A$1,,,SUMPRODUCT(MAX(ROW(E$2:E3438)*(E3438=E$2:E3438)))))-COUNTBLANK(OFFSET(A$1,,,SUMPRODUCT(MAX(ROW(E$1:E3437)*(E2=E$1:E3437))))))</f>
        <v> </v>
      </c>
      <c r="K3438" s="26" t="str">
        <f>IF(OR(E3438="",E3438="!!!",F3438="NEW"),"",INDEX(J$1:J3437,SUMPRODUCT(MAX(ROW(E$1:E3437)*(E3438=E$1:E3437)))))</f>
        <v> </v>
      </c>
      <c r="L3438" s="27"/>
    </row>
    <row r="3439" spans="1:12">
      <c r="A3439" s="20" t="s">
        <v>1465</v>
      </c>
      <c r="B3439" s="21" t="s">
        <v>1030</v>
      </c>
      <c r="E3439" s="22">
        <f>IF(D3439="?OLD","!!!","")</f>
        <v/>
      </c>
      <c r="F3439" s="23" t="str">
        <f>IF(OR(E3439="",E3439="!!!"),"",IF(NOT(ISNA(VLOOKUP(E3439,E$1:E3438,1,FALSE()))),"OLD",IF(AND(E3439&lt;&gt;"",E3439&lt;&gt;"!!!"),"NEW","")))</f>
        <v> </v>
      </c>
      <c r="G3439" s="24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5" t="str">
        <f>IF(J3439&lt;&gt;1,"",IF(I3439="SBJ","CB","?"))</f>
        <v> </v>
      </c>
      <c r="I3439" s="26" t="str">
        <f>IF(OR(E3439="",E3439="!!!",F3439="NEW"),"",INDEX(B3438:B$2,-1+SUMPRODUCT(MAX(ROW(E3438:E$2)*(E3439=E3438:E$2)))))</f>
        <v> </v>
      </c>
      <c r="J3439" s="26" t="str">
        <f>IF(OR(E3439="",E3439="!!!",F3439="NEW"),"",COUNTBLANK(OFFSET(A$1,,,SUMPRODUCT(MAX(ROW(E$2:E3439)*(E3439=E$2:E3439)))))-COUNTBLANK(OFFSET(A$1,,,SUMPRODUCT(MAX(ROW(E$1:E3438)*(E2=E$1:E3438))))))</f>
        <v> </v>
      </c>
      <c r="K3439" s="26" t="str">
        <f>IF(OR(E3439="",E3439="!!!",F3439="NEW"),"",INDEX(J$1:J3438,SUMPRODUCT(MAX(ROW(E$1:E3438)*(E3439=E$1:E3438)))))</f>
        <v> </v>
      </c>
      <c r="L3439" s="27"/>
    </row>
    <row r="3440" spans="1:12">
      <c r="A3440" s="20" t="s">
        <v>1005</v>
      </c>
      <c r="E3440" s="22">
        <f>IF(D3440="?OLD","!!!","")</f>
        <v/>
      </c>
      <c r="F3440" s="23" t="str">
        <f>IF(OR(E3440="",E3440="!!!"),"",IF(NOT(ISNA(VLOOKUP(E3440,E$1:E3439,1,FALSE()))),"OLD",IF(AND(E3440&lt;&gt;"",E3440&lt;&gt;"!!!"),"NEW","")))</f>
        <v> </v>
      </c>
      <c r="G3440" s="24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5" t="str">
        <f>IF(J3440&lt;&gt;1,"",IF(I3440="SBJ","CB","?"))</f>
        <v> </v>
      </c>
      <c r="I3440" s="26" t="str">
        <f>IF(OR(E3440="",E3440="!!!",F3440="NEW"),"",INDEX(B3439:B$2,-1+SUMPRODUCT(MAX(ROW(E3439:E$2)*(E3440=E3439:E$2)))))</f>
        <v> </v>
      </c>
      <c r="J3440" s="26" t="str">
        <f>IF(OR(E3440="",E3440="!!!",F3440="NEW"),"",COUNTBLANK(OFFSET(A$1,,,SUMPRODUCT(MAX(ROW(E$2:E3440)*(E3440=E$2:E3440)))))-COUNTBLANK(OFFSET(A$1,,,SUMPRODUCT(MAX(ROW(E$1:E3439)*(E2=E$1:E3439))))))</f>
        <v> </v>
      </c>
      <c r="K3440" s="26" t="str">
        <f>IF(OR(E3440="",E3440="!!!",F3440="NEW"),"",INDEX(J$1:J3439,SUMPRODUCT(MAX(ROW(E$1:E3439)*(E3440=E$1:E3439)))))</f>
        <v> </v>
      </c>
      <c r="L3440" s="27"/>
    </row>
    <row r="3441" spans="1:12">
      <c r="A3441" s="20" t="s">
        <v>1447</v>
      </c>
      <c r="B3441" s="21" t="s">
        <v>1287</v>
      </c>
      <c r="C3441" s="21" t="s">
        <v>996</v>
      </c>
      <c r="D3441" s="21" t="s">
        <v>972</v>
      </c>
      <c r="E3441" s="22">
        <f>IF(D3441="?OLD","!!!","")</f>
        <v/>
      </c>
      <c r="F3441" s="23" t="str">
        <f>IF(OR(E3441="",E3441="!!!"),"",IF(NOT(ISNA(VLOOKUP(E3441,E$1:E3440,1,FALSE()))),"OLD",IF(AND(E3441&lt;&gt;"",E3441&lt;&gt;"!!!"),"NEW","")))</f>
        <v> </v>
      </c>
      <c r="G3441" s="24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5" t="str">
        <f>IF(J3441&lt;&gt;1,"",IF(I3441="SBJ","CB","?"))</f>
        <v> </v>
      </c>
      <c r="I3441" s="26" t="str">
        <f>IF(OR(E3441="",E3441="!!!",F3441="NEW"),"",INDEX(B3440:B$2,-1+SUMPRODUCT(MAX(ROW(E3440:E$2)*(E3441=E3440:E$2)))))</f>
        <v> </v>
      </c>
      <c r="J3441" s="26" t="str">
        <f>IF(OR(E3441="",E3441="!!!",F3441="NEW"),"",COUNTBLANK(OFFSET(A$1,,,SUMPRODUCT(MAX(ROW(E$2:E3441)*(E3441=E$2:E3441)))))-COUNTBLANK(OFFSET(A$1,,,SUMPRODUCT(MAX(ROW(E$1:E3440)*(E2=E$1:E3440))))))</f>
        <v> </v>
      </c>
      <c r="K3441" s="26" t="str">
        <f>IF(OR(E3441="",E3441="!!!",F3441="NEW"),"",INDEX(J$1:J3440,SUMPRODUCT(MAX(ROW(E$1:E3440)*(E3441=E$1:E3440)))))</f>
        <v> </v>
      </c>
      <c r="L3441" s="27"/>
    </row>
    <row r="3442" spans="1:12">
      <c r="A3442" s="20" t="s">
        <v>2322</v>
      </c>
      <c r="E3442" s="22">
        <f>IF(D3442="?OLD","!!!","")</f>
        <v/>
      </c>
      <c r="F3442" s="23" t="str">
        <f>IF(OR(E3442="",E3442="!!!"),"",IF(NOT(ISNA(VLOOKUP(E3442,E$1:E3441,1,FALSE()))),"OLD",IF(AND(E3442&lt;&gt;"",E3442&lt;&gt;"!!!"),"NEW","")))</f>
        <v> </v>
      </c>
      <c r="G3442" s="24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5" t="str">
        <f>IF(J3442&lt;&gt;1,"",IF(I3442="SBJ","CB","?"))</f>
        <v> </v>
      </c>
      <c r="I3442" s="26" t="str">
        <f>IF(OR(E3442="",E3442="!!!",F3442="NEW"),"",INDEX(B3441:B$2,-1+SUMPRODUCT(MAX(ROW(E3441:E$2)*(E3442=E3441:E$2)))))</f>
        <v> </v>
      </c>
      <c r="J3442" s="26" t="str">
        <f>IF(OR(E3442="",E3442="!!!",F3442="NEW"),"",COUNTBLANK(OFFSET(A$1,,,SUMPRODUCT(MAX(ROW(E$2:E3442)*(E3442=E$2:E3442)))))-COUNTBLANK(OFFSET(A$1,,,SUMPRODUCT(MAX(ROW(E$1:E3441)*(E2=E$1:E3441))))))</f>
        <v> </v>
      </c>
      <c r="K3442" s="26" t="str">
        <f>IF(OR(E3442="",E3442="!!!",F3442="NEW"),"",INDEX(J$1:J3441,SUMPRODUCT(MAX(ROW(E$1:E3441)*(E3442=E$1:E3441)))))</f>
        <v> </v>
      </c>
      <c r="L3442" s="27"/>
    </row>
    <row r="3443" spans="1:12">
      <c r="A3443" s="20" t="s">
        <v>2323</v>
      </c>
      <c r="E3443" s="22">
        <f>IF(D3443="?OLD","!!!","")</f>
        <v/>
      </c>
      <c r="F3443" s="23" t="str">
        <f>IF(OR(E3443="",E3443="!!!"),"",IF(NOT(ISNA(VLOOKUP(E3443,E$1:E3442,1,FALSE()))),"OLD",IF(AND(E3443&lt;&gt;"",E3443&lt;&gt;"!!!"),"NEW","")))</f>
        <v> </v>
      </c>
      <c r="G3443" s="24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5" t="str">
        <f>IF(J3443&lt;&gt;1,"",IF(I3443="SBJ","CB","?"))</f>
        <v> </v>
      </c>
      <c r="I3443" s="26" t="str">
        <f>IF(OR(E3443="",E3443="!!!",F3443="NEW"),"",INDEX(B3442:B$2,-1+SUMPRODUCT(MAX(ROW(E3442:E$2)*(E3443=E3442:E$2)))))</f>
        <v> </v>
      </c>
      <c r="J3443" s="26" t="str">
        <f>IF(OR(E3443="",E3443="!!!",F3443="NEW"),"",COUNTBLANK(OFFSET(A$1,,,SUMPRODUCT(MAX(ROW(E$2:E3443)*(E3443=E$2:E3443)))))-COUNTBLANK(OFFSET(A$1,,,SUMPRODUCT(MAX(ROW(E$1:E3442)*(E2=E$1:E3442))))))</f>
        <v> </v>
      </c>
      <c r="K3443" s="26" t="str">
        <f>IF(OR(E3443="",E3443="!!!",F3443="NEW"),"",INDEX(J$1:J3442,SUMPRODUCT(MAX(ROW(E$1:E3442)*(E3443=E$1:E3442)))))</f>
        <v> </v>
      </c>
      <c r="L3443" s="27"/>
    </row>
    <row r="3444" spans="1:12">
      <c r="A3444" s="20" t="s">
        <v>979</v>
      </c>
      <c r="E3444" s="22">
        <f>IF(D3444="?OLD","!!!","")</f>
        <v/>
      </c>
      <c r="F3444" s="23" t="str">
        <f>IF(OR(E3444="",E3444="!!!"),"",IF(NOT(ISNA(VLOOKUP(E3444,E$1:E3443,1,FALSE()))),"OLD",IF(AND(E3444&lt;&gt;"",E3444&lt;&gt;"!!!"),"NEW","")))</f>
        <v> </v>
      </c>
      <c r="G3444" s="24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5" t="str">
        <f>IF(J3444&lt;&gt;1,"",IF(I3444="SBJ","CB","?"))</f>
        <v> </v>
      </c>
      <c r="I3444" s="26" t="str">
        <f>IF(OR(E3444="",E3444="!!!",F3444="NEW"),"",INDEX(B3443:B$2,-1+SUMPRODUCT(MAX(ROW(E3443:E$2)*(E3444=E3443:E$2)))))</f>
        <v> </v>
      </c>
      <c r="J3444" s="26" t="str">
        <f>IF(OR(E3444="",E3444="!!!",F3444="NEW"),"",COUNTBLANK(OFFSET(A$1,,,SUMPRODUCT(MAX(ROW(E$2:E3444)*(E3444=E$2:E3444)))))-COUNTBLANK(OFFSET(A$1,,,SUMPRODUCT(MAX(ROW(E$1:E3443)*(E2=E$1:E3443))))))</f>
        <v> </v>
      </c>
      <c r="K3444" s="26" t="str">
        <f>IF(OR(E3444="",E3444="!!!",F3444="NEW"),"",INDEX(J$1:J3443,SUMPRODUCT(MAX(ROW(E$1:E3443)*(E3444=E$1:E3443)))))</f>
        <v> </v>
      </c>
      <c r="L3444" s="27"/>
    </row>
    <row r="3445" spans="1:12">
      <c r="A3445" s="20"/>
    </row>
    <row r="3446" spans="1:12">
      <c r="A3446" s="20" t="s">
        <v>2324</v>
      </c>
    </row>
    <row r="3447" spans="1:12">
      <c r="A3447" s="20" t="s">
        <v>1627</v>
      </c>
      <c r="E3447" s="22">
        <f>IF(D3447="?OLD","!!!","")</f>
        <v/>
      </c>
      <c r="F3447" s="23" t="str">
        <f>IF(OR(E3447="",E3447="!!!"),"",IF(NOT(ISNA(VLOOKUP(E3447,E$1:E3446,1,FALSE()))),"OLD",IF(AND(E3447&lt;&gt;"",E3447&lt;&gt;"!!!"),"NEW","")))</f>
        <v> </v>
      </c>
      <c r="G3447" s="24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5" t="str">
        <f>IF(J3447&lt;&gt;1,"",IF(I3447="SBJ","CB","?"))</f>
        <v> </v>
      </c>
      <c r="I3447" s="26" t="str">
        <f>IF(OR(E3447="",E3447="!!!",F3447="NEW"),"",INDEX(B3446:B$2,-1+SUMPRODUCT(MAX(ROW(E3446:E$2)*(E3447=E3446:E$2)))))</f>
        <v> </v>
      </c>
      <c r="J3447" s="26" t="str">
        <f>IF(OR(E3447="",E3447="!!!",F3447="NEW"),"",COUNTBLANK(OFFSET(A$1,,,SUMPRODUCT(MAX(ROW(E$2:E3447)*(E3447=E$2:E3447)))))-COUNTBLANK(OFFSET(A$1,,,SUMPRODUCT(MAX(ROW(E$1:E3446)*(E2=E$1:E3446))))))</f>
        <v> </v>
      </c>
      <c r="K3447" s="26" t="str">
        <f>IF(OR(E3447="",E3447="!!!",F3447="NEW"),"",INDEX(J$1:J3446,SUMPRODUCT(MAX(ROW(E$1:E3446)*(E3447=E$1:E3446)))))</f>
        <v> </v>
      </c>
      <c r="L3447" s="27"/>
    </row>
    <row r="3448" spans="1:12">
      <c r="A3448" s="20" t="s">
        <v>1013</v>
      </c>
      <c r="E3448" s="22">
        <f>IF(D3448="?OLD","!!!","")</f>
        <v/>
      </c>
      <c r="F3448" s="23" t="str">
        <f>IF(OR(E3448="",E3448="!!!"),"",IF(NOT(ISNA(VLOOKUP(E3448,E$1:E3447,1,FALSE()))),"OLD",IF(AND(E3448&lt;&gt;"",E3448&lt;&gt;"!!!"),"NEW","")))</f>
        <v> </v>
      </c>
      <c r="G3448" s="24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5" t="str">
        <f>IF(J3448&lt;&gt;1,"",IF(I3448="SBJ","CB","?"))</f>
        <v> </v>
      </c>
      <c r="I3448" s="26" t="str">
        <f>IF(OR(E3448="",E3448="!!!",F3448="NEW"),"",INDEX(B3447:B$2,-1+SUMPRODUCT(MAX(ROW(E3447:E$2)*(E3448=E3447:E$2)))))</f>
        <v> </v>
      </c>
      <c r="J3448" s="26" t="str">
        <f>IF(OR(E3448="",E3448="!!!",F3448="NEW"),"",COUNTBLANK(OFFSET(A$1,,,SUMPRODUCT(MAX(ROW(E$2:E3448)*(E3448=E$2:E3448)))))-COUNTBLANK(OFFSET(A$1,,,SUMPRODUCT(MAX(ROW(E$1:E3447)*(E2=E$1:E3447))))))</f>
        <v> </v>
      </c>
      <c r="K3448" s="26" t="str">
        <f>IF(OR(E3448="",E3448="!!!",F3448="NEW"),"",INDEX(J$1:J3447,SUMPRODUCT(MAX(ROW(E$1:E3447)*(E3448=E$1:E3447)))))</f>
        <v> </v>
      </c>
      <c r="L3448" s="27"/>
    </row>
    <row r="3449" spans="1:12">
      <c r="A3449" s="20" t="s">
        <v>1112</v>
      </c>
      <c r="B3449" s="21" t="s">
        <v>975</v>
      </c>
      <c r="C3449" s="21" t="s">
        <v>1012</v>
      </c>
      <c r="D3449" s="21" t="s">
        <v>972</v>
      </c>
      <c r="E3449" s="22">
        <f>IF(D3449="?OLD","!!!","")</f>
        <v/>
      </c>
      <c r="F3449" s="23" t="str">
        <f>IF(OR(E3449="",E3449="!!!"),"",IF(NOT(ISNA(VLOOKUP(E3449,E$1:E3448,1,FALSE()))),"OLD",IF(AND(E3449&lt;&gt;"",E3449&lt;&gt;"!!!"),"NEW","")))</f>
        <v> </v>
      </c>
      <c r="G3449" s="24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5" t="str">
        <f>IF(J3449&lt;&gt;1,"",IF(I3449="SBJ","CB","?"))</f>
        <v> </v>
      </c>
      <c r="I3449" s="26" t="str">
        <f>IF(OR(E3449="",E3449="!!!",F3449="NEW"),"",INDEX(B3448:B$2,-1+SUMPRODUCT(MAX(ROW(E3448:E$2)*(E3449=E3448:E$2)))))</f>
        <v> </v>
      </c>
      <c r="J3449" s="26" t="str">
        <f>IF(OR(E3449="",E3449="!!!",F3449="NEW"),"",COUNTBLANK(OFFSET(A$1,,,SUMPRODUCT(MAX(ROW(E$2:E3449)*(E3449=E$2:E3449)))))-COUNTBLANK(OFFSET(A$1,,,SUMPRODUCT(MAX(ROW(E$1:E3448)*(E2=E$1:E3448))))))</f>
        <v> </v>
      </c>
      <c r="K3449" s="26" t="str">
        <f>IF(OR(E3449="",E3449="!!!",F3449="NEW"),"",INDEX(J$1:J3448,SUMPRODUCT(MAX(ROW(E$1:E3448)*(E3449=E$1:E3448)))))</f>
        <v> </v>
      </c>
      <c r="L3449" s="27"/>
    </row>
    <row r="3450" spans="1:12">
      <c r="A3450" s="20" t="s">
        <v>1454</v>
      </c>
      <c r="E3450" s="22">
        <f>IF(D3450="?OLD","!!!","")</f>
        <v/>
      </c>
      <c r="F3450" s="23" t="str">
        <f>IF(OR(E3450="",E3450="!!!"),"",IF(NOT(ISNA(VLOOKUP(E3450,E$1:E3449,1,FALSE()))),"OLD",IF(AND(E3450&lt;&gt;"",E3450&lt;&gt;"!!!"),"NEW","")))</f>
        <v> </v>
      </c>
      <c r="G3450" s="24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5" t="str">
        <f>IF(J3450&lt;&gt;1,"",IF(I3450="SBJ","CB","?"))</f>
        <v> </v>
      </c>
      <c r="I3450" s="26" t="str">
        <f>IF(OR(E3450="",E3450="!!!",F3450="NEW"),"",INDEX(B3449:B$2,-1+SUMPRODUCT(MAX(ROW(E3449:E$2)*(E3450=E3449:E$2)))))</f>
        <v> </v>
      </c>
      <c r="J3450" s="26" t="str">
        <f>IF(OR(E3450="",E3450="!!!",F3450="NEW"),"",COUNTBLANK(OFFSET(A$1,,,SUMPRODUCT(MAX(ROW(E$2:E3450)*(E3450=E$2:E3450)))))-COUNTBLANK(OFFSET(A$1,,,SUMPRODUCT(MAX(ROW(E$1:E3449)*(E2=E$1:E3449))))))</f>
        <v> </v>
      </c>
      <c r="K3450" s="26" t="str">
        <f>IF(OR(E3450="",E3450="!!!",F3450="NEW"),"",INDEX(J$1:J3449,SUMPRODUCT(MAX(ROW(E$1:E3449)*(E3450=E$1:E3449)))))</f>
        <v> </v>
      </c>
      <c r="L3450" s="27"/>
    </row>
    <row r="3451" spans="1:12">
      <c r="A3451" s="20" t="s">
        <v>1150</v>
      </c>
      <c r="E3451" s="22">
        <f>IF(D3451="?OLD","!!!","")</f>
        <v/>
      </c>
      <c r="F3451" s="23" t="str">
        <f>IF(OR(E3451="",E3451="!!!"),"",IF(NOT(ISNA(VLOOKUP(E3451,E$1:E3450,1,FALSE()))),"OLD",IF(AND(E3451&lt;&gt;"",E3451&lt;&gt;"!!!"),"NEW","")))</f>
        <v> </v>
      </c>
      <c r="G3451" s="24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5" t="str">
        <f>IF(J3451&lt;&gt;1,"",IF(I3451="SBJ","CB","?"))</f>
        <v> </v>
      </c>
      <c r="I3451" s="26" t="str">
        <f>IF(OR(E3451="",E3451="!!!",F3451="NEW"),"",INDEX(B3450:B$2,-1+SUMPRODUCT(MAX(ROW(E3450:E$2)*(E3451=E3450:E$2)))))</f>
        <v> </v>
      </c>
      <c r="J3451" s="26" t="str">
        <f>IF(OR(E3451="",E3451="!!!",F3451="NEW"),"",COUNTBLANK(OFFSET(A$1,,,SUMPRODUCT(MAX(ROW(E$2:E3451)*(E3451=E$2:E3451)))))-COUNTBLANK(OFFSET(A$1,,,SUMPRODUCT(MAX(ROW(E$1:E3450)*(E2=E$1:E3450))))))</f>
        <v> </v>
      </c>
      <c r="K3451" s="26" t="str">
        <f>IF(OR(E3451="",E3451="!!!",F3451="NEW"),"",INDEX(J$1:J3450,SUMPRODUCT(MAX(ROW(E$1:E3450)*(E3451=E$1:E3450)))))</f>
        <v> </v>
      </c>
      <c r="L3451" s="27"/>
    </row>
    <row r="3452" spans="1:12">
      <c r="A3452" s="20" t="s">
        <v>2325</v>
      </c>
      <c r="E3452" s="22">
        <f>IF(D3452="?OLD","!!!","")</f>
        <v/>
      </c>
      <c r="F3452" s="23" t="str">
        <f>IF(OR(E3452="",E3452="!!!"),"",IF(NOT(ISNA(VLOOKUP(E3452,E$1:E3451,1,FALSE()))),"OLD",IF(AND(E3452&lt;&gt;"",E3452&lt;&gt;"!!!"),"NEW","")))</f>
        <v> </v>
      </c>
      <c r="G3452" s="24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5" t="str">
        <f>IF(J3452&lt;&gt;1,"",IF(I3452="SBJ","CB","?"))</f>
        <v> </v>
      </c>
      <c r="I3452" s="26" t="str">
        <f>IF(OR(E3452="",E3452="!!!",F3452="NEW"),"",INDEX(B3451:B$2,-1+SUMPRODUCT(MAX(ROW(E3451:E$2)*(E3452=E3451:E$2)))))</f>
        <v> </v>
      </c>
      <c r="J3452" s="26" t="str">
        <f>IF(OR(E3452="",E3452="!!!",F3452="NEW"),"",COUNTBLANK(OFFSET(A$1,,,SUMPRODUCT(MAX(ROW(E$2:E3452)*(E3452=E$2:E3452)))))-COUNTBLANK(OFFSET(A$1,,,SUMPRODUCT(MAX(ROW(E$1:E3451)*(E2=E$1:E3451))))))</f>
        <v> </v>
      </c>
      <c r="K3452" s="26" t="str">
        <f>IF(OR(E3452="",E3452="!!!",F3452="NEW"),"",INDEX(J$1:J3451,SUMPRODUCT(MAX(ROW(E$1:E3451)*(E3452=E$1:E3451)))))</f>
        <v> </v>
      </c>
      <c r="L3452" s="27"/>
    </row>
    <row r="3453" spans="1:12">
      <c r="A3453" s="20" t="s">
        <v>979</v>
      </c>
      <c r="E3453" s="22">
        <f>IF(D3453="?OLD","!!!","")</f>
        <v/>
      </c>
      <c r="F3453" s="23" t="str">
        <f>IF(OR(E3453="",E3453="!!!"),"",IF(NOT(ISNA(VLOOKUP(E3453,E$1:E3452,1,FALSE()))),"OLD",IF(AND(E3453&lt;&gt;"",E3453&lt;&gt;"!!!"),"NEW","")))</f>
        <v> </v>
      </c>
      <c r="G3453" s="24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5" t="str">
        <f>IF(J3453&lt;&gt;1,"",IF(I3453="SBJ","CB","?"))</f>
        <v> </v>
      </c>
      <c r="I3453" s="26" t="str">
        <f>IF(OR(E3453="",E3453="!!!",F3453="NEW"),"",INDEX(B3452:B$2,-1+SUMPRODUCT(MAX(ROW(E3452:E$2)*(E3453=E3452:E$2)))))</f>
        <v> </v>
      </c>
      <c r="J3453" s="26" t="str">
        <f>IF(OR(E3453="",E3453="!!!",F3453="NEW"),"",COUNTBLANK(OFFSET(A$1,,,SUMPRODUCT(MAX(ROW(E$2:E3453)*(E3453=E$2:E3453)))))-COUNTBLANK(OFFSET(A$1,,,SUMPRODUCT(MAX(ROW(E$1:E3452)*(E2=E$1:E3452))))))</f>
        <v> </v>
      </c>
      <c r="K3453" s="26" t="str">
        <f>IF(OR(E3453="",E3453="!!!",F3453="NEW"),"",INDEX(J$1:J3452,SUMPRODUCT(MAX(ROW(E$1:E3452)*(E3453=E$1:E3452)))))</f>
        <v> </v>
      </c>
      <c r="L3453" s="27"/>
    </row>
    <row r="3454" spans="1:12">
      <c r="A3454" s="20"/>
    </row>
    <row r="3455" spans="1:12">
      <c r="A3455" s="20" t="s">
        <v>2326</v>
      </c>
    </row>
    <row r="3456" spans="1:12">
      <c r="A3456" s="20" t="s">
        <v>1348</v>
      </c>
      <c r="B3456" s="21" t="s">
        <v>975</v>
      </c>
      <c r="C3456" s="21" t="s">
        <v>971</v>
      </c>
      <c r="D3456" s="21" t="s">
        <v>972</v>
      </c>
      <c r="E3456" s="22">
        <f>IF(D3456="?OLD","!!!","")</f>
        <v/>
      </c>
      <c r="F3456" s="23" t="str">
        <f>IF(OR(E3456="",E3456="!!!"),"",IF(NOT(ISNA(VLOOKUP(E3456,E$1:E3455,1,FALSE()))),"OLD",IF(AND(E3456&lt;&gt;"",E3456&lt;&gt;"!!!"),"NEW","")))</f>
        <v> </v>
      </c>
      <c r="G3456" s="24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5" t="str">
        <f>IF(J3456&lt;&gt;1,"",IF(I3456="SBJ","CB","?"))</f>
        <v> </v>
      </c>
      <c r="I3456" s="26" t="str">
        <f>IF(OR(E3456="",E3456="!!!",F3456="NEW"),"",INDEX(B3455:B$2,-1+SUMPRODUCT(MAX(ROW(E3455:E$2)*(E3456=E3455:E$2)))))</f>
        <v> </v>
      </c>
      <c r="J3456" s="26" t="str">
        <f>IF(OR(E3456="",E3456="!!!",F3456="NEW"),"",COUNTBLANK(OFFSET(A$1,,,SUMPRODUCT(MAX(ROW(E$2:E3456)*(E3456=E$2:E3456)))))-COUNTBLANK(OFFSET(A$1,,,SUMPRODUCT(MAX(ROW(E$1:E3455)*(E2=E$1:E3455))))))</f>
        <v> </v>
      </c>
      <c r="K3456" s="26" t="str">
        <f>IF(OR(E3456="",E3456="!!!",F3456="NEW"),"",INDEX(J$1:J3455,SUMPRODUCT(MAX(ROW(E$1:E3455)*(E3456=E$1:E3455)))))</f>
        <v> </v>
      </c>
      <c r="L3456" s="27"/>
    </row>
    <row r="3457" spans="1:12">
      <c r="A3457" s="20" t="s">
        <v>2327</v>
      </c>
      <c r="E3457" s="22">
        <f>IF(D3457="?OLD","!!!","")</f>
        <v/>
      </c>
      <c r="F3457" s="23" t="str">
        <f>IF(OR(E3457="",E3457="!!!"),"",IF(NOT(ISNA(VLOOKUP(E3457,E$1:E3456,1,FALSE()))),"OLD",IF(AND(E3457&lt;&gt;"",E3457&lt;&gt;"!!!"),"NEW","")))</f>
        <v> </v>
      </c>
      <c r="G3457" s="24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5" t="str">
        <f>IF(J3457&lt;&gt;1,"",IF(I3457="SBJ","CB","?"))</f>
        <v> </v>
      </c>
      <c r="I3457" s="26" t="str">
        <f>IF(OR(E3457="",E3457="!!!",F3457="NEW"),"",INDEX(B3456:B$2,-1+SUMPRODUCT(MAX(ROW(E3456:E$2)*(E3457=E3456:E$2)))))</f>
        <v> </v>
      </c>
      <c r="J3457" s="26" t="str">
        <f>IF(OR(E3457="",E3457="!!!",F3457="NEW"),"",COUNTBLANK(OFFSET(A$1,,,SUMPRODUCT(MAX(ROW(E$2:E3457)*(E3457=E$2:E3457)))))-COUNTBLANK(OFFSET(A$1,,,SUMPRODUCT(MAX(ROW(E$1:E3456)*(E2=E$1:E3456))))))</f>
        <v> </v>
      </c>
      <c r="K3457" s="26" t="str">
        <f>IF(OR(E3457="",E3457="!!!",F3457="NEW"),"",INDEX(J$1:J3456,SUMPRODUCT(MAX(ROW(E$1:E3456)*(E3457=E$1:E3456)))))</f>
        <v> </v>
      </c>
      <c r="L3457" s="27"/>
    </row>
    <row r="3458" spans="1:12">
      <c r="A3458" s="20" t="s">
        <v>2091</v>
      </c>
      <c r="E3458" s="22">
        <f>IF(D3458="?OLD","!!!","")</f>
        <v/>
      </c>
      <c r="F3458" s="23" t="str">
        <f>IF(OR(E3458="",E3458="!!!"),"",IF(NOT(ISNA(VLOOKUP(E3458,E$1:E3457,1,FALSE()))),"OLD",IF(AND(E3458&lt;&gt;"",E3458&lt;&gt;"!!!"),"NEW","")))</f>
        <v> </v>
      </c>
      <c r="G3458" s="24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5" t="str">
        <f>IF(J3458&lt;&gt;1,"",IF(I3458="SBJ","CB","?"))</f>
        <v> </v>
      </c>
      <c r="I3458" s="26" t="str">
        <f>IF(OR(E3458="",E3458="!!!",F3458="NEW"),"",INDEX(B3457:B$2,-1+SUMPRODUCT(MAX(ROW(E3457:E$2)*(E3458=E3457:E$2)))))</f>
        <v> </v>
      </c>
      <c r="J3458" s="26" t="str">
        <f>IF(OR(E3458="",E3458="!!!",F3458="NEW"),"",COUNTBLANK(OFFSET(A$1,,,SUMPRODUCT(MAX(ROW(E$2:E3458)*(E3458=E$2:E3458)))))-COUNTBLANK(OFFSET(A$1,,,SUMPRODUCT(MAX(ROW(E$1:E3457)*(E2=E$1:E3457))))))</f>
        <v> </v>
      </c>
      <c r="K3458" s="26" t="str">
        <f>IF(OR(E3458="",E3458="!!!",F3458="NEW"),"",INDEX(J$1:J3457,SUMPRODUCT(MAX(ROW(E$1:E3457)*(E3458=E$1:E3457)))))</f>
        <v> </v>
      </c>
      <c r="L3458" s="27"/>
    </row>
    <row r="3459" spans="1:12">
      <c r="A3459" s="20" t="s">
        <v>1630</v>
      </c>
      <c r="B3459" s="21" t="s">
        <v>970</v>
      </c>
      <c r="C3459" s="21" t="s">
        <v>1100</v>
      </c>
      <c r="D3459" s="21" t="s">
        <v>972</v>
      </c>
      <c r="E3459" s="22">
        <f>IF(D3459="?OLD","!!!","")</f>
        <v/>
      </c>
      <c r="F3459" s="23" t="str">
        <f>IF(OR(E3459="",E3459="!!!"),"",IF(NOT(ISNA(VLOOKUP(E3459,E$1:E3458,1,FALSE()))),"OLD",IF(AND(E3459&lt;&gt;"",E3459&lt;&gt;"!!!"),"NEW","")))</f>
        <v> </v>
      </c>
      <c r="G3459" s="24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5" t="str">
        <f>IF(J3459&lt;&gt;1,"",IF(I3459="SBJ","CB","?"))</f>
        <v> </v>
      </c>
      <c r="I3459" s="26" t="str">
        <f>IF(OR(E3459="",E3459="!!!",F3459="NEW"),"",INDEX(B3458:B$2,-1+SUMPRODUCT(MAX(ROW(E3458:E$2)*(E3459=E3458:E$2)))))</f>
        <v> </v>
      </c>
      <c r="J3459" s="26" t="str">
        <f>IF(OR(E3459="",E3459="!!!",F3459="NEW"),"",COUNTBLANK(OFFSET(A$1,,,SUMPRODUCT(MAX(ROW(E$2:E3459)*(E3459=E$2:E3459)))))-COUNTBLANK(OFFSET(A$1,,,SUMPRODUCT(MAX(ROW(E$1:E3458)*(E2=E$1:E3458))))))</f>
        <v> </v>
      </c>
      <c r="K3459" s="26" t="str">
        <f>IF(OR(E3459="",E3459="!!!",F3459="NEW"),"",INDEX(J$1:J3458,SUMPRODUCT(MAX(ROW(E$1:E3458)*(E3459=E$1:E3458)))))</f>
        <v> </v>
      </c>
      <c r="L3459" s="27"/>
    </row>
    <row r="3460" spans="1:12">
      <c r="A3460" s="20" t="s">
        <v>1005</v>
      </c>
      <c r="E3460" s="22">
        <f>IF(D3460="?OLD","!!!","")</f>
        <v/>
      </c>
      <c r="F3460" s="23" t="str">
        <f>IF(OR(E3460="",E3460="!!!"),"",IF(NOT(ISNA(VLOOKUP(E3460,E$1:E3459,1,FALSE()))),"OLD",IF(AND(E3460&lt;&gt;"",E3460&lt;&gt;"!!!"),"NEW","")))</f>
        <v> </v>
      </c>
      <c r="G3460" s="24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5" t="str">
        <f>IF(J3460&lt;&gt;1,"",IF(I3460="SBJ","CB","?"))</f>
        <v> </v>
      </c>
      <c r="I3460" s="26" t="str">
        <f>IF(OR(E3460="",E3460="!!!",F3460="NEW"),"",INDEX(B3459:B$2,-1+SUMPRODUCT(MAX(ROW(E3459:E$2)*(E3460=E3459:E$2)))))</f>
        <v> </v>
      </c>
      <c r="J3460" s="26" t="str">
        <f>IF(OR(E3460="",E3460="!!!",F3460="NEW"),"",COUNTBLANK(OFFSET(A$1,,,SUMPRODUCT(MAX(ROW(E$2:E3460)*(E3460=E$2:E3460)))))-COUNTBLANK(OFFSET(A$1,,,SUMPRODUCT(MAX(ROW(E$1:E3459)*(E2=E$1:E3459))))))</f>
        <v> </v>
      </c>
      <c r="K3460" s="26" t="str">
        <f>IF(OR(E3460="",E3460="!!!",F3460="NEW"),"",INDEX(J$1:J3459,SUMPRODUCT(MAX(ROW(E$1:E3459)*(E3460=E$1:E3459)))))</f>
        <v> </v>
      </c>
      <c r="L3460" s="27"/>
    </row>
    <row r="3461" spans="1:12">
      <c r="A3461" s="20" t="s">
        <v>2328</v>
      </c>
      <c r="E3461" s="22">
        <f>IF(D3461="?OLD","!!!","")</f>
        <v/>
      </c>
      <c r="F3461" s="23" t="str">
        <f>IF(OR(E3461="",E3461="!!!"),"",IF(NOT(ISNA(VLOOKUP(E3461,E$1:E3460,1,FALSE()))),"OLD",IF(AND(E3461&lt;&gt;"",E3461&lt;&gt;"!!!"),"NEW","")))</f>
        <v> </v>
      </c>
      <c r="G3461" s="24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5" t="str">
        <f>IF(J3461&lt;&gt;1,"",IF(I3461="SBJ","CB","?"))</f>
        <v> </v>
      </c>
      <c r="I3461" s="26" t="str">
        <f>IF(OR(E3461="",E3461="!!!",F3461="NEW"),"",INDEX(B3460:B$2,-1+SUMPRODUCT(MAX(ROW(E3460:E$2)*(E3461=E3460:E$2)))))</f>
        <v> </v>
      </c>
      <c r="J3461" s="26" t="str">
        <f>IF(OR(E3461="",E3461="!!!",F3461="NEW"),"",COUNTBLANK(OFFSET(A$1,,,SUMPRODUCT(MAX(ROW(E$2:E3461)*(E3461=E$2:E3461)))))-COUNTBLANK(OFFSET(A$1,,,SUMPRODUCT(MAX(ROW(E$1:E3460)*(E2=E$1:E3460))))))</f>
        <v> </v>
      </c>
      <c r="K3461" s="26" t="str">
        <f>IF(OR(E3461="",E3461="!!!",F3461="NEW"),"",INDEX(J$1:J3460,SUMPRODUCT(MAX(ROW(E$1:E3460)*(E3461=E$1:E3460)))))</f>
        <v> </v>
      </c>
      <c r="L3461" s="27"/>
    </row>
    <row r="3462" spans="1:12">
      <c r="A3462" s="20" t="s">
        <v>979</v>
      </c>
      <c r="E3462" s="22">
        <f>IF(D3462="?OLD","!!!","")</f>
        <v/>
      </c>
      <c r="F3462" s="23" t="str">
        <f>IF(OR(E3462="",E3462="!!!"),"",IF(NOT(ISNA(VLOOKUP(E3462,E$1:E3461,1,FALSE()))),"OLD",IF(AND(E3462&lt;&gt;"",E3462&lt;&gt;"!!!"),"NEW","")))</f>
        <v> </v>
      </c>
      <c r="G3462" s="24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5" t="str">
        <f>IF(J3462&lt;&gt;1,"",IF(I3462="SBJ","CB","?"))</f>
        <v> </v>
      </c>
      <c r="I3462" s="26" t="str">
        <f>IF(OR(E3462="",E3462="!!!",F3462="NEW"),"",INDEX(B3461:B$2,-1+SUMPRODUCT(MAX(ROW(E3461:E$2)*(E3462=E3461:E$2)))))</f>
        <v> </v>
      </c>
      <c r="J3462" s="26" t="str">
        <f>IF(OR(E3462="",E3462="!!!",F3462="NEW"),"",COUNTBLANK(OFFSET(A$1,,,SUMPRODUCT(MAX(ROW(E$2:E3462)*(E3462=E$2:E3462)))))-COUNTBLANK(OFFSET(A$1,,,SUMPRODUCT(MAX(ROW(E$1:E3461)*(E2=E$1:E3461))))))</f>
        <v> </v>
      </c>
      <c r="K3462" s="26" t="str">
        <f>IF(OR(E3462="",E3462="!!!",F3462="NEW"),"",INDEX(J$1:J3461,SUMPRODUCT(MAX(ROW(E$1:E3461)*(E3462=E$1:E3461)))))</f>
        <v> </v>
      </c>
      <c r="L3462" s="27"/>
    </row>
    <row r="3463" spans="1:12">
      <c r="A3463" s="20"/>
    </row>
    <row r="3464" spans="1:12">
      <c r="A3464" s="20" t="s">
        <v>2329</v>
      </c>
    </row>
    <row r="3465" spans="1:12">
      <c r="A3465" s="20" t="s">
        <v>1155</v>
      </c>
      <c r="B3465" s="21" t="s">
        <v>975</v>
      </c>
      <c r="C3465" s="21" t="s">
        <v>1012</v>
      </c>
      <c r="D3465" s="21" t="s">
        <v>972</v>
      </c>
      <c r="E3465" s="22">
        <f>IF(D3465="?OLD","!!!","")</f>
        <v/>
      </c>
      <c r="F3465" s="23" t="str">
        <f>IF(OR(E3465="",E3465="!!!"),"",IF(NOT(ISNA(VLOOKUP(E3465,E$1:E3464,1,FALSE()))),"OLD",IF(AND(E3465&lt;&gt;"",E3465&lt;&gt;"!!!"),"NEW","")))</f>
        <v> </v>
      </c>
      <c r="G3465" s="24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5" t="str">
        <f>IF(J3465&lt;&gt;1,"",IF(I3465="SBJ","CB","?"))</f>
        <v> </v>
      </c>
      <c r="I3465" s="26" t="str">
        <f>IF(OR(E3465="",E3465="!!!",F3465="NEW"),"",INDEX(B3464:B$2,-1+SUMPRODUCT(MAX(ROW(E3464:E$2)*(E3465=E3464:E$2)))))</f>
        <v> </v>
      </c>
      <c r="J3465" s="26" t="str">
        <f>IF(OR(E3465="",E3465="!!!",F3465="NEW"),"",COUNTBLANK(OFFSET(A$1,,,SUMPRODUCT(MAX(ROW(E$2:E3465)*(E3465=E$2:E3465)))))-COUNTBLANK(OFFSET(A$1,,,SUMPRODUCT(MAX(ROW(E$1:E3464)*(E2=E$1:E3464))))))</f>
        <v> </v>
      </c>
      <c r="K3465" s="26" t="str">
        <f>IF(OR(E3465="",E3465="!!!",F3465="NEW"),"",INDEX(J$1:J3464,SUMPRODUCT(MAX(ROW(E$1:E3464)*(E3465=E$1:E3464)))))</f>
        <v> </v>
      </c>
      <c r="L3465" s="27"/>
    </row>
    <row r="3466" spans="1:12">
      <c r="A3466" s="20" t="s">
        <v>816</v>
      </c>
      <c r="E3466" s="22">
        <f>IF(D3466="?OLD","!!!","")</f>
        <v/>
      </c>
      <c r="F3466" s="23" t="str">
        <f>IF(OR(E3466="",E3466="!!!"),"",IF(NOT(ISNA(VLOOKUP(E3466,E$1:E3465,1,FALSE()))),"OLD",IF(AND(E3466&lt;&gt;"",E3466&lt;&gt;"!!!"),"NEW","")))</f>
        <v> </v>
      </c>
      <c r="G3466" s="24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5" t="str">
        <f>IF(J3466&lt;&gt;1,"",IF(I3466="SBJ","CB","?"))</f>
        <v> </v>
      </c>
      <c r="I3466" s="26" t="str">
        <f>IF(OR(E3466="",E3466="!!!",F3466="NEW"),"",INDEX(B3465:B$2,-1+SUMPRODUCT(MAX(ROW(E3465:E$2)*(E3466=E3465:E$2)))))</f>
        <v> </v>
      </c>
      <c r="J3466" s="26" t="str">
        <f>IF(OR(E3466="",E3466="!!!",F3466="NEW"),"",COUNTBLANK(OFFSET(A$1,,,SUMPRODUCT(MAX(ROW(E$2:E3466)*(E3466=E$2:E3466)))))-COUNTBLANK(OFFSET(A$1,,,SUMPRODUCT(MAX(ROW(E$1:E3465)*(E2=E$1:E3465))))))</f>
        <v> </v>
      </c>
      <c r="K3466" s="26" t="str">
        <f>IF(OR(E3466="",E3466="!!!",F3466="NEW"),"",INDEX(J$1:J3465,SUMPRODUCT(MAX(ROW(E$1:E3465)*(E3466=E$1:E3465)))))</f>
        <v> </v>
      </c>
      <c r="L3466" s="27"/>
    </row>
    <row r="3467" spans="1:12">
      <c r="A3467" s="20" t="s">
        <v>233</v>
      </c>
      <c r="E3467" s="22">
        <f>IF(D3467="?OLD","!!!","")</f>
        <v/>
      </c>
      <c r="F3467" s="23" t="str">
        <f>IF(OR(E3467="",E3467="!!!"),"",IF(NOT(ISNA(VLOOKUP(E3467,E$1:E3466,1,FALSE()))),"OLD",IF(AND(E3467&lt;&gt;"",E3467&lt;&gt;"!!!"),"NEW","")))</f>
        <v> </v>
      </c>
      <c r="G3467" s="24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5" t="str">
        <f>IF(J3467&lt;&gt;1,"",IF(I3467="SBJ","CB","?"))</f>
        <v> </v>
      </c>
      <c r="I3467" s="26" t="str">
        <f>IF(OR(E3467="",E3467="!!!",F3467="NEW"),"",INDEX(B3466:B$2,-1+SUMPRODUCT(MAX(ROW(E3466:E$2)*(E3467=E3466:E$2)))))</f>
        <v> </v>
      </c>
      <c r="J3467" s="26" t="str">
        <f>IF(OR(E3467="",E3467="!!!",F3467="NEW"),"",COUNTBLANK(OFFSET(A$1,,,SUMPRODUCT(MAX(ROW(E$2:E3467)*(E3467=E$2:E3467)))))-COUNTBLANK(OFFSET(A$1,,,SUMPRODUCT(MAX(ROW(E$1:E3466)*(E2=E$1:E3466))))))</f>
        <v> </v>
      </c>
      <c r="K3467" s="26" t="str">
        <f>IF(OR(E3467="",E3467="!!!",F3467="NEW"),"",INDEX(J$1:J3466,SUMPRODUCT(MAX(ROW(E$1:E3466)*(E3467=E$1:E3466)))))</f>
        <v> </v>
      </c>
      <c r="L3467" s="27"/>
    </row>
    <row r="3468" spans="1:12">
      <c r="A3468" s="20" t="s">
        <v>1013</v>
      </c>
      <c r="E3468" s="22">
        <f>IF(D3468="?OLD","!!!","")</f>
        <v/>
      </c>
      <c r="F3468" s="23" t="str">
        <f>IF(OR(E3468="",E3468="!!!"),"",IF(NOT(ISNA(VLOOKUP(E3468,E$1:E3467,1,FALSE()))),"OLD",IF(AND(E3468&lt;&gt;"",E3468&lt;&gt;"!!!"),"NEW","")))</f>
        <v> </v>
      </c>
      <c r="G3468" s="24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5" t="str">
        <f>IF(J3468&lt;&gt;1,"",IF(I3468="SBJ","CB","?"))</f>
        <v> </v>
      </c>
      <c r="I3468" s="26" t="str">
        <f>IF(OR(E3468="",E3468="!!!",F3468="NEW"),"",INDEX(B3467:B$2,-1+SUMPRODUCT(MAX(ROW(E3467:E$2)*(E3468=E3467:E$2)))))</f>
        <v> </v>
      </c>
      <c r="J3468" s="26" t="str">
        <f>IF(OR(E3468="",E3468="!!!",F3468="NEW"),"",COUNTBLANK(OFFSET(A$1,,,SUMPRODUCT(MAX(ROW(E$2:E3468)*(E3468=E$2:E3468)))))-COUNTBLANK(OFFSET(A$1,,,SUMPRODUCT(MAX(ROW(E$1:E3467)*(E2=E$1:E3467))))))</f>
        <v> </v>
      </c>
      <c r="K3468" s="26" t="str">
        <f>IF(OR(E3468="",E3468="!!!",F3468="NEW"),"",INDEX(J$1:J3467,SUMPRODUCT(MAX(ROW(E$1:E3467)*(E3468=E$1:E3467)))))</f>
        <v> </v>
      </c>
      <c r="L3468" s="27"/>
    </row>
    <row r="3469" spans="1:12">
      <c r="A3469" s="20" t="s">
        <v>1005</v>
      </c>
      <c r="E3469" s="22">
        <f>IF(D3469="?OLD","!!!","")</f>
        <v/>
      </c>
      <c r="F3469" s="23" t="str">
        <f>IF(OR(E3469="",E3469="!!!"),"",IF(NOT(ISNA(VLOOKUP(E3469,E$1:E3468,1,FALSE()))),"OLD",IF(AND(E3469&lt;&gt;"",E3469&lt;&gt;"!!!"),"NEW","")))</f>
        <v> </v>
      </c>
      <c r="G3469" s="24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5" t="str">
        <f>IF(J3469&lt;&gt;1,"",IF(I3469="SBJ","CB","?"))</f>
        <v> </v>
      </c>
      <c r="I3469" s="26" t="str">
        <f>IF(OR(E3469="",E3469="!!!",F3469="NEW"),"",INDEX(B3468:B$2,-1+SUMPRODUCT(MAX(ROW(E3468:E$2)*(E3469=E3468:E$2)))))</f>
        <v> </v>
      </c>
      <c r="J3469" s="26" t="str">
        <f>IF(OR(E3469="",E3469="!!!",F3469="NEW"),"",COUNTBLANK(OFFSET(A$1,,,SUMPRODUCT(MAX(ROW(E$2:E3469)*(E3469=E$2:E3469)))))-COUNTBLANK(OFFSET(A$1,,,SUMPRODUCT(MAX(ROW(E$1:E3468)*(E2=E$1:E3468))))))</f>
        <v> </v>
      </c>
      <c r="K3469" s="26" t="str">
        <f>IF(OR(E3469="",E3469="!!!",F3469="NEW"),"",INDEX(J$1:J3468,SUMPRODUCT(MAX(ROW(E$1:E3468)*(E3469=E$1:E3468)))))</f>
        <v> </v>
      </c>
      <c r="L3469" s="27"/>
    </row>
    <row r="3470" spans="1:12">
      <c r="A3470" s="20" t="s">
        <v>1344</v>
      </c>
      <c r="B3470" s="21" t="s">
        <v>1011</v>
      </c>
      <c r="C3470" s="21" t="s">
        <v>1232</v>
      </c>
      <c r="E3470" s="22">
        <f>IF(D3470="?OLD","!!!","")</f>
        <v/>
      </c>
      <c r="F3470" s="23" t="str">
        <f>IF(OR(E3470="",E3470="!!!"),"",IF(NOT(ISNA(VLOOKUP(E3470,E$1:E3469,1,FALSE()))),"OLD",IF(AND(E3470&lt;&gt;"",E3470&lt;&gt;"!!!"),"NEW","")))</f>
        <v> </v>
      </c>
      <c r="G3470" s="24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5" t="str">
        <f>IF(J3470&lt;&gt;1,"",IF(I3470="SBJ","CB","?"))</f>
        <v> </v>
      </c>
      <c r="I3470" s="26" t="str">
        <f>IF(OR(E3470="",E3470="!!!",F3470="NEW"),"",INDEX(B3469:B$2,-1+SUMPRODUCT(MAX(ROW(E3469:E$2)*(E3470=E3469:E$2)))))</f>
        <v> </v>
      </c>
      <c r="J3470" s="26" t="str">
        <f>IF(OR(E3470="",E3470="!!!",F3470="NEW"),"",COUNTBLANK(OFFSET(A$1,,,SUMPRODUCT(MAX(ROW(E$2:E3470)*(E3470=E$2:E3470)))))-COUNTBLANK(OFFSET(A$1,,,SUMPRODUCT(MAX(ROW(E$1:E3469)*(E2=E$1:E3469))))))</f>
        <v> </v>
      </c>
      <c r="K3470" s="26" t="str">
        <f>IF(OR(E3470="",E3470="!!!",F3470="NEW"),"",INDEX(J$1:J3469,SUMPRODUCT(MAX(ROW(E$1:E3469)*(E3470=E$1:E3469)))))</f>
        <v> </v>
      </c>
      <c r="L3470" s="27"/>
    </row>
    <row r="3471" spans="1:12">
      <c r="A3471" s="20" t="s">
        <v>145</v>
      </c>
      <c r="B3471" s="21" t="s">
        <v>1093</v>
      </c>
      <c r="C3471" s="21" t="s">
        <v>971</v>
      </c>
      <c r="D3471" s="21" t="s">
        <v>972</v>
      </c>
      <c r="E3471" s="22">
        <f>IF(D3471="?OLD","!!!","")</f>
        <v/>
      </c>
      <c r="F3471" s="23" t="str">
        <f>IF(OR(E3471="",E3471="!!!"),"",IF(NOT(ISNA(VLOOKUP(E3471,E$1:E3470,1,FALSE()))),"OLD",IF(AND(E3471&lt;&gt;"",E3471&lt;&gt;"!!!"),"NEW","")))</f>
        <v> </v>
      </c>
      <c r="G3471" s="24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5" t="str">
        <f>IF(J3471&lt;&gt;1,"",IF(I3471="SBJ","CB","?"))</f>
        <v> </v>
      </c>
      <c r="I3471" s="26" t="str">
        <f>IF(OR(E3471="",E3471="!!!",F3471="NEW"),"",INDEX(B3470:B$2,-1+SUMPRODUCT(MAX(ROW(E3470:E$2)*(E3471=E3470:E$2)))))</f>
        <v> </v>
      </c>
      <c r="J3471" s="26" t="str">
        <f>IF(OR(E3471="",E3471="!!!",F3471="NEW"),"",COUNTBLANK(OFFSET(A$1,,,SUMPRODUCT(MAX(ROW(E$2:E3471)*(E3471=E$2:E3471)))))-COUNTBLANK(OFFSET(A$1,,,SUMPRODUCT(MAX(ROW(E$1:E3470)*(E2=E$1:E3470))))))</f>
        <v> </v>
      </c>
      <c r="K3471" s="26" t="str">
        <f>IF(OR(E3471="",E3471="!!!",F3471="NEW"),"",INDEX(J$1:J3470,SUMPRODUCT(MAX(ROW(E$1:E3470)*(E3471=E$1:E3470)))))</f>
        <v> </v>
      </c>
      <c r="L3471" s="27"/>
    </row>
    <row r="3472" spans="1:12">
      <c r="A3472" s="20" t="s">
        <v>2330</v>
      </c>
      <c r="E3472" s="22">
        <f>IF(D3472="?OLD","!!!","")</f>
        <v/>
      </c>
      <c r="F3472" s="23" t="str">
        <f>IF(OR(E3472="",E3472="!!!"),"",IF(NOT(ISNA(VLOOKUP(E3472,E$1:E3471,1,FALSE()))),"OLD",IF(AND(E3472&lt;&gt;"",E3472&lt;&gt;"!!!"),"NEW","")))</f>
        <v> </v>
      </c>
      <c r="G3472" s="24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5" t="str">
        <f>IF(J3472&lt;&gt;1,"",IF(I3472="SBJ","CB","?"))</f>
        <v> </v>
      </c>
      <c r="I3472" s="26" t="str">
        <f>IF(OR(E3472="",E3472="!!!",F3472="NEW"),"",INDEX(B3471:B$2,-1+SUMPRODUCT(MAX(ROW(E3471:E$2)*(E3472=E3471:E$2)))))</f>
        <v> </v>
      </c>
      <c r="J3472" s="26" t="str">
        <f>IF(OR(E3472="",E3472="!!!",F3472="NEW"),"",COUNTBLANK(OFFSET(A$1,,,SUMPRODUCT(MAX(ROW(E$2:E3472)*(E3472=E$2:E3472)))))-COUNTBLANK(OFFSET(A$1,,,SUMPRODUCT(MAX(ROW(E$1:E3471)*(E2=E$1:E3471))))))</f>
        <v> </v>
      </c>
      <c r="K3472" s="26" t="str">
        <f>IF(OR(E3472="",E3472="!!!",F3472="NEW"),"",INDEX(J$1:J3471,SUMPRODUCT(MAX(ROW(E$1:E3471)*(E3472=E$1:E3471)))))</f>
        <v> </v>
      </c>
      <c r="L3472" s="27"/>
    </row>
    <row r="3473" spans="1:12">
      <c r="A3473" s="20" t="s">
        <v>688</v>
      </c>
      <c r="E3473" s="22">
        <f>IF(D3473="?OLD","!!!","")</f>
        <v/>
      </c>
      <c r="F3473" s="23" t="str">
        <f>IF(OR(E3473="",E3473="!!!"),"",IF(NOT(ISNA(VLOOKUP(E3473,E$1:E3472,1,FALSE()))),"OLD",IF(AND(E3473&lt;&gt;"",E3473&lt;&gt;"!!!"),"NEW","")))</f>
        <v> </v>
      </c>
      <c r="G3473" s="24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5" t="str">
        <f>IF(J3473&lt;&gt;1,"",IF(I3473="SBJ","CB","?"))</f>
        <v> </v>
      </c>
      <c r="I3473" s="26" t="str">
        <f>IF(OR(E3473="",E3473="!!!",F3473="NEW"),"",INDEX(B3472:B$2,-1+SUMPRODUCT(MAX(ROW(E3472:E$2)*(E3473=E3472:E$2)))))</f>
        <v> </v>
      </c>
      <c r="J3473" s="26" t="str">
        <f>IF(OR(E3473="",E3473="!!!",F3473="NEW"),"",COUNTBLANK(OFFSET(A$1,,,SUMPRODUCT(MAX(ROW(E$2:E3473)*(E3473=E$2:E3473)))))-COUNTBLANK(OFFSET(A$1,,,SUMPRODUCT(MAX(ROW(E$1:E3472)*(E2=E$1:E3472))))))</f>
        <v> </v>
      </c>
      <c r="K3473" s="26" t="str">
        <f>IF(OR(E3473="",E3473="!!!",F3473="NEW"),"",INDEX(J$1:J3472,SUMPRODUCT(MAX(ROW(E$1:E3472)*(E3473=E$1:E3472)))))</f>
        <v> </v>
      </c>
      <c r="L3473" s="27"/>
    </row>
    <row r="3474" spans="1:12">
      <c r="A3474" s="20" t="s">
        <v>1206</v>
      </c>
      <c r="E3474" s="22">
        <f>IF(D3474="?OLD","!!!","")</f>
        <v/>
      </c>
      <c r="F3474" s="23" t="str">
        <f>IF(OR(E3474="",E3474="!!!"),"",IF(NOT(ISNA(VLOOKUP(E3474,E$1:E3473,1,FALSE()))),"OLD",IF(AND(E3474&lt;&gt;"",E3474&lt;&gt;"!!!"),"NEW","")))</f>
        <v> </v>
      </c>
      <c r="G3474" s="24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5" t="str">
        <f>IF(J3474&lt;&gt;1,"",IF(I3474="SBJ","CB","?"))</f>
        <v> </v>
      </c>
      <c r="I3474" s="26" t="str">
        <f>IF(OR(E3474="",E3474="!!!",F3474="NEW"),"",INDEX(B3473:B$2,-1+SUMPRODUCT(MAX(ROW(E3473:E$2)*(E3474=E3473:E$2)))))</f>
        <v> </v>
      </c>
      <c r="J3474" s="26" t="str">
        <f>IF(OR(E3474="",E3474="!!!",F3474="NEW"),"",COUNTBLANK(OFFSET(A$1,,,SUMPRODUCT(MAX(ROW(E$2:E3474)*(E3474=E$2:E3474)))))-COUNTBLANK(OFFSET(A$1,,,SUMPRODUCT(MAX(ROW(E$1:E3473)*(E2=E$1:E3473))))))</f>
        <v> </v>
      </c>
      <c r="K3474" s="26" t="str">
        <f>IF(OR(E3474="",E3474="!!!",F3474="NEW"),"",INDEX(J$1:J3473,SUMPRODUCT(MAX(ROW(E$1:E3473)*(E3474=E$1:E3473)))))</f>
        <v> </v>
      </c>
      <c r="L3474" s="27"/>
    </row>
    <row r="3475" spans="1:12">
      <c r="A3475" s="20" t="s">
        <v>2331</v>
      </c>
      <c r="E3475" s="22">
        <f>IF(D3475="?OLD","!!!","")</f>
        <v/>
      </c>
      <c r="F3475" s="23" t="str">
        <f>IF(OR(E3475="",E3475="!!!"),"",IF(NOT(ISNA(VLOOKUP(E3475,E$1:E3474,1,FALSE()))),"OLD",IF(AND(E3475&lt;&gt;"",E3475&lt;&gt;"!!!"),"NEW","")))</f>
        <v> </v>
      </c>
      <c r="G3475" s="24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5" t="str">
        <f>IF(J3475&lt;&gt;1,"",IF(I3475="SBJ","CB","?"))</f>
        <v> </v>
      </c>
      <c r="I3475" s="26" t="str">
        <f>IF(OR(E3475="",E3475="!!!",F3475="NEW"),"",INDEX(B3474:B$2,-1+SUMPRODUCT(MAX(ROW(E3474:E$2)*(E3475=E3474:E$2)))))</f>
        <v> </v>
      </c>
      <c r="J3475" s="26" t="str">
        <f>IF(OR(E3475="",E3475="!!!",F3475="NEW"),"",COUNTBLANK(OFFSET(A$1,,,SUMPRODUCT(MAX(ROW(E$2:E3475)*(E3475=E$2:E3475)))))-COUNTBLANK(OFFSET(A$1,,,SUMPRODUCT(MAX(ROW(E$1:E3474)*(E2=E$1:E3474))))))</f>
        <v> </v>
      </c>
      <c r="K3475" s="26" t="str">
        <f>IF(OR(E3475="",E3475="!!!",F3475="NEW"),"",INDEX(J$1:J3474,SUMPRODUCT(MAX(ROW(E$1:E3474)*(E3475=E$1:E3474)))))</f>
        <v> </v>
      </c>
      <c r="L3475" s="27"/>
    </row>
    <row r="3476" spans="1:12">
      <c r="A3476" s="20" t="s">
        <v>2332</v>
      </c>
      <c r="E3476" s="22">
        <f>IF(D3476="?OLD","!!!","")</f>
        <v/>
      </c>
      <c r="F3476" s="23" t="str">
        <f>IF(OR(E3476="",E3476="!!!"),"",IF(NOT(ISNA(VLOOKUP(E3476,E$1:E3475,1,FALSE()))),"OLD",IF(AND(E3476&lt;&gt;"",E3476&lt;&gt;"!!!"),"NEW","")))</f>
        <v> </v>
      </c>
      <c r="G3476" s="24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5" t="str">
        <f>IF(J3476&lt;&gt;1,"",IF(I3476="SBJ","CB","?"))</f>
        <v> </v>
      </c>
      <c r="I3476" s="26" t="str">
        <f>IF(OR(E3476="",E3476="!!!",F3476="NEW"),"",INDEX(B3475:B$2,-1+SUMPRODUCT(MAX(ROW(E3475:E$2)*(E3476=E3475:E$2)))))</f>
        <v> </v>
      </c>
      <c r="J3476" s="26" t="str">
        <f>IF(OR(E3476="",E3476="!!!",F3476="NEW"),"",COUNTBLANK(OFFSET(A$1,,,SUMPRODUCT(MAX(ROW(E$2:E3476)*(E3476=E$2:E3476)))))-COUNTBLANK(OFFSET(A$1,,,SUMPRODUCT(MAX(ROW(E$1:E3475)*(E2=E$1:E3475))))))</f>
        <v> </v>
      </c>
      <c r="K3476" s="26" t="str">
        <f>IF(OR(E3476="",E3476="!!!",F3476="NEW"),"",INDEX(J$1:J3475,SUMPRODUCT(MAX(ROW(E$1:E3475)*(E3476=E$1:E3475)))))</f>
        <v> </v>
      </c>
      <c r="L3476" s="27"/>
    </row>
    <row r="3477" spans="1:12">
      <c r="A3477" s="20" t="s">
        <v>979</v>
      </c>
      <c r="E3477" s="22">
        <f>IF(D3477="?OLD","!!!","")</f>
        <v/>
      </c>
      <c r="F3477" s="23" t="str">
        <f>IF(OR(E3477="",E3477="!!!"),"",IF(NOT(ISNA(VLOOKUP(E3477,E$1:E3476,1,FALSE()))),"OLD",IF(AND(E3477&lt;&gt;"",E3477&lt;&gt;"!!!"),"NEW","")))</f>
        <v> </v>
      </c>
      <c r="G3477" s="24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5" t="str">
        <f>IF(J3477&lt;&gt;1,"",IF(I3477="SBJ","CB","?"))</f>
        <v> </v>
      </c>
      <c r="I3477" s="26" t="str">
        <f>IF(OR(E3477="",E3477="!!!",F3477="NEW"),"",INDEX(B3476:B$2,-1+SUMPRODUCT(MAX(ROW(E3476:E$2)*(E3477=E3476:E$2)))))</f>
        <v> </v>
      </c>
      <c r="J3477" s="26" t="str">
        <f>IF(OR(E3477="",E3477="!!!",F3477="NEW"),"",COUNTBLANK(OFFSET(A$1,,,SUMPRODUCT(MAX(ROW(E$2:E3477)*(E3477=E$2:E3477)))))-COUNTBLANK(OFFSET(A$1,,,SUMPRODUCT(MAX(ROW(E$1:E3476)*(E2=E$1:E3476))))))</f>
        <v> </v>
      </c>
      <c r="K3477" s="26" t="str">
        <f>IF(OR(E3477="",E3477="!!!",F3477="NEW"),"",INDEX(J$1:J3476,SUMPRODUCT(MAX(ROW(E$1:E3476)*(E3477=E$1:E3476)))))</f>
        <v> </v>
      </c>
      <c r="L3477" s="27"/>
    </row>
    <row r="3478" spans="1:12">
      <c r="A3478" s="20"/>
    </row>
    <row r="3479" spans="1:12">
      <c r="A3479" s="20" t="s">
        <v>2333</v>
      </c>
    </row>
    <row r="3480" spans="1:12">
      <c r="A3480" s="20" t="s">
        <v>2334</v>
      </c>
      <c r="B3480" s="21" t="s">
        <v>975</v>
      </c>
      <c r="E3480" s="22">
        <f>IF(D3480="?OLD","!!!","")</f>
        <v/>
      </c>
      <c r="F3480" s="23" t="str">
        <f>IF(OR(E3480="",E3480="!!!"),"",IF(NOT(ISNA(VLOOKUP(E3480,E$1:E3479,1,FALSE()))),"OLD",IF(AND(E3480&lt;&gt;"",E3480&lt;&gt;"!!!"),"NEW","")))</f>
        <v> </v>
      </c>
      <c r="G3480" s="24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5" t="str">
        <f>IF(J3480&lt;&gt;1,"",IF(I3480="SBJ","CB","?"))</f>
        <v> </v>
      </c>
      <c r="I3480" s="26" t="str">
        <f>IF(OR(E3480="",E3480="!!!",F3480="NEW"),"",INDEX(B3479:B$2,-1+SUMPRODUCT(MAX(ROW(E3479:E$2)*(E3480=E3479:E$2)))))</f>
        <v> </v>
      </c>
      <c r="J3480" s="26" t="str">
        <f>IF(OR(E3480="",E3480="!!!",F3480="NEW"),"",COUNTBLANK(OFFSET(A$1,,,SUMPRODUCT(MAX(ROW(E$2:E3480)*(E3480=E$2:E3480)))))-COUNTBLANK(OFFSET(A$1,,,SUMPRODUCT(MAX(ROW(E$1:E3479)*(E2=E$1:E3479))))))</f>
        <v> </v>
      </c>
      <c r="K3480" s="26" t="str">
        <f>IF(OR(E3480="",E3480="!!!",F3480="NEW"),"",INDEX(J$1:J3479,SUMPRODUCT(MAX(ROW(E$1:E3479)*(E3480=E$1:E3479)))))</f>
        <v> </v>
      </c>
      <c r="L3480" s="27"/>
    </row>
    <row r="3481" spans="1:12">
      <c r="A3481" s="20" t="s">
        <v>2332</v>
      </c>
      <c r="E3481" s="22">
        <f>IF(D3481="?OLD","!!!","")</f>
        <v/>
      </c>
      <c r="F3481" s="23" t="str">
        <f>IF(OR(E3481="",E3481="!!!"),"",IF(NOT(ISNA(VLOOKUP(E3481,E$1:E3480,1,FALSE()))),"OLD",IF(AND(E3481&lt;&gt;"",E3481&lt;&gt;"!!!"),"NEW","")))</f>
        <v> </v>
      </c>
      <c r="G3481" s="24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5" t="str">
        <f>IF(J3481&lt;&gt;1,"",IF(I3481="SBJ","CB","?"))</f>
        <v> </v>
      </c>
      <c r="I3481" s="26" t="str">
        <f>IF(OR(E3481="",E3481="!!!",F3481="NEW"),"",INDEX(B3480:B$2,-1+SUMPRODUCT(MAX(ROW(E3480:E$2)*(E3481=E3480:E$2)))))</f>
        <v> </v>
      </c>
      <c r="J3481" s="26" t="str">
        <f>IF(OR(E3481="",E3481="!!!",F3481="NEW"),"",COUNTBLANK(OFFSET(A$1,,,SUMPRODUCT(MAX(ROW(E$2:E3481)*(E3481=E$2:E3481)))))-COUNTBLANK(OFFSET(A$1,,,SUMPRODUCT(MAX(ROW(E$1:E3480)*(E2=E$1:E3480))))))</f>
        <v> </v>
      </c>
      <c r="K3481" s="26" t="str">
        <f>IF(OR(E3481="",E3481="!!!",F3481="NEW"),"",INDEX(J$1:J3480,SUMPRODUCT(MAX(ROW(E$1:E3480)*(E3481=E$1:E3480)))))</f>
        <v> </v>
      </c>
      <c r="L3481" s="27"/>
    </row>
    <row r="3482" spans="1:12">
      <c r="A3482" s="20" t="s">
        <v>2335</v>
      </c>
      <c r="E3482" s="22">
        <f>IF(D3482="?OLD","!!!","")</f>
        <v/>
      </c>
      <c r="F3482" s="23" t="str">
        <f>IF(OR(E3482="",E3482="!!!"),"",IF(NOT(ISNA(VLOOKUP(E3482,E$1:E3481,1,FALSE()))),"OLD",IF(AND(E3482&lt;&gt;"",E3482&lt;&gt;"!!!"),"NEW","")))</f>
        <v> </v>
      </c>
      <c r="G3482" s="24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5" t="str">
        <f>IF(J3482&lt;&gt;1,"",IF(I3482="SBJ","CB","?"))</f>
        <v> </v>
      </c>
      <c r="I3482" s="26" t="str">
        <f>IF(OR(E3482="",E3482="!!!",F3482="NEW"),"",INDEX(B3481:B$2,-1+SUMPRODUCT(MAX(ROW(E3481:E$2)*(E3482=E3481:E$2)))))</f>
        <v> </v>
      </c>
      <c r="J3482" s="26" t="str">
        <f>IF(OR(E3482="",E3482="!!!",F3482="NEW"),"",COUNTBLANK(OFFSET(A$1,,,SUMPRODUCT(MAX(ROW(E$2:E3482)*(E3482=E$2:E3482)))))-COUNTBLANK(OFFSET(A$1,,,SUMPRODUCT(MAX(ROW(E$1:E3481)*(E2=E$1:E3481))))))</f>
        <v> </v>
      </c>
      <c r="K3482" s="26" t="str">
        <f>IF(OR(E3482="",E3482="!!!",F3482="NEW"),"",INDEX(J$1:J3481,SUMPRODUCT(MAX(ROW(E$1:E3481)*(E3482=E$1:E3481)))))</f>
        <v> </v>
      </c>
      <c r="L3482" s="27"/>
    </row>
    <row r="3483" spans="1:12">
      <c r="A3483" s="20" t="s">
        <v>1013</v>
      </c>
      <c r="E3483" s="22">
        <f>IF(D3483="?OLD","!!!","")</f>
        <v/>
      </c>
      <c r="F3483" s="23" t="str">
        <f>IF(OR(E3483="",E3483="!!!"),"",IF(NOT(ISNA(VLOOKUP(E3483,E$1:E3482,1,FALSE()))),"OLD",IF(AND(E3483&lt;&gt;"",E3483&lt;&gt;"!!!"),"NEW","")))</f>
        <v> </v>
      </c>
      <c r="G3483" s="24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5" t="str">
        <f>IF(J3483&lt;&gt;1,"",IF(I3483="SBJ","CB","?"))</f>
        <v> </v>
      </c>
      <c r="I3483" s="26" t="str">
        <f>IF(OR(E3483="",E3483="!!!",F3483="NEW"),"",INDEX(B3482:B$2,-1+SUMPRODUCT(MAX(ROW(E3482:E$2)*(E3483=E3482:E$2)))))</f>
        <v> </v>
      </c>
      <c r="J3483" s="26" t="str">
        <f>IF(OR(E3483="",E3483="!!!",F3483="NEW"),"",COUNTBLANK(OFFSET(A$1,,,SUMPRODUCT(MAX(ROW(E$2:E3483)*(E3483=E$2:E3483)))))-COUNTBLANK(OFFSET(A$1,,,SUMPRODUCT(MAX(ROW(E$1:E3482)*(E2=E$1:E3482))))))</f>
        <v> </v>
      </c>
      <c r="K3483" s="26" t="str">
        <f>IF(OR(E3483="",E3483="!!!",F3483="NEW"),"",INDEX(J$1:J3482,SUMPRODUCT(MAX(ROW(E$1:E3482)*(E3483=E$1:E3482)))))</f>
        <v> </v>
      </c>
      <c r="L3483" s="27"/>
    </row>
    <row r="3484" spans="1:12">
      <c r="A3484" s="20" t="s">
        <v>1205</v>
      </c>
      <c r="E3484" s="22">
        <f>IF(D3484="?OLD","!!!","")</f>
        <v/>
      </c>
      <c r="F3484" s="23" t="str">
        <f>IF(OR(E3484="",E3484="!!!"),"",IF(NOT(ISNA(VLOOKUP(E3484,E$1:E3483,1,FALSE()))),"OLD",IF(AND(E3484&lt;&gt;"",E3484&lt;&gt;"!!!"),"NEW","")))</f>
        <v> </v>
      </c>
      <c r="G3484" s="24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5" t="str">
        <f>IF(J3484&lt;&gt;1,"",IF(I3484="SBJ","CB","?"))</f>
        <v> </v>
      </c>
      <c r="I3484" s="26" t="str">
        <f>IF(OR(E3484="",E3484="!!!",F3484="NEW"),"",INDEX(B3483:B$2,-1+SUMPRODUCT(MAX(ROW(E3483:E$2)*(E3484=E3483:E$2)))))</f>
        <v> </v>
      </c>
      <c r="J3484" s="26" t="str">
        <f>IF(OR(E3484="",E3484="!!!",F3484="NEW"),"",COUNTBLANK(OFFSET(A$1,,,SUMPRODUCT(MAX(ROW(E$2:E3484)*(E3484=E$2:E3484)))))-COUNTBLANK(OFFSET(A$1,,,SUMPRODUCT(MAX(ROW(E$1:E3483)*(E2=E$1:E3483))))))</f>
        <v> </v>
      </c>
      <c r="K3484" s="26" t="str">
        <f>IF(OR(E3484="",E3484="!!!",F3484="NEW"),"",INDEX(J$1:J3483,SUMPRODUCT(MAX(ROW(E$1:E3483)*(E3484=E$1:E3483)))))</f>
        <v> </v>
      </c>
      <c r="L3484" s="27"/>
    </row>
    <row r="3485" spans="1:12">
      <c r="A3485" s="20" t="s">
        <v>400</v>
      </c>
      <c r="B3485" s="21" t="s">
        <v>1101</v>
      </c>
      <c r="C3485" s="21" t="s">
        <v>971</v>
      </c>
      <c r="D3485" s="21" t="s">
        <v>972</v>
      </c>
      <c r="E3485" s="22">
        <f>IF(D3485="?OLD","!!!","")</f>
        <v/>
      </c>
      <c r="F3485" s="23" t="str">
        <f>IF(OR(E3485="",E3485="!!!"),"",IF(NOT(ISNA(VLOOKUP(E3485,E$1:E3484,1,FALSE()))),"OLD",IF(AND(E3485&lt;&gt;"",E3485&lt;&gt;"!!!"),"NEW","")))</f>
        <v> </v>
      </c>
      <c r="G3485" s="24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5" t="str">
        <f>IF(J3485&lt;&gt;1,"",IF(I3485="SBJ","CB","?"))</f>
        <v> </v>
      </c>
      <c r="I3485" s="26" t="str">
        <f>IF(OR(E3485="",E3485="!!!",F3485="NEW"),"",INDEX(B3484:B$2,-1+SUMPRODUCT(MAX(ROW(E3484:E$2)*(E3485=E3484:E$2)))))</f>
        <v> </v>
      </c>
      <c r="J3485" s="26" t="str">
        <f>IF(OR(E3485="",E3485="!!!",F3485="NEW"),"",COUNTBLANK(OFFSET(A$1,,,SUMPRODUCT(MAX(ROW(E$2:E3485)*(E3485=E$2:E3485)))))-COUNTBLANK(OFFSET(A$1,,,SUMPRODUCT(MAX(ROW(E$1:E3484)*(E2=E$1:E3484))))))</f>
        <v> </v>
      </c>
      <c r="K3485" s="26" t="str">
        <f>IF(OR(E3485="",E3485="!!!",F3485="NEW"),"",INDEX(J$1:J3484,SUMPRODUCT(MAX(ROW(E$1:E3484)*(E3485=E$1:E3484)))))</f>
        <v> </v>
      </c>
      <c r="L3485" s="27"/>
    </row>
    <row r="3486" spans="1:12">
      <c r="A3486" s="20" t="s">
        <v>2336</v>
      </c>
      <c r="E3486" s="22">
        <f>IF(D3486="?OLD","!!!","")</f>
        <v/>
      </c>
      <c r="F3486" s="23" t="str">
        <f>IF(OR(E3486="",E3486="!!!"),"",IF(NOT(ISNA(VLOOKUP(E3486,E$1:E3485,1,FALSE()))),"OLD",IF(AND(E3486&lt;&gt;"",E3486&lt;&gt;"!!!"),"NEW","")))</f>
        <v> </v>
      </c>
      <c r="G3486" s="24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5" t="str">
        <f>IF(J3486&lt;&gt;1,"",IF(I3486="SBJ","CB","?"))</f>
        <v> </v>
      </c>
      <c r="I3486" s="26" t="str">
        <f>IF(OR(E3486="",E3486="!!!",F3486="NEW"),"",INDEX(B3485:B$2,-1+SUMPRODUCT(MAX(ROW(E3485:E$2)*(E3486=E3485:E$2)))))</f>
        <v> </v>
      </c>
      <c r="J3486" s="26" t="str">
        <f>IF(OR(E3486="",E3486="!!!",F3486="NEW"),"",COUNTBLANK(OFFSET(A$1,,,SUMPRODUCT(MAX(ROW(E$2:E3486)*(E3486=E$2:E3486)))))-COUNTBLANK(OFFSET(A$1,,,SUMPRODUCT(MAX(ROW(E$1:E3485)*(E2=E$1:E3485))))))</f>
        <v> </v>
      </c>
      <c r="K3486" s="26" t="str">
        <f>IF(OR(E3486="",E3486="!!!",F3486="NEW"),"",INDEX(J$1:J3485,SUMPRODUCT(MAX(ROW(E$1:E3485)*(E3486=E$1:E3485)))))</f>
        <v> </v>
      </c>
      <c r="L3486" s="27"/>
    </row>
    <row r="3487" spans="1:12">
      <c r="A3487" s="20" t="s">
        <v>2337</v>
      </c>
      <c r="E3487" s="22">
        <f>IF(D3487="?OLD","!!!","")</f>
        <v/>
      </c>
      <c r="F3487" s="23" t="str">
        <f>IF(OR(E3487="",E3487="!!!"),"",IF(NOT(ISNA(VLOOKUP(E3487,E$1:E3486,1,FALSE()))),"OLD",IF(AND(E3487&lt;&gt;"",E3487&lt;&gt;"!!!"),"NEW","")))</f>
        <v> </v>
      </c>
      <c r="G3487" s="24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5" t="str">
        <f>IF(J3487&lt;&gt;1,"",IF(I3487="SBJ","CB","?"))</f>
        <v> </v>
      </c>
      <c r="I3487" s="26" t="str">
        <f>IF(OR(E3487="",E3487="!!!",F3487="NEW"),"",INDEX(B3486:B$2,-1+SUMPRODUCT(MAX(ROW(E3486:E$2)*(E3487=E3486:E$2)))))</f>
        <v> </v>
      </c>
      <c r="J3487" s="26" t="str">
        <f>IF(OR(E3487="",E3487="!!!",F3487="NEW"),"",COUNTBLANK(OFFSET(A$1,,,SUMPRODUCT(MAX(ROW(E$2:E3487)*(E3487=E$2:E3487)))))-COUNTBLANK(OFFSET(A$1,,,SUMPRODUCT(MAX(ROW(E$1:E3486)*(E2=E$1:E3486))))))</f>
        <v> </v>
      </c>
      <c r="K3487" s="26" t="str">
        <f>IF(OR(E3487="",E3487="!!!",F3487="NEW"),"",INDEX(J$1:J3486,SUMPRODUCT(MAX(ROW(E$1:E3486)*(E3487=E$1:E3486)))))</f>
        <v> </v>
      </c>
      <c r="L3487" s="27"/>
    </row>
    <row r="3488" spans="1:12">
      <c r="A3488" s="20" t="s">
        <v>378</v>
      </c>
      <c r="B3488" s="21" t="s">
        <v>1087</v>
      </c>
      <c r="E3488" s="22">
        <f>IF(D3488="?OLD","!!!","")</f>
        <v/>
      </c>
      <c r="F3488" s="23" t="str">
        <f>IF(OR(E3488="",E3488="!!!"),"",IF(NOT(ISNA(VLOOKUP(E3488,E$1:E3487,1,FALSE()))),"OLD",IF(AND(E3488&lt;&gt;"",E3488&lt;&gt;"!!!"),"NEW","")))</f>
        <v> </v>
      </c>
      <c r="G3488" s="24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5" t="str">
        <f>IF(J3488&lt;&gt;1,"",IF(I3488="SBJ","CB","?"))</f>
        <v> </v>
      </c>
      <c r="I3488" s="26" t="str">
        <f>IF(OR(E3488="",E3488="!!!",F3488="NEW"),"",INDEX(B3487:B$2,-1+SUMPRODUCT(MAX(ROW(E3487:E$2)*(E3488=E3487:E$2)))))</f>
        <v> </v>
      </c>
      <c r="J3488" s="26" t="str">
        <f>IF(OR(E3488="",E3488="!!!",F3488="NEW"),"",COUNTBLANK(OFFSET(A$1,,,SUMPRODUCT(MAX(ROW(E$2:E3488)*(E3488=E$2:E3488)))))-COUNTBLANK(OFFSET(A$1,,,SUMPRODUCT(MAX(ROW(E$1:E3487)*(E2=E$1:E3487))))))</f>
        <v> </v>
      </c>
      <c r="K3488" s="26" t="str">
        <f>IF(OR(E3488="",E3488="!!!",F3488="NEW"),"",INDEX(J$1:J3487,SUMPRODUCT(MAX(ROW(E$1:E3487)*(E3488=E$1:E3487)))))</f>
        <v> </v>
      </c>
      <c r="L3488" s="27"/>
    </row>
    <row r="3489" spans="1:12">
      <c r="A3489" s="20" t="s">
        <v>816</v>
      </c>
      <c r="E3489" s="22">
        <f>IF(D3489="?OLD","!!!","")</f>
        <v/>
      </c>
      <c r="F3489" s="23" t="str">
        <f>IF(OR(E3489="",E3489="!!!"),"",IF(NOT(ISNA(VLOOKUP(E3489,E$1:E3488,1,FALSE()))),"OLD",IF(AND(E3489&lt;&gt;"",E3489&lt;&gt;"!!!"),"NEW","")))</f>
        <v> </v>
      </c>
      <c r="G3489" s="24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5" t="str">
        <f>IF(J3489&lt;&gt;1,"",IF(I3489="SBJ","CB","?"))</f>
        <v> </v>
      </c>
      <c r="I3489" s="26" t="str">
        <f>IF(OR(E3489="",E3489="!!!",F3489="NEW"),"",INDEX(B3488:B$2,-1+SUMPRODUCT(MAX(ROW(E3488:E$2)*(E3489=E3488:E$2)))))</f>
        <v> </v>
      </c>
      <c r="J3489" s="26" t="str">
        <f>IF(OR(E3489="",E3489="!!!",F3489="NEW"),"",COUNTBLANK(OFFSET(A$1,,,SUMPRODUCT(MAX(ROW(E$2:E3489)*(E3489=E$2:E3489)))))-COUNTBLANK(OFFSET(A$1,,,SUMPRODUCT(MAX(ROW(E$1:E3488)*(E2=E$1:E3488))))))</f>
        <v> </v>
      </c>
      <c r="K3489" s="26" t="str">
        <f>IF(OR(E3489="",E3489="!!!",F3489="NEW"),"",INDEX(J$1:J3488,SUMPRODUCT(MAX(ROW(E$1:E3488)*(E3489=E$1:E3488)))))</f>
        <v> </v>
      </c>
      <c r="L3489" s="27"/>
    </row>
    <row r="3490" spans="1:12">
      <c r="A3490" s="20" t="s">
        <v>2338</v>
      </c>
      <c r="E3490" s="22">
        <f>IF(D3490="?OLD","!!!","")</f>
        <v/>
      </c>
      <c r="F3490" s="23" t="str">
        <f>IF(OR(E3490="",E3490="!!!"),"",IF(NOT(ISNA(VLOOKUP(E3490,E$1:E3489,1,FALSE()))),"OLD",IF(AND(E3490&lt;&gt;"",E3490&lt;&gt;"!!!"),"NEW","")))</f>
        <v> </v>
      </c>
      <c r="G3490" s="24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5" t="str">
        <f>IF(J3490&lt;&gt;1,"",IF(I3490="SBJ","CB","?"))</f>
        <v> </v>
      </c>
      <c r="I3490" s="26" t="str">
        <f>IF(OR(E3490="",E3490="!!!",F3490="NEW"),"",INDEX(B3489:B$2,-1+SUMPRODUCT(MAX(ROW(E3489:E$2)*(E3490=E3489:E$2)))))</f>
        <v> </v>
      </c>
      <c r="J3490" s="26" t="str">
        <f>IF(OR(E3490="",E3490="!!!",F3490="NEW"),"",COUNTBLANK(OFFSET(A$1,,,SUMPRODUCT(MAX(ROW(E$2:E3490)*(E3490=E$2:E3490)))))-COUNTBLANK(OFFSET(A$1,,,SUMPRODUCT(MAX(ROW(E$1:E3489)*(E2=E$1:E3489))))))</f>
        <v> </v>
      </c>
      <c r="K3490" s="26" t="str">
        <f>IF(OR(E3490="",E3490="!!!",F3490="NEW"),"",INDEX(J$1:J3489,SUMPRODUCT(MAX(ROW(E$1:E3489)*(E3490=E$1:E3489)))))</f>
        <v> </v>
      </c>
      <c r="L3490" s="27"/>
    </row>
    <row r="3491" spans="1:12">
      <c r="A3491" s="20" t="s">
        <v>1053</v>
      </c>
      <c r="E3491" s="22">
        <f>IF(D3491="?OLD","!!!","")</f>
        <v/>
      </c>
      <c r="F3491" s="23" t="str">
        <f>IF(OR(E3491="",E3491="!!!"),"",IF(NOT(ISNA(VLOOKUP(E3491,E$1:E3490,1,FALSE()))),"OLD",IF(AND(E3491&lt;&gt;"",E3491&lt;&gt;"!!!"),"NEW","")))</f>
        <v> </v>
      </c>
      <c r="G3491" s="24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5" t="str">
        <f>IF(J3491&lt;&gt;1,"",IF(I3491="SBJ","CB","?"))</f>
        <v> </v>
      </c>
      <c r="I3491" s="26" t="str">
        <f>IF(OR(E3491="",E3491="!!!",F3491="NEW"),"",INDEX(B3490:B$2,-1+SUMPRODUCT(MAX(ROW(E3490:E$2)*(E3491=E3490:E$2)))))</f>
        <v> </v>
      </c>
      <c r="J3491" s="26" t="str">
        <f>IF(OR(E3491="",E3491="!!!",F3491="NEW"),"",COUNTBLANK(OFFSET(A$1,,,SUMPRODUCT(MAX(ROW(E$2:E3491)*(E3491=E$2:E3491)))))-COUNTBLANK(OFFSET(A$1,,,SUMPRODUCT(MAX(ROW(E$1:E3490)*(E2=E$1:E3490))))))</f>
        <v> </v>
      </c>
      <c r="K3491" s="26" t="str">
        <f>IF(OR(E3491="",E3491="!!!",F3491="NEW"),"",INDEX(J$1:J3490,SUMPRODUCT(MAX(ROW(E$1:E3490)*(E3491=E$1:E3490)))))</f>
        <v> </v>
      </c>
      <c r="L3491" s="27"/>
    </row>
    <row r="3492" spans="1:12">
      <c r="A3492" s="20" t="s">
        <v>145</v>
      </c>
      <c r="B3492" s="21" t="s">
        <v>1093</v>
      </c>
      <c r="C3492" s="21" t="s">
        <v>971</v>
      </c>
      <c r="D3492" s="21" t="s">
        <v>972</v>
      </c>
      <c r="E3492" s="22">
        <f>IF(D3492="?OLD","!!!","")</f>
        <v/>
      </c>
      <c r="F3492" s="23" t="str">
        <f>IF(OR(E3492="",E3492="!!!"),"",IF(NOT(ISNA(VLOOKUP(E3492,E$1:E3491,1,FALSE()))),"OLD",IF(AND(E3492&lt;&gt;"",E3492&lt;&gt;"!!!"),"NEW","")))</f>
        <v> </v>
      </c>
      <c r="G3492" s="24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5" t="str">
        <f>IF(J3492&lt;&gt;1,"",IF(I3492="SBJ","CB","?"))</f>
        <v> </v>
      </c>
      <c r="I3492" s="26" t="str">
        <f>IF(OR(E3492="",E3492="!!!",F3492="NEW"),"",INDEX(B3491:B$2,-1+SUMPRODUCT(MAX(ROW(E3491:E$2)*(E3492=E3491:E$2)))))</f>
        <v> </v>
      </c>
      <c r="J3492" s="26" t="str">
        <f>IF(OR(E3492="",E3492="!!!",F3492="NEW"),"",COUNTBLANK(OFFSET(A$1,,,SUMPRODUCT(MAX(ROW(E$2:E3492)*(E3492=E$2:E3492)))))-COUNTBLANK(OFFSET(A$1,,,SUMPRODUCT(MAX(ROW(E$1:E3491)*(E2=E$1:E3491))))))</f>
        <v> </v>
      </c>
      <c r="K3492" s="26" t="str">
        <f>IF(OR(E3492="",E3492="!!!",F3492="NEW"),"",INDEX(J$1:J3491,SUMPRODUCT(MAX(ROW(E$1:E3491)*(E3492=E$1:E3491)))))</f>
        <v> </v>
      </c>
      <c r="L3492" s="27"/>
    </row>
    <row r="3493" spans="1:12">
      <c r="A3493" s="20" t="s">
        <v>2339</v>
      </c>
      <c r="E3493" s="22">
        <f>IF(D3493="?OLD","!!!","")</f>
        <v/>
      </c>
      <c r="F3493" s="23" t="str">
        <f>IF(OR(E3493="",E3493="!!!"),"",IF(NOT(ISNA(VLOOKUP(E3493,E$1:E3492,1,FALSE()))),"OLD",IF(AND(E3493&lt;&gt;"",E3493&lt;&gt;"!!!"),"NEW","")))</f>
        <v> </v>
      </c>
      <c r="G3493" s="24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5" t="str">
        <f>IF(J3493&lt;&gt;1,"",IF(I3493="SBJ","CB","?"))</f>
        <v> </v>
      </c>
      <c r="I3493" s="26" t="str">
        <f>IF(OR(E3493="",E3493="!!!",F3493="NEW"),"",INDEX(B3492:B$2,-1+SUMPRODUCT(MAX(ROW(E3492:E$2)*(E3493=E3492:E$2)))))</f>
        <v> </v>
      </c>
      <c r="J3493" s="26" t="str">
        <f>IF(OR(E3493="",E3493="!!!",F3493="NEW"),"",COUNTBLANK(OFFSET(A$1,,,SUMPRODUCT(MAX(ROW(E$2:E3493)*(E3493=E$2:E3493)))))-COUNTBLANK(OFFSET(A$1,,,SUMPRODUCT(MAX(ROW(E$1:E3492)*(E2=E$1:E3492))))))</f>
        <v> </v>
      </c>
      <c r="K3493" s="26" t="str">
        <f>IF(OR(E3493="",E3493="!!!",F3493="NEW"),"",INDEX(J$1:J3492,SUMPRODUCT(MAX(ROW(E$1:E3492)*(E3493=E$1:E3492)))))</f>
        <v> </v>
      </c>
      <c r="L3493" s="27"/>
    </row>
    <row r="3494" spans="1:12">
      <c r="A3494" s="20" t="s">
        <v>1013</v>
      </c>
      <c r="E3494" s="22">
        <f>IF(D3494="?OLD","!!!","")</f>
        <v/>
      </c>
      <c r="F3494" s="23" t="str">
        <f>IF(OR(E3494="",E3494="!!!"),"",IF(NOT(ISNA(VLOOKUP(E3494,E$1:E3493,1,FALSE()))),"OLD",IF(AND(E3494&lt;&gt;"",E3494&lt;&gt;"!!!"),"NEW","")))</f>
        <v> </v>
      </c>
      <c r="G3494" s="24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5" t="str">
        <f>IF(J3494&lt;&gt;1,"",IF(I3494="SBJ","CB","?"))</f>
        <v> </v>
      </c>
      <c r="I3494" s="26" t="str">
        <f>IF(OR(E3494="",E3494="!!!",F3494="NEW"),"",INDEX(B3493:B$2,-1+SUMPRODUCT(MAX(ROW(E3493:E$2)*(E3494=E3493:E$2)))))</f>
        <v> </v>
      </c>
      <c r="J3494" s="26" t="str">
        <f>IF(OR(E3494="",E3494="!!!",F3494="NEW"),"",COUNTBLANK(OFFSET(A$1,,,SUMPRODUCT(MAX(ROW(E$2:E3494)*(E3494=E$2:E3494)))))-COUNTBLANK(OFFSET(A$1,,,SUMPRODUCT(MAX(ROW(E$1:E3493)*(E2=E$1:E3493))))))</f>
        <v> </v>
      </c>
      <c r="K3494" s="26" t="str">
        <f>IF(OR(E3494="",E3494="!!!",F3494="NEW"),"",INDEX(J$1:J3493,SUMPRODUCT(MAX(ROW(E$1:E3493)*(E3494=E$1:E3493)))))</f>
        <v> </v>
      </c>
      <c r="L3494" s="27"/>
    </row>
    <row r="3495" spans="1:12">
      <c r="A3495" s="20" t="s">
        <v>149</v>
      </c>
      <c r="E3495" s="22">
        <f>IF(D3495="?OLD","!!!","")</f>
        <v/>
      </c>
      <c r="F3495" s="23" t="str">
        <f>IF(OR(E3495="",E3495="!!!"),"",IF(NOT(ISNA(VLOOKUP(E3495,E$1:E3494,1,FALSE()))),"OLD",IF(AND(E3495&lt;&gt;"",E3495&lt;&gt;"!!!"),"NEW","")))</f>
        <v> </v>
      </c>
      <c r="G3495" s="24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5" t="str">
        <f>IF(J3495&lt;&gt;1,"",IF(I3495="SBJ","CB","?"))</f>
        <v> </v>
      </c>
      <c r="I3495" s="26" t="str">
        <f>IF(OR(E3495="",E3495="!!!",F3495="NEW"),"",INDEX(B3494:B$2,-1+SUMPRODUCT(MAX(ROW(E3494:E$2)*(E3495=E3494:E$2)))))</f>
        <v> </v>
      </c>
      <c r="J3495" s="26" t="str">
        <f>IF(OR(E3495="",E3495="!!!",F3495="NEW"),"",COUNTBLANK(OFFSET(A$1,,,SUMPRODUCT(MAX(ROW(E$2:E3495)*(E3495=E$2:E3495)))))-COUNTBLANK(OFFSET(A$1,,,SUMPRODUCT(MAX(ROW(E$1:E3494)*(E2=E$1:E3494))))))</f>
        <v> </v>
      </c>
      <c r="K3495" s="26" t="str">
        <f>IF(OR(E3495="",E3495="!!!",F3495="NEW"),"",INDEX(J$1:J3494,SUMPRODUCT(MAX(ROW(E$1:E3494)*(E3495=E$1:E3494)))))</f>
        <v> </v>
      </c>
      <c r="L3495" s="27"/>
    </row>
    <row r="3496" spans="1:12">
      <c r="A3496" s="20" t="s">
        <v>1112</v>
      </c>
      <c r="B3496" s="21" t="s">
        <v>1115</v>
      </c>
      <c r="C3496" s="21" t="s">
        <v>1012</v>
      </c>
      <c r="D3496" s="21" t="s">
        <v>972</v>
      </c>
      <c r="E3496" s="22">
        <f>IF(D3496="?OLD","!!!","")</f>
        <v/>
      </c>
      <c r="F3496" s="23" t="str">
        <f>IF(OR(E3496="",E3496="!!!"),"",IF(NOT(ISNA(VLOOKUP(E3496,E$1:E3495,1,FALSE()))),"OLD",IF(AND(E3496&lt;&gt;"",E3496&lt;&gt;"!!!"),"NEW","")))</f>
        <v> </v>
      </c>
      <c r="G3496" s="24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5" t="str">
        <f>IF(J3496&lt;&gt;1,"",IF(I3496="SBJ","CB","?"))</f>
        <v> </v>
      </c>
      <c r="I3496" s="26" t="str">
        <f>IF(OR(E3496="",E3496="!!!",F3496="NEW"),"",INDEX(B3495:B$2,-1+SUMPRODUCT(MAX(ROW(E3495:E$2)*(E3496=E3495:E$2)))))</f>
        <v> </v>
      </c>
      <c r="J3496" s="26" t="str">
        <f>IF(OR(E3496="",E3496="!!!",F3496="NEW"),"",COUNTBLANK(OFFSET(A$1,,,SUMPRODUCT(MAX(ROW(E$2:E3496)*(E3496=E$2:E3496)))))-COUNTBLANK(OFFSET(A$1,,,SUMPRODUCT(MAX(ROW(E$1:E3495)*(E2=E$1:E3495))))))</f>
        <v> </v>
      </c>
      <c r="K3496" s="26" t="str">
        <f>IF(OR(E3496="",E3496="!!!",F3496="NEW"),"",INDEX(J$1:J3495,SUMPRODUCT(MAX(ROW(E$1:E3495)*(E3496=E$1:E3495)))))</f>
        <v> </v>
      </c>
      <c r="L3496" s="27"/>
    </row>
    <row r="3497" spans="1:12">
      <c r="A3497" s="20" t="s">
        <v>1213</v>
      </c>
      <c r="E3497" s="22">
        <f>IF(D3497="?OLD","!!!","")</f>
        <v/>
      </c>
      <c r="F3497" s="23" t="str">
        <f>IF(OR(E3497="",E3497="!!!"),"",IF(NOT(ISNA(VLOOKUP(E3497,E$1:E3496,1,FALSE()))),"OLD",IF(AND(E3497&lt;&gt;"",E3497&lt;&gt;"!!!"),"NEW","")))</f>
        <v> </v>
      </c>
      <c r="G3497" s="24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5" t="str">
        <f>IF(J3497&lt;&gt;1,"",IF(I3497="SBJ","CB","?"))</f>
        <v> </v>
      </c>
      <c r="I3497" s="26" t="str">
        <f>IF(OR(E3497="",E3497="!!!",F3497="NEW"),"",INDEX(B3496:B$2,-1+SUMPRODUCT(MAX(ROW(E3496:E$2)*(E3497=E3496:E$2)))))</f>
        <v> </v>
      </c>
      <c r="J3497" s="26" t="str">
        <f>IF(OR(E3497="",E3497="!!!",F3497="NEW"),"",COUNTBLANK(OFFSET(A$1,,,SUMPRODUCT(MAX(ROW(E$2:E3497)*(E3497=E$2:E3497)))))-COUNTBLANK(OFFSET(A$1,,,SUMPRODUCT(MAX(ROW(E$1:E3496)*(E2=E$1:E3496))))))</f>
        <v> </v>
      </c>
      <c r="K3497" s="26" t="str">
        <f>IF(OR(E3497="",E3497="!!!",F3497="NEW"),"",INDEX(J$1:J3496,SUMPRODUCT(MAX(ROW(E$1:E3496)*(E3497=E$1:E3496)))))</f>
        <v> </v>
      </c>
      <c r="L3497" s="27"/>
    </row>
    <row r="3498" spans="1:12">
      <c r="A3498" s="20" t="s">
        <v>1013</v>
      </c>
      <c r="E3498" s="22">
        <f>IF(D3498="?OLD","!!!","")</f>
        <v/>
      </c>
      <c r="F3498" s="23" t="str">
        <f>IF(OR(E3498="",E3498="!!!"),"",IF(NOT(ISNA(VLOOKUP(E3498,E$1:E3497,1,FALSE()))),"OLD",IF(AND(E3498&lt;&gt;"",E3498&lt;&gt;"!!!"),"NEW","")))</f>
        <v> </v>
      </c>
      <c r="G3498" s="24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5" t="str">
        <f>IF(J3498&lt;&gt;1,"",IF(I3498="SBJ","CB","?"))</f>
        <v> </v>
      </c>
      <c r="I3498" s="26" t="str">
        <f>IF(OR(E3498="",E3498="!!!",F3498="NEW"),"",INDEX(B3497:B$2,-1+SUMPRODUCT(MAX(ROW(E3497:E$2)*(E3498=E3497:E$2)))))</f>
        <v> </v>
      </c>
      <c r="J3498" s="26" t="str">
        <f>IF(OR(E3498="",E3498="!!!",F3498="NEW"),"",COUNTBLANK(OFFSET(A$1,,,SUMPRODUCT(MAX(ROW(E$2:E3498)*(E3498=E$2:E3498)))))-COUNTBLANK(OFFSET(A$1,,,SUMPRODUCT(MAX(ROW(E$1:E3497)*(E2=E$1:E3497))))))</f>
        <v> </v>
      </c>
      <c r="K3498" s="26" t="str">
        <f>IF(OR(E3498="",E3498="!!!",F3498="NEW"),"",INDEX(J$1:J3497,SUMPRODUCT(MAX(ROW(E$1:E3497)*(E3498=E$1:E3497)))))</f>
        <v> </v>
      </c>
      <c r="L3498" s="27"/>
    </row>
    <row r="3499" spans="1:12">
      <c r="A3499" s="20" t="s">
        <v>1222</v>
      </c>
      <c r="E3499" s="22">
        <f>IF(D3499="?OLD","!!!","")</f>
        <v/>
      </c>
      <c r="F3499" s="23" t="str">
        <f>IF(OR(E3499="",E3499="!!!"),"",IF(NOT(ISNA(VLOOKUP(E3499,E$1:E3498,1,FALSE()))),"OLD",IF(AND(E3499&lt;&gt;"",E3499&lt;&gt;"!!!"),"NEW","")))</f>
        <v> </v>
      </c>
      <c r="G3499" s="24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5" t="str">
        <f>IF(J3499&lt;&gt;1,"",IF(I3499="SBJ","CB","?"))</f>
        <v> </v>
      </c>
      <c r="I3499" s="26" t="str">
        <f>IF(OR(E3499="",E3499="!!!",F3499="NEW"),"",INDEX(B3498:B$2,-1+SUMPRODUCT(MAX(ROW(E3498:E$2)*(E3499=E3498:E$2)))))</f>
        <v> </v>
      </c>
      <c r="J3499" s="26" t="str">
        <f>IF(OR(E3499="",E3499="!!!",F3499="NEW"),"",COUNTBLANK(OFFSET(A$1,,,SUMPRODUCT(MAX(ROW(E$2:E3499)*(E3499=E$2:E3499)))))-COUNTBLANK(OFFSET(A$1,,,SUMPRODUCT(MAX(ROW(E$1:E3498)*(E2=E$1:E3498))))))</f>
        <v> </v>
      </c>
      <c r="K3499" s="26" t="str">
        <f>IF(OR(E3499="",E3499="!!!",F3499="NEW"),"",INDEX(J$1:J3498,SUMPRODUCT(MAX(ROW(E$1:E3498)*(E3499=E$1:E3498)))))</f>
        <v> </v>
      </c>
      <c r="L3499" s="27"/>
    </row>
    <row r="3500" spans="1:12">
      <c r="A3500" s="20" t="s">
        <v>2340</v>
      </c>
      <c r="E3500" s="22">
        <f>IF(D3500="?OLD","!!!","")</f>
        <v/>
      </c>
      <c r="F3500" s="23" t="str">
        <f>IF(OR(E3500="",E3500="!!!"),"",IF(NOT(ISNA(VLOOKUP(E3500,E$1:E3499,1,FALSE()))),"OLD",IF(AND(E3500&lt;&gt;"",E3500&lt;&gt;"!!!"),"NEW","")))</f>
        <v> </v>
      </c>
      <c r="G3500" s="24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5" t="str">
        <f>IF(J3500&lt;&gt;1,"",IF(I3500="SBJ","CB","?"))</f>
        <v> </v>
      </c>
      <c r="I3500" s="26" t="str">
        <f>IF(OR(E3500="",E3500="!!!",F3500="NEW"),"",INDEX(B3499:B$2,-1+SUMPRODUCT(MAX(ROW(E3499:E$2)*(E3500=E3499:E$2)))))</f>
        <v> </v>
      </c>
      <c r="J3500" s="26" t="str">
        <f>IF(OR(E3500="",E3500="!!!",F3500="NEW"),"",COUNTBLANK(OFFSET(A$1,,,SUMPRODUCT(MAX(ROW(E$2:E3500)*(E3500=E$2:E3500)))))-COUNTBLANK(OFFSET(A$1,,,SUMPRODUCT(MAX(ROW(E$1:E3499)*(E2=E$1:E3499))))))</f>
        <v> </v>
      </c>
      <c r="K3500" s="26" t="str">
        <f>IF(OR(E3500="",E3500="!!!",F3500="NEW"),"",INDEX(J$1:J3499,SUMPRODUCT(MAX(ROW(E$1:E3499)*(E3500=E$1:E3499)))))</f>
        <v> </v>
      </c>
      <c r="L3500" s="27"/>
    </row>
    <row r="3501" spans="1:12">
      <c r="A3501" s="20" t="s">
        <v>2341</v>
      </c>
      <c r="B3501" s="21" t="s">
        <v>1011</v>
      </c>
      <c r="C3501" s="21" t="s">
        <v>996</v>
      </c>
      <c r="D3501" s="21" t="s">
        <v>972</v>
      </c>
      <c r="E3501" s="22">
        <f>IF(D3501="?OLD","!!!","")</f>
        <v/>
      </c>
      <c r="F3501" s="23" t="str">
        <f>IF(OR(E3501="",E3501="!!!"),"",IF(NOT(ISNA(VLOOKUP(E3501,E$1:E3500,1,FALSE()))),"OLD",IF(AND(E3501&lt;&gt;"",E3501&lt;&gt;"!!!"),"NEW","")))</f>
        <v> </v>
      </c>
      <c r="G3501" s="24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5" t="str">
        <f>IF(J3501&lt;&gt;1,"",IF(I3501="SBJ","CB","?"))</f>
        <v> </v>
      </c>
      <c r="I3501" s="26" t="str">
        <f>IF(OR(E3501="",E3501="!!!",F3501="NEW"),"",INDEX(B3500:B$2,-1+SUMPRODUCT(MAX(ROW(E3500:E$2)*(E3501=E3500:E$2)))))</f>
        <v> </v>
      </c>
      <c r="J3501" s="26" t="str">
        <f>IF(OR(E3501="",E3501="!!!",F3501="NEW"),"",COUNTBLANK(OFFSET(A$1,,,SUMPRODUCT(MAX(ROW(E$2:E3501)*(E3501=E$2:E3501)))))-COUNTBLANK(OFFSET(A$1,,,SUMPRODUCT(MAX(ROW(E$1:E3500)*(E2=E$1:E3500))))))</f>
        <v> </v>
      </c>
      <c r="K3501" s="26" t="str">
        <f>IF(OR(E3501="",E3501="!!!",F3501="NEW"),"",INDEX(J$1:J3500,SUMPRODUCT(MAX(ROW(E$1:E3500)*(E3501=E$1:E3500)))))</f>
        <v> </v>
      </c>
      <c r="L3501" s="27"/>
    </row>
    <row r="3502" spans="1:12">
      <c r="A3502" s="20" t="s">
        <v>2342</v>
      </c>
      <c r="E3502" s="22">
        <f>IF(D3502="?OLD","!!!","")</f>
        <v/>
      </c>
      <c r="F3502" s="23" t="str">
        <f>IF(OR(E3502="",E3502="!!!"),"",IF(NOT(ISNA(VLOOKUP(E3502,E$1:E3501,1,FALSE()))),"OLD",IF(AND(E3502&lt;&gt;"",E3502&lt;&gt;"!!!"),"NEW","")))</f>
        <v> </v>
      </c>
      <c r="G3502" s="24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5" t="str">
        <f>IF(J3502&lt;&gt;1,"",IF(I3502="SBJ","CB","?"))</f>
        <v> </v>
      </c>
      <c r="I3502" s="26" t="str">
        <f>IF(OR(E3502="",E3502="!!!",F3502="NEW"),"",INDEX(B3501:B$2,-1+SUMPRODUCT(MAX(ROW(E3501:E$2)*(E3502=E3501:E$2)))))</f>
        <v> </v>
      </c>
      <c r="J3502" s="26" t="str">
        <f>IF(OR(E3502="",E3502="!!!",F3502="NEW"),"",COUNTBLANK(OFFSET(A$1,,,SUMPRODUCT(MAX(ROW(E$2:E3502)*(E3502=E$2:E3502)))))-COUNTBLANK(OFFSET(A$1,,,SUMPRODUCT(MAX(ROW(E$1:E3501)*(E2=E$1:E3501))))))</f>
        <v> </v>
      </c>
      <c r="K3502" s="26" t="str">
        <f>IF(OR(E3502="",E3502="!!!",F3502="NEW"),"",INDEX(J$1:J3501,SUMPRODUCT(MAX(ROW(E$1:E3501)*(E3502=E$1:E3501)))))</f>
        <v> </v>
      </c>
      <c r="L3502" s="27"/>
    </row>
    <row r="3503" spans="1:12">
      <c r="A3503" s="20" t="s">
        <v>2343</v>
      </c>
      <c r="E3503" s="22">
        <f>IF(D3503="?OLD","!!!","")</f>
        <v/>
      </c>
      <c r="F3503" s="23" t="str">
        <f>IF(OR(E3503="",E3503="!!!"),"",IF(NOT(ISNA(VLOOKUP(E3503,E$1:E3502,1,FALSE()))),"OLD",IF(AND(E3503&lt;&gt;"",E3503&lt;&gt;"!!!"),"NEW","")))</f>
        <v> </v>
      </c>
      <c r="G3503" s="24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5" t="str">
        <f>IF(J3503&lt;&gt;1,"",IF(I3503="SBJ","CB","?"))</f>
        <v> </v>
      </c>
      <c r="I3503" s="26" t="str">
        <f>IF(OR(E3503="",E3503="!!!",F3503="NEW"),"",INDEX(B3502:B$2,-1+SUMPRODUCT(MAX(ROW(E3502:E$2)*(E3503=E3502:E$2)))))</f>
        <v> </v>
      </c>
      <c r="J3503" s="26" t="str">
        <f>IF(OR(E3503="",E3503="!!!",F3503="NEW"),"",COUNTBLANK(OFFSET(A$1,,,SUMPRODUCT(MAX(ROW(E$2:E3503)*(E3503=E$2:E3503)))))-COUNTBLANK(OFFSET(A$1,,,SUMPRODUCT(MAX(ROW(E$1:E3502)*(E2=E$1:E3502))))))</f>
        <v> </v>
      </c>
      <c r="K3503" s="26" t="str">
        <f>IF(OR(E3503="",E3503="!!!",F3503="NEW"),"",INDEX(J$1:J3502,SUMPRODUCT(MAX(ROW(E$1:E3502)*(E3503=E$1:E3502)))))</f>
        <v> </v>
      </c>
      <c r="L3503" s="27"/>
    </row>
    <row r="3504" spans="1:12">
      <c r="A3504" s="20" t="s">
        <v>1013</v>
      </c>
      <c r="E3504" s="22">
        <f>IF(D3504="?OLD","!!!","")</f>
        <v/>
      </c>
      <c r="F3504" s="23" t="str">
        <f>IF(OR(E3504="",E3504="!!!"),"",IF(NOT(ISNA(VLOOKUP(E3504,E$1:E3503,1,FALSE()))),"OLD",IF(AND(E3504&lt;&gt;"",E3504&lt;&gt;"!!!"),"NEW","")))</f>
        <v> </v>
      </c>
      <c r="G3504" s="24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5" t="str">
        <f>IF(J3504&lt;&gt;1,"",IF(I3504="SBJ","CB","?"))</f>
        <v> </v>
      </c>
      <c r="I3504" s="26" t="str">
        <f>IF(OR(E3504="",E3504="!!!",F3504="NEW"),"",INDEX(B3503:B$2,-1+SUMPRODUCT(MAX(ROW(E3503:E$2)*(E3504=E3503:E$2)))))</f>
        <v> </v>
      </c>
      <c r="J3504" s="26" t="str">
        <f>IF(OR(E3504="",E3504="!!!",F3504="NEW"),"",COUNTBLANK(OFFSET(A$1,,,SUMPRODUCT(MAX(ROW(E$2:E3504)*(E3504=E$2:E3504)))))-COUNTBLANK(OFFSET(A$1,,,SUMPRODUCT(MAX(ROW(E$1:E3503)*(E2=E$1:E3503))))))</f>
        <v> </v>
      </c>
      <c r="K3504" s="26" t="str">
        <f>IF(OR(E3504="",E3504="!!!",F3504="NEW"),"",INDEX(J$1:J3503,SUMPRODUCT(MAX(ROW(E$1:E3503)*(E3504=E$1:E3503)))))</f>
        <v> </v>
      </c>
      <c r="L3504" s="27"/>
    </row>
    <row r="3505" spans="1:12">
      <c r="A3505" s="20" t="s">
        <v>1014</v>
      </c>
      <c r="E3505" s="22">
        <f>IF(D3505="?OLD","!!!","")</f>
        <v/>
      </c>
      <c r="F3505" s="23" t="str">
        <f>IF(OR(E3505="",E3505="!!!"),"",IF(NOT(ISNA(VLOOKUP(E3505,E$1:E3504,1,FALSE()))),"OLD",IF(AND(E3505&lt;&gt;"",E3505&lt;&gt;"!!!"),"NEW","")))</f>
        <v> </v>
      </c>
      <c r="G3505" s="24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5" t="str">
        <f>IF(J3505&lt;&gt;1,"",IF(I3505="SBJ","CB","?"))</f>
        <v> </v>
      </c>
      <c r="I3505" s="26" t="str">
        <f>IF(OR(E3505="",E3505="!!!",F3505="NEW"),"",INDEX(B3504:B$2,-1+SUMPRODUCT(MAX(ROW(E3504:E$2)*(E3505=E3504:E$2)))))</f>
        <v> </v>
      </c>
      <c r="J3505" s="26" t="str">
        <f>IF(OR(E3505="",E3505="!!!",F3505="NEW"),"",COUNTBLANK(OFFSET(A$1,,,SUMPRODUCT(MAX(ROW(E$2:E3505)*(E3505=E$2:E3505)))))-COUNTBLANK(OFFSET(A$1,,,SUMPRODUCT(MAX(ROW(E$1:E3504)*(E2=E$1:E3504))))))</f>
        <v> </v>
      </c>
      <c r="K3505" s="26" t="str">
        <f>IF(OR(E3505="",E3505="!!!",F3505="NEW"),"",INDEX(J$1:J3504,SUMPRODUCT(MAX(ROW(E$1:E3504)*(E3505=E$1:E3504)))))</f>
        <v> </v>
      </c>
      <c r="L3505" s="27"/>
    </row>
    <row r="3506" spans="1:12">
      <c r="A3506" s="20" t="s">
        <v>1092</v>
      </c>
      <c r="E3506" s="22">
        <f>IF(D3506="?OLD","!!!","")</f>
        <v/>
      </c>
      <c r="F3506" s="23" t="str">
        <f>IF(OR(E3506="",E3506="!!!"),"",IF(NOT(ISNA(VLOOKUP(E3506,E$1:E3505,1,FALSE()))),"OLD",IF(AND(E3506&lt;&gt;"",E3506&lt;&gt;"!!!"),"NEW","")))</f>
        <v> </v>
      </c>
      <c r="G3506" s="24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5" t="str">
        <f>IF(J3506&lt;&gt;1,"",IF(I3506="SBJ","CB","?"))</f>
        <v> </v>
      </c>
      <c r="I3506" s="26" t="str">
        <f>IF(OR(E3506="",E3506="!!!",F3506="NEW"),"",INDEX(B3505:B$2,-1+SUMPRODUCT(MAX(ROW(E3505:E$2)*(E3506=E3505:E$2)))))</f>
        <v> </v>
      </c>
      <c r="J3506" s="26" t="str">
        <f>IF(OR(E3506="",E3506="!!!",F3506="NEW"),"",COUNTBLANK(OFFSET(A$1,,,SUMPRODUCT(MAX(ROW(E$2:E3506)*(E3506=E$2:E3506)))))-COUNTBLANK(OFFSET(A$1,,,SUMPRODUCT(MAX(ROW(E$1:E3505)*(E2=E$1:E3505))))))</f>
        <v> </v>
      </c>
      <c r="K3506" s="26" t="str">
        <f>IF(OR(E3506="",E3506="!!!",F3506="NEW"),"",INDEX(J$1:J3505,SUMPRODUCT(MAX(ROW(E$1:E3505)*(E3506=E$1:E3505)))))</f>
        <v> </v>
      </c>
      <c r="L3506" s="27"/>
    </row>
    <row r="3507" spans="1:12">
      <c r="A3507" s="20" t="s">
        <v>1471</v>
      </c>
      <c r="E3507" s="22">
        <f>IF(D3507="?OLD","!!!","")</f>
        <v/>
      </c>
      <c r="F3507" s="23" t="str">
        <f>IF(OR(E3507="",E3507="!!!"),"",IF(NOT(ISNA(VLOOKUP(E3507,E$1:E3506,1,FALSE()))),"OLD",IF(AND(E3507&lt;&gt;"",E3507&lt;&gt;"!!!"),"NEW","")))</f>
        <v> </v>
      </c>
      <c r="G3507" s="24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5" t="str">
        <f>IF(J3507&lt;&gt;1,"",IF(I3507="SBJ","CB","?"))</f>
        <v> </v>
      </c>
      <c r="I3507" s="26" t="str">
        <f>IF(OR(E3507="",E3507="!!!",F3507="NEW"),"",INDEX(B3506:B$2,-1+SUMPRODUCT(MAX(ROW(E3506:E$2)*(E3507=E3506:E$2)))))</f>
        <v> </v>
      </c>
      <c r="J3507" s="26" t="str">
        <f>IF(OR(E3507="",E3507="!!!",F3507="NEW"),"",COUNTBLANK(OFFSET(A$1,,,SUMPRODUCT(MAX(ROW(E$2:E3507)*(E3507=E$2:E3507)))))-COUNTBLANK(OFFSET(A$1,,,SUMPRODUCT(MAX(ROW(E$1:E3506)*(E2=E$1:E3506))))))</f>
        <v> </v>
      </c>
      <c r="K3507" s="26" t="str">
        <f>IF(OR(E3507="",E3507="!!!",F3507="NEW"),"",INDEX(J$1:J3506,SUMPRODUCT(MAX(ROW(E$1:E3506)*(E3507=E$1:E3506)))))</f>
        <v> </v>
      </c>
      <c r="L3507" s="27"/>
    </row>
    <row r="3508" spans="1:12">
      <c r="A3508" s="20" t="s">
        <v>2344</v>
      </c>
      <c r="B3508" s="21" t="s">
        <v>1093</v>
      </c>
      <c r="E3508" s="22">
        <f>IF(D3508="?OLD","!!!","")</f>
        <v/>
      </c>
      <c r="F3508" s="23" t="str">
        <f>IF(OR(E3508="",E3508="!!!"),"",IF(NOT(ISNA(VLOOKUP(E3508,E$1:E3507,1,FALSE()))),"OLD",IF(AND(E3508&lt;&gt;"",E3508&lt;&gt;"!!!"),"NEW","")))</f>
        <v> </v>
      </c>
      <c r="G3508" s="24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5" t="str">
        <f>IF(J3508&lt;&gt;1,"",IF(I3508="SBJ","CB","?"))</f>
        <v> </v>
      </c>
      <c r="I3508" s="26" t="str">
        <f>IF(OR(E3508="",E3508="!!!",F3508="NEW"),"",INDEX(B3507:B$2,-1+SUMPRODUCT(MAX(ROW(E3507:E$2)*(E3508=E3507:E$2)))))</f>
        <v> </v>
      </c>
      <c r="J3508" s="26" t="str">
        <f>IF(OR(E3508="",E3508="!!!",F3508="NEW"),"",COUNTBLANK(OFFSET(A$1,,,SUMPRODUCT(MAX(ROW(E$2:E3508)*(E3508=E$2:E3508)))))-COUNTBLANK(OFFSET(A$1,,,SUMPRODUCT(MAX(ROW(E$1:E3507)*(E2=E$1:E3507))))))</f>
        <v> </v>
      </c>
      <c r="K3508" s="26" t="str">
        <f>IF(OR(E3508="",E3508="!!!",F3508="NEW"),"",INDEX(J$1:J3507,SUMPRODUCT(MAX(ROW(E$1:E3507)*(E3508=E$1:E3507)))))</f>
        <v> </v>
      </c>
      <c r="L3508" s="27"/>
    </row>
    <row r="3509" spans="1:12">
      <c r="A3509" s="20" t="s">
        <v>2345</v>
      </c>
      <c r="E3509" s="22">
        <f>IF(D3509="?OLD","!!!","")</f>
        <v/>
      </c>
      <c r="F3509" s="23" t="str">
        <f>IF(OR(E3509="",E3509="!!!"),"",IF(NOT(ISNA(VLOOKUP(E3509,E$1:E3508,1,FALSE()))),"OLD",IF(AND(E3509&lt;&gt;"",E3509&lt;&gt;"!!!"),"NEW","")))</f>
        <v> </v>
      </c>
      <c r="G3509" s="24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5" t="str">
        <f>IF(J3509&lt;&gt;1,"",IF(I3509="SBJ","CB","?"))</f>
        <v> </v>
      </c>
      <c r="I3509" s="26" t="str">
        <f>IF(OR(E3509="",E3509="!!!",F3509="NEW"),"",INDEX(B3508:B$2,-1+SUMPRODUCT(MAX(ROW(E3508:E$2)*(E3509=E3508:E$2)))))</f>
        <v> </v>
      </c>
      <c r="J3509" s="26" t="str">
        <f>IF(OR(E3509="",E3509="!!!",F3509="NEW"),"",COUNTBLANK(OFFSET(A$1,,,SUMPRODUCT(MAX(ROW(E$2:E3509)*(E3509=E$2:E3509)))))-COUNTBLANK(OFFSET(A$1,,,SUMPRODUCT(MAX(ROW(E$1:E3508)*(E2=E$1:E3508))))))</f>
        <v> </v>
      </c>
      <c r="K3509" s="26" t="str">
        <f>IF(OR(E3509="",E3509="!!!",F3509="NEW"),"",INDEX(J$1:J3508,SUMPRODUCT(MAX(ROW(E$1:E3508)*(E3509=E$1:E3508)))))</f>
        <v> </v>
      </c>
      <c r="L3509" s="27"/>
    </row>
    <row r="3510" spans="1:12">
      <c r="A3510" s="20" t="s">
        <v>979</v>
      </c>
      <c r="E3510" s="22">
        <f>IF(D3510="?OLD","!!!","")</f>
        <v/>
      </c>
      <c r="F3510" s="23" t="str">
        <f>IF(OR(E3510="",E3510="!!!"),"",IF(NOT(ISNA(VLOOKUP(E3510,E$1:E3509,1,FALSE()))),"OLD",IF(AND(E3510&lt;&gt;"",E3510&lt;&gt;"!!!"),"NEW","")))</f>
        <v> </v>
      </c>
      <c r="G3510" s="24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5" t="str">
        <f>IF(J3510&lt;&gt;1,"",IF(I3510="SBJ","CB","?"))</f>
        <v> </v>
      </c>
      <c r="I3510" s="26" t="str">
        <f>IF(OR(E3510="",E3510="!!!",F3510="NEW"),"",INDEX(B3509:B$2,-1+SUMPRODUCT(MAX(ROW(E3509:E$2)*(E3510=E3509:E$2)))))</f>
        <v> </v>
      </c>
      <c r="J3510" s="26" t="str">
        <f>IF(OR(E3510="",E3510="!!!",F3510="NEW"),"",COUNTBLANK(OFFSET(A$1,,,SUMPRODUCT(MAX(ROW(E$2:E3510)*(E3510=E$2:E3510)))))-COUNTBLANK(OFFSET(A$1,,,SUMPRODUCT(MAX(ROW(E$1:E3509)*(E2=E$1:E3509))))))</f>
        <v> </v>
      </c>
      <c r="K3510" s="26" t="str">
        <f>IF(OR(E3510="",E3510="!!!",F3510="NEW"),"",INDEX(J$1:J3509,SUMPRODUCT(MAX(ROW(E$1:E3509)*(E3510=E$1:E3509)))))</f>
        <v> </v>
      </c>
      <c r="L3510" s="27"/>
    </row>
    <row r="3511" spans="1:12">
      <c r="A3511" s="20"/>
    </row>
    <row r="3512" spans="1:12">
      <c r="A3512" s="20" t="s">
        <v>2346</v>
      </c>
    </row>
    <row r="3513" spans="1:12">
      <c r="A3513" s="20" t="s">
        <v>1573</v>
      </c>
      <c r="E3513" s="22">
        <f>IF(D3513="?OLD","!!!","")</f>
        <v/>
      </c>
      <c r="F3513" s="23" t="str">
        <f>IF(OR(E3513="",E3513="!!!"),"",IF(NOT(ISNA(VLOOKUP(E3513,E$1:E3512,1,FALSE()))),"OLD",IF(AND(E3513&lt;&gt;"",E3513&lt;&gt;"!!!"),"NEW","")))</f>
        <v> </v>
      </c>
      <c r="G3513" s="24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5" t="str">
        <f>IF(J3513&lt;&gt;1,"",IF(I3513="SBJ","CB","?"))</f>
        <v> </v>
      </c>
      <c r="I3513" s="26" t="str">
        <f>IF(OR(E3513="",E3513="!!!",F3513="NEW"),"",INDEX(B3512:B$2,-1+SUMPRODUCT(MAX(ROW(E3512:E$2)*(E3513=E3512:E$2)))))</f>
        <v> </v>
      </c>
      <c r="J3513" s="26" t="str">
        <f>IF(OR(E3513="",E3513="!!!",F3513="NEW"),"",COUNTBLANK(OFFSET(A$1,,,SUMPRODUCT(MAX(ROW(E$2:E3513)*(E3513=E$2:E3513)))))-COUNTBLANK(OFFSET(A$1,,,SUMPRODUCT(MAX(ROW(E$1:E3512)*(E2=E$1:E3512))))))</f>
        <v> </v>
      </c>
      <c r="K3513" s="26" t="str">
        <f>IF(OR(E3513="",E3513="!!!",F3513="NEW"),"",INDEX(J$1:J3512,SUMPRODUCT(MAX(ROW(E$1:E3512)*(E3513=E$1:E3512)))))</f>
        <v> </v>
      </c>
      <c r="L3513" s="27"/>
    </row>
    <row r="3514" spans="1:12">
      <c r="A3514" s="20" t="s">
        <v>145</v>
      </c>
      <c r="B3514" s="21" t="s">
        <v>1101</v>
      </c>
      <c r="C3514" s="21" t="s">
        <v>971</v>
      </c>
      <c r="D3514" s="21" t="s">
        <v>972</v>
      </c>
      <c r="E3514" s="22">
        <f>IF(D3514="?OLD","!!!","")</f>
        <v/>
      </c>
      <c r="F3514" s="23" t="str">
        <f>IF(OR(E3514="",E3514="!!!"),"",IF(NOT(ISNA(VLOOKUP(E3514,E$1:E3513,1,FALSE()))),"OLD",IF(AND(E3514&lt;&gt;"",E3514&lt;&gt;"!!!"),"NEW","")))</f>
        <v> </v>
      </c>
      <c r="G3514" s="24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5" t="str">
        <f>IF(J3514&lt;&gt;1,"",IF(I3514="SBJ","CB","?"))</f>
        <v> </v>
      </c>
      <c r="I3514" s="26" t="str">
        <f>IF(OR(E3514="",E3514="!!!",F3514="NEW"),"",INDEX(B3513:B$2,-1+SUMPRODUCT(MAX(ROW(E3513:E$2)*(E3514=E3513:E$2)))))</f>
        <v> </v>
      </c>
      <c r="J3514" s="26" t="str">
        <f>IF(OR(E3514="",E3514="!!!",F3514="NEW"),"",COUNTBLANK(OFFSET(A$1,,,SUMPRODUCT(MAX(ROW(E$2:E3514)*(E3514=E$2:E3514)))))-COUNTBLANK(OFFSET(A$1,,,SUMPRODUCT(MAX(ROW(E$1:E3513)*(E2=E$1:E3513))))))</f>
        <v> </v>
      </c>
      <c r="K3514" s="26" t="str">
        <f>IF(OR(E3514="",E3514="!!!",F3514="NEW"),"",INDEX(J$1:J3513,SUMPRODUCT(MAX(ROW(E$1:E3513)*(E3514=E$1:E3513)))))</f>
        <v> </v>
      </c>
      <c r="L3514" s="27"/>
    </row>
    <row r="3515" spans="1:12">
      <c r="A3515" s="20" t="s">
        <v>2347</v>
      </c>
      <c r="E3515" s="22">
        <f>IF(D3515="?OLD","!!!","")</f>
        <v/>
      </c>
      <c r="F3515" s="23" t="str">
        <f>IF(OR(E3515="",E3515="!!!"),"",IF(NOT(ISNA(VLOOKUP(E3515,E$1:E3514,1,FALSE()))),"OLD",IF(AND(E3515&lt;&gt;"",E3515&lt;&gt;"!!!"),"NEW","")))</f>
        <v> </v>
      </c>
      <c r="G3515" s="24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5" t="str">
        <f>IF(J3515&lt;&gt;1,"",IF(I3515="SBJ","CB","?"))</f>
        <v> </v>
      </c>
      <c r="I3515" s="26" t="str">
        <f>IF(OR(E3515="",E3515="!!!",F3515="NEW"),"",INDEX(B3514:B$2,-1+SUMPRODUCT(MAX(ROW(E3514:E$2)*(E3515=E3514:E$2)))))</f>
        <v> </v>
      </c>
      <c r="J3515" s="26" t="str">
        <f>IF(OR(E3515="",E3515="!!!",F3515="NEW"),"",COUNTBLANK(OFFSET(A$1,,,SUMPRODUCT(MAX(ROW(E$2:E3515)*(E3515=E$2:E3515)))))-COUNTBLANK(OFFSET(A$1,,,SUMPRODUCT(MAX(ROW(E$1:E3514)*(E2=E$1:E3514))))))</f>
        <v> </v>
      </c>
      <c r="K3515" s="26" t="str">
        <f>IF(OR(E3515="",E3515="!!!",F3515="NEW"),"",INDEX(J$1:J3514,SUMPRODUCT(MAX(ROW(E$1:E3514)*(E3515=E$1:E3514)))))</f>
        <v> </v>
      </c>
      <c r="L3515" s="27"/>
    </row>
    <row r="3516" spans="1:12">
      <c r="A3516" s="20" t="s">
        <v>1005</v>
      </c>
      <c r="E3516" s="22">
        <f>IF(D3516="?OLD","!!!","")</f>
        <v/>
      </c>
      <c r="F3516" s="23" t="str">
        <f>IF(OR(E3516="",E3516="!!!"),"",IF(NOT(ISNA(VLOOKUP(E3516,E$1:E3515,1,FALSE()))),"OLD",IF(AND(E3516&lt;&gt;"",E3516&lt;&gt;"!!!"),"NEW","")))</f>
        <v> </v>
      </c>
      <c r="G3516" s="24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5" t="str">
        <f>IF(J3516&lt;&gt;1,"",IF(I3516="SBJ","CB","?"))</f>
        <v> </v>
      </c>
      <c r="I3516" s="26" t="str">
        <f>IF(OR(E3516="",E3516="!!!",F3516="NEW"),"",INDEX(B3515:B$2,-1+SUMPRODUCT(MAX(ROW(E3515:E$2)*(E3516=E3515:E$2)))))</f>
        <v> </v>
      </c>
      <c r="J3516" s="26" t="str">
        <f>IF(OR(E3516="",E3516="!!!",F3516="NEW"),"",COUNTBLANK(OFFSET(A$1,,,SUMPRODUCT(MAX(ROW(E$2:E3516)*(E3516=E$2:E3516)))))-COUNTBLANK(OFFSET(A$1,,,SUMPRODUCT(MAX(ROW(E$1:E3515)*(E2=E$1:E3515))))))</f>
        <v> </v>
      </c>
      <c r="K3516" s="26" t="str">
        <f>IF(OR(E3516="",E3516="!!!",F3516="NEW"),"",INDEX(J$1:J3515,SUMPRODUCT(MAX(ROW(E$1:E3515)*(E3516=E$1:E3515)))))</f>
        <v> </v>
      </c>
      <c r="L3516" s="27"/>
    </row>
    <row r="3517" spans="1:12">
      <c r="A3517" s="20" t="s">
        <v>1630</v>
      </c>
      <c r="E3517" s="22">
        <f>IF(D3517="?OLD","!!!","")</f>
        <v/>
      </c>
      <c r="F3517" s="23" t="str">
        <f>IF(OR(E3517="",E3517="!!!"),"",IF(NOT(ISNA(VLOOKUP(E3517,E$1:E3516,1,FALSE()))),"OLD",IF(AND(E3517&lt;&gt;"",E3517&lt;&gt;"!!!"),"NEW","")))</f>
        <v> </v>
      </c>
      <c r="G3517" s="24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5" t="str">
        <f>IF(J3517&lt;&gt;1,"",IF(I3517="SBJ","CB","?"))</f>
        <v> </v>
      </c>
      <c r="I3517" s="26" t="str">
        <f>IF(OR(E3517="",E3517="!!!",F3517="NEW"),"",INDEX(B3516:B$2,-1+SUMPRODUCT(MAX(ROW(E3516:E$2)*(E3517=E3516:E$2)))))</f>
        <v> </v>
      </c>
      <c r="J3517" s="26" t="str">
        <f>IF(OR(E3517="",E3517="!!!",F3517="NEW"),"",COUNTBLANK(OFFSET(A$1,,,SUMPRODUCT(MAX(ROW(E$2:E3517)*(E3517=E$2:E3517)))))-COUNTBLANK(OFFSET(A$1,,,SUMPRODUCT(MAX(ROW(E$1:E3516)*(E2=E$1:E3516))))))</f>
        <v> </v>
      </c>
      <c r="K3517" s="26" t="str">
        <f>IF(OR(E3517="",E3517="!!!",F3517="NEW"),"",INDEX(J$1:J3516,SUMPRODUCT(MAX(ROW(E$1:E3516)*(E3517=E$1:E3516)))))</f>
        <v> </v>
      </c>
      <c r="L3517" s="27"/>
    </row>
    <row r="3518" spans="1:12">
      <c r="A3518" s="20" t="s">
        <v>1013</v>
      </c>
      <c r="E3518" s="22">
        <f>IF(D3518="?OLD","!!!","")</f>
        <v/>
      </c>
      <c r="F3518" s="23" t="str">
        <f>IF(OR(E3518="",E3518="!!!"),"",IF(NOT(ISNA(VLOOKUP(E3518,E$1:E3517,1,FALSE()))),"OLD",IF(AND(E3518&lt;&gt;"",E3518&lt;&gt;"!!!"),"NEW","")))</f>
        <v> </v>
      </c>
      <c r="G3518" s="24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5" t="str">
        <f>IF(J3518&lt;&gt;1,"",IF(I3518="SBJ","CB","?"))</f>
        <v> </v>
      </c>
      <c r="I3518" s="26" t="str">
        <f>IF(OR(E3518="",E3518="!!!",F3518="NEW"),"",INDEX(B3517:B$2,-1+SUMPRODUCT(MAX(ROW(E3517:E$2)*(E3518=E3517:E$2)))))</f>
        <v> </v>
      </c>
      <c r="J3518" s="26" t="str">
        <f>IF(OR(E3518="",E3518="!!!",F3518="NEW"),"",COUNTBLANK(OFFSET(A$1,,,SUMPRODUCT(MAX(ROW(E$2:E3518)*(E3518=E$2:E3518)))))-COUNTBLANK(OFFSET(A$1,,,SUMPRODUCT(MAX(ROW(E$1:E3517)*(E2=E$1:E3517))))))</f>
        <v> </v>
      </c>
      <c r="K3518" s="26" t="str">
        <f>IF(OR(E3518="",E3518="!!!",F3518="NEW"),"",INDEX(J$1:J3517,SUMPRODUCT(MAX(ROW(E$1:E3517)*(E3518=E$1:E3517)))))</f>
        <v> </v>
      </c>
      <c r="L3518" s="27"/>
    </row>
    <row r="3519" spans="1:12">
      <c r="A3519" s="20" t="s">
        <v>145</v>
      </c>
      <c r="B3519" s="21" t="s">
        <v>975</v>
      </c>
      <c r="C3519" s="21" t="s">
        <v>971</v>
      </c>
      <c r="D3519" s="21" t="s">
        <v>972</v>
      </c>
      <c r="E3519" s="22">
        <f>IF(D3519="?OLD","!!!","")</f>
        <v/>
      </c>
      <c r="F3519" s="23" t="str">
        <f>IF(OR(E3519="",E3519="!!!"),"",IF(NOT(ISNA(VLOOKUP(E3519,E$1:E3518,1,FALSE()))),"OLD",IF(AND(E3519&lt;&gt;"",E3519&lt;&gt;"!!!"),"NEW","")))</f>
        <v> </v>
      </c>
      <c r="G3519" s="24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5" t="str">
        <f>IF(J3519&lt;&gt;1,"",IF(I3519="SBJ","CB","?"))</f>
        <v> </v>
      </c>
      <c r="I3519" s="26" t="str">
        <f>IF(OR(E3519="",E3519="!!!",F3519="NEW"),"",INDEX(B3518:B$2,-1+SUMPRODUCT(MAX(ROW(E3518:E$2)*(E3519=E3518:E$2)))))</f>
        <v> </v>
      </c>
      <c r="J3519" s="26" t="str">
        <f>IF(OR(E3519="",E3519="!!!",F3519="NEW"),"",COUNTBLANK(OFFSET(A$1,,,SUMPRODUCT(MAX(ROW(E$2:E3519)*(E3519=E$2:E3519)))))-COUNTBLANK(OFFSET(A$1,,,SUMPRODUCT(MAX(ROW(E$1:E3518)*(E2=E$1:E3518))))))</f>
        <v> </v>
      </c>
      <c r="K3519" s="26" t="str">
        <f>IF(OR(E3519="",E3519="!!!",F3519="NEW"),"",INDEX(J$1:J3518,SUMPRODUCT(MAX(ROW(E$1:E3518)*(E3519=E$1:E3518)))))</f>
        <v> </v>
      </c>
      <c r="L3519" s="27"/>
    </row>
    <row r="3520" spans="1:12">
      <c r="A3520" s="20" t="s">
        <v>2348</v>
      </c>
      <c r="E3520" s="22">
        <f>IF(D3520="?OLD","!!!","")</f>
        <v/>
      </c>
      <c r="F3520" s="23" t="str">
        <f>IF(OR(E3520="",E3520="!!!"),"",IF(NOT(ISNA(VLOOKUP(E3520,E$1:E3519,1,FALSE()))),"OLD",IF(AND(E3520&lt;&gt;"",E3520&lt;&gt;"!!!"),"NEW","")))</f>
        <v> </v>
      </c>
      <c r="G3520" s="24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5" t="str">
        <f>IF(J3520&lt;&gt;1,"",IF(I3520="SBJ","CB","?"))</f>
        <v> </v>
      </c>
      <c r="I3520" s="26" t="str">
        <f>IF(OR(E3520="",E3520="!!!",F3520="NEW"),"",INDEX(B3519:B$2,-1+SUMPRODUCT(MAX(ROW(E3519:E$2)*(E3520=E3519:E$2)))))</f>
        <v> </v>
      </c>
      <c r="J3520" s="26" t="str">
        <f>IF(OR(E3520="",E3520="!!!",F3520="NEW"),"",COUNTBLANK(OFFSET(A$1,,,SUMPRODUCT(MAX(ROW(E$2:E3520)*(E3520=E$2:E3520)))))-COUNTBLANK(OFFSET(A$1,,,SUMPRODUCT(MAX(ROW(E$1:E3519)*(E2=E$1:E3519))))))</f>
        <v> </v>
      </c>
      <c r="K3520" s="26" t="str">
        <f>IF(OR(E3520="",E3520="!!!",F3520="NEW"),"",INDEX(J$1:J3519,SUMPRODUCT(MAX(ROW(E$1:E3519)*(E3520=E$1:E3519)))))</f>
        <v> </v>
      </c>
      <c r="L3520" s="27"/>
    </row>
    <row r="3521" spans="1:12">
      <c r="A3521" s="20" t="s">
        <v>1013</v>
      </c>
      <c r="E3521" s="22">
        <f>IF(D3521="?OLD","!!!","")</f>
        <v/>
      </c>
      <c r="F3521" s="23" t="str">
        <f>IF(OR(E3521="",E3521="!!!"),"",IF(NOT(ISNA(VLOOKUP(E3521,E$1:E3520,1,FALSE()))),"OLD",IF(AND(E3521&lt;&gt;"",E3521&lt;&gt;"!!!"),"NEW","")))</f>
        <v> </v>
      </c>
      <c r="G3521" s="24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5" t="str">
        <f>IF(J3521&lt;&gt;1,"",IF(I3521="SBJ","CB","?"))</f>
        <v> </v>
      </c>
      <c r="I3521" s="26" t="str">
        <f>IF(OR(E3521="",E3521="!!!",F3521="NEW"),"",INDEX(B3520:B$2,-1+SUMPRODUCT(MAX(ROW(E3520:E$2)*(E3521=E3520:E$2)))))</f>
        <v> </v>
      </c>
      <c r="J3521" s="26" t="str">
        <f>IF(OR(E3521="",E3521="!!!",F3521="NEW"),"",COUNTBLANK(OFFSET(A$1,,,SUMPRODUCT(MAX(ROW(E$2:E3521)*(E3521=E$2:E3521)))))-COUNTBLANK(OFFSET(A$1,,,SUMPRODUCT(MAX(ROW(E$1:E3520)*(E2=E$1:E3520))))))</f>
        <v> </v>
      </c>
      <c r="K3521" s="26" t="str">
        <f>IF(OR(E3521="",E3521="!!!",F3521="NEW"),"",INDEX(J$1:J3520,SUMPRODUCT(MAX(ROW(E$1:E3520)*(E3521=E$1:E3520)))))</f>
        <v> </v>
      </c>
      <c r="L3521" s="27"/>
    </row>
    <row r="3522" spans="1:12">
      <c r="A3522" s="20" t="s">
        <v>2349</v>
      </c>
      <c r="E3522" s="22">
        <f>IF(D3522="?OLD","!!!","")</f>
        <v/>
      </c>
      <c r="F3522" s="23" t="str">
        <f>IF(OR(E3522="",E3522="!!!"),"",IF(NOT(ISNA(VLOOKUP(E3522,E$1:E3521,1,FALSE()))),"OLD",IF(AND(E3522&lt;&gt;"",E3522&lt;&gt;"!!!"),"NEW","")))</f>
        <v> </v>
      </c>
      <c r="G3522" s="24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5" t="str">
        <f>IF(J3522&lt;&gt;1,"",IF(I3522="SBJ","CB","?"))</f>
        <v> </v>
      </c>
      <c r="I3522" s="26" t="str">
        <f>IF(OR(E3522="",E3522="!!!",F3522="NEW"),"",INDEX(B3521:B$2,-1+SUMPRODUCT(MAX(ROW(E3521:E$2)*(E3522=E3521:E$2)))))</f>
        <v> </v>
      </c>
      <c r="J3522" s="26" t="str">
        <f>IF(OR(E3522="",E3522="!!!",F3522="NEW"),"",COUNTBLANK(OFFSET(A$1,,,SUMPRODUCT(MAX(ROW(E$2:E3522)*(E3522=E$2:E3522)))))-COUNTBLANK(OFFSET(A$1,,,SUMPRODUCT(MAX(ROW(E$1:E3521)*(E2=E$1:E3521))))))</f>
        <v> </v>
      </c>
      <c r="K3522" s="26" t="str">
        <f>IF(OR(E3522="",E3522="!!!",F3522="NEW"),"",INDEX(J$1:J3521,SUMPRODUCT(MAX(ROW(E$1:E3521)*(E3522=E$1:E3521)))))</f>
        <v> </v>
      </c>
      <c r="L3522" s="27"/>
    </row>
    <row r="3523" spans="1:12">
      <c r="A3523" s="20" t="s">
        <v>1106</v>
      </c>
      <c r="B3523" s="21" t="s">
        <v>1003</v>
      </c>
      <c r="C3523" s="21" t="s">
        <v>971</v>
      </c>
      <c r="D3523" s="21" t="s">
        <v>972</v>
      </c>
      <c r="E3523" s="22">
        <f>IF(D3523="?OLD","!!!","")</f>
        <v/>
      </c>
      <c r="F3523" s="23" t="str">
        <f>IF(OR(E3523="",E3523="!!!"),"",IF(NOT(ISNA(VLOOKUP(E3523,E$1:E3522,1,FALSE()))),"OLD",IF(AND(E3523&lt;&gt;"",E3523&lt;&gt;"!!!"),"NEW","")))</f>
        <v> </v>
      </c>
      <c r="G3523" s="24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5" t="str">
        <f>IF(J3523&lt;&gt;1,"",IF(I3523="SBJ","CB","?"))</f>
        <v> </v>
      </c>
      <c r="I3523" s="26" t="str">
        <f>IF(OR(E3523="",E3523="!!!",F3523="NEW"),"",INDEX(B3522:B$2,-1+SUMPRODUCT(MAX(ROW(E3522:E$2)*(E3523=E3522:E$2)))))</f>
        <v> </v>
      </c>
      <c r="J3523" s="26" t="str">
        <f>IF(OR(E3523="",E3523="!!!",F3523="NEW"),"",COUNTBLANK(OFFSET(A$1,,,SUMPRODUCT(MAX(ROW(E$2:E3523)*(E3523=E$2:E3523)))))-COUNTBLANK(OFFSET(A$1,,,SUMPRODUCT(MAX(ROW(E$1:E3522)*(E2=E$1:E3522))))))</f>
        <v> </v>
      </c>
      <c r="K3523" s="26" t="str">
        <f>IF(OR(E3523="",E3523="!!!",F3523="NEW"),"",INDEX(J$1:J3522,SUMPRODUCT(MAX(ROW(E$1:E3522)*(E3523=E$1:E3522)))))</f>
        <v> </v>
      </c>
      <c r="L3523" s="27"/>
    </row>
    <row r="3524" spans="1:12">
      <c r="A3524" s="20" t="s">
        <v>1330</v>
      </c>
      <c r="E3524" s="22">
        <f>IF(D3524="?OLD","!!!","")</f>
        <v/>
      </c>
      <c r="F3524" s="23" t="str">
        <f>IF(OR(E3524="",E3524="!!!"),"",IF(NOT(ISNA(VLOOKUP(E3524,E$1:E3523,1,FALSE()))),"OLD",IF(AND(E3524&lt;&gt;"",E3524&lt;&gt;"!!!"),"NEW","")))</f>
        <v> </v>
      </c>
      <c r="G3524" s="24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5" t="str">
        <f>IF(J3524&lt;&gt;1,"",IF(I3524="SBJ","CB","?"))</f>
        <v> </v>
      </c>
      <c r="I3524" s="26" t="str">
        <f>IF(OR(E3524="",E3524="!!!",F3524="NEW"),"",INDEX(B3523:B$2,-1+SUMPRODUCT(MAX(ROW(E3523:E$2)*(E3524=E3523:E$2)))))</f>
        <v> </v>
      </c>
      <c r="J3524" s="26" t="str">
        <f>IF(OR(E3524="",E3524="!!!",F3524="NEW"),"",COUNTBLANK(OFFSET(A$1,,,SUMPRODUCT(MAX(ROW(E$2:E3524)*(E3524=E$2:E3524)))))-COUNTBLANK(OFFSET(A$1,,,SUMPRODUCT(MAX(ROW(E$1:E3523)*(E2=E$1:E3523))))))</f>
        <v> </v>
      </c>
      <c r="K3524" s="26" t="str">
        <f>IF(OR(E3524="",E3524="!!!",F3524="NEW"),"",INDEX(J$1:J3523,SUMPRODUCT(MAX(ROW(E$1:E3523)*(E3524=E$1:E3523)))))</f>
        <v> </v>
      </c>
      <c r="L3524" s="27"/>
    </row>
    <row r="3525" spans="1:12">
      <c r="A3525" s="20" t="s">
        <v>2350</v>
      </c>
      <c r="E3525" s="22">
        <f>IF(D3525="?OLD","!!!","")</f>
        <v/>
      </c>
      <c r="F3525" s="23" t="str">
        <f>IF(OR(E3525="",E3525="!!!"),"",IF(NOT(ISNA(VLOOKUP(E3525,E$1:E3524,1,FALSE()))),"OLD",IF(AND(E3525&lt;&gt;"",E3525&lt;&gt;"!!!"),"NEW","")))</f>
        <v> </v>
      </c>
      <c r="G3525" s="24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5" t="str">
        <f>IF(J3525&lt;&gt;1,"",IF(I3525="SBJ","CB","?"))</f>
        <v> </v>
      </c>
      <c r="I3525" s="26" t="str">
        <f>IF(OR(E3525="",E3525="!!!",F3525="NEW"),"",INDEX(B3524:B$2,-1+SUMPRODUCT(MAX(ROW(E3524:E$2)*(E3525=E3524:E$2)))))</f>
        <v> </v>
      </c>
      <c r="J3525" s="26" t="str">
        <f>IF(OR(E3525="",E3525="!!!",F3525="NEW"),"",COUNTBLANK(OFFSET(A$1,,,SUMPRODUCT(MAX(ROW(E$2:E3525)*(E3525=E$2:E3525)))))-COUNTBLANK(OFFSET(A$1,,,SUMPRODUCT(MAX(ROW(E$1:E3524)*(E2=E$1:E3524))))))</f>
        <v> </v>
      </c>
      <c r="K3525" s="26" t="str">
        <f>IF(OR(E3525="",E3525="!!!",F3525="NEW"),"",INDEX(J$1:J3524,SUMPRODUCT(MAX(ROW(E$1:E3524)*(E3525=E$1:E3524)))))</f>
        <v> </v>
      </c>
      <c r="L3525" s="27"/>
    </row>
    <row r="3526" spans="1:12">
      <c r="A3526" s="20" t="s">
        <v>1013</v>
      </c>
      <c r="E3526" s="22">
        <f>IF(D3526="?OLD","!!!","")</f>
        <v/>
      </c>
      <c r="F3526" s="23" t="str">
        <f>IF(OR(E3526="",E3526="!!!"),"",IF(NOT(ISNA(VLOOKUP(E3526,E$1:E3525,1,FALSE()))),"OLD",IF(AND(E3526&lt;&gt;"",E3526&lt;&gt;"!!!"),"NEW","")))</f>
        <v> </v>
      </c>
      <c r="G3526" s="24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5" t="str">
        <f>IF(J3526&lt;&gt;1,"",IF(I3526="SBJ","CB","?"))</f>
        <v> </v>
      </c>
      <c r="I3526" s="26" t="str">
        <f>IF(OR(E3526="",E3526="!!!",F3526="NEW"),"",INDEX(B3525:B$2,-1+SUMPRODUCT(MAX(ROW(E3525:E$2)*(E3526=E3525:E$2)))))</f>
        <v> </v>
      </c>
      <c r="J3526" s="26" t="str">
        <f>IF(OR(E3526="",E3526="!!!",F3526="NEW"),"",COUNTBLANK(OFFSET(A$1,,,SUMPRODUCT(MAX(ROW(E$2:E3526)*(E3526=E$2:E3526)))))-COUNTBLANK(OFFSET(A$1,,,SUMPRODUCT(MAX(ROW(E$1:E3525)*(E2=E$1:E3525))))))</f>
        <v> </v>
      </c>
      <c r="K3526" s="26" t="str">
        <f>IF(OR(E3526="",E3526="!!!",F3526="NEW"),"",INDEX(J$1:J3525,SUMPRODUCT(MAX(ROW(E$1:E3525)*(E3526=E$1:E3525)))))</f>
        <v> </v>
      </c>
      <c r="L3526" s="27"/>
    </row>
    <row r="3527" spans="1:12">
      <c r="A3527" s="20" t="s">
        <v>1222</v>
      </c>
      <c r="E3527" s="22">
        <f>IF(D3527="?OLD","!!!","")</f>
        <v/>
      </c>
      <c r="F3527" s="23" t="str">
        <f>IF(OR(E3527="",E3527="!!!"),"",IF(NOT(ISNA(VLOOKUP(E3527,E$1:E3526,1,FALSE()))),"OLD",IF(AND(E3527&lt;&gt;"",E3527&lt;&gt;"!!!"),"NEW","")))</f>
        <v> </v>
      </c>
      <c r="G3527" s="24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5" t="str">
        <f>IF(J3527&lt;&gt;1,"",IF(I3527="SBJ","CB","?"))</f>
        <v> </v>
      </c>
      <c r="I3527" s="26" t="str">
        <f>IF(OR(E3527="",E3527="!!!",F3527="NEW"),"",INDEX(B3526:B$2,-1+SUMPRODUCT(MAX(ROW(E3526:E$2)*(E3527=E3526:E$2)))))</f>
        <v> </v>
      </c>
      <c r="J3527" s="26" t="str">
        <f>IF(OR(E3527="",E3527="!!!",F3527="NEW"),"",COUNTBLANK(OFFSET(A$1,,,SUMPRODUCT(MAX(ROW(E$2:E3527)*(E3527=E$2:E3527)))))-COUNTBLANK(OFFSET(A$1,,,SUMPRODUCT(MAX(ROW(E$1:E3526)*(E2=E$1:E3526))))))</f>
        <v> </v>
      </c>
      <c r="K3527" s="26" t="str">
        <f>IF(OR(E3527="",E3527="!!!",F3527="NEW"),"",INDEX(J$1:J3526,SUMPRODUCT(MAX(ROW(E$1:E3526)*(E3527=E$1:E3526)))))</f>
        <v> </v>
      </c>
      <c r="L3527" s="27"/>
    </row>
    <row r="3528" spans="1:12">
      <c r="A3528" s="20" t="s">
        <v>400</v>
      </c>
      <c r="B3528" s="21" t="s">
        <v>1115</v>
      </c>
      <c r="C3528" s="21" t="s">
        <v>971</v>
      </c>
      <c r="D3528" s="21" t="s">
        <v>972</v>
      </c>
      <c r="E3528" s="22">
        <f>IF(D3528="?OLD","!!!","")</f>
        <v/>
      </c>
      <c r="F3528" s="23" t="str">
        <f>IF(OR(E3528="",E3528="!!!"),"",IF(NOT(ISNA(VLOOKUP(E3528,E$1:E3527,1,FALSE()))),"OLD",IF(AND(E3528&lt;&gt;"",E3528&lt;&gt;"!!!"),"NEW","")))</f>
        <v> </v>
      </c>
      <c r="G3528" s="24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5" t="str">
        <f>IF(J3528&lt;&gt;1,"",IF(I3528="SBJ","CB","?"))</f>
        <v> </v>
      </c>
      <c r="I3528" s="26" t="str">
        <f>IF(OR(E3528="",E3528="!!!",F3528="NEW"),"",INDEX(B3527:B$2,-1+SUMPRODUCT(MAX(ROW(E3527:E$2)*(E3528=E3527:E$2)))))</f>
        <v> </v>
      </c>
      <c r="J3528" s="26" t="str">
        <f>IF(OR(E3528="",E3528="!!!",F3528="NEW"),"",COUNTBLANK(OFFSET(A$1,,,SUMPRODUCT(MAX(ROW(E$2:E3528)*(E3528=E$2:E3528)))))-COUNTBLANK(OFFSET(A$1,,,SUMPRODUCT(MAX(ROW(E$1:E3527)*(E2=E$1:E3527))))))</f>
        <v> </v>
      </c>
      <c r="K3528" s="26" t="str">
        <f>IF(OR(E3528="",E3528="!!!",F3528="NEW"),"",INDEX(J$1:J3527,SUMPRODUCT(MAX(ROW(E$1:E3527)*(E3528=E$1:E3527)))))</f>
        <v> </v>
      </c>
      <c r="L3528" s="27"/>
    </row>
    <row r="3529" spans="1:12">
      <c r="A3529" s="20" t="s">
        <v>1485</v>
      </c>
      <c r="B3529" s="21" t="s">
        <v>1055</v>
      </c>
      <c r="C3529" s="21" t="s">
        <v>971</v>
      </c>
      <c r="D3529" s="21" t="s">
        <v>972</v>
      </c>
      <c r="E3529" s="22">
        <f>IF(D3529="?OLD","!!!","")</f>
        <v/>
      </c>
      <c r="F3529" s="23" t="str">
        <f>IF(OR(E3529="",E3529="!!!"),"",IF(NOT(ISNA(VLOOKUP(E3529,E$1:E3528,1,FALSE()))),"OLD",IF(AND(E3529&lt;&gt;"",E3529&lt;&gt;"!!!"),"NEW","")))</f>
        <v> </v>
      </c>
      <c r="G3529" s="24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5" t="str">
        <f>IF(J3529&lt;&gt;1,"",IF(I3529="SBJ","CB","?"))</f>
        <v> </v>
      </c>
      <c r="I3529" s="26" t="str">
        <f>IF(OR(E3529="",E3529="!!!",F3529="NEW"),"",INDEX(B3528:B$2,-1+SUMPRODUCT(MAX(ROW(E3528:E$2)*(E3529=E3528:E$2)))))</f>
        <v> </v>
      </c>
      <c r="J3529" s="26" t="str">
        <f>IF(OR(E3529="",E3529="!!!",F3529="NEW"),"",COUNTBLANK(OFFSET(A$1,,,SUMPRODUCT(MAX(ROW(E$2:E3529)*(E3529=E$2:E3529)))))-COUNTBLANK(OFFSET(A$1,,,SUMPRODUCT(MAX(ROW(E$1:E3528)*(E2=E$1:E3528))))))</f>
        <v> </v>
      </c>
      <c r="K3529" s="26" t="str">
        <f>IF(OR(E3529="",E3529="!!!",F3529="NEW"),"",INDEX(J$1:J3528,SUMPRODUCT(MAX(ROW(E$1:E3528)*(E3529=E$1:E3528)))))</f>
        <v> </v>
      </c>
      <c r="L3529" s="27"/>
    </row>
    <row r="3530" spans="1:12">
      <c r="A3530" s="20" t="s">
        <v>2351</v>
      </c>
      <c r="E3530" s="22">
        <f>IF(D3530="?OLD","!!!","")</f>
        <v/>
      </c>
      <c r="F3530" s="23" t="str">
        <f>IF(OR(E3530="",E3530="!!!"),"",IF(NOT(ISNA(VLOOKUP(E3530,E$1:E3529,1,FALSE()))),"OLD",IF(AND(E3530&lt;&gt;"",E3530&lt;&gt;"!!!"),"NEW","")))</f>
        <v> </v>
      </c>
      <c r="G3530" s="24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5" t="str">
        <f>IF(J3530&lt;&gt;1,"",IF(I3530="SBJ","CB","?"))</f>
        <v> </v>
      </c>
      <c r="I3530" s="26" t="str">
        <f>IF(OR(E3530="",E3530="!!!",F3530="NEW"),"",INDEX(B3529:B$2,-1+SUMPRODUCT(MAX(ROW(E3529:E$2)*(E3530=E3529:E$2)))))</f>
        <v> </v>
      </c>
      <c r="J3530" s="26" t="str">
        <f>IF(OR(E3530="",E3530="!!!",F3530="NEW"),"",COUNTBLANK(OFFSET(A$1,,,SUMPRODUCT(MAX(ROW(E$2:E3530)*(E3530=E$2:E3530)))))-COUNTBLANK(OFFSET(A$1,,,SUMPRODUCT(MAX(ROW(E$1:E3529)*(E2=E$1:E3529))))))</f>
        <v> </v>
      </c>
      <c r="K3530" s="26" t="str">
        <f>IF(OR(E3530="",E3530="!!!",F3530="NEW"),"",INDEX(J$1:J3529,SUMPRODUCT(MAX(ROW(E$1:E3529)*(E3530=E$1:E3529)))))</f>
        <v> </v>
      </c>
      <c r="L3530" s="27"/>
    </row>
    <row r="3531" spans="1:12">
      <c r="A3531" s="20" t="s">
        <v>2352</v>
      </c>
      <c r="E3531" s="22">
        <f>IF(D3531="?OLD","!!!","")</f>
        <v/>
      </c>
      <c r="F3531" s="23" t="str">
        <f>IF(OR(E3531="",E3531="!!!"),"",IF(NOT(ISNA(VLOOKUP(E3531,E$1:E3530,1,FALSE()))),"OLD",IF(AND(E3531&lt;&gt;"",E3531&lt;&gt;"!!!"),"NEW","")))</f>
        <v> </v>
      </c>
      <c r="G3531" s="24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5" t="str">
        <f>IF(J3531&lt;&gt;1,"",IF(I3531="SBJ","CB","?"))</f>
        <v> </v>
      </c>
      <c r="I3531" s="26" t="str">
        <f>IF(OR(E3531="",E3531="!!!",F3531="NEW"),"",INDEX(B3530:B$2,-1+SUMPRODUCT(MAX(ROW(E3530:E$2)*(E3531=E3530:E$2)))))</f>
        <v> </v>
      </c>
      <c r="J3531" s="26" t="str">
        <f>IF(OR(E3531="",E3531="!!!",F3531="NEW"),"",COUNTBLANK(OFFSET(A$1,,,SUMPRODUCT(MAX(ROW(E$2:E3531)*(E3531=E$2:E3531)))))-COUNTBLANK(OFFSET(A$1,,,SUMPRODUCT(MAX(ROW(E$1:E3530)*(E2=E$1:E3530))))))</f>
        <v> </v>
      </c>
      <c r="K3531" s="26" t="str">
        <f>IF(OR(E3531="",E3531="!!!",F3531="NEW"),"",INDEX(J$1:J3530,SUMPRODUCT(MAX(ROW(E$1:E3530)*(E3531=E$1:E3530)))))</f>
        <v> </v>
      </c>
      <c r="L3531" s="27"/>
    </row>
    <row r="3532" spans="1:12">
      <c r="A3532" s="20" t="s">
        <v>2353</v>
      </c>
      <c r="B3532" s="21" t="s">
        <v>1115</v>
      </c>
      <c r="E3532" s="22">
        <f>IF(D3532="?OLD","!!!","")</f>
        <v/>
      </c>
      <c r="F3532" s="23" t="str">
        <f>IF(OR(E3532="",E3532="!!!"),"",IF(NOT(ISNA(VLOOKUP(E3532,E$1:E3531,1,FALSE()))),"OLD",IF(AND(E3532&lt;&gt;"",E3532&lt;&gt;"!!!"),"NEW","")))</f>
        <v> </v>
      </c>
      <c r="G3532" s="24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5" t="str">
        <f>IF(J3532&lt;&gt;1,"",IF(I3532="SBJ","CB","?"))</f>
        <v> </v>
      </c>
      <c r="I3532" s="26" t="str">
        <f>IF(OR(E3532="",E3532="!!!",F3532="NEW"),"",INDEX(B3531:B$2,-1+SUMPRODUCT(MAX(ROW(E3531:E$2)*(E3532=E3531:E$2)))))</f>
        <v> </v>
      </c>
      <c r="J3532" s="26" t="str">
        <f>IF(OR(E3532="",E3532="!!!",F3532="NEW"),"",COUNTBLANK(OFFSET(A$1,,,SUMPRODUCT(MAX(ROW(E$2:E3532)*(E3532=E$2:E3532)))))-COUNTBLANK(OFFSET(A$1,,,SUMPRODUCT(MAX(ROW(E$1:E3531)*(E2=E$1:E3531))))))</f>
        <v> </v>
      </c>
      <c r="K3532" s="26" t="str">
        <f>IF(OR(E3532="",E3532="!!!",F3532="NEW"),"",INDEX(J$1:J3531,SUMPRODUCT(MAX(ROW(E$1:E3531)*(E3532=E$1:E3531)))))</f>
        <v> </v>
      </c>
      <c r="L3532" s="27"/>
    </row>
    <row r="3533" spans="1:12">
      <c r="A3533" s="20" t="s">
        <v>2162</v>
      </c>
      <c r="E3533" s="22">
        <f>IF(D3533="?OLD","!!!","")</f>
        <v/>
      </c>
      <c r="F3533" s="23" t="str">
        <f>IF(OR(E3533="",E3533="!!!"),"",IF(NOT(ISNA(VLOOKUP(E3533,E$1:E3532,1,FALSE()))),"OLD",IF(AND(E3533&lt;&gt;"",E3533&lt;&gt;"!!!"),"NEW","")))</f>
        <v> </v>
      </c>
      <c r="G3533" s="24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5" t="str">
        <f>IF(J3533&lt;&gt;1,"",IF(I3533="SBJ","CB","?"))</f>
        <v> </v>
      </c>
      <c r="I3533" s="26" t="str">
        <f>IF(OR(E3533="",E3533="!!!",F3533="NEW"),"",INDEX(B3532:B$2,-1+SUMPRODUCT(MAX(ROW(E3532:E$2)*(E3533=E3532:E$2)))))</f>
        <v> </v>
      </c>
      <c r="J3533" s="26" t="str">
        <f>IF(OR(E3533="",E3533="!!!",F3533="NEW"),"",COUNTBLANK(OFFSET(A$1,,,SUMPRODUCT(MAX(ROW(E$2:E3533)*(E3533=E$2:E3533)))))-COUNTBLANK(OFFSET(A$1,,,SUMPRODUCT(MAX(ROW(E$1:E3532)*(E2=E$1:E3532))))))</f>
        <v> </v>
      </c>
      <c r="K3533" s="26" t="str">
        <f>IF(OR(E3533="",E3533="!!!",F3533="NEW"),"",INDEX(J$1:J3532,SUMPRODUCT(MAX(ROW(E$1:E3532)*(E3533=E$1:E3532)))))</f>
        <v> </v>
      </c>
      <c r="L3533" s="27"/>
    </row>
    <row r="3534" spans="1:12">
      <c r="A3534" s="20" t="s">
        <v>1033</v>
      </c>
      <c r="E3534" s="22">
        <f>IF(D3534="?OLD","!!!","")</f>
        <v/>
      </c>
      <c r="F3534" s="23" t="str">
        <f>IF(OR(E3534="",E3534="!!!"),"",IF(NOT(ISNA(VLOOKUP(E3534,E$1:E3533,1,FALSE()))),"OLD",IF(AND(E3534&lt;&gt;"",E3534&lt;&gt;"!!!"),"NEW","")))</f>
        <v> </v>
      </c>
      <c r="G3534" s="24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5" t="str">
        <f>IF(J3534&lt;&gt;1,"",IF(I3534="SBJ","CB","?"))</f>
        <v> </v>
      </c>
      <c r="I3534" s="26" t="str">
        <f>IF(OR(E3534="",E3534="!!!",F3534="NEW"),"",INDEX(B3533:B$2,-1+SUMPRODUCT(MAX(ROW(E3533:E$2)*(E3534=E3533:E$2)))))</f>
        <v> </v>
      </c>
      <c r="J3534" s="26" t="str">
        <f>IF(OR(E3534="",E3534="!!!",F3534="NEW"),"",COUNTBLANK(OFFSET(A$1,,,SUMPRODUCT(MAX(ROW(E$2:E3534)*(E3534=E$2:E3534)))))-COUNTBLANK(OFFSET(A$1,,,SUMPRODUCT(MAX(ROW(E$1:E3533)*(E2=E$1:E3533))))))</f>
        <v> </v>
      </c>
      <c r="K3534" s="26" t="str">
        <f>IF(OR(E3534="",E3534="!!!",F3534="NEW"),"",INDEX(J$1:J3533,SUMPRODUCT(MAX(ROW(E$1:E3533)*(E3534=E$1:E3533)))))</f>
        <v> </v>
      </c>
      <c r="L3534" s="27"/>
    </row>
    <row r="3535" spans="1:12">
      <c r="A3535" s="20" t="s">
        <v>1013</v>
      </c>
      <c r="E3535" s="22">
        <f>IF(D3535="?OLD","!!!","")</f>
        <v/>
      </c>
      <c r="F3535" s="23" t="str">
        <f>IF(OR(E3535="",E3535="!!!"),"",IF(NOT(ISNA(VLOOKUP(E3535,E$1:E3534,1,FALSE()))),"OLD",IF(AND(E3535&lt;&gt;"",E3535&lt;&gt;"!!!"),"NEW","")))</f>
        <v> </v>
      </c>
      <c r="G3535" s="24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5" t="str">
        <f>IF(J3535&lt;&gt;1,"",IF(I3535="SBJ","CB","?"))</f>
        <v> </v>
      </c>
      <c r="I3535" s="26" t="str">
        <f>IF(OR(E3535="",E3535="!!!",F3535="NEW"),"",INDEX(B3534:B$2,-1+SUMPRODUCT(MAX(ROW(E3534:E$2)*(E3535=E3534:E$2)))))</f>
        <v> </v>
      </c>
      <c r="J3535" s="26" t="str">
        <f>IF(OR(E3535="",E3535="!!!",F3535="NEW"),"",COUNTBLANK(OFFSET(A$1,,,SUMPRODUCT(MAX(ROW(E$2:E3535)*(E3535=E$2:E3535)))))-COUNTBLANK(OFFSET(A$1,,,SUMPRODUCT(MAX(ROW(E$1:E3534)*(E2=E$1:E3534))))))</f>
        <v> </v>
      </c>
      <c r="K3535" s="26" t="str">
        <f>IF(OR(E3535="",E3535="!!!",F3535="NEW"),"",INDEX(J$1:J3534,SUMPRODUCT(MAX(ROW(E$1:E3534)*(E3535=E$1:E3534)))))</f>
        <v> </v>
      </c>
      <c r="L3535" s="27"/>
    </row>
    <row r="3536" spans="1:12">
      <c r="A3536" s="20" t="s">
        <v>2354</v>
      </c>
      <c r="E3536" s="22">
        <f>IF(D3536="?OLD","!!!","")</f>
        <v/>
      </c>
      <c r="F3536" s="23" t="str">
        <f>IF(OR(E3536="",E3536="!!!"),"",IF(NOT(ISNA(VLOOKUP(E3536,E$1:E3535,1,FALSE()))),"OLD",IF(AND(E3536&lt;&gt;"",E3536&lt;&gt;"!!!"),"NEW","")))</f>
        <v> </v>
      </c>
      <c r="G3536" s="24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5" t="str">
        <f>IF(J3536&lt;&gt;1,"",IF(I3536="SBJ","CB","?"))</f>
        <v> </v>
      </c>
      <c r="I3536" s="26" t="str">
        <f>IF(OR(E3536="",E3536="!!!",F3536="NEW"),"",INDEX(B3535:B$2,-1+SUMPRODUCT(MAX(ROW(E3535:E$2)*(E3536=E3535:E$2)))))</f>
        <v> </v>
      </c>
      <c r="J3536" s="26" t="str">
        <f>IF(OR(E3536="",E3536="!!!",F3536="NEW"),"",COUNTBLANK(OFFSET(A$1,,,SUMPRODUCT(MAX(ROW(E$2:E3536)*(E3536=E$2:E3536)))))-COUNTBLANK(OFFSET(A$1,,,SUMPRODUCT(MAX(ROW(E$1:E3535)*(E2=E$1:E3535))))))</f>
        <v> </v>
      </c>
      <c r="K3536" s="26" t="str">
        <f>IF(OR(E3536="",E3536="!!!",F3536="NEW"),"",INDEX(J$1:J3535,SUMPRODUCT(MAX(ROW(E$1:E3535)*(E3536=E$1:E3535)))))</f>
        <v> </v>
      </c>
      <c r="L3536" s="27"/>
    </row>
    <row r="3537" spans="1:12">
      <c r="A3537" s="20" t="s">
        <v>2355</v>
      </c>
      <c r="E3537" s="22">
        <f>IF(D3537="?OLD","!!!","")</f>
        <v/>
      </c>
      <c r="F3537" s="23" t="str">
        <f>IF(OR(E3537="",E3537="!!!"),"",IF(NOT(ISNA(VLOOKUP(E3537,E$1:E3536,1,FALSE()))),"OLD",IF(AND(E3537&lt;&gt;"",E3537&lt;&gt;"!!!"),"NEW","")))</f>
        <v> </v>
      </c>
      <c r="G3537" s="24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5" t="str">
        <f>IF(J3537&lt;&gt;1,"",IF(I3537="SBJ","CB","?"))</f>
        <v> </v>
      </c>
      <c r="I3537" s="26" t="str">
        <f>IF(OR(E3537="",E3537="!!!",F3537="NEW"),"",INDEX(B3536:B$2,-1+SUMPRODUCT(MAX(ROW(E3536:E$2)*(E3537=E3536:E$2)))))</f>
        <v> </v>
      </c>
      <c r="J3537" s="26" t="str">
        <f>IF(OR(E3537="",E3537="!!!",F3537="NEW"),"",COUNTBLANK(OFFSET(A$1,,,SUMPRODUCT(MAX(ROW(E$2:E3537)*(E3537=E$2:E3537)))))-COUNTBLANK(OFFSET(A$1,,,SUMPRODUCT(MAX(ROW(E$1:E3536)*(E2=E$1:E3536))))))</f>
        <v> </v>
      </c>
      <c r="K3537" s="26" t="str">
        <f>IF(OR(E3537="",E3537="!!!",F3537="NEW"),"",INDEX(J$1:J3536,SUMPRODUCT(MAX(ROW(E$1:E3536)*(E3537=E$1:E3536)))))</f>
        <v> </v>
      </c>
      <c r="L3537" s="27"/>
    </row>
    <row r="3538" spans="1:12">
      <c r="A3538" s="20" t="s">
        <v>1013</v>
      </c>
      <c r="E3538" s="22">
        <f>IF(D3538="?OLD","!!!","")</f>
        <v/>
      </c>
      <c r="F3538" s="23" t="str">
        <f>IF(OR(E3538="",E3538="!!!"),"",IF(NOT(ISNA(VLOOKUP(E3538,E$1:E3537,1,FALSE()))),"OLD",IF(AND(E3538&lt;&gt;"",E3538&lt;&gt;"!!!"),"NEW","")))</f>
        <v> </v>
      </c>
      <c r="G3538" s="24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5" t="str">
        <f>IF(J3538&lt;&gt;1,"",IF(I3538="SBJ","CB","?"))</f>
        <v> </v>
      </c>
      <c r="I3538" s="26" t="str">
        <f>IF(OR(E3538="",E3538="!!!",F3538="NEW"),"",INDEX(B3537:B$2,-1+SUMPRODUCT(MAX(ROW(E3537:E$2)*(E3538=E3537:E$2)))))</f>
        <v> </v>
      </c>
      <c r="J3538" s="26" t="str">
        <f>IF(OR(E3538="",E3538="!!!",F3538="NEW"),"",COUNTBLANK(OFFSET(A$1,,,SUMPRODUCT(MAX(ROW(E$2:E3538)*(E3538=E$2:E3538)))))-COUNTBLANK(OFFSET(A$1,,,SUMPRODUCT(MAX(ROW(E$1:E3537)*(E2=E$1:E3537))))))</f>
        <v> </v>
      </c>
      <c r="K3538" s="26" t="str">
        <f>IF(OR(E3538="",E3538="!!!",F3538="NEW"),"",INDEX(J$1:J3537,SUMPRODUCT(MAX(ROW(E$1:E3537)*(E3538=E$1:E3537)))))</f>
        <v> </v>
      </c>
      <c r="L3538" s="27"/>
    </row>
    <row r="3539" spans="1:12">
      <c r="A3539" s="20" t="s">
        <v>1462</v>
      </c>
      <c r="B3539" s="21" t="s">
        <v>1552</v>
      </c>
      <c r="C3539" s="21" t="s">
        <v>1232</v>
      </c>
      <c r="E3539" s="22">
        <f>IF(D3539="?OLD","!!!","")</f>
        <v/>
      </c>
      <c r="F3539" s="23" t="str">
        <f>IF(OR(E3539="",E3539="!!!"),"",IF(NOT(ISNA(VLOOKUP(E3539,E$1:E3538,1,FALSE()))),"OLD",IF(AND(E3539&lt;&gt;"",E3539&lt;&gt;"!!!"),"NEW","")))</f>
        <v> </v>
      </c>
      <c r="G3539" s="24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5" t="str">
        <f>IF(J3539&lt;&gt;1,"",IF(I3539="SBJ","CB","?"))</f>
        <v> </v>
      </c>
      <c r="I3539" s="26" t="str">
        <f>IF(OR(E3539="",E3539="!!!",F3539="NEW"),"",INDEX(B3538:B$2,-1+SUMPRODUCT(MAX(ROW(E3538:E$2)*(E3539=E3538:E$2)))))</f>
        <v> </v>
      </c>
      <c r="J3539" s="26" t="str">
        <f>IF(OR(E3539="",E3539="!!!",F3539="NEW"),"",COUNTBLANK(OFFSET(A$1,,,SUMPRODUCT(MAX(ROW(E$2:E3539)*(E3539=E$2:E3539)))))-COUNTBLANK(OFFSET(A$1,,,SUMPRODUCT(MAX(ROW(E$1:E3538)*(E2=E$1:E3538))))))</f>
        <v> </v>
      </c>
      <c r="K3539" s="26" t="str">
        <f>IF(OR(E3539="",E3539="!!!",F3539="NEW"),"",INDEX(J$1:J3538,SUMPRODUCT(MAX(ROW(E$1:E3538)*(E3539=E$1:E3538)))))</f>
        <v> </v>
      </c>
      <c r="L3539" s="27"/>
    </row>
    <row r="3540" spans="1:12">
      <c r="A3540" s="20" t="s">
        <v>1870</v>
      </c>
      <c r="E3540" s="22">
        <f>IF(D3540="?OLD","!!!","")</f>
        <v/>
      </c>
      <c r="F3540" s="23" t="str">
        <f>IF(OR(E3540="",E3540="!!!"),"",IF(NOT(ISNA(VLOOKUP(E3540,E$1:E3539,1,FALSE()))),"OLD",IF(AND(E3540&lt;&gt;"",E3540&lt;&gt;"!!!"),"NEW","")))</f>
        <v> </v>
      </c>
      <c r="G3540" s="24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5" t="str">
        <f>IF(J3540&lt;&gt;1,"",IF(I3540="SBJ","CB","?"))</f>
        <v> </v>
      </c>
      <c r="I3540" s="26" t="str">
        <f>IF(OR(E3540="",E3540="!!!",F3540="NEW"),"",INDEX(B3539:B$2,-1+SUMPRODUCT(MAX(ROW(E3539:E$2)*(E3540=E3539:E$2)))))</f>
        <v> </v>
      </c>
      <c r="J3540" s="26" t="str">
        <f>IF(OR(E3540="",E3540="!!!",F3540="NEW"),"",COUNTBLANK(OFFSET(A$1,,,SUMPRODUCT(MAX(ROW(E$2:E3540)*(E3540=E$2:E3540)))))-COUNTBLANK(OFFSET(A$1,,,SUMPRODUCT(MAX(ROW(E$1:E3539)*(E2=E$1:E3539))))))</f>
        <v> </v>
      </c>
      <c r="K3540" s="26" t="str">
        <f>IF(OR(E3540="",E3540="!!!",F3540="NEW"),"",INDEX(J$1:J3539,SUMPRODUCT(MAX(ROW(E$1:E3539)*(E3540=E$1:E3539)))))</f>
        <v> </v>
      </c>
      <c r="L3540" s="27"/>
    </row>
    <row r="3541" spans="1:12">
      <c r="A3541" s="20" t="s">
        <v>1485</v>
      </c>
      <c r="B3541" s="21" t="s">
        <v>1030</v>
      </c>
      <c r="C3541" s="21" t="s">
        <v>971</v>
      </c>
      <c r="D3541" s="21" t="s">
        <v>972</v>
      </c>
      <c r="E3541" s="22">
        <f>IF(D3541="?OLD","!!!","")</f>
        <v/>
      </c>
      <c r="F3541" s="23" t="str">
        <f>IF(OR(E3541="",E3541="!!!"),"",IF(NOT(ISNA(VLOOKUP(E3541,E$1:E3540,1,FALSE()))),"OLD",IF(AND(E3541&lt;&gt;"",E3541&lt;&gt;"!!!"),"NEW","")))</f>
        <v> </v>
      </c>
      <c r="G3541" s="24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5" t="str">
        <f>IF(J3541&lt;&gt;1,"",IF(I3541="SBJ","CB","?"))</f>
        <v> </v>
      </c>
      <c r="I3541" s="26" t="str">
        <f>IF(OR(E3541="",E3541="!!!",F3541="NEW"),"",INDEX(B3540:B$2,-1+SUMPRODUCT(MAX(ROW(E3540:E$2)*(E3541=E3540:E$2)))))</f>
        <v> </v>
      </c>
      <c r="J3541" s="26" t="str">
        <f>IF(OR(E3541="",E3541="!!!",F3541="NEW"),"",COUNTBLANK(OFFSET(A$1,,,SUMPRODUCT(MAX(ROW(E$2:E3541)*(E3541=E$2:E3541)))))-COUNTBLANK(OFFSET(A$1,,,SUMPRODUCT(MAX(ROW(E$1:E3540)*(E2=E$1:E3540))))))</f>
        <v> </v>
      </c>
      <c r="K3541" s="26" t="str">
        <f>IF(OR(E3541="",E3541="!!!",F3541="NEW"),"",INDEX(J$1:J3540,SUMPRODUCT(MAX(ROW(E$1:E3540)*(E3541=E$1:E3540)))))</f>
        <v> </v>
      </c>
      <c r="L3541" s="27"/>
    </row>
    <row r="3542" spans="1:12">
      <c r="A3542" s="20" t="s">
        <v>2356</v>
      </c>
      <c r="E3542" s="22">
        <f>IF(D3542="?OLD","!!!","")</f>
        <v/>
      </c>
      <c r="F3542" s="23" t="str">
        <f>IF(OR(E3542="",E3542="!!!"),"",IF(NOT(ISNA(VLOOKUP(E3542,E$1:E3541,1,FALSE()))),"OLD",IF(AND(E3542&lt;&gt;"",E3542&lt;&gt;"!!!"),"NEW","")))</f>
        <v> </v>
      </c>
      <c r="G3542" s="24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5" t="str">
        <f>IF(J3542&lt;&gt;1,"",IF(I3542="SBJ","CB","?"))</f>
        <v> </v>
      </c>
      <c r="I3542" s="26" t="str">
        <f>IF(OR(E3542="",E3542="!!!",F3542="NEW"),"",INDEX(B3541:B$2,-1+SUMPRODUCT(MAX(ROW(E3541:E$2)*(E3542=E3541:E$2)))))</f>
        <v> </v>
      </c>
      <c r="J3542" s="26" t="str">
        <f>IF(OR(E3542="",E3542="!!!",F3542="NEW"),"",COUNTBLANK(OFFSET(A$1,,,SUMPRODUCT(MAX(ROW(E$2:E3542)*(E3542=E$2:E3542)))))-COUNTBLANK(OFFSET(A$1,,,SUMPRODUCT(MAX(ROW(E$1:E3541)*(E2=E$1:E3541))))))</f>
        <v> </v>
      </c>
      <c r="K3542" s="26" t="str">
        <f>IF(OR(E3542="",E3542="!!!",F3542="NEW"),"",INDEX(J$1:J3541,SUMPRODUCT(MAX(ROW(E$1:E3541)*(E3542=E$1:E3541)))))</f>
        <v> </v>
      </c>
      <c r="L3542" s="27"/>
    </row>
    <row r="3543" spans="1:12">
      <c r="A3543" s="20" t="s">
        <v>2357</v>
      </c>
      <c r="E3543" s="22">
        <f>IF(D3543="?OLD","!!!","")</f>
        <v/>
      </c>
      <c r="F3543" s="23" t="str">
        <f>IF(OR(E3543="",E3543="!!!"),"",IF(NOT(ISNA(VLOOKUP(E3543,E$1:E3542,1,FALSE()))),"OLD",IF(AND(E3543&lt;&gt;"",E3543&lt;&gt;"!!!"),"NEW","")))</f>
        <v> </v>
      </c>
      <c r="G3543" s="24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5" t="str">
        <f>IF(J3543&lt;&gt;1,"",IF(I3543="SBJ","CB","?"))</f>
        <v> </v>
      </c>
      <c r="I3543" s="26" t="str">
        <f>IF(OR(E3543="",E3543="!!!",F3543="NEW"),"",INDEX(B3542:B$2,-1+SUMPRODUCT(MAX(ROW(E3542:E$2)*(E3543=E3542:E$2)))))</f>
        <v> </v>
      </c>
      <c r="J3543" s="26" t="str">
        <f>IF(OR(E3543="",E3543="!!!",F3543="NEW"),"",COUNTBLANK(OFFSET(A$1,,,SUMPRODUCT(MAX(ROW(E$2:E3543)*(E3543=E$2:E3543)))))-COUNTBLANK(OFFSET(A$1,,,SUMPRODUCT(MAX(ROW(E$1:E3542)*(E2=E$1:E3542))))))</f>
        <v> </v>
      </c>
      <c r="K3543" s="26" t="str">
        <f>IF(OR(E3543="",E3543="!!!",F3543="NEW"),"",INDEX(J$1:J3542,SUMPRODUCT(MAX(ROW(E$1:E3542)*(E3543=E$1:E3542)))))</f>
        <v> </v>
      </c>
      <c r="L3543" s="27"/>
    </row>
    <row r="3544" spans="1:12">
      <c r="A3544" s="20" t="s">
        <v>987</v>
      </c>
      <c r="E3544" s="22">
        <f>IF(D3544="?OLD","!!!","")</f>
        <v/>
      </c>
      <c r="F3544" s="23" t="str">
        <f>IF(OR(E3544="",E3544="!!!"),"",IF(NOT(ISNA(VLOOKUP(E3544,E$1:E3543,1,FALSE()))),"OLD",IF(AND(E3544&lt;&gt;"",E3544&lt;&gt;"!!!"),"NEW","")))</f>
        <v> </v>
      </c>
      <c r="G3544" s="24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5" t="str">
        <f>IF(J3544&lt;&gt;1,"",IF(I3544="SBJ","CB","?"))</f>
        <v> </v>
      </c>
      <c r="I3544" s="26" t="str">
        <f>IF(OR(E3544="",E3544="!!!",F3544="NEW"),"",INDEX(B3543:B$2,-1+SUMPRODUCT(MAX(ROW(E3543:E$2)*(E3544=E3543:E$2)))))</f>
        <v> </v>
      </c>
      <c r="J3544" s="26" t="str">
        <f>IF(OR(E3544="",E3544="!!!",F3544="NEW"),"",COUNTBLANK(OFFSET(A$1,,,SUMPRODUCT(MAX(ROW(E$2:E3544)*(E3544=E$2:E3544)))))-COUNTBLANK(OFFSET(A$1,,,SUMPRODUCT(MAX(ROW(E$1:E3543)*(E2=E$1:E3543))))))</f>
        <v> </v>
      </c>
      <c r="K3544" s="26" t="str">
        <f>IF(OR(E3544="",E3544="!!!",F3544="NEW"),"",INDEX(J$1:J3543,SUMPRODUCT(MAX(ROW(E$1:E3543)*(E3544=E$1:E3543)))))</f>
        <v> </v>
      </c>
      <c r="L3544" s="27"/>
    </row>
    <row r="3545" spans="1:12">
      <c r="A3545" s="20" t="s">
        <v>2344</v>
      </c>
      <c r="E3545" s="22">
        <f>IF(D3545="?OLD","!!!","")</f>
        <v/>
      </c>
      <c r="F3545" s="23" t="str">
        <f>IF(OR(E3545="",E3545="!!!"),"",IF(NOT(ISNA(VLOOKUP(E3545,E$1:E3544,1,FALSE()))),"OLD",IF(AND(E3545&lt;&gt;"",E3545&lt;&gt;"!!!"),"NEW","")))</f>
        <v> </v>
      </c>
      <c r="G3545" s="24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5" t="str">
        <f>IF(J3545&lt;&gt;1,"",IF(I3545="SBJ","CB","?"))</f>
        <v> </v>
      </c>
      <c r="I3545" s="26" t="str">
        <f>IF(OR(E3545="",E3545="!!!",F3545="NEW"),"",INDEX(B3544:B$2,-1+SUMPRODUCT(MAX(ROW(E3544:E$2)*(E3545=E3544:E$2)))))</f>
        <v> </v>
      </c>
      <c r="J3545" s="26" t="str">
        <f>IF(OR(E3545="",E3545="!!!",F3545="NEW"),"",COUNTBLANK(OFFSET(A$1,,,SUMPRODUCT(MAX(ROW(E$2:E3545)*(E3545=E$2:E3545)))))-COUNTBLANK(OFFSET(A$1,,,SUMPRODUCT(MAX(ROW(E$1:E3544)*(E2=E$1:E3544))))))</f>
        <v> </v>
      </c>
      <c r="K3545" s="26" t="str">
        <f>IF(OR(E3545="",E3545="!!!",F3545="NEW"),"",INDEX(J$1:J3544,SUMPRODUCT(MAX(ROW(E$1:E3544)*(E3545=E$1:E3544)))))</f>
        <v> </v>
      </c>
      <c r="L3545" s="27"/>
    </row>
    <row r="3546" spans="1:12">
      <c r="A3546" s="20" t="s">
        <v>1013</v>
      </c>
      <c r="E3546" s="22">
        <f>IF(D3546="?OLD","!!!","")</f>
        <v/>
      </c>
      <c r="F3546" s="23" t="str">
        <f>IF(OR(E3546="",E3546="!!!"),"",IF(NOT(ISNA(VLOOKUP(E3546,E$1:E3545,1,FALSE()))),"OLD",IF(AND(E3546&lt;&gt;"",E3546&lt;&gt;"!!!"),"NEW","")))</f>
        <v> </v>
      </c>
      <c r="G3546" s="24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5" t="str">
        <f>IF(J3546&lt;&gt;1,"",IF(I3546="SBJ","CB","?"))</f>
        <v> </v>
      </c>
      <c r="I3546" s="26" t="str">
        <f>IF(OR(E3546="",E3546="!!!",F3546="NEW"),"",INDEX(B3545:B$2,-1+SUMPRODUCT(MAX(ROW(E3545:E$2)*(E3546=E3545:E$2)))))</f>
        <v> </v>
      </c>
      <c r="J3546" s="26" t="str">
        <f>IF(OR(E3546="",E3546="!!!",F3546="NEW"),"",COUNTBLANK(OFFSET(A$1,,,SUMPRODUCT(MAX(ROW(E$2:E3546)*(E3546=E$2:E3546)))))-COUNTBLANK(OFFSET(A$1,,,SUMPRODUCT(MAX(ROW(E$1:E3545)*(E2=E$1:E3545))))))</f>
        <v> </v>
      </c>
      <c r="K3546" s="26" t="str">
        <f>IF(OR(E3546="",E3546="!!!",F3546="NEW"),"",INDEX(J$1:J3545,SUMPRODUCT(MAX(ROW(E$1:E3545)*(E3546=E$1:E3545)))))</f>
        <v> </v>
      </c>
      <c r="L3546" s="27"/>
    </row>
    <row r="3547" spans="1:12">
      <c r="A3547" s="20" t="s">
        <v>2358</v>
      </c>
      <c r="E3547" s="22">
        <f>IF(D3547="?OLD","!!!","")</f>
        <v/>
      </c>
      <c r="F3547" s="23" t="str">
        <f>IF(OR(E3547="",E3547="!!!"),"",IF(NOT(ISNA(VLOOKUP(E3547,E$1:E3546,1,FALSE()))),"OLD",IF(AND(E3547&lt;&gt;"",E3547&lt;&gt;"!!!"),"NEW","")))</f>
        <v> </v>
      </c>
      <c r="G3547" s="24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5" t="str">
        <f>IF(J3547&lt;&gt;1,"",IF(I3547="SBJ","CB","?"))</f>
        <v> </v>
      </c>
      <c r="I3547" s="26" t="str">
        <f>IF(OR(E3547="",E3547="!!!",F3547="NEW"),"",INDEX(B3546:B$2,-1+SUMPRODUCT(MAX(ROW(E3546:E$2)*(E3547=E3546:E$2)))))</f>
        <v> </v>
      </c>
      <c r="J3547" s="26" t="str">
        <f>IF(OR(E3547="",E3547="!!!",F3547="NEW"),"",COUNTBLANK(OFFSET(A$1,,,SUMPRODUCT(MAX(ROW(E$2:E3547)*(E3547=E$2:E3547)))))-COUNTBLANK(OFFSET(A$1,,,SUMPRODUCT(MAX(ROW(E$1:E3546)*(E2=E$1:E3546))))))</f>
        <v> </v>
      </c>
      <c r="K3547" s="26" t="str">
        <f>IF(OR(E3547="",E3547="!!!",F3547="NEW"),"",INDEX(J$1:J3546,SUMPRODUCT(MAX(ROW(E$1:E3546)*(E3547=E$1:E3546)))))</f>
        <v> </v>
      </c>
      <c r="L3547" s="27"/>
    </row>
    <row r="3548" spans="1:12">
      <c r="A3548" s="20" t="s">
        <v>2359</v>
      </c>
      <c r="E3548" s="22">
        <f>IF(D3548="?OLD","!!!","")</f>
        <v/>
      </c>
      <c r="F3548" s="23" t="str">
        <f>IF(OR(E3548="",E3548="!!!"),"",IF(NOT(ISNA(VLOOKUP(E3548,E$1:E3547,1,FALSE()))),"OLD",IF(AND(E3548&lt;&gt;"",E3548&lt;&gt;"!!!"),"NEW","")))</f>
        <v> </v>
      </c>
      <c r="G3548" s="24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5" t="str">
        <f>IF(J3548&lt;&gt;1,"",IF(I3548="SBJ","CB","?"))</f>
        <v> </v>
      </c>
      <c r="I3548" s="26" t="str">
        <f>IF(OR(E3548="",E3548="!!!",F3548="NEW"),"",INDEX(B3547:B$2,-1+SUMPRODUCT(MAX(ROW(E3547:E$2)*(E3548=E3547:E$2)))))</f>
        <v> </v>
      </c>
      <c r="J3548" s="26" t="str">
        <f>IF(OR(E3548="",E3548="!!!",F3548="NEW"),"",COUNTBLANK(OFFSET(A$1,,,SUMPRODUCT(MAX(ROW(E$2:E3548)*(E3548=E$2:E3548)))))-COUNTBLANK(OFFSET(A$1,,,SUMPRODUCT(MAX(ROW(E$1:E3547)*(E2=E$1:E3547))))))</f>
        <v> </v>
      </c>
      <c r="K3548" s="26" t="str">
        <f>IF(OR(E3548="",E3548="!!!",F3548="NEW"),"",INDEX(J$1:J3547,SUMPRODUCT(MAX(ROW(E$1:E3547)*(E3548=E$1:E3547)))))</f>
        <v> </v>
      </c>
      <c r="L3548" s="27"/>
    </row>
    <row r="3549" spans="1:12">
      <c r="A3549" s="20" t="s">
        <v>1013</v>
      </c>
      <c r="E3549" s="22">
        <f>IF(D3549="?OLD","!!!","")</f>
        <v/>
      </c>
      <c r="F3549" s="23" t="str">
        <f>IF(OR(E3549="",E3549="!!!"),"",IF(NOT(ISNA(VLOOKUP(E3549,E$1:E3548,1,FALSE()))),"OLD",IF(AND(E3549&lt;&gt;"",E3549&lt;&gt;"!!!"),"NEW","")))</f>
        <v> </v>
      </c>
      <c r="G3549" s="24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5" t="str">
        <f>IF(J3549&lt;&gt;1,"",IF(I3549="SBJ","CB","?"))</f>
        <v> </v>
      </c>
      <c r="I3549" s="26" t="str">
        <f>IF(OR(E3549="",E3549="!!!",F3549="NEW"),"",INDEX(B3548:B$2,-1+SUMPRODUCT(MAX(ROW(E3548:E$2)*(E3549=E3548:E$2)))))</f>
        <v> </v>
      </c>
      <c r="J3549" s="26" t="str">
        <f>IF(OR(E3549="",E3549="!!!",F3549="NEW"),"",COUNTBLANK(OFFSET(A$1,,,SUMPRODUCT(MAX(ROW(E$2:E3549)*(E3549=E$2:E3549)))))-COUNTBLANK(OFFSET(A$1,,,SUMPRODUCT(MAX(ROW(E$1:E3548)*(E2=E$1:E3548))))))</f>
        <v> </v>
      </c>
      <c r="K3549" s="26" t="str">
        <f>IF(OR(E3549="",E3549="!!!",F3549="NEW"),"",INDEX(J$1:J3548,SUMPRODUCT(MAX(ROW(E$1:E3548)*(E3549=E$1:E3548)))))</f>
        <v> </v>
      </c>
      <c r="L3549" s="27"/>
    </row>
    <row r="3550" spans="1:12">
      <c r="A3550" s="20" t="s">
        <v>2360</v>
      </c>
      <c r="E3550" s="22">
        <f>IF(D3550="?OLD","!!!","")</f>
        <v/>
      </c>
      <c r="F3550" s="23" t="str">
        <f>IF(OR(E3550="",E3550="!!!"),"",IF(NOT(ISNA(VLOOKUP(E3550,E$1:E3549,1,FALSE()))),"OLD",IF(AND(E3550&lt;&gt;"",E3550&lt;&gt;"!!!"),"NEW","")))</f>
        <v> </v>
      </c>
      <c r="G3550" s="24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5" t="str">
        <f>IF(J3550&lt;&gt;1,"",IF(I3550="SBJ","CB","?"))</f>
        <v> </v>
      </c>
      <c r="I3550" s="26" t="str">
        <f>IF(OR(E3550="",E3550="!!!",F3550="NEW"),"",INDEX(B3549:B$2,-1+SUMPRODUCT(MAX(ROW(E3549:E$2)*(E3550=E3549:E$2)))))</f>
        <v> </v>
      </c>
      <c r="J3550" s="26" t="str">
        <f>IF(OR(E3550="",E3550="!!!",F3550="NEW"),"",COUNTBLANK(OFFSET(A$1,,,SUMPRODUCT(MAX(ROW(E$2:E3550)*(E3550=E$2:E3550)))))-COUNTBLANK(OFFSET(A$1,,,SUMPRODUCT(MAX(ROW(E$1:E3549)*(E2=E$1:E3549))))))</f>
        <v> </v>
      </c>
      <c r="K3550" s="26" t="str">
        <f>IF(OR(E3550="",E3550="!!!",F3550="NEW"),"",INDEX(J$1:J3549,SUMPRODUCT(MAX(ROW(E$1:E3549)*(E3550=E$1:E3549)))))</f>
        <v> </v>
      </c>
      <c r="L3550" s="27"/>
    </row>
    <row r="3551" spans="1:12">
      <c r="A3551" s="20" t="s">
        <v>1135</v>
      </c>
      <c r="E3551" s="22">
        <f>IF(D3551="?OLD","!!!","")</f>
        <v/>
      </c>
      <c r="F3551" s="23" t="str">
        <f>IF(OR(E3551="",E3551="!!!"),"",IF(NOT(ISNA(VLOOKUP(E3551,E$1:E3550,1,FALSE()))),"OLD",IF(AND(E3551&lt;&gt;"",E3551&lt;&gt;"!!!"),"NEW","")))</f>
        <v> </v>
      </c>
      <c r="G3551" s="24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5" t="str">
        <f>IF(J3551&lt;&gt;1,"",IF(I3551="SBJ","CB","?"))</f>
        <v> </v>
      </c>
      <c r="I3551" s="26" t="str">
        <f>IF(OR(E3551="",E3551="!!!",F3551="NEW"),"",INDEX(B3550:B$2,-1+SUMPRODUCT(MAX(ROW(E3550:E$2)*(E3551=E3550:E$2)))))</f>
        <v> </v>
      </c>
      <c r="J3551" s="26" t="str">
        <f>IF(OR(E3551="",E3551="!!!",F3551="NEW"),"",COUNTBLANK(OFFSET(A$1,,,SUMPRODUCT(MAX(ROW(E$2:E3551)*(E3551=E$2:E3551)))))-COUNTBLANK(OFFSET(A$1,,,SUMPRODUCT(MAX(ROW(E$1:E3550)*(E2=E$1:E3550))))))</f>
        <v> </v>
      </c>
      <c r="K3551" s="26" t="str">
        <f>IF(OR(E3551="",E3551="!!!",F3551="NEW"),"",INDEX(J$1:J3550,SUMPRODUCT(MAX(ROW(E$1:E3550)*(E3551=E$1:E3550)))))</f>
        <v> </v>
      </c>
      <c r="L3551" s="27"/>
    </row>
    <row r="3552" spans="1:12">
      <c r="A3552" s="20" t="s">
        <v>2361</v>
      </c>
      <c r="E3552" s="22">
        <f>IF(D3552="?OLD","!!!","")</f>
        <v/>
      </c>
      <c r="F3552" s="23" t="str">
        <f>IF(OR(E3552="",E3552="!!!"),"",IF(NOT(ISNA(VLOOKUP(E3552,E$1:E3551,1,FALSE()))),"OLD",IF(AND(E3552&lt;&gt;"",E3552&lt;&gt;"!!!"),"NEW","")))</f>
        <v> </v>
      </c>
      <c r="G3552" s="24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5" t="str">
        <f>IF(J3552&lt;&gt;1,"",IF(I3552="SBJ","CB","?"))</f>
        <v> </v>
      </c>
      <c r="I3552" s="26" t="str">
        <f>IF(OR(E3552="",E3552="!!!",F3552="NEW"),"",INDEX(B3551:B$2,-1+SUMPRODUCT(MAX(ROW(E3551:E$2)*(E3552=E3551:E$2)))))</f>
        <v> </v>
      </c>
      <c r="J3552" s="26" t="str">
        <f>IF(OR(E3552="",E3552="!!!",F3552="NEW"),"",COUNTBLANK(OFFSET(A$1,,,SUMPRODUCT(MAX(ROW(E$2:E3552)*(E3552=E$2:E3552)))))-COUNTBLANK(OFFSET(A$1,,,SUMPRODUCT(MAX(ROW(E$1:E3551)*(E2=E$1:E3551))))))</f>
        <v> </v>
      </c>
      <c r="K3552" s="26" t="str">
        <f>IF(OR(E3552="",E3552="!!!",F3552="NEW"),"",INDEX(J$1:J3551,SUMPRODUCT(MAX(ROW(E$1:E3551)*(E3552=E$1:E3551)))))</f>
        <v> </v>
      </c>
      <c r="L3552" s="27"/>
    </row>
    <row r="3553" spans="1:12">
      <c r="A3553" s="20" t="s">
        <v>2362</v>
      </c>
      <c r="E3553" s="22">
        <f>IF(D3553="?OLD","!!!","")</f>
        <v/>
      </c>
      <c r="F3553" s="23" t="str">
        <f>IF(OR(E3553="",E3553="!!!"),"",IF(NOT(ISNA(VLOOKUP(E3553,E$1:E3552,1,FALSE()))),"OLD",IF(AND(E3553&lt;&gt;"",E3553&lt;&gt;"!!!"),"NEW","")))</f>
        <v> </v>
      </c>
      <c r="G3553" s="24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5" t="str">
        <f>IF(J3553&lt;&gt;1,"",IF(I3553="SBJ","CB","?"))</f>
        <v> </v>
      </c>
      <c r="I3553" s="26" t="str">
        <f>IF(OR(E3553="",E3553="!!!",F3553="NEW"),"",INDEX(B3552:B$2,-1+SUMPRODUCT(MAX(ROW(E3552:E$2)*(E3553=E3552:E$2)))))</f>
        <v> </v>
      </c>
      <c r="J3553" s="26" t="str">
        <f>IF(OR(E3553="",E3553="!!!",F3553="NEW"),"",COUNTBLANK(OFFSET(A$1,,,SUMPRODUCT(MAX(ROW(E$2:E3553)*(E3553=E$2:E3553)))))-COUNTBLANK(OFFSET(A$1,,,SUMPRODUCT(MAX(ROW(E$1:E3552)*(E2=E$1:E3552))))))</f>
        <v> </v>
      </c>
      <c r="K3553" s="26" t="str">
        <f>IF(OR(E3553="",E3553="!!!",F3553="NEW"),"",INDEX(J$1:J3552,SUMPRODUCT(MAX(ROW(E$1:E3552)*(E3553=E$1:E3552)))))</f>
        <v> </v>
      </c>
      <c r="L3553" s="27"/>
    </row>
    <row r="3554" spans="1:12">
      <c r="A3554" s="20" t="s">
        <v>2363</v>
      </c>
      <c r="E3554" s="22">
        <f>IF(D3554="?OLD","!!!","")</f>
        <v/>
      </c>
      <c r="F3554" s="23" t="str">
        <f>IF(OR(E3554="",E3554="!!!"),"",IF(NOT(ISNA(VLOOKUP(E3554,E$1:E3553,1,FALSE()))),"OLD",IF(AND(E3554&lt;&gt;"",E3554&lt;&gt;"!!!"),"NEW","")))</f>
        <v> </v>
      </c>
      <c r="G3554" s="24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5" t="str">
        <f>IF(J3554&lt;&gt;1,"",IF(I3554="SBJ","CB","?"))</f>
        <v> </v>
      </c>
      <c r="I3554" s="26" t="str">
        <f>IF(OR(E3554="",E3554="!!!",F3554="NEW"),"",INDEX(B3553:B$2,-1+SUMPRODUCT(MAX(ROW(E3553:E$2)*(E3554=E3553:E$2)))))</f>
        <v> </v>
      </c>
      <c r="J3554" s="26" t="str">
        <f>IF(OR(E3554="",E3554="!!!",F3554="NEW"),"",COUNTBLANK(OFFSET(A$1,,,SUMPRODUCT(MAX(ROW(E$2:E3554)*(E3554=E$2:E3554)))))-COUNTBLANK(OFFSET(A$1,,,SUMPRODUCT(MAX(ROW(E$1:E3553)*(E2=E$1:E3553))))))</f>
        <v> </v>
      </c>
      <c r="K3554" s="26" t="str">
        <f>IF(OR(E3554="",E3554="!!!",F3554="NEW"),"",INDEX(J$1:J3553,SUMPRODUCT(MAX(ROW(E$1:E3553)*(E3554=E$1:E3553)))))</f>
        <v> </v>
      </c>
      <c r="L3554" s="27"/>
    </row>
    <row r="3555" spans="1:12">
      <c r="A3555" s="20" t="s">
        <v>1013</v>
      </c>
      <c r="E3555" s="22">
        <f>IF(D3555="?OLD","!!!","")</f>
        <v/>
      </c>
      <c r="F3555" s="23" t="str">
        <f>IF(OR(E3555="",E3555="!!!"),"",IF(NOT(ISNA(VLOOKUP(E3555,E$1:E3554,1,FALSE()))),"OLD",IF(AND(E3555&lt;&gt;"",E3555&lt;&gt;"!!!"),"NEW","")))</f>
        <v> </v>
      </c>
      <c r="G3555" s="24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5" t="str">
        <f>IF(J3555&lt;&gt;1,"",IF(I3555="SBJ","CB","?"))</f>
        <v> </v>
      </c>
      <c r="I3555" s="26" t="str">
        <f>IF(OR(E3555="",E3555="!!!",F3555="NEW"),"",INDEX(B3554:B$2,-1+SUMPRODUCT(MAX(ROW(E3554:E$2)*(E3555=E3554:E$2)))))</f>
        <v> </v>
      </c>
      <c r="J3555" s="26" t="str">
        <f>IF(OR(E3555="",E3555="!!!",F3555="NEW"),"",COUNTBLANK(OFFSET(A$1,,,SUMPRODUCT(MAX(ROW(E$2:E3555)*(E3555=E$2:E3555)))))-COUNTBLANK(OFFSET(A$1,,,SUMPRODUCT(MAX(ROW(E$1:E3554)*(E2=E$1:E3554))))))</f>
        <v> </v>
      </c>
      <c r="K3555" s="26" t="str">
        <f>IF(OR(E3555="",E3555="!!!",F3555="NEW"),"",INDEX(J$1:J3554,SUMPRODUCT(MAX(ROW(E$1:E3554)*(E3555=E$1:E3554)))))</f>
        <v> </v>
      </c>
      <c r="L3555" s="27"/>
    </row>
    <row r="3556" spans="1:12">
      <c r="A3556" s="20" t="s">
        <v>2364</v>
      </c>
      <c r="E3556" s="22">
        <f>IF(D3556="?OLD","!!!","")</f>
        <v/>
      </c>
      <c r="F3556" s="23" t="str">
        <f>IF(OR(E3556="",E3556="!!!"),"",IF(NOT(ISNA(VLOOKUP(E3556,E$1:E3555,1,FALSE()))),"OLD",IF(AND(E3556&lt;&gt;"",E3556&lt;&gt;"!!!"),"NEW","")))</f>
        <v> </v>
      </c>
      <c r="G3556" s="24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5" t="str">
        <f>IF(J3556&lt;&gt;1,"",IF(I3556="SBJ","CB","?"))</f>
        <v> </v>
      </c>
      <c r="I3556" s="26" t="str">
        <f>IF(OR(E3556="",E3556="!!!",F3556="NEW"),"",INDEX(B3555:B$2,-1+SUMPRODUCT(MAX(ROW(E3555:E$2)*(E3556=E3555:E$2)))))</f>
        <v> </v>
      </c>
      <c r="J3556" s="26" t="str">
        <f>IF(OR(E3556="",E3556="!!!",F3556="NEW"),"",COUNTBLANK(OFFSET(A$1,,,SUMPRODUCT(MAX(ROW(E$2:E3556)*(E3556=E$2:E3556)))))-COUNTBLANK(OFFSET(A$1,,,SUMPRODUCT(MAX(ROW(E$1:E3555)*(E2=E$1:E3555))))))</f>
        <v> </v>
      </c>
      <c r="K3556" s="26" t="str">
        <f>IF(OR(E3556="",E3556="!!!",F3556="NEW"),"",INDEX(J$1:J3555,SUMPRODUCT(MAX(ROW(E$1:E3555)*(E3556=E$1:E3555)))))</f>
        <v> </v>
      </c>
      <c r="L3556" s="27"/>
    </row>
    <row r="3557" spans="1:12">
      <c r="A3557" s="20" t="s">
        <v>1013</v>
      </c>
      <c r="E3557" s="22">
        <f>IF(D3557="?OLD","!!!","")</f>
        <v/>
      </c>
      <c r="F3557" s="23" t="str">
        <f>IF(OR(E3557="",E3557="!!!"),"",IF(NOT(ISNA(VLOOKUP(E3557,E$1:E3556,1,FALSE()))),"OLD",IF(AND(E3557&lt;&gt;"",E3557&lt;&gt;"!!!"),"NEW","")))</f>
        <v> </v>
      </c>
      <c r="G3557" s="24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5" t="str">
        <f>IF(J3557&lt;&gt;1,"",IF(I3557="SBJ","CB","?"))</f>
        <v> </v>
      </c>
      <c r="I3557" s="26" t="str">
        <f>IF(OR(E3557="",E3557="!!!",F3557="NEW"),"",INDEX(B3556:B$2,-1+SUMPRODUCT(MAX(ROW(E3556:E$2)*(E3557=E3556:E$2)))))</f>
        <v> </v>
      </c>
      <c r="J3557" s="26" t="str">
        <f>IF(OR(E3557="",E3557="!!!",F3557="NEW"),"",COUNTBLANK(OFFSET(A$1,,,SUMPRODUCT(MAX(ROW(E$2:E3557)*(E3557=E$2:E3557)))))-COUNTBLANK(OFFSET(A$1,,,SUMPRODUCT(MAX(ROW(E$1:E3556)*(E2=E$1:E3556))))))</f>
        <v> </v>
      </c>
      <c r="K3557" s="26" t="str">
        <f>IF(OR(E3557="",E3557="!!!",F3557="NEW"),"",INDEX(J$1:J3556,SUMPRODUCT(MAX(ROW(E$1:E3556)*(E3557=E$1:E3556)))))</f>
        <v> </v>
      </c>
      <c r="L3557" s="27"/>
    </row>
    <row r="3558" spans="1:12">
      <c r="A3558" s="20" t="s">
        <v>1938</v>
      </c>
      <c r="E3558" s="22">
        <f>IF(D3558="?OLD","!!!","")</f>
        <v/>
      </c>
      <c r="F3558" s="23" t="str">
        <f>IF(OR(E3558="",E3558="!!!"),"",IF(NOT(ISNA(VLOOKUP(E3558,E$1:E3557,1,FALSE()))),"OLD",IF(AND(E3558&lt;&gt;"",E3558&lt;&gt;"!!!"),"NEW","")))</f>
        <v> </v>
      </c>
      <c r="G3558" s="24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5" t="str">
        <f>IF(J3558&lt;&gt;1,"",IF(I3558="SBJ","CB","?"))</f>
        <v> </v>
      </c>
      <c r="I3558" s="26" t="str">
        <f>IF(OR(E3558="",E3558="!!!",F3558="NEW"),"",INDEX(B3557:B$2,-1+SUMPRODUCT(MAX(ROW(E3557:E$2)*(E3558=E3557:E$2)))))</f>
        <v> </v>
      </c>
      <c r="J3558" s="26" t="str">
        <f>IF(OR(E3558="",E3558="!!!",F3558="NEW"),"",COUNTBLANK(OFFSET(A$1,,,SUMPRODUCT(MAX(ROW(E$2:E3558)*(E3558=E$2:E3558)))))-COUNTBLANK(OFFSET(A$1,,,SUMPRODUCT(MAX(ROW(E$1:E3557)*(E2=E$1:E3557))))))</f>
        <v> </v>
      </c>
      <c r="K3558" s="26" t="str">
        <f>IF(OR(E3558="",E3558="!!!",F3558="NEW"),"",INDEX(J$1:J3557,SUMPRODUCT(MAX(ROW(E$1:E3557)*(E3558=E$1:E3557)))))</f>
        <v> </v>
      </c>
      <c r="L3558" s="27"/>
    </row>
    <row r="3559" spans="1:12">
      <c r="A3559" s="20" t="s">
        <v>2365</v>
      </c>
      <c r="E3559" s="22">
        <f>IF(D3559="?OLD","!!!","")</f>
        <v/>
      </c>
      <c r="F3559" s="23" t="str">
        <f>IF(OR(E3559="",E3559="!!!"),"",IF(NOT(ISNA(VLOOKUP(E3559,E$1:E3558,1,FALSE()))),"OLD",IF(AND(E3559&lt;&gt;"",E3559&lt;&gt;"!!!"),"NEW","")))</f>
        <v> </v>
      </c>
      <c r="G3559" s="24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5" t="str">
        <f>IF(J3559&lt;&gt;1,"",IF(I3559="SBJ","CB","?"))</f>
        <v> </v>
      </c>
      <c r="I3559" s="26" t="str">
        <f>IF(OR(E3559="",E3559="!!!",F3559="NEW"),"",INDEX(B3558:B$2,-1+SUMPRODUCT(MAX(ROW(E3558:E$2)*(E3559=E3558:E$2)))))</f>
        <v> </v>
      </c>
      <c r="J3559" s="26" t="str">
        <f>IF(OR(E3559="",E3559="!!!",F3559="NEW"),"",COUNTBLANK(OFFSET(A$1,,,SUMPRODUCT(MAX(ROW(E$2:E3559)*(E3559=E$2:E3559)))))-COUNTBLANK(OFFSET(A$1,,,SUMPRODUCT(MAX(ROW(E$1:E3558)*(E2=E$1:E3558))))))</f>
        <v> </v>
      </c>
      <c r="K3559" s="26" t="str">
        <f>IF(OR(E3559="",E3559="!!!",F3559="NEW"),"",INDEX(J$1:J3558,SUMPRODUCT(MAX(ROW(E$1:E3558)*(E3559=E$1:E3558)))))</f>
        <v> </v>
      </c>
      <c r="L3559" s="27"/>
    </row>
    <row r="3560" spans="1:12">
      <c r="A3560" s="20" t="s">
        <v>1222</v>
      </c>
      <c r="E3560" s="22">
        <f>IF(D3560="?OLD","!!!","")</f>
        <v/>
      </c>
      <c r="F3560" s="23" t="str">
        <f>IF(OR(E3560="",E3560="!!!"),"",IF(NOT(ISNA(VLOOKUP(E3560,E$1:E3559,1,FALSE()))),"OLD",IF(AND(E3560&lt;&gt;"",E3560&lt;&gt;"!!!"),"NEW","")))</f>
        <v> </v>
      </c>
      <c r="G3560" s="24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5" t="str">
        <f>IF(J3560&lt;&gt;1,"",IF(I3560="SBJ","CB","?"))</f>
        <v> </v>
      </c>
      <c r="I3560" s="26" t="str">
        <f>IF(OR(E3560="",E3560="!!!",F3560="NEW"),"",INDEX(B3559:B$2,-1+SUMPRODUCT(MAX(ROW(E3559:E$2)*(E3560=E3559:E$2)))))</f>
        <v> </v>
      </c>
      <c r="J3560" s="26" t="str">
        <f>IF(OR(E3560="",E3560="!!!",F3560="NEW"),"",COUNTBLANK(OFFSET(A$1,,,SUMPRODUCT(MAX(ROW(E$2:E3560)*(E3560=E$2:E3560)))))-COUNTBLANK(OFFSET(A$1,,,SUMPRODUCT(MAX(ROW(E$1:E3559)*(E2=E$1:E3559))))))</f>
        <v> </v>
      </c>
      <c r="K3560" s="26" t="str">
        <f>IF(OR(E3560="",E3560="!!!",F3560="NEW"),"",INDEX(J$1:J3559,SUMPRODUCT(MAX(ROW(E$1:E3559)*(E3560=E$1:E3559)))))</f>
        <v> </v>
      </c>
      <c r="L3560" s="27"/>
    </row>
    <row r="3561" spans="1:12">
      <c r="A3561" s="20" t="s">
        <v>2366</v>
      </c>
      <c r="E3561" s="22">
        <f>IF(D3561="?OLD","!!!","")</f>
        <v/>
      </c>
      <c r="F3561" s="23" t="str">
        <f>IF(OR(E3561="",E3561="!!!"),"",IF(NOT(ISNA(VLOOKUP(E3561,E$1:E3560,1,FALSE()))),"OLD",IF(AND(E3561&lt;&gt;"",E3561&lt;&gt;"!!!"),"NEW","")))</f>
        <v> </v>
      </c>
      <c r="G3561" s="24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5" t="str">
        <f>IF(J3561&lt;&gt;1,"",IF(I3561="SBJ","CB","?"))</f>
        <v> </v>
      </c>
      <c r="I3561" s="26" t="str">
        <f>IF(OR(E3561="",E3561="!!!",F3561="NEW"),"",INDEX(B3560:B$2,-1+SUMPRODUCT(MAX(ROW(E3560:E$2)*(E3561=E3560:E$2)))))</f>
        <v> </v>
      </c>
      <c r="J3561" s="26" t="str">
        <f>IF(OR(E3561="",E3561="!!!",F3561="NEW"),"",COUNTBLANK(OFFSET(A$1,,,SUMPRODUCT(MAX(ROW(E$2:E3561)*(E3561=E$2:E3561)))))-COUNTBLANK(OFFSET(A$1,,,SUMPRODUCT(MAX(ROW(E$1:E3560)*(E2=E$1:E3560))))))</f>
        <v> </v>
      </c>
      <c r="K3561" s="26" t="str">
        <f>IF(OR(E3561="",E3561="!!!",F3561="NEW"),"",INDEX(J$1:J3560,SUMPRODUCT(MAX(ROW(E$1:E3560)*(E3561=E$1:E3560)))))</f>
        <v> </v>
      </c>
      <c r="L3561" s="27"/>
    </row>
    <row r="3562" spans="1:12">
      <c r="A3562" s="20" t="s">
        <v>2367</v>
      </c>
      <c r="E3562" s="22">
        <f>IF(D3562="?OLD","!!!","")</f>
        <v/>
      </c>
      <c r="F3562" s="23" t="str">
        <f>IF(OR(E3562="",E3562="!!!"),"",IF(NOT(ISNA(VLOOKUP(E3562,E$1:E3561,1,FALSE()))),"OLD",IF(AND(E3562&lt;&gt;"",E3562&lt;&gt;"!!!"),"NEW","")))</f>
        <v> </v>
      </c>
      <c r="G3562" s="24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5" t="str">
        <f>IF(J3562&lt;&gt;1,"",IF(I3562="SBJ","CB","?"))</f>
        <v> </v>
      </c>
      <c r="I3562" s="26" t="str">
        <f>IF(OR(E3562="",E3562="!!!",F3562="NEW"),"",INDEX(B3561:B$2,-1+SUMPRODUCT(MAX(ROW(E3561:E$2)*(E3562=E3561:E$2)))))</f>
        <v> </v>
      </c>
      <c r="J3562" s="26" t="str">
        <f>IF(OR(E3562="",E3562="!!!",F3562="NEW"),"",COUNTBLANK(OFFSET(A$1,,,SUMPRODUCT(MAX(ROW(E$2:E3562)*(E3562=E$2:E3562)))))-COUNTBLANK(OFFSET(A$1,,,SUMPRODUCT(MAX(ROW(E$1:E3561)*(E2=E$1:E3561))))))</f>
        <v> </v>
      </c>
      <c r="K3562" s="26" t="str">
        <f>IF(OR(E3562="",E3562="!!!",F3562="NEW"),"",INDEX(J$1:J3561,SUMPRODUCT(MAX(ROW(E$1:E3561)*(E3562=E$1:E3561)))))</f>
        <v> </v>
      </c>
      <c r="L3562" s="27"/>
    </row>
    <row r="3563" spans="1:12">
      <c r="A3563" s="20" t="s">
        <v>979</v>
      </c>
      <c r="E3563" s="22">
        <f>IF(D3563="?OLD","!!!","")</f>
        <v/>
      </c>
      <c r="F3563" s="23" t="str">
        <f>IF(OR(E3563="",E3563="!!!"),"",IF(NOT(ISNA(VLOOKUP(E3563,E$1:E3562,1,FALSE()))),"OLD",IF(AND(E3563&lt;&gt;"",E3563&lt;&gt;"!!!"),"NEW","")))</f>
        <v> </v>
      </c>
      <c r="G3563" s="24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5" t="str">
        <f>IF(J3563&lt;&gt;1,"",IF(I3563="SBJ","CB","?"))</f>
        <v> </v>
      </c>
      <c r="I3563" s="26" t="str">
        <f>IF(OR(E3563="",E3563="!!!",F3563="NEW"),"",INDEX(B3562:B$2,-1+SUMPRODUCT(MAX(ROW(E3562:E$2)*(E3563=E3562:E$2)))))</f>
        <v> </v>
      </c>
      <c r="J3563" s="26" t="str">
        <f>IF(OR(E3563="",E3563="!!!",F3563="NEW"),"",COUNTBLANK(OFFSET(A$1,,,SUMPRODUCT(MAX(ROW(E$2:E3563)*(E3563=E$2:E3563)))))-COUNTBLANK(OFFSET(A$1,,,SUMPRODUCT(MAX(ROW(E$1:E3562)*(E2=E$1:E3562))))))</f>
        <v> </v>
      </c>
      <c r="K3563" s="26" t="str">
        <f>IF(OR(E3563="",E3563="!!!",F3563="NEW"),"",INDEX(J$1:J3562,SUMPRODUCT(MAX(ROW(E$1:E3562)*(E3563=E$1:E3562)))))</f>
        <v> </v>
      </c>
      <c r="L3563" s="27"/>
    </row>
    <row r="3564" spans="1:12">
      <c r="A3564" s="20"/>
    </row>
    <row r="3565" spans="1:12">
      <c r="A3565" s="20" t="s">
        <v>2368</v>
      </c>
    </row>
    <row r="3566" spans="1:12">
      <c r="A3566" s="20" t="s">
        <v>993</v>
      </c>
      <c r="E3566" s="22">
        <f>IF(D3566="?OLD","!!!","")</f>
        <v/>
      </c>
      <c r="F3566" s="23" t="str">
        <f>IF(OR(E3566="",E3566="!!!"),"",IF(NOT(ISNA(VLOOKUP(E3566,E$1:E3565,1,FALSE()))),"OLD",IF(AND(E3566&lt;&gt;"",E3566&lt;&gt;"!!!"),"NEW","")))</f>
        <v> </v>
      </c>
      <c r="G3566" s="24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5" t="str">
        <f>IF(J3566&lt;&gt;1,"",IF(I3566="SBJ","CB","?"))</f>
        <v> </v>
      </c>
      <c r="I3566" s="26" t="str">
        <f>IF(OR(E3566="",E3566="!!!",F3566="NEW"),"",INDEX(B3565:B$2,-1+SUMPRODUCT(MAX(ROW(E3565:E$2)*(E3566=E3565:E$2)))))</f>
        <v> </v>
      </c>
      <c r="J3566" s="26" t="str">
        <f>IF(OR(E3566="",E3566="!!!",F3566="NEW"),"",COUNTBLANK(OFFSET(A$1,,,SUMPRODUCT(MAX(ROW(E$2:E3566)*(E3566=E$2:E3566)))))-COUNTBLANK(OFFSET(A$1,,,SUMPRODUCT(MAX(ROW(E$1:E3565)*(E2=E$1:E3565))))))</f>
        <v> </v>
      </c>
      <c r="K3566" s="26" t="str">
        <f>IF(OR(E3566="",E3566="!!!",F3566="NEW"),"",INDEX(J$1:J3565,SUMPRODUCT(MAX(ROW(E$1:E3565)*(E3566=E$1:E3565)))))</f>
        <v> </v>
      </c>
      <c r="L3566" s="27"/>
    </row>
    <row r="3567" spans="1:12">
      <c r="A3567" s="20" t="s">
        <v>1485</v>
      </c>
      <c r="B3567" s="21" t="s">
        <v>970</v>
      </c>
      <c r="C3567" s="21" t="s">
        <v>971</v>
      </c>
      <c r="D3567" s="21" t="s">
        <v>972</v>
      </c>
      <c r="E3567" s="22">
        <f>IF(D3567="?OLD","!!!","")</f>
        <v/>
      </c>
      <c r="F3567" s="23" t="str">
        <f>IF(OR(E3567="",E3567="!!!"),"",IF(NOT(ISNA(VLOOKUP(E3567,E$1:E3566,1,FALSE()))),"OLD",IF(AND(E3567&lt;&gt;"",E3567&lt;&gt;"!!!"),"NEW","")))</f>
        <v> </v>
      </c>
      <c r="G3567" s="24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5" t="str">
        <f>IF(J3567&lt;&gt;1,"",IF(I3567="SBJ","CB","?"))</f>
        <v> </v>
      </c>
      <c r="I3567" s="26" t="str">
        <f>IF(OR(E3567="",E3567="!!!",F3567="NEW"),"",INDEX(B3566:B$2,-1+SUMPRODUCT(MAX(ROW(E3566:E$2)*(E3567=E3566:E$2)))))</f>
        <v> </v>
      </c>
      <c r="J3567" s="26" t="str">
        <f>IF(OR(E3567="",E3567="!!!",F3567="NEW"),"",COUNTBLANK(OFFSET(A$1,,,SUMPRODUCT(MAX(ROW(E$2:E3567)*(E3567=E$2:E3567)))))-COUNTBLANK(OFFSET(A$1,,,SUMPRODUCT(MAX(ROW(E$1:E3566)*(E2=E$1:E3566))))))</f>
        <v> </v>
      </c>
      <c r="K3567" s="26" t="str">
        <f>IF(OR(E3567="",E3567="!!!",F3567="NEW"),"",INDEX(J$1:J3566,SUMPRODUCT(MAX(ROW(E$1:E3566)*(E3567=E$1:E3566)))))</f>
        <v> </v>
      </c>
      <c r="L3567" s="27"/>
    </row>
    <row r="3568" spans="1:12">
      <c r="A3568" s="20" t="s">
        <v>2369</v>
      </c>
      <c r="E3568" s="22">
        <f>IF(D3568="?OLD","!!!","")</f>
        <v/>
      </c>
      <c r="F3568" s="23" t="str">
        <f>IF(OR(E3568="",E3568="!!!"),"",IF(NOT(ISNA(VLOOKUP(E3568,E$1:E3567,1,FALSE()))),"OLD",IF(AND(E3568&lt;&gt;"",E3568&lt;&gt;"!!!"),"NEW","")))</f>
        <v> </v>
      </c>
      <c r="G3568" s="24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5" t="str">
        <f>IF(J3568&lt;&gt;1,"",IF(I3568="SBJ","CB","?"))</f>
        <v> </v>
      </c>
      <c r="I3568" s="26" t="str">
        <f>IF(OR(E3568="",E3568="!!!",F3568="NEW"),"",INDEX(B3567:B$2,-1+SUMPRODUCT(MAX(ROW(E3567:E$2)*(E3568=E3567:E$2)))))</f>
        <v> </v>
      </c>
      <c r="J3568" s="26" t="str">
        <f>IF(OR(E3568="",E3568="!!!",F3568="NEW"),"",COUNTBLANK(OFFSET(A$1,,,SUMPRODUCT(MAX(ROW(E$2:E3568)*(E3568=E$2:E3568)))))-COUNTBLANK(OFFSET(A$1,,,SUMPRODUCT(MAX(ROW(E$1:E3567)*(E2=E$1:E3567))))))</f>
        <v> </v>
      </c>
      <c r="K3568" s="26" t="str">
        <f>IF(OR(E3568="",E3568="!!!",F3568="NEW"),"",INDEX(J$1:J3567,SUMPRODUCT(MAX(ROW(E$1:E3567)*(E3568=E$1:E3567)))))</f>
        <v> </v>
      </c>
      <c r="L3568" s="27"/>
    </row>
    <row r="3569" spans="1:12">
      <c r="A3569" s="20" t="s">
        <v>1308</v>
      </c>
      <c r="E3569" s="22">
        <f>IF(D3569="?OLD","!!!","")</f>
        <v/>
      </c>
      <c r="F3569" s="23" t="str">
        <f>IF(OR(E3569="",E3569="!!!"),"",IF(NOT(ISNA(VLOOKUP(E3569,E$1:E3568,1,FALSE()))),"OLD",IF(AND(E3569&lt;&gt;"",E3569&lt;&gt;"!!!"),"NEW","")))</f>
        <v> </v>
      </c>
      <c r="G3569" s="24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5" t="str">
        <f>IF(J3569&lt;&gt;1,"",IF(I3569="SBJ","CB","?"))</f>
        <v> </v>
      </c>
      <c r="I3569" s="26" t="str">
        <f>IF(OR(E3569="",E3569="!!!",F3569="NEW"),"",INDEX(B3568:B$2,-1+SUMPRODUCT(MAX(ROW(E3568:E$2)*(E3569=E3568:E$2)))))</f>
        <v> </v>
      </c>
      <c r="J3569" s="26" t="str">
        <f>IF(OR(E3569="",E3569="!!!",F3569="NEW"),"",COUNTBLANK(OFFSET(A$1,,,SUMPRODUCT(MAX(ROW(E$2:E3569)*(E3569=E$2:E3569)))))-COUNTBLANK(OFFSET(A$1,,,SUMPRODUCT(MAX(ROW(E$1:E3568)*(E2=E$1:E3568))))))</f>
        <v> </v>
      </c>
      <c r="K3569" s="26" t="str">
        <f>IF(OR(E3569="",E3569="!!!",F3569="NEW"),"",INDEX(J$1:J3568,SUMPRODUCT(MAX(ROW(E$1:E3568)*(E3569=E$1:E3568)))))</f>
        <v> </v>
      </c>
      <c r="L3569" s="27"/>
    </row>
    <row r="3570" spans="1:12">
      <c r="A3570" s="20" t="s">
        <v>1013</v>
      </c>
      <c r="E3570" s="22">
        <f>IF(D3570="?OLD","!!!","")</f>
        <v/>
      </c>
      <c r="F3570" s="23" t="str">
        <f>IF(OR(E3570="",E3570="!!!"),"",IF(NOT(ISNA(VLOOKUP(E3570,E$1:E3569,1,FALSE()))),"OLD",IF(AND(E3570&lt;&gt;"",E3570&lt;&gt;"!!!"),"NEW","")))</f>
        <v> </v>
      </c>
      <c r="G3570" s="24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5" t="str">
        <f>IF(J3570&lt;&gt;1,"",IF(I3570="SBJ","CB","?"))</f>
        <v> </v>
      </c>
      <c r="I3570" s="26" t="str">
        <f>IF(OR(E3570="",E3570="!!!",F3570="NEW"),"",INDEX(B3569:B$2,-1+SUMPRODUCT(MAX(ROW(E3569:E$2)*(E3570=E3569:E$2)))))</f>
        <v> </v>
      </c>
      <c r="J3570" s="26" t="str">
        <f>IF(OR(E3570="",E3570="!!!",F3570="NEW"),"",COUNTBLANK(OFFSET(A$1,,,SUMPRODUCT(MAX(ROW(E$2:E3570)*(E3570=E$2:E3570)))))-COUNTBLANK(OFFSET(A$1,,,SUMPRODUCT(MAX(ROW(E$1:E3569)*(E2=E$1:E3569))))))</f>
        <v> </v>
      </c>
      <c r="K3570" s="26" t="str">
        <f>IF(OR(E3570="",E3570="!!!",F3570="NEW"),"",INDEX(J$1:J3569,SUMPRODUCT(MAX(ROW(E$1:E3569)*(E3570=E$1:E3569)))))</f>
        <v> </v>
      </c>
      <c r="L3570" s="27"/>
    </row>
    <row r="3571" spans="1:12">
      <c r="A3571" s="20" t="s">
        <v>1014</v>
      </c>
      <c r="E3571" s="22">
        <f>IF(D3571="?OLD","!!!","")</f>
        <v/>
      </c>
      <c r="F3571" s="23" t="str">
        <f>IF(OR(E3571="",E3571="!!!"),"",IF(NOT(ISNA(VLOOKUP(E3571,E$1:E3570,1,FALSE()))),"OLD",IF(AND(E3571&lt;&gt;"",E3571&lt;&gt;"!!!"),"NEW","")))</f>
        <v> </v>
      </c>
      <c r="G3571" s="24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5" t="str">
        <f>IF(J3571&lt;&gt;1,"",IF(I3571="SBJ","CB","?"))</f>
        <v> </v>
      </c>
      <c r="I3571" s="26" t="str">
        <f>IF(OR(E3571="",E3571="!!!",F3571="NEW"),"",INDEX(B3570:B$2,-1+SUMPRODUCT(MAX(ROW(E3570:E$2)*(E3571=E3570:E$2)))))</f>
        <v> </v>
      </c>
      <c r="J3571" s="26" t="str">
        <f>IF(OR(E3571="",E3571="!!!",F3571="NEW"),"",COUNTBLANK(OFFSET(A$1,,,SUMPRODUCT(MAX(ROW(E$2:E3571)*(E3571=E$2:E3571)))))-COUNTBLANK(OFFSET(A$1,,,SUMPRODUCT(MAX(ROW(E$1:E3570)*(E2=E$1:E3570))))))</f>
        <v> </v>
      </c>
      <c r="K3571" s="26" t="str">
        <f>IF(OR(E3571="",E3571="!!!",F3571="NEW"),"",INDEX(J$1:J3570,SUMPRODUCT(MAX(ROW(E$1:E3570)*(E3571=E$1:E3570)))))</f>
        <v> </v>
      </c>
      <c r="L3571" s="27"/>
    </row>
    <row r="3572" spans="1:12">
      <c r="A3572" s="20" t="s">
        <v>1471</v>
      </c>
      <c r="E3572" s="22">
        <f>IF(D3572="?OLD","!!!","")</f>
        <v/>
      </c>
      <c r="F3572" s="23" t="str">
        <f>IF(OR(E3572="",E3572="!!!"),"",IF(NOT(ISNA(VLOOKUP(E3572,E$1:E3571,1,FALSE()))),"OLD",IF(AND(E3572&lt;&gt;"",E3572&lt;&gt;"!!!"),"NEW","")))</f>
        <v> </v>
      </c>
      <c r="G3572" s="24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5" t="str">
        <f>IF(J3572&lt;&gt;1,"",IF(I3572="SBJ","CB","?"))</f>
        <v> </v>
      </c>
      <c r="I3572" s="26" t="str">
        <f>IF(OR(E3572="",E3572="!!!",F3572="NEW"),"",INDEX(B3571:B$2,-1+SUMPRODUCT(MAX(ROW(E3571:E$2)*(E3572=E3571:E$2)))))</f>
        <v> </v>
      </c>
      <c r="J3572" s="26" t="str">
        <f>IF(OR(E3572="",E3572="!!!",F3572="NEW"),"",COUNTBLANK(OFFSET(A$1,,,SUMPRODUCT(MAX(ROW(E$2:E3572)*(E3572=E$2:E3572)))))-COUNTBLANK(OFFSET(A$1,,,SUMPRODUCT(MAX(ROW(E$1:E3571)*(E2=E$1:E3571))))))</f>
        <v> </v>
      </c>
      <c r="K3572" s="26" t="str">
        <f>IF(OR(E3572="",E3572="!!!",F3572="NEW"),"",INDEX(J$1:J3571,SUMPRODUCT(MAX(ROW(E$1:E3571)*(E3572=E$1:E3571)))))</f>
        <v> </v>
      </c>
      <c r="L3572" s="27"/>
    </row>
    <row r="3573" spans="1:12">
      <c r="A3573" s="20" t="s">
        <v>145</v>
      </c>
      <c r="B3573" s="21" t="s">
        <v>1093</v>
      </c>
      <c r="C3573" s="21" t="s">
        <v>971</v>
      </c>
      <c r="D3573" s="21" t="s">
        <v>972</v>
      </c>
      <c r="E3573" s="22">
        <f>IF(D3573="?OLD","!!!","")</f>
        <v/>
      </c>
      <c r="F3573" s="23" t="str">
        <f>IF(OR(E3573="",E3573="!!!"),"",IF(NOT(ISNA(VLOOKUP(E3573,E$1:E3572,1,FALSE()))),"OLD",IF(AND(E3573&lt;&gt;"",E3573&lt;&gt;"!!!"),"NEW","")))</f>
        <v> </v>
      </c>
      <c r="G3573" s="24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5" t="str">
        <f>IF(J3573&lt;&gt;1,"",IF(I3573="SBJ","CB","?"))</f>
        <v> </v>
      </c>
      <c r="I3573" s="26" t="str">
        <f>IF(OR(E3573="",E3573="!!!",F3573="NEW"),"",INDEX(B3572:B$2,-1+SUMPRODUCT(MAX(ROW(E3572:E$2)*(E3573=E3572:E$2)))))</f>
        <v> </v>
      </c>
      <c r="J3573" s="26" t="str">
        <f>IF(OR(E3573="",E3573="!!!",F3573="NEW"),"",COUNTBLANK(OFFSET(A$1,,,SUMPRODUCT(MAX(ROW(E$2:E3573)*(E3573=E$2:E3573)))))-COUNTBLANK(OFFSET(A$1,,,SUMPRODUCT(MAX(ROW(E$1:E3572)*(E2=E$1:E3572))))))</f>
        <v> </v>
      </c>
      <c r="K3573" s="26" t="str">
        <f>IF(OR(E3573="",E3573="!!!",F3573="NEW"),"",INDEX(J$1:J3572,SUMPRODUCT(MAX(ROW(E$1:E3572)*(E3573=E$1:E3572)))))</f>
        <v> </v>
      </c>
      <c r="L3573" s="27"/>
    </row>
    <row r="3574" spans="1:12">
      <c r="A3574" s="20" t="s">
        <v>2340</v>
      </c>
      <c r="E3574" s="22">
        <f>IF(D3574="?OLD","!!!","")</f>
        <v/>
      </c>
      <c r="F3574" s="23" t="str">
        <f>IF(OR(E3574="",E3574="!!!"),"",IF(NOT(ISNA(VLOOKUP(E3574,E$1:E3573,1,FALSE()))),"OLD",IF(AND(E3574&lt;&gt;"",E3574&lt;&gt;"!!!"),"NEW","")))</f>
        <v> </v>
      </c>
      <c r="G3574" s="24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5" t="str">
        <f>IF(J3574&lt;&gt;1,"",IF(I3574="SBJ","CB","?"))</f>
        <v> </v>
      </c>
      <c r="I3574" s="26" t="str">
        <f>IF(OR(E3574="",E3574="!!!",F3574="NEW"),"",INDEX(B3573:B$2,-1+SUMPRODUCT(MAX(ROW(E3573:E$2)*(E3574=E3573:E$2)))))</f>
        <v> </v>
      </c>
      <c r="J3574" s="26" t="str">
        <f>IF(OR(E3574="",E3574="!!!",F3574="NEW"),"",COUNTBLANK(OFFSET(A$1,,,SUMPRODUCT(MAX(ROW(E$2:E3574)*(E3574=E$2:E3574)))))-COUNTBLANK(OFFSET(A$1,,,SUMPRODUCT(MAX(ROW(E$1:E3573)*(E2=E$1:E3573))))))</f>
        <v> </v>
      </c>
      <c r="K3574" s="26" t="str">
        <f>IF(OR(E3574="",E3574="!!!",F3574="NEW"),"",INDEX(J$1:J3573,SUMPRODUCT(MAX(ROW(E$1:E3573)*(E3574=E$1:E3573)))))</f>
        <v> </v>
      </c>
      <c r="L3574" s="27"/>
    </row>
    <row r="3575" spans="1:12">
      <c r="A3575" s="20" t="s">
        <v>1013</v>
      </c>
      <c r="E3575" s="22">
        <f>IF(D3575="?OLD","!!!","")</f>
        <v/>
      </c>
      <c r="F3575" s="23" t="str">
        <f>IF(OR(E3575="",E3575="!!!"),"",IF(NOT(ISNA(VLOOKUP(E3575,E$1:E3574,1,FALSE()))),"OLD",IF(AND(E3575&lt;&gt;"",E3575&lt;&gt;"!!!"),"NEW","")))</f>
        <v> </v>
      </c>
      <c r="G3575" s="24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5" t="str">
        <f>IF(J3575&lt;&gt;1,"",IF(I3575="SBJ","CB","?"))</f>
        <v> </v>
      </c>
      <c r="I3575" s="26" t="str">
        <f>IF(OR(E3575="",E3575="!!!",F3575="NEW"),"",INDEX(B3574:B$2,-1+SUMPRODUCT(MAX(ROW(E3574:E$2)*(E3575=E3574:E$2)))))</f>
        <v> </v>
      </c>
      <c r="J3575" s="26" t="str">
        <f>IF(OR(E3575="",E3575="!!!",F3575="NEW"),"",COUNTBLANK(OFFSET(A$1,,,SUMPRODUCT(MAX(ROW(E$2:E3575)*(E3575=E$2:E3575)))))-COUNTBLANK(OFFSET(A$1,,,SUMPRODUCT(MAX(ROW(E$1:E3574)*(E2=E$1:E3574))))))</f>
        <v> </v>
      </c>
      <c r="K3575" s="26" t="str">
        <f>IF(OR(E3575="",E3575="!!!",F3575="NEW"),"",INDEX(J$1:J3574,SUMPRODUCT(MAX(ROW(E$1:E3574)*(E3575=E$1:E3574)))))</f>
        <v> </v>
      </c>
      <c r="L3575" s="27"/>
    </row>
    <row r="3576" spans="1:12">
      <c r="A3576" s="20" t="s">
        <v>1092</v>
      </c>
      <c r="E3576" s="22">
        <f>IF(D3576="?OLD","!!!","")</f>
        <v/>
      </c>
      <c r="F3576" s="23" t="str">
        <f>IF(OR(E3576="",E3576="!!!"),"",IF(NOT(ISNA(VLOOKUP(E3576,E$1:E3575,1,FALSE()))),"OLD",IF(AND(E3576&lt;&gt;"",E3576&lt;&gt;"!!!"),"NEW","")))</f>
        <v> </v>
      </c>
      <c r="G3576" s="24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5" t="str">
        <f>IF(J3576&lt;&gt;1,"",IF(I3576="SBJ","CB","?"))</f>
        <v> </v>
      </c>
      <c r="I3576" s="26" t="str">
        <f>IF(OR(E3576="",E3576="!!!",F3576="NEW"),"",INDEX(B3575:B$2,-1+SUMPRODUCT(MAX(ROW(E3575:E$2)*(E3576=E3575:E$2)))))</f>
        <v> </v>
      </c>
      <c r="J3576" s="26" t="str">
        <f>IF(OR(E3576="",E3576="!!!",F3576="NEW"),"",COUNTBLANK(OFFSET(A$1,,,SUMPRODUCT(MAX(ROW(E$2:E3576)*(E3576=E$2:E3576)))))-COUNTBLANK(OFFSET(A$1,,,SUMPRODUCT(MAX(ROW(E$1:E3575)*(E2=E$1:E3575))))))</f>
        <v> </v>
      </c>
      <c r="K3576" s="26" t="str">
        <f>IF(OR(E3576="",E3576="!!!",F3576="NEW"),"",INDEX(J$1:J3575,SUMPRODUCT(MAX(ROW(E$1:E3575)*(E3576=E$1:E3575)))))</f>
        <v> </v>
      </c>
      <c r="L3576" s="27"/>
    </row>
    <row r="3577" spans="1:12">
      <c r="A3577" s="20" t="s">
        <v>1471</v>
      </c>
      <c r="E3577" s="22">
        <f>IF(D3577="?OLD","!!!","")</f>
        <v/>
      </c>
      <c r="F3577" s="23" t="str">
        <f>IF(OR(E3577="",E3577="!!!"),"",IF(NOT(ISNA(VLOOKUP(E3577,E$1:E3576,1,FALSE()))),"OLD",IF(AND(E3577&lt;&gt;"",E3577&lt;&gt;"!!!"),"NEW","")))</f>
        <v> </v>
      </c>
      <c r="G3577" s="24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5" t="str">
        <f>IF(J3577&lt;&gt;1,"",IF(I3577="SBJ","CB","?"))</f>
        <v> </v>
      </c>
      <c r="I3577" s="26" t="str">
        <f>IF(OR(E3577="",E3577="!!!",F3577="NEW"),"",INDEX(B3576:B$2,-1+SUMPRODUCT(MAX(ROW(E3576:E$2)*(E3577=E3576:E$2)))))</f>
        <v> </v>
      </c>
      <c r="J3577" s="26" t="str">
        <f>IF(OR(E3577="",E3577="!!!",F3577="NEW"),"",COUNTBLANK(OFFSET(A$1,,,SUMPRODUCT(MAX(ROW(E$2:E3577)*(E3577=E$2:E3577)))))-COUNTBLANK(OFFSET(A$1,,,SUMPRODUCT(MAX(ROW(E$1:E3576)*(E2=E$1:E3576))))))</f>
        <v> </v>
      </c>
      <c r="K3577" s="26" t="str">
        <f>IF(OR(E3577="",E3577="!!!",F3577="NEW"),"",INDEX(J$1:J3576,SUMPRODUCT(MAX(ROW(E$1:E3576)*(E3577=E$1:E3576)))))</f>
        <v> </v>
      </c>
      <c r="L3577" s="27"/>
    </row>
    <row r="3578" spans="1:12">
      <c r="A3578" s="20" t="s">
        <v>1112</v>
      </c>
      <c r="B3578" s="21" t="s">
        <v>1115</v>
      </c>
      <c r="C3578" s="21" t="s">
        <v>1012</v>
      </c>
      <c r="D3578" s="21" t="s">
        <v>972</v>
      </c>
      <c r="E3578" s="22">
        <f>IF(D3578="?OLD","!!!","")</f>
        <v/>
      </c>
      <c r="F3578" s="23" t="str">
        <f>IF(OR(E3578="",E3578="!!!"),"",IF(NOT(ISNA(VLOOKUP(E3578,E$1:E3577,1,FALSE()))),"OLD",IF(AND(E3578&lt;&gt;"",E3578&lt;&gt;"!!!"),"NEW","")))</f>
        <v> </v>
      </c>
      <c r="G3578" s="24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5" t="str">
        <f>IF(J3578&lt;&gt;1,"",IF(I3578="SBJ","CB","?"))</f>
        <v> </v>
      </c>
      <c r="I3578" s="26" t="str">
        <f>IF(OR(E3578="",E3578="!!!",F3578="NEW"),"",INDEX(B3577:B$2,-1+SUMPRODUCT(MAX(ROW(E3577:E$2)*(E3578=E3577:E$2)))))</f>
        <v> </v>
      </c>
      <c r="J3578" s="26" t="str">
        <f>IF(OR(E3578="",E3578="!!!",F3578="NEW"),"",COUNTBLANK(OFFSET(A$1,,,SUMPRODUCT(MAX(ROW(E$2:E3578)*(E3578=E$2:E3578)))))-COUNTBLANK(OFFSET(A$1,,,SUMPRODUCT(MAX(ROW(E$1:E3577)*(E2=E$1:E3577))))))</f>
        <v> </v>
      </c>
      <c r="K3578" s="26" t="str">
        <f>IF(OR(E3578="",E3578="!!!",F3578="NEW"),"",INDEX(J$1:J3577,SUMPRODUCT(MAX(ROW(E$1:E3577)*(E3578=E$1:E3577)))))</f>
        <v> </v>
      </c>
      <c r="L3578" s="27"/>
    </row>
    <row r="3579" spans="1:12">
      <c r="A3579" s="20" t="s">
        <v>1742</v>
      </c>
      <c r="E3579" s="22">
        <f>IF(D3579="?OLD","!!!","")</f>
        <v/>
      </c>
      <c r="F3579" s="23" t="str">
        <f>IF(OR(E3579="",E3579="!!!"),"",IF(NOT(ISNA(VLOOKUP(E3579,E$1:E3578,1,FALSE()))),"OLD",IF(AND(E3579&lt;&gt;"",E3579&lt;&gt;"!!!"),"NEW","")))</f>
        <v> </v>
      </c>
      <c r="G3579" s="24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5" t="str">
        <f>IF(J3579&lt;&gt;1,"",IF(I3579="SBJ","CB","?"))</f>
        <v> </v>
      </c>
      <c r="I3579" s="26" t="str">
        <f>IF(OR(E3579="",E3579="!!!",F3579="NEW"),"",INDEX(B3578:B$2,-1+SUMPRODUCT(MAX(ROW(E3578:E$2)*(E3579=E3578:E$2)))))</f>
        <v> </v>
      </c>
      <c r="J3579" s="26" t="str">
        <f>IF(OR(E3579="",E3579="!!!",F3579="NEW"),"",COUNTBLANK(OFFSET(A$1,,,SUMPRODUCT(MAX(ROW(E$2:E3579)*(E3579=E$2:E3579)))))-COUNTBLANK(OFFSET(A$1,,,SUMPRODUCT(MAX(ROW(E$1:E3578)*(E2=E$1:E3578))))))</f>
        <v> </v>
      </c>
      <c r="K3579" s="26" t="str">
        <f>IF(OR(E3579="",E3579="!!!",F3579="NEW"),"",INDEX(J$1:J3578,SUMPRODUCT(MAX(ROW(E$1:E3578)*(E3579=E$1:E3578)))))</f>
        <v> </v>
      </c>
      <c r="L3579" s="27"/>
    </row>
    <row r="3580" spans="1:12">
      <c r="A3580" s="20" t="s">
        <v>2370</v>
      </c>
      <c r="E3580" s="22">
        <f>IF(D3580="?OLD","!!!","")</f>
        <v/>
      </c>
      <c r="F3580" s="23" t="str">
        <f>IF(OR(E3580="",E3580="!!!"),"",IF(NOT(ISNA(VLOOKUP(E3580,E$1:E3579,1,FALSE()))),"OLD",IF(AND(E3580&lt;&gt;"",E3580&lt;&gt;"!!!"),"NEW","")))</f>
        <v> </v>
      </c>
      <c r="G3580" s="24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5" t="str">
        <f>IF(J3580&lt;&gt;1,"",IF(I3580="SBJ","CB","?"))</f>
        <v> </v>
      </c>
      <c r="I3580" s="26" t="str">
        <f>IF(OR(E3580="",E3580="!!!",F3580="NEW"),"",INDEX(B3579:B$2,-1+SUMPRODUCT(MAX(ROW(E3579:E$2)*(E3580=E3579:E$2)))))</f>
        <v> </v>
      </c>
      <c r="J3580" s="26" t="str">
        <f>IF(OR(E3580="",E3580="!!!",F3580="NEW"),"",COUNTBLANK(OFFSET(A$1,,,SUMPRODUCT(MAX(ROW(E$2:E3580)*(E3580=E$2:E3580)))))-COUNTBLANK(OFFSET(A$1,,,SUMPRODUCT(MAX(ROW(E$1:E3579)*(E2=E$1:E3579))))))</f>
        <v> </v>
      </c>
      <c r="K3580" s="26" t="str">
        <f>IF(OR(E3580="",E3580="!!!",F3580="NEW"),"",INDEX(J$1:J3579,SUMPRODUCT(MAX(ROW(E$1:E3579)*(E3580=E$1:E3579)))))</f>
        <v> </v>
      </c>
      <c r="L3580" s="27"/>
    </row>
    <row r="3581" spans="1:12">
      <c r="A3581" s="20" t="s">
        <v>979</v>
      </c>
      <c r="E3581" s="22">
        <f>IF(D3581="?OLD","!!!","")</f>
        <v/>
      </c>
      <c r="F3581" s="23" t="str">
        <f>IF(OR(E3581="",E3581="!!!"),"",IF(NOT(ISNA(VLOOKUP(E3581,E$1:E3580,1,FALSE()))),"OLD",IF(AND(E3581&lt;&gt;"",E3581&lt;&gt;"!!!"),"NEW","")))</f>
        <v> </v>
      </c>
      <c r="G3581" s="24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5" t="str">
        <f>IF(J3581&lt;&gt;1,"",IF(I3581="SBJ","CB","?"))</f>
        <v> </v>
      </c>
      <c r="I3581" s="26" t="str">
        <f>IF(OR(E3581="",E3581="!!!",F3581="NEW"),"",INDEX(B3580:B$2,-1+SUMPRODUCT(MAX(ROW(E3580:E$2)*(E3581=E3580:E$2)))))</f>
        <v> </v>
      </c>
      <c r="J3581" s="26" t="str">
        <f>IF(OR(E3581="",E3581="!!!",F3581="NEW"),"",COUNTBLANK(OFFSET(A$1,,,SUMPRODUCT(MAX(ROW(E$2:E3581)*(E3581=E$2:E3581)))))-COUNTBLANK(OFFSET(A$1,,,SUMPRODUCT(MAX(ROW(E$1:E3580)*(E2=E$1:E3580))))))</f>
        <v> </v>
      </c>
      <c r="K3581" s="26" t="str">
        <f>IF(OR(E3581="",E3581="!!!",F3581="NEW"),"",INDEX(J$1:J3580,SUMPRODUCT(MAX(ROW(E$1:E3580)*(E3581=E$1:E3580)))))</f>
        <v> </v>
      </c>
      <c r="L3581" s="27"/>
    </row>
    <row r="3582" spans="1:12">
      <c r="A3582" s="20"/>
    </row>
    <row r="3583" spans="1:12">
      <c r="A3583" s="20" t="s">
        <v>2371</v>
      </c>
    </row>
    <row r="3584" spans="1:12">
      <c r="A3584" s="20" t="s">
        <v>993</v>
      </c>
      <c r="E3584" s="22">
        <f>IF(D3584="?OLD","!!!","")</f>
        <v/>
      </c>
      <c r="F3584" s="23" t="str">
        <f>IF(OR(E3584="",E3584="!!!"),"",IF(NOT(ISNA(VLOOKUP(E3584,E$1:E3583,1,FALSE()))),"OLD",IF(AND(E3584&lt;&gt;"",E3584&lt;&gt;"!!!"),"NEW","")))</f>
        <v> </v>
      </c>
      <c r="G3584" s="24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5" t="str">
        <f>IF(J3584&lt;&gt;1,"",IF(I3584="SBJ","CB","?"))</f>
        <v> </v>
      </c>
      <c r="I3584" s="26" t="str">
        <f>IF(OR(E3584="",E3584="!!!",F3584="NEW"),"",INDEX(B3583:B$2,-1+SUMPRODUCT(MAX(ROW(E3583:E$2)*(E3584=E3583:E$2)))))</f>
        <v> </v>
      </c>
      <c r="J3584" s="26" t="str">
        <f>IF(OR(E3584="",E3584="!!!",F3584="NEW"),"",COUNTBLANK(OFFSET(A$1,,,SUMPRODUCT(MAX(ROW(E$2:E3584)*(E3584=E$2:E3584)))))-COUNTBLANK(OFFSET(A$1,,,SUMPRODUCT(MAX(ROW(E$1:E3583)*(E2=E$1:E3583))))))</f>
        <v> </v>
      </c>
      <c r="K3584" s="26" t="str">
        <f>IF(OR(E3584="",E3584="!!!",F3584="NEW"),"",INDEX(J$1:J3583,SUMPRODUCT(MAX(ROW(E$1:E3583)*(E3584=E$1:E3583)))))</f>
        <v> </v>
      </c>
      <c r="L3584" s="27"/>
    </row>
    <row r="3585" spans="1:12">
      <c r="A3585" s="20" t="s">
        <v>400</v>
      </c>
      <c r="B3585" s="21" t="s">
        <v>975</v>
      </c>
      <c r="C3585" s="21" t="s">
        <v>971</v>
      </c>
      <c r="D3585" s="21" t="s">
        <v>972</v>
      </c>
      <c r="E3585" s="22">
        <f>IF(D3585="?OLD","!!!","")</f>
        <v/>
      </c>
      <c r="F3585" s="23" t="str">
        <f>IF(OR(E3585="",E3585="!!!"),"",IF(NOT(ISNA(VLOOKUP(E3585,E$1:E3584,1,FALSE()))),"OLD",IF(AND(E3585&lt;&gt;"",E3585&lt;&gt;"!!!"),"NEW","")))</f>
        <v> </v>
      </c>
      <c r="G3585" s="24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5" t="str">
        <f>IF(J3585&lt;&gt;1,"",IF(I3585="SBJ","CB","?"))</f>
        <v> </v>
      </c>
      <c r="I3585" s="26" t="str">
        <f>IF(OR(E3585="",E3585="!!!",F3585="NEW"),"",INDEX(B3584:B$2,-1+SUMPRODUCT(MAX(ROW(E3584:E$2)*(E3585=E3584:E$2)))))</f>
        <v> </v>
      </c>
      <c r="J3585" s="26" t="str">
        <f>IF(OR(E3585="",E3585="!!!",F3585="NEW"),"",COUNTBLANK(OFFSET(A$1,,,SUMPRODUCT(MAX(ROW(E$2:E3585)*(E3585=E$2:E3585)))))-COUNTBLANK(OFFSET(A$1,,,SUMPRODUCT(MAX(ROW(E$1:E3584)*(E2=E$1:E3584))))))</f>
        <v> </v>
      </c>
      <c r="K3585" s="26" t="str">
        <f>IF(OR(E3585="",E3585="!!!",F3585="NEW"),"",INDEX(J$1:J3584,SUMPRODUCT(MAX(ROW(E$1:E3584)*(E3585=E$1:E3584)))))</f>
        <v> </v>
      </c>
      <c r="L3585" s="27"/>
    </row>
    <row r="3586" spans="1:12">
      <c r="A3586" s="20" t="s">
        <v>2372</v>
      </c>
      <c r="E3586" s="22">
        <f>IF(D3586="?OLD","!!!","")</f>
        <v/>
      </c>
      <c r="F3586" s="23" t="str">
        <f>IF(OR(E3586="",E3586="!!!"),"",IF(NOT(ISNA(VLOOKUP(E3586,E$1:E3585,1,FALSE()))),"OLD",IF(AND(E3586&lt;&gt;"",E3586&lt;&gt;"!!!"),"NEW","")))</f>
        <v> </v>
      </c>
      <c r="G3586" s="24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5" t="str">
        <f>IF(J3586&lt;&gt;1,"",IF(I3586="SBJ","CB","?"))</f>
        <v> </v>
      </c>
      <c r="I3586" s="26" t="str">
        <f>IF(OR(E3586="",E3586="!!!",F3586="NEW"),"",INDEX(B3585:B$2,-1+SUMPRODUCT(MAX(ROW(E3585:E$2)*(E3586=E3585:E$2)))))</f>
        <v> </v>
      </c>
      <c r="J3586" s="26" t="str">
        <f>IF(OR(E3586="",E3586="!!!",F3586="NEW"),"",COUNTBLANK(OFFSET(A$1,,,SUMPRODUCT(MAX(ROW(E$2:E3586)*(E3586=E$2:E3586)))))-COUNTBLANK(OFFSET(A$1,,,SUMPRODUCT(MAX(ROW(E$1:E3585)*(E2=E$1:E3585))))))</f>
        <v> </v>
      </c>
      <c r="K3586" s="26" t="str">
        <f>IF(OR(E3586="",E3586="!!!",F3586="NEW"),"",INDEX(J$1:J3585,SUMPRODUCT(MAX(ROW(E$1:E3585)*(E3586=E$1:E3585)))))</f>
        <v> </v>
      </c>
      <c r="L3586" s="27"/>
    </row>
    <row r="3587" spans="1:12">
      <c r="A3587" s="20" t="s">
        <v>2373</v>
      </c>
      <c r="E3587" s="22">
        <f>IF(D3587="?OLD","!!!","")</f>
        <v/>
      </c>
      <c r="F3587" s="23" t="str">
        <f>IF(OR(E3587="",E3587="!!!"),"",IF(NOT(ISNA(VLOOKUP(E3587,E$1:E3586,1,FALSE()))),"OLD",IF(AND(E3587&lt;&gt;"",E3587&lt;&gt;"!!!"),"NEW","")))</f>
        <v> </v>
      </c>
      <c r="G3587" s="24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5" t="str">
        <f>IF(J3587&lt;&gt;1,"",IF(I3587="SBJ","CB","?"))</f>
        <v> </v>
      </c>
      <c r="I3587" s="26" t="str">
        <f>IF(OR(E3587="",E3587="!!!",F3587="NEW"),"",INDEX(B3586:B$2,-1+SUMPRODUCT(MAX(ROW(E3586:E$2)*(E3587=E3586:E$2)))))</f>
        <v> </v>
      </c>
      <c r="J3587" s="26" t="str">
        <f>IF(OR(E3587="",E3587="!!!",F3587="NEW"),"",COUNTBLANK(OFFSET(A$1,,,SUMPRODUCT(MAX(ROW(E$2:E3587)*(E3587=E$2:E3587)))))-COUNTBLANK(OFFSET(A$1,,,SUMPRODUCT(MAX(ROW(E$1:E3586)*(E2=E$1:E3586))))))</f>
        <v> </v>
      </c>
      <c r="K3587" s="26" t="str">
        <f>IF(OR(E3587="",E3587="!!!",F3587="NEW"),"",INDEX(J$1:J3586,SUMPRODUCT(MAX(ROW(E$1:E3586)*(E3587=E$1:E3586)))))</f>
        <v> </v>
      </c>
      <c r="L3587" s="27"/>
    </row>
    <row r="3588" spans="1:12">
      <c r="A3588" s="20" t="s">
        <v>1241</v>
      </c>
      <c r="E3588" s="22">
        <f>IF(D3588="?OLD","!!!","")</f>
        <v/>
      </c>
      <c r="F3588" s="23" t="str">
        <f>IF(OR(E3588="",E3588="!!!"),"",IF(NOT(ISNA(VLOOKUP(E3588,E$1:E3587,1,FALSE()))),"OLD",IF(AND(E3588&lt;&gt;"",E3588&lt;&gt;"!!!"),"NEW","")))</f>
        <v> </v>
      </c>
      <c r="G3588" s="24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5" t="str">
        <f>IF(J3588&lt;&gt;1,"",IF(I3588="SBJ","CB","?"))</f>
        <v> </v>
      </c>
      <c r="I3588" s="26" t="str">
        <f>IF(OR(E3588="",E3588="!!!",F3588="NEW"),"",INDEX(B3587:B$2,-1+SUMPRODUCT(MAX(ROW(E3587:E$2)*(E3588=E3587:E$2)))))</f>
        <v> </v>
      </c>
      <c r="J3588" s="26" t="str">
        <f>IF(OR(E3588="",E3588="!!!",F3588="NEW"),"",COUNTBLANK(OFFSET(A$1,,,SUMPRODUCT(MAX(ROW(E$2:E3588)*(E3588=E$2:E3588)))))-COUNTBLANK(OFFSET(A$1,,,SUMPRODUCT(MAX(ROW(E$1:E3587)*(E2=E$1:E3587))))))</f>
        <v> </v>
      </c>
      <c r="K3588" s="26" t="str">
        <f>IF(OR(E3588="",E3588="!!!",F3588="NEW"),"",INDEX(J$1:J3587,SUMPRODUCT(MAX(ROW(E$1:E3587)*(E3588=E$1:E3587)))))</f>
        <v> </v>
      </c>
      <c r="L3588" s="27"/>
    </row>
    <row r="3589" spans="1:12">
      <c r="A3589" s="20" t="s">
        <v>1207</v>
      </c>
      <c r="B3589" s="21" t="s">
        <v>978</v>
      </c>
      <c r="C3589" s="21" t="s">
        <v>1012</v>
      </c>
      <c r="D3589" s="21" t="s">
        <v>972</v>
      </c>
      <c r="E3589" s="22">
        <f>IF(D3589="?OLD","!!!","")</f>
        <v/>
      </c>
      <c r="F3589" s="23" t="str">
        <f>IF(OR(E3589="",E3589="!!!"),"",IF(NOT(ISNA(VLOOKUP(E3589,E$1:E3588,1,FALSE()))),"OLD",IF(AND(E3589&lt;&gt;"",E3589&lt;&gt;"!!!"),"NEW","")))</f>
        <v> </v>
      </c>
      <c r="G3589" s="24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5" t="str">
        <f>IF(J3589&lt;&gt;1,"",IF(I3589="SBJ","CB","?"))</f>
        <v> </v>
      </c>
      <c r="I3589" s="26" t="str">
        <f>IF(OR(E3589="",E3589="!!!",F3589="NEW"),"",INDEX(B3588:B$2,-1+SUMPRODUCT(MAX(ROW(E3588:E$2)*(E3589=E3588:E$2)))))</f>
        <v> </v>
      </c>
      <c r="J3589" s="26" t="str">
        <f>IF(OR(E3589="",E3589="!!!",F3589="NEW"),"",COUNTBLANK(OFFSET(A$1,,,SUMPRODUCT(MAX(ROW(E$2:E3589)*(E3589=E$2:E3589)))))-COUNTBLANK(OFFSET(A$1,,,SUMPRODUCT(MAX(ROW(E$1:E3588)*(E2=E$1:E3588))))))</f>
        <v> </v>
      </c>
      <c r="K3589" s="26" t="str">
        <f>IF(OR(E3589="",E3589="!!!",F3589="NEW"),"",INDEX(J$1:J3588,SUMPRODUCT(MAX(ROW(E$1:E3588)*(E3589=E$1:E3588)))))</f>
        <v> </v>
      </c>
      <c r="L3589" s="27"/>
    </row>
    <row r="3590" spans="1:12">
      <c r="A3590" s="20" t="s">
        <v>1005</v>
      </c>
      <c r="E3590" s="22">
        <f>IF(D3590="?OLD","!!!","")</f>
        <v/>
      </c>
      <c r="F3590" s="23" t="str">
        <f>IF(OR(E3590="",E3590="!!!"),"",IF(NOT(ISNA(VLOOKUP(E3590,E$1:E3589,1,FALSE()))),"OLD",IF(AND(E3590&lt;&gt;"",E3590&lt;&gt;"!!!"),"NEW","")))</f>
        <v> </v>
      </c>
      <c r="G3590" s="24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5" t="str">
        <f>IF(J3590&lt;&gt;1,"",IF(I3590="SBJ","CB","?"))</f>
        <v> </v>
      </c>
      <c r="I3590" s="26" t="str">
        <f>IF(OR(E3590="",E3590="!!!",F3590="NEW"),"",INDEX(B3589:B$2,-1+SUMPRODUCT(MAX(ROW(E3589:E$2)*(E3590=E3589:E$2)))))</f>
        <v> </v>
      </c>
      <c r="J3590" s="26" t="str">
        <f>IF(OR(E3590="",E3590="!!!",F3590="NEW"),"",COUNTBLANK(OFFSET(A$1,,,SUMPRODUCT(MAX(ROW(E$2:E3590)*(E3590=E$2:E3590)))))-COUNTBLANK(OFFSET(A$1,,,SUMPRODUCT(MAX(ROW(E$1:E3589)*(E2=E$1:E3589))))))</f>
        <v> </v>
      </c>
      <c r="K3590" s="26" t="str">
        <f>IF(OR(E3590="",E3590="!!!",F3590="NEW"),"",INDEX(J$1:J3589,SUMPRODUCT(MAX(ROW(E$1:E3589)*(E3590=E$1:E3589)))))</f>
        <v> </v>
      </c>
      <c r="L3590" s="27"/>
    </row>
    <row r="3591" spans="1:12">
      <c r="A3591" s="20" t="s">
        <v>2374</v>
      </c>
      <c r="E3591" s="22">
        <f>IF(D3591="?OLD","!!!","")</f>
        <v/>
      </c>
      <c r="F3591" s="23" t="str">
        <f>IF(OR(E3591="",E3591="!!!"),"",IF(NOT(ISNA(VLOOKUP(E3591,E$1:E3590,1,FALSE()))),"OLD",IF(AND(E3591&lt;&gt;"",E3591&lt;&gt;"!!!"),"NEW","")))</f>
        <v> </v>
      </c>
      <c r="G3591" s="24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5" t="str">
        <f>IF(J3591&lt;&gt;1,"",IF(I3591="SBJ","CB","?"))</f>
        <v> </v>
      </c>
      <c r="I3591" s="26" t="str">
        <f>IF(OR(E3591="",E3591="!!!",F3591="NEW"),"",INDEX(B3590:B$2,-1+SUMPRODUCT(MAX(ROW(E3590:E$2)*(E3591=E3590:E$2)))))</f>
        <v> </v>
      </c>
      <c r="J3591" s="26" t="str">
        <f>IF(OR(E3591="",E3591="!!!",F3591="NEW"),"",COUNTBLANK(OFFSET(A$1,,,SUMPRODUCT(MAX(ROW(E$2:E3591)*(E3591=E$2:E3591)))))-COUNTBLANK(OFFSET(A$1,,,SUMPRODUCT(MAX(ROW(E$1:E3590)*(E2=E$1:E3590))))))</f>
        <v> </v>
      </c>
      <c r="K3591" s="26" t="str">
        <f>IF(OR(E3591="",E3591="!!!",F3591="NEW"),"",INDEX(J$1:J3590,SUMPRODUCT(MAX(ROW(E$1:E3590)*(E3591=E$1:E3590)))))</f>
        <v> </v>
      </c>
      <c r="L3591" s="27"/>
    </row>
    <row r="3592" spans="1:12">
      <c r="A3592" s="20" t="s">
        <v>1013</v>
      </c>
      <c r="E3592" s="22">
        <f>IF(D3592="?OLD","!!!","")</f>
        <v/>
      </c>
      <c r="F3592" s="23" t="str">
        <f>IF(OR(E3592="",E3592="!!!"),"",IF(NOT(ISNA(VLOOKUP(E3592,E$1:E3591,1,FALSE()))),"OLD",IF(AND(E3592&lt;&gt;"",E3592&lt;&gt;"!!!"),"NEW","")))</f>
        <v> </v>
      </c>
      <c r="G3592" s="24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5" t="str">
        <f>IF(J3592&lt;&gt;1,"",IF(I3592="SBJ","CB","?"))</f>
        <v> </v>
      </c>
      <c r="I3592" s="26" t="str">
        <f>IF(OR(E3592="",E3592="!!!",F3592="NEW"),"",INDEX(B3591:B$2,-1+SUMPRODUCT(MAX(ROW(E3591:E$2)*(E3592=E3591:E$2)))))</f>
        <v> </v>
      </c>
      <c r="J3592" s="26" t="str">
        <f>IF(OR(E3592="",E3592="!!!",F3592="NEW"),"",COUNTBLANK(OFFSET(A$1,,,SUMPRODUCT(MAX(ROW(E$2:E3592)*(E3592=E$2:E3592)))))-COUNTBLANK(OFFSET(A$1,,,SUMPRODUCT(MAX(ROW(E$1:E3591)*(E2=E$1:E3591))))))</f>
        <v> </v>
      </c>
      <c r="K3592" s="26" t="str">
        <f>IF(OR(E3592="",E3592="!!!",F3592="NEW"),"",INDEX(J$1:J3591,SUMPRODUCT(MAX(ROW(E$1:E3591)*(E3592=E$1:E3591)))))</f>
        <v> </v>
      </c>
      <c r="L3592" s="27"/>
    </row>
    <row r="3593" spans="1:12">
      <c r="A3593" s="20" t="s">
        <v>2375</v>
      </c>
      <c r="E3593" s="22">
        <f>IF(D3593="?OLD","!!!","")</f>
        <v/>
      </c>
      <c r="F3593" s="23" t="str">
        <f>IF(OR(E3593="",E3593="!!!"),"",IF(NOT(ISNA(VLOOKUP(E3593,E$1:E3592,1,FALSE()))),"OLD",IF(AND(E3593&lt;&gt;"",E3593&lt;&gt;"!!!"),"NEW","")))</f>
        <v> </v>
      </c>
      <c r="G3593" s="24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5" t="str">
        <f>IF(J3593&lt;&gt;1,"",IF(I3593="SBJ","CB","?"))</f>
        <v> </v>
      </c>
      <c r="I3593" s="26" t="str">
        <f>IF(OR(E3593="",E3593="!!!",F3593="NEW"),"",INDEX(B3592:B$2,-1+SUMPRODUCT(MAX(ROW(E3592:E$2)*(E3593=E3592:E$2)))))</f>
        <v> </v>
      </c>
      <c r="J3593" s="26" t="str">
        <f>IF(OR(E3593="",E3593="!!!",F3593="NEW"),"",COUNTBLANK(OFFSET(A$1,,,SUMPRODUCT(MAX(ROW(E$2:E3593)*(E3593=E$2:E3593)))))-COUNTBLANK(OFFSET(A$1,,,SUMPRODUCT(MAX(ROW(E$1:E3592)*(E2=E$1:E3592))))))</f>
        <v> </v>
      </c>
      <c r="K3593" s="26" t="str">
        <f>IF(OR(E3593="",E3593="!!!",F3593="NEW"),"",INDEX(J$1:J3592,SUMPRODUCT(MAX(ROW(E$1:E3592)*(E3593=E$1:E3592)))))</f>
        <v> </v>
      </c>
      <c r="L3593" s="27"/>
    </row>
    <row r="3594" spans="1:12">
      <c r="A3594" s="20" t="s">
        <v>1241</v>
      </c>
      <c r="E3594" s="22">
        <f>IF(D3594="?OLD","!!!","")</f>
        <v/>
      </c>
      <c r="F3594" s="23" t="str">
        <f>IF(OR(E3594="",E3594="!!!"),"",IF(NOT(ISNA(VLOOKUP(E3594,E$1:E3593,1,FALSE()))),"OLD",IF(AND(E3594&lt;&gt;"",E3594&lt;&gt;"!!!"),"NEW","")))</f>
        <v> </v>
      </c>
      <c r="G3594" s="24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5" t="str">
        <f>IF(J3594&lt;&gt;1,"",IF(I3594="SBJ","CB","?"))</f>
        <v> </v>
      </c>
      <c r="I3594" s="26" t="str">
        <f>IF(OR(E3594="",E3594="!!!",F3594="NEW"),"",INDEX(B3593:B$2,-1+SUMPRODUCT(MAX(ROW(E3593:E$2)*(E3594=E3593:E$2)))))</f>
        <v> </v>
      </c>
      <c r="J3594" s="26" t="str">
        <f>IF(OR(E3594="",E3594="!!!",F3594="NEW"),"",COUNTBLANK(OFFSET(A$1,,,SUMPRODUCT(MAX(ROW(E$2:E3594)*(E3594=E$2:E3594)))))-COUNTBLANK(OFFSET(A$1,,,SUMPRODUCT(MAX(ROW(E$1:E3593)*(E2=E$1:E3593))))))</f>
        <v> </v>
      </c>
      <c r="K3594" s="26" t="str">
        <f>IF(OR(E3594="",E3594="!!!",F3594="NEW"),"",INDEX(J$1:J3593,SUMPRODUCT(MAX(ROW(E$1:E3593)*(E3594=E$1:E3593)))))</f>
        <v> </v>
      </c>
      <c r="L3594" s="27"/>
    </row>
    <row r="3595" spans="1:12">
      <c r="A3595" s="20" t="s">
        <v>1207</v>
      </c>
      <c r="B3595" s="21" t="s">
        <v>978</v>
      </c>
      <c r="C3595" s="21" t="s">
        <v>1012</v>
      </c>
      <c r="D3595" s="21" t="s">
        <v>972</v>
      </c>
      <c r="E3595" s="22">
        <f>IF(D3595="?OLD","!!!","")</f>
        <v/>
      </c>
      <c r="F3595" s="23" t="str">
        <f>IF(OR(E3595="",E3595="!!!"),"",IF(NOT(ISNA(VLOOKUP(E3595,E$1:E3594,1,FALSE()))),"OLD",IF(AND(E3595&lt;&gt;"",E3595&lt;&gt;"!!!"),"NEW","")))</f>
        <v> </v>
      </c>
      <c r="G3595" s="24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5" t="str">
        <f>IF(J3595&lt;&gt;1,"",IF(I3595="SBJ","CB","?"))</f>
        <v> </v>
      </c>
      <c r="I3595" s="26" t="str">
        <f>IF(OR(E3595="",E3595="!!!",F3595="NEW"),"",INDEX(B3594:B$2,-1+SUMPRODUCT(MAX(ROW(E3594:E$2)*(E3595=E3594:E$2)))))</f>
        <v> </v>
      </c>
      <c r="J3595" s="26" t="str">
        <f>IF(OR(E3595="",E3595="!!!",F3595="NEW"),"",COUNTBLANK(OFFSET(A$1,,,SUMPRODUCT(MAX(ROW(E$2:E3595)*(E3595=E$2:E3595)))))-COUNTBLANK(OFFSET(A$1,,,SUMPRODUCT(MAX(ROW(E$1:E3594)*(E2=E$1:E3594))))))</f>
        <v> </v>
      </c>
      <c r="K3595" s="26" t="str">
        <f>IF(OR(E3595="",E3595="!!!",F3595="NEW"),"",INDEX(J$1:J3594,SUMPRODUCT(MAX(ROW(E$1:E3594)*(E3595=E$1:E3594)))))</f>
        <v> </v>
      </c>
      <c r="L3595" s="27"/>
    </row>
    <row r="3596" spans="1:12">
      <c r="A3596" s="20" t="s">
        <v>2376</v>
      </c>
      <c r="E3596" s="22">
        <f>IF(D3596="?OLD","!!!","")</f>
        <v/>
      </c>
      <c r="F3596" s="23" t="str">
        <f>IF(OR(E3596="",E3596="!!!"),"",IF(NOT(ISNA(VLOOKUP(E3596,E$1:E3595,1,FALSE()))),"OLD",IF(AND(E3596&lt;&gt;"",E3596&lt;&gt;"!!!"),"NEW","")))</f>
        <v> </v>
      </c>
      <c r="G3596" s="24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5" t="str">
        <f>IF(J3596&lt;&gt;1,"",IF(I3596="SBJ","CB","?"))</f>
        <v> </v>
      </c>
      <c r="I3596" s="26" t="str">
        <f>IF(OR(E3596="",E3596="!!!",F3596="NEW"),"",INDEX(B3595:B$2,-1+SUMPRODUCT(MAX(ROW(E3595:E$2)*(E3596=E3595:E$2)))))</f>
        <v> </v>
      </c>
      <c r="J3596" s="26" t="str">
        <f>IF(OR(E3596="",E3596="!!!",F3596="NEW"),"",COUNTBLANK(OFFSET(A$1,,,SUMPRODUCT(MAX(ROW(E$2:E3596)*(E3596=E$2:E3596)))))-COUNTBLANK(OFFSET(A$1,,,SUMPRODUCT(MAX(ROW(E$1:E3595)*(E2=E$1:E3595))))))</f>
        <v> </v>
      </c>
      <c r="K3596" s="26" t="str">
        <f>IF(OR(E3596="",E3596="!!!",F3596="NEW"),"",INDEX(J$1:J3595,SUMPRODUCT(MAX(ROW(E$1:E3595)*(E3596=E$1:E3595)))))</f>
        <v> </v>
      </c>
      <c r="L3596" s="27"/>
    </row>
    <row r="3597" spans="1:12">
      <c r="A3597" s="20" t="s">
        <v>1013</v>
      </c>
      <c r="E3597" s="22">
        <f>IF(D3597="?OLD","!!!","")</f>
        <v/>
      </c>
      <c r="F3597" s="23" t="str">
        <f>IF(OR(E3597="",E3597="!!!"),"",IF(NOT(ISNA(VLOOKUP(E3597,E$1:E3596,1,FALSE()))),"OLD",IF(AND(E3597&lt;&gt;"",E3597&lt;&gt;"!!!"),"NEW","")))</f>
        <v> </v>
      </c>
      <c r="G3597" s="24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5" t="str">
        <f>IF(J3597&lt;&gt;1,"",IF(I3597="SBJ","CB","?"))</f>
        <v> </v>
      </c>
      <c r="I3597" s="26" t="str">
        <f>IF(OR(E3597="",E3597="!!!",F3597="NEW"),"",INDEX(B3596:B$2,-1+SUMPRODUCT(MAX(ROW(E3596:E$2)*(E3597=E3596:E$2)))))</f>
        <v> </v>
      </c>
      <c r="J3597" s="26" t="str">
        <f>IF(OR(E3597="",E3597="!!!",F3597="NEW"),"",COUNTBLANK(OFFSET(A$1,,,SUMPRODUCT(MAX(ROW(E$2:E3597)*(E3597=E$2:E3597)))))-COUNTBLANK(OFFSET(A$1,,,SUMPRODUCT(MAX(ROW(E$1:E3596)*(E2=E$1:E3596))))))</f>
        <v> </v>
      </c>
      <c r="K3597" s="26" t="str">
        <f>IF(OR(E3597="",E3597="!!!",F3597="NEW"),"",INDEX(J$1:J3596,SUMPRODUCT(MAX(ROW(E$1:E3596)*(E3597=E$1:E3596)))))</f>
        <v> </v>
      </c>
      <c r="L3597" s="27"/>
    </row>
    <row r="3598" spans="1:12">
      <c r="A3598" s="20" t="s">
        <v>2377</v>
      </c>
      <c r="E3598" s="22">
        <f>IF(D3598="?OLD","!!!","")</f>
        <v/>
      </c>
      <c r="F3598" s="23" t="str">
        <f>IF(OR(E3598="",E3598="!!!"),"",IF(NOT(ISNA(VLOOKUP(E3598,E$1:E3597,1,FALSE()))),"OLD",IF(AND(E3598&lt;&gt;"",E3598&lt;&gt;"!!!"),"NEW","")))</f>
        <v> </v>
      </c>
      <c r="G3598" s="24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5" t="str">
        <f>IF(J3598&lt;&gt;1,"",IF(I3598="SBJ","CB","?"))</f>
        <v> </v>
      </c>
      <c r="I3598" s="26" t="str">
        <f>IF(OR(E3598="",E3598="!!!",F3598="NEW"),"",INDEX(B3597:B$2,-1+SUMPRODUCT(MAX(ROW(E3597:E$2)*(E3598=E3597:E$2)))))</f>
        <v> </v>
      </c>
      <c r="J3598" s="26" t="str">
        <f>IF(OR(E3598="",E3598="!!!",F3598="NEW"),"",COUNTBLANK(OFFSET(A$1,,,SUMPRODUCT(MAX(ROW(E$2:E3598)*(E3598=E$2:E3598)))))-COUNTBLANK(OFFSET(A$1,,,SUMPRODUCT(MAX(ROW(E$1:E3597)*(E2=E$1:E3597))))))</f>
        <v> </v>
      </c>
      <c r="K3598" s="26" t="str">
        <f>IF(OR(E3598="",E3598="!!!",F3598="NEW"),"",INDEX(J$1:J3597,SUMPRODUCT(MAX(ROW(E$1:E3597)*(E3598=E$1:E3597)))))</f>
        <v> </v>
      </c>
      <c r="L3598" s="27"/>
    </row>
    <row r="3599" spans="1:12">
      <c r="A3599" s="20" t="s">
        <v>1156</v>
      </c>
      <c r="B3599" s="21" t="s">
        <v>1003</v>
      </c>
      <c r="E3599" s="22">
        <f>IF(D3599="?OLD","!!!","")</f>
        <v/>
      </c>
      <c r="F3599" s="23" t="str">
        <f>IF(OR(E3599="",E3599="!!!"),"",IF(NOT(ISNA(VLOOKUP(E3599,E$1:E3598,1,FALSE()))),"OLD",IF(AND(E3599&lt;&gt;"",E3599&lt;&gt;"!!!"),"NEW","")))</f>
        <v> </v>
      </c>
      <c r="G3599" s="24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5" t="str">
        <f>IF(J3599&lt;&gt;1,"",IF(I3599="SBJ","CB","?"))</f>
        <v> </v>
      </c>
      <c r="I3599" s="26" t="str">
        <f>IF(OR(E3599="",E3599="!!!",F3599="NEW"),"",INDEX(B3598:B$2,-1+SUMPRODUCT(MAX(ROW(E3598:E$2)*(E3599=E3598:E$2)))))</f>
        <v> </v>
      </c>
      <c r="J3599" s="26" t="str">
        <f>IF(OR(E3599="",E3599="!!!",F3599="NEW"),"",COUNTBLANK(OFFSET(A$1,,,SUMPRODUCT(MAX(ROW(E$2:E3599)*(E3599=E$2:E3599)))))-COUNTBLANK(OFFSET(A$1,,,SUMPRODUCT(MAX(ROW(E$1:E3598)*(E2=E$1:E3598))))))</f>
        <v> </v>
      </c>
      <c r="K3599" s="26" t="str">
        <f>IF(OR(E3599="",E3599="!!!",F3599="NEW"),"",INDEX(J$1:J3598,SUMPRODUCT(MAX(ROW(E$1:E3598)*(E3599=E$1:E3598)))))</f>
        <v> </v>
      </c>
      <c r="L3599" s="27"/>
    </row>
    <row r="3600" spans="1:12">
      <c r="A3600" s="20" t="s">
        <v>979</v>
      </c>
      <c r="E3600" s="22">
        <f>IF(D3600="?OLD","!!!","")</f>
        <v/>
      </c>
      <c r="F3600" s="23" t="str">
        <f>IF(OR(E3600="",E3600="!!!"),"",IF(NOT(ISNA(VLOOKUP(E3600,E$1:E3599,1,FALSE()))),"OLD",IF(AND(E3600&lt;&gt;"",E3600&lt;&gt;"!!!"),"NEW","")))</f>
        <v> </v>
      </c>
      <c r="G3600" s="24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5" t="str">
        <f>IF(J3600&lt;&gt;1,"",IF(I3600="SBJ","CB","?"))</f>
        <v> </v>
      </c>
      <c r="I3600" s="26" t="str">
        <f>IF(OR(E3600="",E3600="!!!",F3600="NEW"),"",INDEX(B3599:B$2,-1+SUMPRODUCT(MAX(ROW(E3599:E$2)*(E3600=E3599:E$2)))))</f>
        <v> </v>
      </c>
      <c r="J3600" s="26" t="str">
        <f>IF(OR(E3600="",E3600="!!!",F3600="NEW"),"",COUNTBLANK(OFFSET(A$1,,,SUMPRODUCT(MAX(ROW(E$2:E3600)*(E3600=E$2:E3600)))))-COUNTBLANK(OFFSET(A$1,,,SUMPRODUCT(MAX(ROW(E$1:E3599)*(E2=E$1:E3599))))))</f>
        <v> </v>
      </c>
      <c r="K3600" s="26" t="str">
        <f>IF(OR(E3600="",E3600="!!!",F3600="NEW"),"",INDEX(J$1:J3599,SUMPRODUCT(MAX(ROW(E$1:E3599)*(E3600=E$1:E3599)))))</f>
        <v> </v>
      </c>
      <c r="L3600" s="27"/>
    </row>
    <row r="3601" spans="1:12">
      <c r="A3601" s="20"/>
    </row>
    <row r="3602" spans="1:12">
      <c r="A3602" s="20" t="s">
        <v>2378</v>
      </c>
    </row>
    <row r="3603" spans="1:12">
      <c r="A3603" s="20" t="s">
        <v>1348</v>
      </c>
      <c r="B3603" s="21" t="s">
        <v>975</v>
      </c>
      <c r="C3603" s="21" t="s">
        <v>971</v>
      </c>
      <c r="D3603" s="21" t="s">
        <v>972</v>
      </c>
      <c r="E3603" s="22">
        <f>IF(D3603="?OLD","!!!","")</f>
        <v/>
      </c>
      <c r="F3603" s="23" t="str">
        <f>IF(OR(E3603="",E3603="!!!"),"",IF(NOT(ISNA(VLOOKUP(E3603,E$1:E3602,1,FALSE()))),"OLD",IF(AND(E3603&lt;&gt;"",E3603&lt;&gt;"!!!"),"NEW","")))</f>
        <v> </v>
      </c>
      <c r="G3603" s="24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5" t="str">
        <f>IF(J3603&lt;&gt;1,"",IF(I3603="SBJ","CB","?"))</f>
        <v> </v>
      </c>
      <c r="I3603" s="26" t="str">
        <f>IF(OR(E3603="",E3603="!!!",F3603="NEW"),"",INDEX(B3602:B$2,-1+SUMPRODUCT(MAX(ROW(E3602:E$2)*(E3603=E3602:E$2)))))</f>
        <v> </v>
      </c>
      <c r="J3603" s="26" t="str">
        <f>IF(OR(E3603="",E3603="!!!",F3603="NEW"),"",COUNTBLANK(OFFSET(A$1,,,SUMPRODUCT(MAX(ROW(E$2:E3603)*(E3603=E$2:E3603)))))-COUNTBLANK(OFFSET(A$1,,,SUMPRODUCT(MAX(ROW(E$1:E3602)*(E2=E$1:E3602))))))</f>
        <v> </v>
      </c>
      <c r="K3603" s="26" t="str">
        <f>IF(OR(E3603="",E3603="!!!",F3603="NEW"),"",INDEX(J$1:J3602,SUMPRODUCT(MAX(ROW(E$1:E3602)*(E3603=E$1:E3602)))))</f>
        <v> </v>
      </c>
      <c r="L3603" s="27"/>
    </row>
    <row r="3604" spans="1:12">
      <c r="A3604" s="20" t="s">
        <v>2379</v>
      </c>
      <c r="E3604" s="22">
        <f>IF(D3604="?OLD","!!!","")</f>
        <v/>
      </c>
      <c r="F3604" s="23" t="str">
        <f>IF(OR(E3604="",E3604="!!!"),"",IF(NOT(ISNA(VLOOKUP(E3604,E$1:E3603,1,FALSE()))),"OLD",IF(AND(E3604&lt;&gt;"",E3604&lt;&gt;"!!!"),"NEW","")))</f>
        <v> </v>
      </c>
      <c r="G3604" s="24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5" t="str">
        <f>IF(J3604&lt;&gt;1,"",IF(I3604="SBJ","CB","?"))</f>
        <v> </v>
      </c>
      <c r="I3604" s="26" t="str">
        <f>IF(OR(E3604="",E3604="!!!",F3604="NEW"),"",INDEX(B3603:B$2,-1+SUMPRODUCT(MAX(ROW(E3603:E$2)*(E3604=E3603:E$2)))))</f>
        <v> </v>
      </c>
      <c r="J3604" s="26" t="str">
        <f>IF(OR(E3604="",E3604="!!!",F3604="NEW"),"",COUNTBLANK(OFFSET(A$1,,,SUMPRODUCT(MAX(ROW(E$2:E3604)*(E3604=E$2:E3604)))))-COUNTBLANK(OFFSET(A$1,,,SUMPRODUCT(MAX(ROW(E$1:E3603)*(E2=E$1:E3603))))))</f>
        <v> </v>
      </c>
      <c r="K3604" s="26" t="str">
        <f>IF(OR(E3604="",E3604="!!!",F3604="NEW"),"",INDEX(J$1:J3603,SUMPRODUCT(MAX(ROW(E$1:E3603)*(E3604=E$1:E3603)))))</f>
        <v> </v>
      </c>
      <c r="L3604" s="27"/>
    </row>
    <row r="3605" spans="1:12">
      <c r="A3605" s="20" t="s">
        <v>2091</v>
      </c>
      <c r="E3605" s="22">
        <f>IF(D3605="?OLD","!!!","")</f>
        <v/>
      </c>
      <c r="F3605" s="23" t="str">
        <f>IF(OR(E3605="",E3605="!!!"),"",IF(NOT(ISNA(VLOOKUP(E3605,E$1:E3604,1,FALSE()))),"OLD",IF(AND(E3605&lt;&gt;"",E3605&lt;&gt;"!!!"),"NEW","")))</f>
        <v> </v>
      </c>
      <c r="G3605" s="24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5" t="str">
        <f>IF(J3605&lt;&gt;1,"",IF(I3605="SBJ","CB","?"))</f>
        <v> </v>
      </c>
      <c r="I3605" s="26" t="str">
        <f>IF(OR(E3605="",E3605="!!!",F3605="NEW"),"",INDEX(B3604:B$2,-1+SUMPRODUCT(MAX(ROW(E3604:E$2)*(E3605=E3604:E$2)))))</f>
        <v> </v>
      </c>
      <c r="J3605" s="26" t="str">
        <f>IF(OR(E3605="",E3605="!!!",F3605="NEW"),"",COUNTBLANK(OFFSET(A$1,,,SUMPRODUCT(MAX(ROW(E$2:E3605)*(E3605=E$2:E3605)))))-COUNTBLANK(OFFSET(A$1,,,SUMPRODUCT(MAX(ROW(E$1:E3604)*(E2=E$1:E3604))))))</f>
        <v> </v>
      </c>
      <c r="K3605" s="26" t="str">
        <f>IF(OR(E3605="",E3605="!!!",F3605="NEW"),"",INDEX(J$1:J3604,SUMPRODUCT(MAX(ROW(E$1:E3604)*(E3605=E$1:E3604)))))</f>
        <v> </v>
      </c>
      <c r="L3605" s="27"/>
    </row>
    <row r="3606" spans="1:12">
      <c r="A3606" s="20" t="s">
        <v>1630</v>
      </c>
      <c r="B3606" s="21" t="s">
        <v>970</v>
      </c>
      <c r="C3606" s="21" t="s">
        <v>1100</v>
      </c>
      <c r="D3606" s="21" t="s">
        <v>972</v>
      </c>
      <c r="E3606" s="22">
        <f>IF(D3606="?OLD","!!!","")</f>
        <v/>
      </c>
      <c r="F3606" s="23" t="str">
        <f>IF(OR(E3606="",E3606="!!!"),"",IF(NOT(ISNA(VLOOKUP(E3606,E$1:E3605,1,FALSE()))),"OLD",IF(AND(E3606&lt;&gt;"",E3606&lt;&gt;"!!!"),"NEW","")))</f>
        <v> </v>
      </c>
      <c r="G3606" s="24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5" t="str">
        <f>IF(J3606&lt;&gt;1,"",IF(I3606="SBJ","CB","?"))</f>
        <v> </v>
      </c>
      <c r="I3606" s="26" t="str">
        <f>IF(OR(E3606="",E3606="!!!",F3606="NEW"),"",INDEX(B3605:B$2,-1+SUMPRODUCT(MAX(ROW(E3605:E$2)*(E3606=E3605:E$2)))))</f>
        <v> </v>
      </c>
      <c r="J3606" s="26" t="str">
        <f>IF(OR(E3606="",E3606="!!!",F3606="NEW"),"",COUNTBLANK(OFFSET(A$1,,,SUMPRODUCT(MAX(ROW(E$2:E3606)*(E3606=E$2:E3606)))))-COUNTBLANK(OFFSET(A$1,,,SUMPRODUCT(MAX(ROW(E$1:E3605)*(E2=E$1:E3605))))))</f>
        <v> </v>
      </c>
      <c r="K3606" s="26" t="str">
        <f>IF(OR(E3606="",E3606="!!!",F3606="NEW"),"",INDEX(J$1:J3605,SUMPRODUCT(MAX(ROW(E$1:E3605)*(E3606=E$1:E3605)))))</f>
        <v> </v>
      </c>
      <c r="L3606" s="27"/>
    </row>
    <row r="3607" spans="1:12">
      <c r="A3607" s="20" t="s">
        <v>1334</v>
      </c>
      <c r="E3607" s="22">
        <f>IF(D3607="?OLD","!!!","")</f>
        <v/>
      </c>
      <c r="F3607" s="23" t="str">
        <f>IF(OR(E3607="",E3607="!!!"),"",IF(NOT(ISNA(VLOOKUP(E3607,E$1:E3606,1,FALSE()))),"OLD",IF(AND(E3607&lt;&gt;"",E3607&lt;&gt;"!!!"),"NEW","")))</f>
        <v> </v>
      </c>
      <c r="G3607" s="24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5" t="str">
        <f>IF(J3607&lt;&gt;1,"",IF(I3607="SBJ","CB","?"))</f>
        <v> </v>
      </c>
      <c r="I3607" s="26" t="str">
        <f>IF(OR(E3607="",E3607="!!!",F3607="NEW"),"",INDEX(B3606:B$2,-1+SUMPRODUCT(MAX(ROW(E3606:E$2)*(E3607=E3606:E$2)))))</f>
        <v> </v>
      </c>
      <c r="J3607" s="26" t="str">
        <f>IF(OR(E3607="",E3607="!!!",F3607="NEW"),"",COUNTBLANK(OFFSET(A$1,,,SUMPRODUCT(MAX(ROW(E$2:E3607)*(E3607=E$2:E3607)))))-COUNTBLANK(OFFSET(A$1,,,SUMPRODUCT(MAX(ROW(E$1:E3606)*(E2=E$1:E3606))))))</f>
        <v> </v>
      </c>
      <c r="K3607" s="26" t="str">
        <f>IF(OR(E3607="",E3607="!!!",F3607="NEW"),"",INDEX(J$1:J3606,SUMPRODUCT(MAX(ROW(E$1:E3606)*(E3607=E$1:E3606)))))</f>
        <v> </v>
      </c>
      <c r="L3607" s="27"/>
    </row>
    <row r="3608" spans="1:12">
      <c r="A3608" s="20" t="s">
        <v>2380</v>
      </c>
      <c r="E3608" s="22">
        <f>IF(D3608="?OLD","!!!","")</f>
        <v/>
      </c>
      <c r="F3608" s="23" t="str">
        <f>IF(OR(E3608="",E3608="!!!"),"",IF(NOT(ISNA(VLOOKUP(E3608,E$1:E3607,1,FALSE()))),"OLD",IF(AND(E3608&lt;&gt;"",E3608&lt;&gt;"!!!"),"NEW","")))</f>
        <v> </v>
      </c>
      <c r="G3608" s="24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5" t="str">
        <f>IF(J3608&lt;&gt;1,"",IF(I3608="SBJ","CB","?"))</f>
        <v> </v>
      </c>
      <c r="I3608" s="26" t="str">
        <f>IF(OR(E3608="",E3608="!!!",F3608="NEW"),"",INDEX(B3607:B$2,-1+SUMPRODUCT(MAX(ROW(E3607:E$2)*(E3608=E3607:E$2)))))</f>
        <v> </v>
      </c>
      <c r="J3608" s="26" t="str">
        <f>IF(OR(E3608="",E3608="!!!",F3608="NEW"),"",COUNTBLANK(OFFSET(A$1,,,SUMPRODUCT(MAX(ROW(E$2:E3608)*(E3608=E$2:E3608)))))-COUNTBLANK(OFFSET(A$1,,,SUMPRODUCT(MAX(ROW(E$1:E3607)*(E2=E$1:E3607))))))</f>
        <v> </v>
      </c>
      <c r="K3608" s="26" t="str">
        <f>IF(OR(E3608="",E3608="!!!",F3608="NEW"),"",INDEX(J$1:J3607,SUMPRODUCT(MAX(ROW(E$1:E3607)*(E3608=E$1:E3607)))))</f>
        <v> </v>
      </c>
      <c r="L3608" s="27"/>
    </row>
    <row r="3609" spans="1:12">
      <c r="A3609" s="20" t="s">
        <v>2381</v>
      </c>
      <c r="B3609" s="21" t="s">
        <v>995</v>
      </c>
      <c r="C3609" s="21" t="s">
        <v>991</v>
      </c>
      <c r="E3609" s="22">
        <f>IF(D3609="?OLD","!!!","")</f>
        <v/>
      </c>
      <c r="F3609" s="23" t="str">
        <f>IF(OR(E3609="",E3609="!!!"),"",IF(NOT(ISNA(VLOOKUP(E3609,E$1:E3608,1,FALSE()))),"OLD",IF(AND(E3609&lt;&gt;"",E3609&lt;&gt;"!!!"),"NEW","")))</f>
        <v> </v>
      </c>
      <c r="G3609" s="24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5" t="str">
        <f>IF(J3609&lt;&gt;1,"",IF(I3609="SBJ","CB","?"))</f>
        <v> </v>
      </c>
      <c r="I3609" s="26" t="str">
        <f>IF(OR(E3609="",E3609="!!!",F3609="NEW"),"",INDEX(B3608:B$2,-1+SUMPRODUCT(MAX(ROW(E3608:E$2)*(E3609=E3608:E$2)))))</f>
        <v> </v>
      </c>
      <c r="J3609" s="26" t="str">
        <f>IF(OR(E3609="",E3609="!!!",F3609="NEW"),"",COUNTBLANK(OFFSET(A$1,,,SUMPRODUCT(MAX(ROW(E$2:E3609)*(E3609=E$2:E3609)))))-COUNTBLANK(OFFSET(A$1,,,SUMPRODUCT(MAX(ROW(E$1:E3608)*(E2=E$1:E3608))))))</f>
        <v> </v>
      </c>
      <c r="K3609" s="26" t="str">
        <f>IF(OR(E3609="",E3609="!!!",F3609="NEW"),"",INDEX(J$1:J3608,SUMPRODUCT(MAX(ROW(E$1:E3608)*(E3609=E$1:E3608)))))</f>
        <v> </v>
      </c>
      <c r="L3609" s="27"/>
    </row>
    <row r="3610" spans="1:12">
      <c r="A3610" s="20" t="s">
        <v>1005</v>
      </c>
      <c r="E3610" s="22">
        <f>IF(D3610="?OLD","!!!","")</f>
        <v/>
      </c>
      <c r="F3610" s="23" t="str">
        <f>IF(OR(E3610="",E3610="!!!"),"",IF(NOT(ISNA(VLOOKUP(E3610,E$1:E3609,1,FALSE()))),"OLD",IF(AND(E3610&lt;&gt;"",E3610&lt;&gt;"!!!"),"NEW","")))</f>
        <v> </v>
      </c>
      <c r="G3610" s="24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5" t="str">
        <f>IF(J3610&lt;&gt;1,"",IF(I3610="SBJ","CB","?"))</f>
        <v> </v>
      </c>
      <c r="I3610" s="26" t="str">
        <f>IF(OR(E3610="",E3610="!!!",F3610="NEW"),"",INDEX(B3609:B$2,-1+SUMPRODUCT(MAX(ROW(E3609:E$2)*(E3610=E3609:E$2)))))</f>
        <v> </v>
      </c>
      <c r="J3610" s="26" t="str">
        <f>IF(OR(E3610="",E3610="!!!",F3610="NEW"),"",COUNTBLANK(OFFSET(A$1,,,SUMPRODUCT(MAX(ROW(E$2:E3610)*(E3610=E$2:E3610)))))-COUNTBLANK(OFFSET(A$1,,,SUMPRODUCT(MAX(ROW(E$1:E3609)*(E2=E$1:E3609))))))</f>
        <v> </v>
      </c>
      <c r="K3610" s="26" t="str">
        <f>IF(OR(E3610="",E3610="!!!",F3610="NEW"),"",INDEX(J$1:J3609,SUMPRODUCT(MAX(ROW(E$1:E3609)*(E3610=E$1:E3609)))))</f>
        <v> </v>
      </c>
      <c r="L3610" s="27"/>
    </row>
    <row r="3611" spans="1:12">
      <c r="A3611" s="20" t="s">
        <v>2328</v>
      </c>
      <c r="E3611" s="22">
        <f>IF(D3611="?OLD","!!!","")</f>
        <v/>
      </c>
      <c r="F3611" s="23" t="str">
        <f>IF(OR(E3611="",E3611="!!!"),"",IF(NOT(ISNA(VLOOKUP(E3611,E$1:E3610,1,FALSE()))),"OLD",IF(AND(E3611&lt;&gt;"",E3611&lt;&gt;"!!!"),"NEW","")))</f>
        <v> </v>
      </c>
      <c r="G3611" s="24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5" t="str">
        <f>IF(J3611&lt;&gt;1,"",IF(I3611="SBJ","CB","?"))</f>
        <v> </v>
      </c>
      <c r="I3611" s="26" t="str">
        <f>IF(OR(E3611="",E3611="!!!",F3611="NEW"),"",INDEX(B3610:B$2,-1+SUMPRODUCT(MAX(ROW(E3610:E$2)*(E3611=E3610:E$2)))))</f>
        <v> </v>
      </c>
      <c r="J3611" s="26" t="str">
        <f>IF(OR(E3611="",E3611="!!!",F3611="NEW"),"",COUNTBLANK(OFFSET(A$1,,,SUMPRODUCT(MAX(ROW(E$2:E3611)*(E3611=E$2:E3611)))))-COUNTBLANK(OFFSET(A$1,,,SUMPRODUCT(MAX(ROW(E$1:E3610)*(E2=E$1:E3610))))))</f>
        <v> </v>
      </c>
      <c r="K3611" s="26" t="str">
        <f>IF(OR(E3611="",E3611="!!!",F3611="NEW"),"",INDEX(J$1:J3610,SUMPRODUCT(MAX(ROW(E$1:E3610)*(E3611=E$1:E3610)))))</f>
        <v> </v>
      </c>
      <c r="L3611" s="27"/>
    </row>
    <row r="3612" spans="1:12">
      <c r="A3612" s="20" t="s">
        <v>979</v>
      </c>
      <c r="E3612" s="22">
        <f>IF(D3612="?OLD","!!!","")</f>
        <v/>
      </c>
      <c r="F3612" s="23" t="str">
        <f>IF(OR(E3612="",E3612="!!!"),"",IF(NOT(ISNA(VLOOKUP(E3612,E$1:E3611,1,FALSE()))),"OLD",IF(AND(E3612&lt;&gt;"",E3612&lt;&gt;"!!!"),"NEW","")))</f>
        <v> </v>
      </c>
      <c r="G3612" s="24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5" t="str">
        <f>IF(J3612&lt;&gt;1,"",IF(I3612="SBJ","CB","?"))</f>
        <v> </v>
      </c>
      <c r="I3612" s="26" t="str">
        <f>IF(OR(E3612="",E3612="!!!",F3612="NEW"),"",INDEX(B3611:B$2,-1+SUMPRODUCT(MAX(ROW(E3611:E$2)*(E3612=E3611:E$2)))))</f>
        <v> </v>
      </c>
      <c r="J3612" s="26" t="str">
        <f>IF(OR(E3612="",E3612="!!!",F3612="NEW"),"",COUNTBLANK(OFFSET(A$1,,,SUMPRODUCT(MAX(ROW(E$2:E3612)*(E3612=E$2:E3612)))))-COUNTBLANK(OFFSET(A$1,,,SUMPRODUCT(MAX(ROW(E$1:E3611)*(E2=E$1:E3611))))))</f>
        <v> </v>
      </c>
      <c r="K3612" s="26" t="str">
        <f>IF(OR(E3612="",E3612="!!!",F3612="NEW"),"",INDEX(J$1:J3611,SUMPRODUCT(MAX(ROW(E$1:E3611)*(E3612=E$1:E3611)))))</f>
        <v> </v>
      </c>
      <c r="L3612" s="27"/>
    </row>
    <row r="3613" spans="1:12">
      <c r="A3613" s="20"/>
    </row>
    <row r="3614" spans="1:12">
      <c r="A3614" s="20" t="s">
        <v>2382</v>
      </c>
    </row>
    <row r="3615" spans="1:12">
      <c r="A3615" s="20" t="s">
        <v>1348</v>
      </c>
      <c r="B3615" s="21" t="s">
        <v>975</v>
      </c>
      <c r="C3615" s="21" t="s">
        <v>971</v>
      </c>
      <c r="D3615" s="21" t="s">
        <v>972</v>
      </c>
      <c r="E3615" s="22">
        <f>IF(D3615="?OLD","!!!","")</f>
        <v/>
      </c>
      <c r="F3615" s="23" t="str">
        <f>IF(OR(E3615="",E3615="!!!"),"",IF(NOT(ISNA(VLOOKUP(E3615,E$1:E3614,1,FALSE()))),"OLD",IF(AND(E3615&lt;&gt;"",E3615&lt;&gt;"!!!"),"NEW","")))</f>
        <v> </v>
      </c>
      <c r="G3615" s="24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5" t="str">
        <f>IF(J3615&lt;&gt;1,"",IF(I3615="SBJ","CB","?"))</f>
        <v> </v>
      </c>
      <c r="I3615" s="26" t="str">
        <f>IF(OR(E3615="",E3615="!!!",F3615="NEW"),"",INDEX(B3614:B$2,-1+SUMPRODUCT(MAX(ROW(E3614:E$2)*(E3615=E3614:E$2)))))</f>
        <v> </v>
      </c>
      <c r="J3615" s="26" t="str">
        <f>IF(OR(E3615="",E3615="!!!",F3615="NEW"),"",COUNTBLANK(OFFSET(A$1,,,SUMPRODUCT(MAX(ROW(E$2:E3615)*(E3615=E$2:E3615)))))-COUNTBLANK(OFFSET(A$1,,,SUMPRODUCT(MAX(ROW(E$1:E3614)*(E2=E$1:E3614))))))</f>
        <v> </v>
      </c>
      <c r="K3615" s="26" t="str">
        <f>IF(OR(E3615="",E3615="!!!",F3615="NEW"),"",INDEX(J$1:J3614,SUMPRODUCT(MAX(ROW(E$1:E3614)*(E3615=E$1:E3614)))))</f>
        <v> </v>
      </c>
      <c r="L3615" s="27"/>
    </row>
    <row r="3616" spans="1:12">
      <c r="A3616" s="20" t="s">
        <v>2383</v>
      </c>
      <c r="E3616" s="22">
        <f>IF(D3616="?OLD","!!!","")</f>
        <v/>
      </c>
      <c r="F3616" s="23" t="str">
        <f>IF(OR(E3616="",E3616="!!!"),"",IF(NOT(ISNA(VLOOKUP(E3616,E$1:E3615,1,FALSE()))),"OLD",IF(AND(E3616&lt;&gt;"",E3616&lt;&gt;"!!!"),"NEW","")))</f>
        <v> </v>
      </c>
      <c r="G3616" s="24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5" t="str">
        <f>IF(J3616&lt;&gt;1,"",IF(I3616="SBJ","CB","?"))</f>
        <v> </v>
      </c>
      <c r="I3616" s="26" t="str">
        <f>IF(OR(E3616="",E3616="!!!",F3616="NEW"),"",INDEX(B3615:B$2,-1+SUMPRODUCT(MAX(ROW(E3615:E$2)*(E3616=E3615:E$2)))))</f>
        <v> </v>
      </c>
      <c r="J3616" s="26" t="str">
        <f>IF(OR(E3616="",E3616="!!!",F3616="NEW"),"",COUNTBLANK(OFFSET(A$1,,,SUMPRODUCT(MAX(ROW(E$2:E3616)*(E3616=E$2:E3616)))))-COUNTBLANK(OFFSET(A$1,,,SUMPRODUCT(MAX(ROW(E$1:E3615)*(E2=E$1:E3615))))))</f>
        <v> </v>
      </c>
      <c r="K3616" s="26" t="str">
        <f>IF(OR(E3616="",E3616="!!!",F3616="NEW"),"",INDEX(J$1:J3615,SUMPRODUCT(MAX(ROW(E$1:E3615)*(E3616=E$1:E3615)))))</f>
        <v> </v>
      </c>
      <c r="L3616" s="27"/>
    </row>
    <row r="3617" spans="1:12">
      <c r="A3617" s="20" t="s">
        <v>1044</v>
      </c>
      <c r="E3617" s="22">
        <f>IF(D3617="?OLD","!!!","")</f>
        <v/>
      </c>
      <c r="F3617" s="23" t="str">
        <f>IF(OR(E3617="",E3617="!!!"),"",IF(NOT(ISNA(VLOOKUP(E3617,E$1:E3616,1,FALSE()))),"OLD",IF(AND(E3617&lt;&gt;"",E3617&lt;&gt;"!!!"),"NEW","")))</f>
        <v> </v>
      </c>
      <c r="G3617" s="24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5" t="str">
        <f>IF(J3617&lt;&gt;1,"",IF(I3617="SBJ","CB","?"))</f>
        <v> </v>
      </c>
      <c r="I3617" s="26" t="str">
        <f>IF(OR(E3617="",E3617="!!!",F3617="NEW"),"",INDEX(B3616:B$2,-1+SUMPRODUCT(MAX(ROW(E3616:E$2)*(E3617=E3616:E$2)))))</f>
        <v> </v>
      </c>
      <c r="J3617" s="26" t="str">
        <f>IF(OR(E3617="",E3617="!!!",F3617="NEW"),"",COUNTBLANK(OFFSET(A$1,,,SUMPRODUCT(MAX(ROW(E$2:E3617)*(E3617=E$2:E3617)))))-COUNTBLANK(OFFSET(A$1,,,SUMPRODUCT(MAX(ROW(E$1:E3616)*(E2=E$1:E3616))))))</f>
        <v> </v>
      </c>
      <c r="K3617" s="26" t="str">
        <f>IF(OR(E3617="",E3617="!!!",F3617="NEW"),"",INDEX(J$1:J3616,SUMPRODUCT(MAX(ROW(E$1:E3616)*(E3617=E$1:E3616)))))</f>
        <v> </v>
      </c>
      <c r="L3617" s="27"/>
    </row>
    <row r="3618" spans="1:12">
      <c r="A3618" s="20" t="s">
        <v>2384</v>
      </c>
      <c r="B3618" s="21" t="s">
        <v>995</v>
      </c>
      <c r="C3618" s="21" t="s">
        <v>971</v>
      </c>
      <c r="D3618" s="21" t="s">
        <v>972</v>
      </c>
      <c r="E3618" s="22">
        <f>IF(D3618="?OLD","!!!","")</f>
        <v/>
      </c>
      <c r="F3618" s="23" t="str">
        <f>IF(OR(E3618="",E3618="!!!"),"",IF(NOT(ISNA(VLOOKUP(E3618,E$1:E3617,1,FALSE()))),"OLD",IF(AND(E3618&lt;&gt;"",E3618&lt;&gt;"!!!"),"NEW","")))</f>
        <v> </v>
      </c>
      <c r="G3618" s="24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5" t="str">
        <f>IF(J3618&lt;&gt;1,"",IF(I3618="SBJ","CB","?"))</f>
        <v> </v>
      </c>
      <c r="I3618" s="26" t="str">
        <f>IF(OR(E3618="",E3618="!!!",F3618="NEW"),"",INDEX(B3617:B$2,-1+SUMPRODUCT(MAX(ROW(E3617:E$2)*(E3618=E3617:E$2)))))</f>
        <v> </v>
      </c>
      <c r="J3618" s="26" t="str">
        <f>IF(OR(E3618="",E3618="!!!",F3618="NEW"),"",COUNTBLANK(OFFSET(A$1,,,SUMPRODUCT(MAX(ROW(E$2:E3618)*(E3618=E$2:E3618)))))-COUNTBLANK(OFFSET(A$1,,,SUMPRODUCT(MAX(ROW(E$1:E3617)*(E2=E$1:E3617))))))</f>
        <v> </v>
      </c>
      <c r="K3618" s="26" t="str">
        <f>IF(OR(E3618="",E3618="!!!",F3618="NEW"),"",INDEX(J$1:J3617,SUMPRODUCT(MAX(ROW(E$1:E3617)*(E3618=E$1:E3617)))))</f>
        <v> </v>
      </c>
      <c r="L3618" s="27"/>
    </row>
    <row r="3619" spans="1:12">
      <c r="A3619" s="20" t="s">
        <v>1040</v>
      </c>
      <c r="E3619" s="22">
        <f>IF(D3619="?OLD","!!!","")</f>
        <v/>
      </c>
      <c r="F3619" s="23" t="str">
        <f>IF(OR(E3619="",E3619="!!!"),"",IF(NOT(ISNA(VLOOKUP(E3619,E$1:E3618,1,FALSE()))),"OLD",IF(AND(E3619&lt;&gt;"",E3619&lt;&gt;"!!!"),"NEW","")))</f>
        <v> </v>
      </c>
      <c r="G3619" s="24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5" t="str">
        <f>IF(J3619&lt;&gt;1,"",IF(I3619="SBJ","CB","?"))</f>
        <v> </v>
      </c>
      <c r="I3619" s="26" t="str">
        <f>IF(OR(E3619="",E3619="!!!",F3619="NEW"),"",INDEX(B3618:B$2,-1+SUMPRODUCT(MAX(ROW(E3618:E$2)*(E3619=E3618:E$2)))))</f>
        <v> </v>
      </c>
      <c r="J3619" s="26" t="str">
        <f>IF(OR(E3619="",E3619="!!!",F3619="NEW"),"",COUNTBLANK(OFFSET(A$1,,,SUMPRODUCT(MAX(ROW(E$2:E3619)*(E3619=E$2:E3619)))))-COUNTBLANK(OFFSET(A$1,,,SUMPRODUCT(MAX(ROW(E$1:E3618)*(E2=E$1:E3618))))))</f>
        <v> </v>
      </c>
      <c r="K3619" s="26" t="str">
        <f>IF(OR(E3619="",E3619="!!!",F3619="NEW"),"",INDEX(J$1:J3618,SUMPRODUCT(MAX(ROW(E$1:E3618)*(E3619=E$1:E3618)))))</f>
        <v> </v>
      </c>
      <c r="L3619" s="27"/>
    </row>
    <row r="3620" spans="1:12">
      <c r="A3620" s="20" t="s">
        <v>1678</v>
      </c>
      <c r="B3620" s="21" t="s">
        <v>995</v>
      </c>
      <c r="C3620" s="21" t="s">
        <v>991</v>
      </c>
      <c r="E3620" s="22">
        <f>IF(D3620="?OLD","!!!","")</f>
        <v/>
      </c>
      <c r="F3620" s="23" t="str">
        <f>IF(OR(E3620="",E3620="!!!"),"",IF(NOT(ISNA(VLOOKUP(E3620,E$1:E3619,1,FALSE()))),"OLD",IF(AND(E3620&lt;&gt;"",E3620&lt;&gt;"!!!"),"NEW","")))</f>
        <v> </v>
      </c>
      <c r="G3620" s="24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5" t="str">
        <f>IF(J3620&lt;&gt;1,"",IF(I3620="SBJ","CB","?"))</f>
        <v> </v>
      </c>
      <c r="I3620" s="26" t="str">
        <f>IF(OR(E3620="",E3620="!!!",F3620="NEW"),"",INDEX(B3619:B$2,-1+SUMPRODUCT(MAX(ROW(E3619:E$2)*(E3620=E3619:E$2)))))</f>
        <v> </v>
      </c>
      <c r="J3620" s="26" t="str">
        <f>IF(OR(E3620="",E3620="!!!",F3620="NEW"),"",COUNTBLANK(OFFSET(A$1,,,SUMPRODUCT(MAX(ROW(E$2:E3620)*(E3620=E$2:E3620)))))-COUNTBLANK(OFFSET(A$1,,,SUMPRODUCT(MAX(ROW(E$1:E3619)*(E2=E$1:E3619))))))</f>
        <v> </v>
      </c>
      <c r="K3620" s="26" t="str">
        <f>IF(OR(E3620="",E3620="!!!",F3620="NEW"),"",INDEX(J$1:J3619,SUMPRODUCT(MAX(ROW(E$1:E3619)*(E3620=E$1:E3619)))))</f>
        <v> </v>
      </c>
      <c r="L3620" s="27"/>
    </row>
    <row r="3621" spans="1:12">
      <c r="A3621" s="20" t="s">
        <v>979</v>
      </c>
      <c r="E3621" s="22">
        <f>IF(D3621="?OLD","!!!","")</f>
        <v/>
      </c>
      <c r="F3621" s="23" t="str">
        <f>IF(OR(E3621="",E3621="!!!"),"",IF(NOT(ISNA(VLOOKUP(E3621,E$1:E3620,1,FALSE()))),"OLD",IF(AND(E3621&lt;&gt;"",E3621&lt;&gt;"!!!"),"NEW","")))</f>
        <v> </v>
      </c>
      <c r="G3621" s="24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5" t="str">
        <f>IF(J3621&lt;&gt;1,"",IF(I3621="SBJ","CB","?"))</f>
        <v> </v>
      </c>
      <c r="I3621" s="26" t="str">
        <f>IF(OR(E3621="",E3621="!!!",F3621="NEW"),"",INDEX(B3620:B$2,-1+SUMPRODUCT(MAX(ROW(E3620:E$2)*(E3621=E3620:E$2)))))</f>
        <v> </v>
      </c>
      <c r="J3621" s="26" t="str">
        <f>IF(OR(E3621="",E3621="!!!",F3621="NEW"),"",COUNTBLANK(OFFSET(A$1,,,SUMPRODUCT(MAX(ROW(E$2:E3621)*(E3621=E$2:E3621)))))-COUNTBLANK(OFFSET(A$1,,,SUMPRODUCT(MAX(ROW(E$1:E3620)*(E2=E$1:E3620))))))</f>
        <v> </v>
      </c>
      <c r="K3621" s="26" t="str">
        <f>IF(OR(E3621="",E3621="!!!",F3621="NEW"),"",INDEX(J$1:J3620,SUMPRODUCT(MAX(ROW(E$1:E3620)*(E3621=E$1:E3620)))))</f>
        <v> </v>
      </c>
      <c r="L3621" s="27"/>
    </row>
    <row r="3622" spans="1:12">
      <c r="A3622" s="20"/>
    </row>
    <row r="3623" spans="1:12">
      <c r="A3623" s="20" t="s">
        <v>2385</v>
      </c>
    </row>
    <row r="3624" spans="1:12">
      <c r="A3624" s="20" t="s">
        <v>2386</v>
      </c>
      <c r="E3624" s="22">
        <f>IF(D3624="?OLD","!!!","")</f>
        <v/>
      </c>
      <c r="F3624" s="23" t="str">
        <f>IF(OR(E3624="",E3624="!!!"),"",IF(NOT(ISNA(VLOOKUP(E3624,E$1:E3623,1,FALSE()))),"OLD",IF(AND(E3624&lt;&gt;"",E3624&lt;&gt;"!!!"),"NEW","")))</f>
        <v> </v>
      </c>
      <c r="G3624" s="24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5" t="str">
        <f>IF(J3624&lt;&gt;1,"",IF(I3624="SBJ","CB","?"))</f>
        <v> </v>
      </c>
      <c r="I3624" s="26" t="str">
        <f>IF(OR(E3624="",E3624="!!!",F3624="NEW"),"",INDEX(B3623:B$2,-1+SUMPRODUCT(MAX(ROW(E3623:E$2)*(E3624=E3623:E$2)))))</f>
        <v> </v>
      </c>
      <c r="J3624" s="26" t="str">
        <f>IF(OR(E3624="",E3624="!!!",F3624="NEW"),"",COUNTBLANK(OFFSET(A$1,,,SUMPRODUCT(MAX(ROW(E$2:E3624)*(E3624=E$2:E3624)))))-COUNTBLANK(OFFSET(A$1,,,SUMPRODUCT(MAX(ROW(E$1:E3623)*(E2=E$1:E3623))))))</f>
        <v> </v>
      </c>
      <c r="K3624" s="26" t="str">
        <f>IF(OR(E3624="",E3624="!!!",F3624="NEW"),"",INDEX(J$1:J3623,SUMPRODUCT(MAX(ROW(E$1:E3623)*(E3624=E$1:E3623)))))</f>
        <v> </v>
      </c>
      <c r="L3624" s="27"/>
    </row>
    <row r="3625" spans="1:12">
      <c r="A3625" s="20" t="s">
        <v>1485</v>
      </c>
      <c r="B3625" s="21" t="s">
        <v>1087</v>
      </c>
      <c r="C3625" s="21" t="s">
        <v>971</v>
      </c>
      <c r="D3625" s="21" t="s">
        <v>972</v>
      </c>
      <c r="E3625" s="22">
        <f>IF(D3625="?OLD","!!!","")</f>
        <v/>
      </c>
      <c r="F3625" s="23" t="str">
        <f>IF(OR(E3625="",E3625="!!!"),"",IF(NOT(ISNA(VLOOKUP(E3625,E$1:E3624,1,FALSE()))),"OLD",IF(AND(E3625&lt;&gt;"",E3625&lt;&gt;"!!!"),"NEW","")))</f>
        <v> </v>
      </c>
      <c r="G3625" s="24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5" t="str">
        <f>IF(J3625&lt;&gt;1,"",IF(I3625="SBJ","CB","?"))</f>
        <v> </v>
      </c>
      <c r="I3625" s="26" t="str">
        <f>IF(OR(E3625="",E3625="!!!",F3625="NEW"),"",INDEX(B3624:B$2,-1+SUMPRODUCT(MAX(ROW(E3624:E$2)*(E3625=E3624:E$2)))))</f>
        <v> </v>
      </c>
      <c r="J3625" s="26" t="str">
        <f>IF(OR(E3625="",E3625="!!!",F3625="NEW"),"",COUNTBLANK(OFFSET(A$1,,,SUMPRODUCT(MAX(ROW(E$2:E3625)*(E3625=E$2:E3625)))))-COUNTBLANK(OFFSET(A$1,,,SUMPRODUCT(MAX(ROW(E$1:E3624)*(E2=E$1:E3624))))))</f>
        <v> </v>
      </c>
      <c r="K3625" s="26" t="str">
        <f>IF(OR(E3625="",E3625="!!!",F3625="NEW"),"",INDEX(J$1:J3624,SUMPRODUCT(MAX(ROW(E$1:E3624)*(E3625=E$1:E3624)))))</f>
        <v> </v>
      </c>
      <c r="L3625" s="27"/>
    </row>
    <row r="3626" spans="1:12">
      <c r="A3626" s="20" t="s">
        <v>644</v>
      </c>
      <c r="E3626" s="22">
        <f>IF(D3626="?OLD","!!!","")</f>
        <v/>
      </c>
      <c r="F3626" s="23" t="str">
        <f>IF(OR(E3626="",E3626="!!!"),"",IF(NOT(ISNA(VLOOKUP(E3626,E$1:E3625,1,FALSE()))),"OLD",IF(AND(E3626&lt;&gt;"",E3626&lt;&gt;"!!!"),"NEW","")))</f>
        <v> </v>
      </c>
      <c r="G3626" s="24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5" t="str">
        <f>IF(J3626&lt;&gt;1,"",IF(I3626="SBJ","CB","?"))</f>
        <v> </v>
      </c>
      <c r="I3626" s="26" t="str">
        <f>IF(OR(E3626="",E3626="!!!",F3626="NEW"),"",INDEX(B3625:B$2,-1+SUMPRODUCT(MAX(ROW(E3625:E$2)*(E3626=E3625:E$2)))))</f>
        <v> </v>
      </c>
      <c r="J3626" s="26" t="str">
        <f>IF(OR(E3626="",E3626="!!!",F3626="NEW"),"",COUNTBLANK(OFFSET(A$1,,,SUMPRODUCT(MAX(ROW(E$2:E3626)*(E3626=E$2:E3626)))))-COUNTBLANK(OFFSET(A$1,,,SUMPRODUCT(MAX(ROW(E$1:E3625)*(E2=E$1:E3625))))))</f>
        <v> </v>
      </c>
      <c r="K3626" s="26" t="str">
        <f>IF(OR(E3626="",E3626="!!!",F3626="NEW"),"",INDEX(J$1:J3625,SUMPRODUCT(MAX(ROW(E$1:E3625)*(E3626=E$1:E3625)))))</f>
        <v> </v>
      </c>
      <c r="L3626" s="27"/>
    </row>
    <row r="3627" spans="1:12">
      <c r="A3627" s="20" t="s">
        <v>1013</v>
      </c>
      <c r="E3627" s="22">
        <f>IF(D3627="?OLD","!!!","")</f>
        <v/>
      </c>
      <c r="F3627" s="23" t="str">
        <f>IF(OR(E3627="",E3627="!!!"),"",IF(NOT(ISNA(VLOOKUP(E3627,E$1:E3626,1,FALSE()))),"OLD",IF(AND(E3627&lt;&gt;"",E3627&lt;&gt;"!!!"),"NEW","")))</f>
        <v> </v>
      </c>
      <c r="G3627" s="24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5" t="str">
        <f>IF(J3627&lt;&gt;1,"",IF(I3627="SBJ","CB","?"))</f>
        <v> </v>
      </c>
      <c r="I3627" s="26" t="str">
        <f>IF(OR(E3627="",E3627="!!!",F3627="NEW"),"",INDEX(B3626:B$2,-1+SUMPRODUCT(MAX(ROW(E3626:E$2)*(E3627=E3626:E$2)))))</f>
        <v> </v>
      </c>
      <c r="J3627" s="26" t="str">
        <f>IF(OR(E3627="",E3627="!!!",F3627="NEW"),"",COUNTBLANK(OFFSET(A$1,,,SUMPRODUCT(MAX(ROW(E$2:E3627)*(E3627=E$2:E3627)))))-COUNTBLANK(OFFSET(A$1,,,SUMPRODUCT(MAX(ROW(E$1:E3626)*(E2=E$1:E3626))))))</f>
        <v> </v>
      </c>
      <c r="K3627" s="26" t="str">
        <f>IF(OR(E3627="",E3627="!!!",F3627="NEW"),"",INDEX(J$1:J3626,SUMPRODUCT(MAX(ROW(E$1:E3626)*(E3627=E$1:E3626)))))</f>
        <v> </v>
      </c>
      <c r="L3627" s="27"/>
    </row>
    <row r="3628" spans="1:12">
      <c r="A3628" s="20" t="s">
        <v>149</v>
      </c>
      <c r="E3628" s="22">
        <f>IF(D3628="?OLD","!!!","")</f>
        <v/>
      </c>
      <c r="F3628" s="23" t="str">
        <f>IF(OR(E3628="",E3628="!!!"),"",IF(NOT(ISNA(VLOOKUP(E3628,E$1:E3627,1,FALSE()))),"OLD",IF(AND(E3628&lt;&gt;"",E3628&lt;&gt;"!!!"),"NEW","")))</f>
        <v> </v>
      </c>
      <c r="G3628" s="24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5" t="str">
        <f>IF(J3628&lt;&gt;1,"",IF(I3628="SBJ","CB","?"))</f>
        <v> </v>
      </c>
      <c r="I3628" s="26" t="str">
        <f>IF(OR(E3628="",E3628="!!!",F3628="NEW"),"",INDEX(B3627:B$2,-1+SUMPRODUCT(MAX(ROW(E3627:E$2)*(E3628=E3627:E$2)))))</f>
        <v> </v>
      </c>
      <c r="J3628" s="26" t="str">
        <f>IF(OR(E3628="",E3628="!!!",F3628="NEW"),"",COUNTBLANK(OFFSET(A$1,,,SUMPRODUCT(MAX(ROW(E$2:E3628)*(E3628=E$2:E3628)))))-COUNTBLANK(OFFSET(A$1,,,SUMPRODUCT(MAX(ROW(E$1:E3627)*(E2=E$1:E3627))))))</f>
        <v> </v>
      </c>
      <c r="K3628" s="26" t="str">
        <f>IF(OR(E3628="",E3628="!!!",F3628="NEW"),"",INDEX(J$1:J3627,SUMPRODUCT(MAX(ROW(E$1:E3627)*(E3628=E$1:E3627)))))</f>
        <v> </v>
      </c>
      <c r="L3628" s="27"/>
    </row>
    <row r="3629" spans="1:12">
      <c r="A3629" s="20" t="s">
        <v>1112</v>
      </c>
      <c r="B3629" s="21" t="s">
        <v>1093</v>
      </c>
      <c r="C3629" s="21" t="s">
        <v>1012</v>
      </c>
      <c r="D3629" s="21" t="s">
        <v>972</v>
      </c>
      <c r="E3629" s="22">
        <f>IF(D3629="?OLD","!!!","")</f>
        <v/>
      </c>
      <c r="F3629" s="23" t="str">
        <f>IF(OR(E3629="",E3629="!!!"),"",IF(NOT(ISNA(VLOOKUP(E3629,E$1:E3628,1,FALSE()))),"OLD",IF(AND(E3629&lt;&gt;"",E3629&lt;&gt;"!!!"),"NEW","")))</f>
        <v> </v>
      </c>
      <c r="G3629" s="24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5" t="str">
        <f>IF(J3629&lt;&gt;1,"",IF(I3629="SBJ","CB","?"))</f>
        <v> </v>
      </c>
      <c r="I3629" s="26" t="str">
        <f>IF(OR(E3629="",E3629="!!!",F3629="NEW"),"",INDEX(B3628:B$2,-1+SUMPRODUCT(MAX(ROW(E3628:E$2)*(E3629=E3628:E$2)))))</f>
        <v> </v>
      </c>
      <c r="J3629" s="26" t="str">
        <f>IF(OR(E3629="",E3629="!!!",F3629="NEW"),"",COUNTBLANK(OFFSET(A$1,,,SUMPRODUCT(MAX(ROW(E$2:E3629)*(E3629=E$2:E3629)))))-COUNTBLANK(OFFSET(A$1,,,SUMPRODUCT(MAX(ROW(E$1:E3628)*(E2=E$1:E3628))))))</f>
        <v> </v>
      </c>
      <c r="K3629" s="26" t="str">
        <f>IF(OR(E3629="",E3629="!!!",F3629="NEW"),"",INDEX(J$1:J3628,SUMPRODUCT(MAX(ROW(E$1:E3628)*(E3629=E$1:E3628)))))</f>
        <v> </v>
      </c>
      <c r="L3629" s="27"/>
    </row>
    <row r="3630" spans="1:12">
      <c r="A3630" s="20" t="s">
        <v>2105</v>
      </c>
      <c r="E3630" s="22">
        <f>IF(D3630="?OLD","!!!","")</f>
        <v/>
      </c>
      <c r="F3630" s="23" t="str">
        <f>IF(OR(E3630="",E3630="!!!"),"",IF(NOT(ISNA(VLOOKUP(E3630,E$1:E3629,1,FALSE()))),"OLD",IF(AND(E3630&lt;&gt;"",E3630&lt;&gt;"!!!"),"NEW","")))</f>
        <v> </v>
      </c>
      <c r="G3630" s="24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5" t="str">
        <f>IF(J3630&lt;&gt;1,"",IF(I3630="SBJ","CB","?"))</f>
        <v> </v>
      </c>
      <c r="I3630" s="26" t="str">
        <f>IF(OR(E3630="",E3630="!!!",F3630="NEW"),"",INDEX(B3629:B$2,-1+SUMPRODUCT(MAX(ROW(E3629:E$2)*(E3630=E3629:E$2)))))</f>
        <v> </v>
      </c>
      <c r="J3630" s="26" t="str">
        <f>IF(OR(E3630="",E3630="!!!",F3630="NEW"),"",COUNTBLANK(OFFSET(A$1,,,SUMPRODUCT(MAX(ROW(E$2:E3630)*(E3630=E$2:E3630)))))-COUNTBLANK(OFFSET(A$1,,,SUMPRODUCT(MAX(ROW(E$1:E3629)*(E2=E$1:E3629))))))</f>
        <v> </v>
      </c>
      <c r="K3630" s="26" t="str">
        <f>IF(OR(E3630="",E3630="!!!",F3630="NEW"),"",INDEX(J$1:J3629,SUMPRODUCT(MAX(ROW(E$1:E3629)*(E3630=E$1:E3629)))))</f>
        <v> </v>
      </c>
      <c r="L3630" s="27"/>
    </row>
    <row r="3631" spans="1:12">
      <c r="A3631" s="20" t="s">
        <v>2387</v>
      </c>
      <c r="E3631" s="22">
        <f>IF(D3631="?OLD","!!!","")</f>
        <v/>
      </c>
      <c r="F3631" s="23" t="str">
        <f>IF(OR(E3631="",E3631="!!!"),"",IF(NOT(ISNA(VLOOKUP(E3631,E$1:E3630,1,FALSE()))),"OLD",IF(AND(E3631&lt;&gt;"",E3631&lt;&gt;"!!!"),"NEW","")))</f>
        <v> </v>
      </c>
      <c r="G3631" s="24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5" t="str">
        <f>IF(J3631&lt;&gt;1,"",IF(I3631="SBJ","CB","?"))</f>
        <v> </v>
      </c>
      <c r="I3631" s="26" t="str">
        <f>IF(OR(E3631="",E3631="!!!",F3631="NEW"),"",INDEX(B3630:B$2,-1+SUMPRODUCT(MAX(ROW(E3630:E$2)*(E3631=E3630:E$2)))))</f>
        <v> </v>
      </c>
      <c r="J3631" s="26" t="str">
        <f>IF(OR(E3631="",E3631="!!!",F3631="NEW"),"",COUNTBLANK(OFFSET(A$1,,,SUMPRODUCT(MAX(ROW(E$2:E3631)*(E3631=E$2:E3631)))))-COUNTBLANK(OFFSET(A$1,,,SUMPRODUCT(MAX(ROW(E$1:E3630)*(E2=E$1:E3630))))))</f>
        <v> </v>
      </c>
      <c r="K3631" s="26" t="str">
        <f>IF(OR(E3631="",E3631="!!!",F3631="NEW"),"",INDEX(J$1:J3630,SUMPRODUCT(MAX(ROW(E$1:E3630)*(E3631=E$1:E3630)))))</f>
        <v> </v>
      </c>
      <c r="L3631" s="27"/>
    </row>
    <row r="3632" spans="1:12">
      <c r="A3632" s="20" t="s">
        <v>2388</v>
      </c>
      <c r="E3632" s="22">
        <f>IF(D3632="?OLD","!!!","")</f>
        <v/>
      </c>
      <c r="F3632" s="23" t="str">
        <f>IF(OR(E3632="",E3632="!!!"),"",IF(NOT(ISNA(VLOOKUP(E3632,E$1:E3631,1,FALSE()))),"OLD",IF(AND(E3632&lt;&gt;"",E3632&lt;&gt;"!!!"),"NEW","")))</f>
        <v> </v>
      </c>
      <c r="G3632" s="24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5" t="str">
        <f>IF(J3632&lt;&gt;1,"",IF(I3632="SBJ","CB","?"))</f>
        <v> </v>
      </c>
      <c r="I3632" s="26" t="str">
        <f>IF(OR(E3632="",E3632="!!!",F3632="NEW"),"",INDEX(B3631:B$2,-1+SUMPRODUCT(MAX(ROW(E3631:E$2)*(E3632=E3631:E$2)))))</f>
        <v> </v>
      </c>
      <c r="J3632" s="26" t="str">
        <f>IF(OR(E3632="",E3632="!!!",F3632="NEW"),"",COUNTBLANK(OFFSET(A$1,,,SUMPRODUCT(MAX(ROW(E$2:E3632)*(E3632=E$2:E3632)))))-COUNTBLANK(OFFSET(A$1,,,SUMPRODUCT(MAX(ROW(E$1:E3631)*(E2=E$1:E3631))))))</f>
        <v> </v>
      </c>
      <c r="K3632" s="26" t="str">
        <f>IF(OR(E3632="",E3632="!!!",F3632="NEW"),"",INDEX(J$1:J3631,SUMPRODUCT(MAX(ROW(E$1:E3631)*(E3632=E$1:E3631)))))</f>
        <v> </v>
      </c>
      <c r="L3632" s="27"/>
    </row>
    <row r="3633" spans="1:12">
      <c r="A3633" s="20" t="s">
        <v>979</v>
      </c>
      <c r="E3633" s="22">
        <f>IF(D3633="?OLD","!!!","")</f>
        <v/>
      </c>
      <c r="F3633" s="23" t="str">
        <f>IF(OR(E3633="",E3633="!!!"),"",IF(NOT(ISNA(VLOOKUP(E3633,E$1:E3632,1,FALSE()))),"OLD",IF(AND(E3633&lt;&gt;"",E3633&lt;&gt;"!!!"),"NEW","")))</f>
        <v> </v>
      </c>
      <c r="G3633" s="24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5" t="str">
        <f>IF(J3633&lt;&gt;1,"",IF(I3633="SBJ","CB","?"))</f>
        <v> </v>
      </c>
      <c r="I3633" s="26" t="str">
        <f>IF(OR(E3633="",E3633="!!!",F3633="NEW"),"",INDEX(B3632:B$2,-1+SUMPRODUCT(MAX(ROW(E3632:E$2)*(E3633=E3632:E$2)))))</f>
        <v> </v>
      </c>
      <c r="J3633" s="26" t="str">
        <f>IF(OR(E3633="",E3633="!!!",F3633="NEW"),"",COUNTBLANK(OFFSET(A$1,,,SUMPRODUCT(MAX(ROW(E$2:E3633)*(E3633=E$2:E3633)))))-COUNTBLANK(OFFSET(A$1,,,SUMPRODUCT(MAX(ROW(E$1:E3632)*(E2=E$1:E3632))))))</f>
        <v> </v>
      </c>
      <c r="K3633" s="26" t="str">
        <f>IF(OR(E3633="",E3633="!!!",F3633="NEW"),"",INDEX(J$1:J3632,SUMPRODUCT(MAX(ROW(E$1:E3632)*(E3633=E$1:E3632)))))</f>
        <v> </v>
      </c>
      <c r="L3633" s="27"/>
    </row>
    <row r="3634" spans="1:12">
      <c r="A3634" s="20"/>
    </row>
    <row r="3635" spans="1:12">
      <c r="A3635" s="20" t="s">
        <v>2389</v>
      </c>
    </row>
    <row r="3636" spans="1:12">
      <c r="A3636" s="20" t="s">
        <v>1515</v>
      </c>
      <c r="B3636" s="21" t="s">
        <v>975</v>
      </c>
      <c r="C3636" s="21" t="s">
        <v>1516</v>
      </c>
      <c r="E3636" s="22">
        <f>IF(D3636="?OLD","!!!","")</f>
        <v/>
      </c>
      <c r="F3636" s="23" t="str">
        <f>IF(OR(E3636="",E3636="!!!"),"",IF(NOT(ISNA(VLOOKUP(E3636,E$1:E3635,1,FALSE()))),"OLD",IF(AND(E3636&lt;&gt;"",E3636&lt;&gt;"!!!"),"NEW","")))</f>
        <v> </v>
      </c>
      <c r="G3636" s="24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5" t="str">
        <f>IF(J3636&lt;&gt;1,"",IF(I3636="SBJ","CB","?"))</f>
        <v> </v>
      </c>
      <c r="I3636" s="26" t="str">
        <f>IF(OR(E3636="",E3636="!!!",F3636="NEW"),"",INDEX(B3635:B$2,-1+SUMPRODUCT(MAX(ROW(E3635:E$2)*(E3636=E3635:E$2)))))</f>
        <v> </v>
      </c>
      <c r="J3636" s="26" t="str">
        <f>IF(OR(E3636="",E3636="!!!",F3636="NEW"),"",COUNTBLANK(OFFSET(A$1,,,SUMPRODUCT(MAX(ROW(E$2:E3636)*(E3636=E$2:E3636)))))-COUNTBLANK(OFFSET(A$1,,,SUMPRODUCT(MAX(ROW(E$1:E3635)*(E2=E$1:E3635))))))</f>
        <v> </v>
      </c>
      <c r="K3636" s="26" t="str">
        <f>IF(OR(E3636="",E3636="!!!",F3636="NEW"),"",INDEX(J$1:J3635,SUMPRODUCT(MAX(ROW(E$1:E3635)*(E3636=E$1:E3635)))))</f>
        <v> </v>
      </c>
      <c r="L3636" s="27"/>
    </row>
    <row r="3637" spans="1:12">
      <c r="A3637" s="20" t="s">
        <v>1195</v>
      </c>
      <c r="E3637" s="22">
        <f>IF(D3637="?OLD","!!!","")</f>
        <v/>
      </c>
      <c r="F3637" s="23" t="str">
        <f>IF(OR(E3637="",E3637="!!!"),"",IF(NOT(ISNA(VLOOKUP(E3637,E$1:E3636,1,FALSE()))),"OLD",IF(AND(E3637&lt;&gt;"",E3637&lt;&gt;"!!!"),"NEW","")))</f>
        <v> </v>
      </c>
      <c r="G3637" s="24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5" t="str">
        <f>IF(J3637&lt;&gt;1,"",IF(I3637="SBJ","CB","?"))</f>
        <v> </v>
      </c>
      <c r="I3637" s="26" t="str">
        <f>IF(OR(E3637="",E3637="!!!",F3637="NEW"),"",INDEX(B3636:B$2,-1+SUMPRODUCT(MAX(ROW(E3636:E$2)*(E3637=E3636:E$2)))))</f>
        <v> </v>
      </c>
      <c r="J3637" s="26" t="str">
        <f>IF(OR(E3637="",E3637="!!!",F3637="NEW"),"",COUNTBLANK(OFFSET(A$1,,,SUMPRODUCT(MAX(ROW(E$2:E3637)*(E3637=E$2:E3637)))))-COUNTBLANK(OFFSET(A$1,,,SUMPRODUCT(MAX(ROW(E$1:E3636)*(E2=E$1:E3636))))))</f>
        <v> </v>
      </c>
      <c r="K3637" s="26" t="str">
        <f>IF(OR(E3637="",E3637="!!!",F3637="NEW"),"",INDEX(J$1:J3636,SUMPRODUCT(MAX(ROW(E$1:E3636)*(E3637=E$1:E3636)))))</f>
        <v> </v>
      </c>
      <c r="L3637" s="27"/>
    </row>
    <row r="3638" spans="1:12">
      <c r="A3638" s="20" t="s">
        <v>2390</v>
      </c>
      <c r="E3638" s="22">
        <f>IF(D3638="?OLD","!!!","")</f>
        <v/>
      </c>
      <c r="F3638" s="23" t="str">
        <f>IF(OR(E3638="",E3638="!!!"),"",IF(NOT(ISNA(VLOOKUP(E3638,E$1:E3637,1,FALSE()))),"OLD",IF(AND(E3638&lt;&gt;"",E3638&lt;&gt;"!!!"),"NEW","")))</f>
        <v> </v>
      </c>
      <c r="G3638" s="24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5" t="str">
        <f>IF(J3638&lt;&gt;1,"",IF(I3638="SBJ","CB","?"))</f>
        <v> </v>
      </c>
      <c r="I3638" s="26" t="str">
        <f>IF(OR(E3638="",E3638="!!!",F3638="NEW"),"",INDEX(B3637:B$2,-1+SUMPRODUCT(MAX(ROW(E3637:E$2)*(E3638=E3637:E$2)))))</f>
        <v> </v>
      </c>
      <c r="J3638" s="26" t="str">
        <f>IF(OR(E3638="",E3638="!!!",F3638="NEW"),"",COUNTBLANK(OFFSET(A$1,,,SUMPRODUCT(MAX(ROW(E$2:E3638)*(E3638=E$2:E3638)))))-COUNTBLANK(OFFSET(A$1,,,SUMPRODUCT(MAX(ROW(E$1:E3637)*(E2=E$1:E3637))))))</f>
        <v> </v>
      </c>
      <c r="K3638" s="26" t="str">
        <f>IF(OR(E3638="",E3638="!!!",F3638="NEW"),"",INDEX(J$1:J3637,SUMPRODUCT(MAX(ROW(E$1:E3637)*(E3638=E$1:E3637)))))</f>
        <v> </v>
      </c>
      <c r="L3638" s="27"/>
    </row>
    <row r="3639" spans="1:12">
      <c r="A3639" s="20" t="s">
        <v>2391</v>
      </c>
      <c r="E3639" s="22">
        <f>IF(D3639="?OLD","!!!","")</f>
        <v/>
      </c>
      <c r="F3639" s="23" t="str">
        <f>IF(OR(E3639="",E3639="!!!"),"",IF(NOT(ISNA(VLOOKUP(E3639,E$1:E3638,1,FALSE()))),"OLD",IF(AND(E3639&lt;&gt;"",E3639&lt;&gt;"!!!"),"NEW","")))</f>
        <v> </v>
      </c>
      <c r="G3639" s="24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5" t="str">
        <f>IF(J3639&lt;&gt;1,"",IF(I3639="SBJ","CB","?"))</f>
        <v> </v>
      </c>
      <c r="I3639" s="26" t="str">
        <f>IF(OR(E3639="",E3639="!!!",F3639="NEW"),"",INDEX(B3638:B$2,-1+SUMPRODUCT(MAX(ROW(E3638:E$2)*(E3639=E3638:E$2)))))</f>
        <v> </v>
      </c>
      <c r="J3639" s="26" t="str">
        <f>IF(OR(E3639="",E3639="!!!",F3639="NEW"),"",COUNTBLANK(OFFSET(A$1,,,SUMPRODUCT(MAX(ROW(E$2:E3639)*(E3639=E$2:E3639)))))-COUNTBLANK(OFFSET(A$1,,,SUMPRODUCT(MAX(ROW(E$1:E3638)*(E2=E$1:E3638))))))</f>
        <v> </v>
      </c>
      <c r="K3639" s="26" t="str">
        <f>IF(OR(E3639="",E3639="!!!",F3639="NEW"),"",INDEX(J$1:J3638,SUMPRODUCT(MAX(ROW(E$1:E3638)*(E3639=E$1:E3638)))))</f>
        <v> </v>
      </c>
      <c r="L3639" s="27"/>
    </row>
    <row r="3640" spans="1:12">
      <c r="A3640" s="20" t="s">
        <v>2392</v>
      </c>
      <c r="E3640" s="22">
        <f>IF(D3640="?OLD","!!!","")</f>
        <v/>
      </c>
      <c r="F3640" s="23" t="str">
        <f>IF(OR(E3640="",E3640="!!!"),"",IF(NOT(ISNA(VLOOKUP(E3640,E$1:E3639,1,FALSE()))),"OLD",IF(AND(E3640&lt;&gt;"",E3640&lt;&gt;"!!!"),"NEW","")))</f>
        <v> </v>
      </c>
      <c r="G3640" s="24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5" t="str">
        <f>IF(J3640&lt;&gt;1,"",IF(I3640="SBJ","CB","?"))</f>
        <v> </v>
      </c>
      <c r="I3640" s="26" t="str">
        <f>IF(OR(E3640="",E3640="!!!",F3640="NEW"),"",INDEX(B3639:B$2,-1+SUMPRODUCT(MAX(ROW(E3639:E$2)*(E3640=E3639:E$2)))))</f>
        <v> </v>
      </c>
      <c r="J3640" s="26" t="str">
        <f>IF(OR(E3640="",E3640="!!!",F3640="NEW"),"",COUNTBLANK(OFFSET(A$1,,,SUMPRODUCT(MAX(ROW(E$2:E3640)*(E3640=E$2:E3640)))))-COUNTBLANK(OFFSET(A$1,,,SUMPRODUCT(MAX(ROW(E$1:E3639)*(E2=E$1:E3639))))))</f>
        <v> </v>
      </c>
      <c r="K3640" s="26" t="str">
        <f>IF(OR(E3640="",E3640="!!!",F3640="NEW"),"",INDEX(J$1:J3639,SUMPRODUCT(MAX(ROW(E$1:E3639)*(E3640=E$1:E3639)))))</f>
        <v> </v>
      </c>
      <c r="L3640" s="27"/>
    </row>
    <row r="3641" spans="1:12">
      <c r="A3641" s="20" t="s">
        <v>2393</v>
      </c>
      <c r="B3641" s="21" t="s">
        <v>1087</v>
      </c>
      <c r="E3641" s="22">
        <f>IF(D3641="?OLD","!!!","")</f>
        <v/>
      </c>
      <c r="F3641" s="23" t="str">
        <f>IF(OR(E3641="",E3641="!!!"),"",IF(NOT(ISNA(VLOOKUP(E3641,E$1:E3640,1,FALSE()))),"OLD",IF(AND(E3641&lt;&gt;"",E3641&lt;&gt;"!!!"),"NEW","")))</f>
        <v> </v>
      </c>
      <c r="G3641" s="24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5" t="str">
        <f>IF(J3641&lt;&gt;1,"",IF(I3641="SBJ","CB","?"))</f>
        <v> </v>
      </c>
      <c r="I3641" s="26" t="str">
        <f>IF(OR(E3641="",E3641="!!!",F3641="NEW"),"",INDEX(B3640:B$2,-1+SUMPRODUCT(MAX(ROW(E3640:E$2)*(E3641=E3640:E$2)))))</f>
        <v> </v>
      </c>
      <c r="J3641" s="26" t="str">
        <f>IF(OR(E3641="",E3641="!!!",F3641="NEW"),"",COUNTBLANK(OFFSET(A$1,,,SUMPRODUCT(MAX(ROW(E$2:E3641)*(E3641=E$2:E3641)))))-COUNTBLANK(OFFSET(A$1,,,SUMPRODUCT(MAX(ROW(E$1:E3640)*(E2=E$1:E3640))))))</f>
        <v> </v>
      </c>
      <c r="K3641" s="26" t="str">
        <f>IF(OR(E3641="",E3641="!!!",F3641="NEW"),"",INDEX(J$1:J3640,SUMPRODUCT(MAX(ROW(E$1:E3640)*(E3641=E$1:E3640)))))</f>
        <v> </v>
      </c>
      <c r="L3641" s="27"/>
    </row>
    <row r="3642" spans="1:12">
      <c r="A3642" s="20" t="s">
        <v>1007</v>
      </c>
      <c r="E3642" s="22">
        <f>IF(D3642="?OLD","!!!","")</f>
        <v/>
      </c>
      <c r="F3642" s="23" t="str">
        <f>IF(OR(E3642="",E3642="!!!"),"",IF(NOT(ISNA(VLOOKUP(E3642,E$1:E3641,1,FALSE()))),"OLD",IF(AND(E3642&lt;&gt;"",E3642&lt;&gt;"!!!"),"NEW","")))</f>
        <v> </v>
      </c>
      <c r="G3642" s="24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5" t="str">
        <f>IF(J3642&lt;&gt;1,"",IF(I3642="SBJ","CB","?"))</f>
        <v> </v>
      </c>
      <c r="I3642" s="26" t="str">
        <f>IF(OR(E3642="",E3642="!!!",F3642="NEW"),"",INDEX(B3641:B$2,-1+SUMPRODUCT(MAX(ROW(E3641:E$2)*(E3642=E3641:E$2)))))</f>
        <v> </v>
      </c>
      <c r="J3642" s="26" t="str">
        <f>IF(OR(E3642="",E3642="!!!",F3642="NEW"),"",COUNTBLANK(OFFSET(A$1,,,SUMPRODUCT(MAX(ROW(E$2:E3642)*(E3642=E$2:E3642)))))-COUNTBLANK(OFFSET(A$1,,,SUMPRODUCT(MAX(ROW(E$1:E3641)*(E2=E$1:E3641))))))</f>
        <v> </v>
      </c>
      <c r="K3642" s="26" t="str">
        <f>IF(OR(E3642="",E3642="!!!",F3642="NEW"),"",INDEX(J$1:J3641,SUMPRODUCT(MAX(ROW(E$1:E3641)*(E3642=E$1:E3641)))))</f>
        <v> </v>
      </c>
      <c r="L3642" s="27"/>
    </row>
    <row r="3643" spans="1:12">
      <c r="A3643" s="20" t="s">
        <v>1428</v>
      </c>
      <c r="E3643" s="22">
        <f>IF(D3643="?OLD","!!!","")</f>
        <v/>
      </c>
      <c r="F3643" s="23" t="str">
        <f>IF(OR(E3643="",E3643="!!!"),"",IF(NOT(ISNA(VLOOKUP(E3643,E$1:E3642,1,FALSE()))),"OLD",IF(AND(E3643&lt;&gt;"",E3643&lt;&gt;"!!!"),"NEW","")))</f>
        <v> </v>
      </c>
      <c r="G3643" s="24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5" t="str">
        <f>IF(J3643&lt;&gt;1,"",IF(I3643="SBJ","CB","?"))</f>
        <v> </v>
      </c>
      <c r="I3643" s="26" t="str">
        <f>IF(OR(E3643="",E3643="!!!",F3643="NEW"),"",INDEX(B3642:B$2,-1+SUMPRODUCT(MAX(ROW(E3642:E$2)*(E3643=E3642:E$2)))))</f>
        <v> </v>
      </c>
      <c r="J3643" s="26" t="str">
        <f>IF(OR(E3643="",E3643="!!!",F3643="NEW"),"",COUNTBLANK(OFFSET(A$1,,,SUMPRODUCT(MAX(ROW(E$2:E3643)*(E3643=E$2:E3643)))))-COUNTBLANK(OFFSET(A$1,,,SUMPRODUCT(MAX(ROW(E$1:E3642)*(E2=E$1:E3642))))))</f>
        <v> </v>
      </c>
      <c r="K3643" s="26" t="str">
        <f>IF(OR(E3643="",E3643="!!!",F3643="NEW"),"",INDEX(J$1:J3642,SUMPRODUCT(MAX(ROW(E$1:E3642)*(E3643=E$1:E3642)))))</f>
        <v> </v>
      </c>
      <c r="L3643" s="27"/>
    </row>
    <row r="3644" spans="1:12">
      <c r="A3644" s="20" t="s">
        <v>1355</v>
      </c>
      <c r="E3644" s="22">
        <f>IF(D3644="?OLD","!!!","")</f>
        <v/>
      </c>
      <c r="F3644" s="23" t="str">
        <f>IF(OR(E3644="",E3644="!!!"),"",IF(NOT(ISNA(VLOOKUP(E3644,E$1:E3643,1,FALSE()))),"OLD",IF(AND(E3644&lt;&gt;"",E3644&lt;&gt;"!!!"),"NEW","")))</f>
        <v> </v>
      </c>
      <c r="G3644" s="24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5" t="str">
        <f>IF(J3644&lt;&gt;1,"",IF(I3644="SBJ","CB","?"))</f>
        <v> </v>
      </c>
      <c r="I3644" s="26" t="str">
        <f>IF(OR(E3644="",E3644="!!!",F3644="NEW"),"",INDEX(B3643:B$2,-1+SUMPRODUCT(MAX(ROW(E3643:E$2)*(E3644=E3643:E$2)))))</f>
        <v> </v>
      </c>
      <c r="J3644" s="26" t="str">
        <f>IF(OR(E3644="",E3644="!!!",F3644="NEW"),"",COUNTBLANK(OFFSET(A$1,,,SUMPRODUCT(MAX(ROW(E$2:E3644)*(E3644=E$2:E3644)))))-COUNTBLANK(OFFSET(A$1,,,SUMPRODUCT(MAX(ROW(E$1:E3643)*(E2=E$1:E3643))))))</f>
        <v> </v>
      </c>
      <c r="K3644" s="26" t="str">
        <f>IF(OR(E3644="",E3644="!!!",F3644="NEW"),"",INDEX(J$1:J3643,SUMPRODUCT(MAX(ROW(E$1:E3643)*(E3644=E$1:E3643)))))</f>
        <v> </v>
      </c>
      <c r="L3644" s="27"/>
    </row>
    <row r="3645" spans="1:12">
      <c r="A3645" s="20" t="s">
        <v>1013</v>
      </c>
      <c r="E3645" s="22">
        <f>IF(D3645="?OLD","!!!","")</f>
        <v/>
      </c>
      <c r="F3645" s="23" t="str">
        <f>IF(OR(E3645="",E3645="!!!"),"",IF(NOT(ISNA(VLOOKUP(E3645,E$1:E3644,1,FALSE()))),"OLD",IF(AND(E3645&lt;&gt;"",E3645&lt;&gt;"!!!"),"NEW","")))</f>
        <v> </v>
      </c>
      <c r="G3645" s="24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5" t="str">
        <f>IF(J3645&lt;&gt;1,"",IF(I3645="SBJ","CB","?"))</f>
        <v> </v>
      </c>
      <c r="I3645" s="26" t="str">
        <f>IF(OR(E3645="",E3645="!!!",F3645="NEW"),"",INDEX(B3644:B$2,-1+SUMPRODUCT(MAX(ROW(E3644:E$2)*(E3645=E3644:E$2)))))</f>
        <v> </v>
      </c>
      <c r="J3645" s="26" t="str">
        <f>IF(OR(E3645="",E3645="!!!",F3645="NEW"),"",COUNTBLANK(OFFSET(A$1,,,SUMPRODUCT(MAX(ROW(E$2:E3645)*(E3645=E$2:E3645)))))-COUNTBLANK(OFFSET(A$1,,,SUMPRODUCT(MAX(ROW(E$1:E3644)*(E2=E$1:E3644))))))</f>
        <v> </v>
      </c>
      <c r="K3645" s="26" t="str">
        <f>IF(OR(E3645="",E3645="!!!",F3645="NEW"),"",INDEX(J$1:J3644,SUMPRODUCT(MAX(ROW(E$1:E3644)*(E3645=E$1:E3644)))))</f>
        <v> </v>
      </c>
      <c r="L3645" s="27"/>
    </row>
    <row r="3646" spans="1:12">
      <c r="A3646" s="20" t="s">
        <v>149</v>
      </c>
      <c r="E3646" s="22">
        <f>IF(D3646="?OLD","!!!","")</f>
        <v/>
      </c>
      <c r="F3646" s="23" t="str">
        <f>IF(OR(E3646="",E3646="!!!"),"",IF(NOT(ISNA(VLOOKUP(E3646,E$1:E3645,1,FALSE()))),"OLD",IF(AND(E3646&lt;&gt;"",E3646&lt;&gt;"!!!"),"NEW","")))</f>
        <v> </v>
      </c>
      <c r="G3646" s="24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5" t="str">
        <f>IF(J3646&lt;&gt;1,"",IF(I3646="SBJ","CB","?"))</f>
        <v> </v>
      </c>
      <c r="I3646" s="26" t="str">
        <f>IF(OR(E3646="",E3646="!!!",F3646="NEW"),"",INDEX(B3645:B$2,-1+SUMPRODUCT(MAX(ROW(E3645:E$2)*(E3646=E3645:E$2)))))</f>
        <v> </v>
      </c>
      <c r="J3646" s="26" t="str">
        <f>IF(OR(E3646="",E3646="!!!",F3646="NEW"),"",COUNTBLANK(OFFSET(A$1,,,SUMPRODUCT(MAX(ROW(E$2:E3646)*(E3646=E$2:E3646)))))-COUNTBLANK(OFFSET(A$1,,,SUMPRODUCT(MAX(ROW(E$1:E3645)*(E2=E$1:E3645))))))</f>
        <v> </v>
      </c>
      <c r="K3646" s="26" t="str">
        <f>IF(OR(E3646="",E3646="!!!",F3646="NEW"),"",INDEX(J$1:J3645,SUMPRODUCT(MAX(ROW(E$1:E3645)*(E3646=E$1:E3645)))))</f>
        <v> </v>
      </c>
      <c r="L3646" s="27"/>
    </row>
    <row r="3647" spans="1:12">
      <c r="A3647" s="20" t="s">
        <v>1112</v>
      </c>
      <c r="B3647" s="21" t="s">
        <v>1093</v>
      </c>
      <c r="C3647" s="21" t="s">
        <v>1012</v>
      </c>
      <c r="D3647" s="21" t="s">
        <v>972</v>
      </c>
      <c r="E3647" s="22">
        <f>IF(D3647="?OLD","!!!","")</f>
        <v/>
      </c>
      <c r="F3647" s="23" t="str">
        <f>IF(OR(E3647="",E3647="!!!"),"",IF(NOT(ISNA(VLOOKUP(E3647,E$1:E3646,1,FALSE()))),"OLD",IF(AND(E3647&lt;&gt;"",E3647&lt;&gt;"!!!"),"NEW","")))</f>
        <v> </v>
      </c>
      <c r="G3647" s="24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5" t="str">
        <f>IF(J3647&lt;&gt;1,"",IF(I3647="SBJ","CB","?"))</f>
        <v> </v>
      </c>
      <c r="I3647" s="26" t="str">
        <f>IF(OR(E3647="",E3647="!!!",F3647="NEW"),"",INDEX(B3646:B$2,-1+SUMPRODUCT(MAX(ROW(E3646:E$2)*(E3647=E3646:E$2)))))</f>
        <v> </v>
      </c>
      <c r="J3647" s="26" t="str">
        <f>IF(OR(E3647="",E3647="!!!",F3647="NEW"),"",COUNTBLANK(OFFSET(A$1,,,SUMPRODUCT(MAX(ROW(E$2:E3647)*(E3647=E$2:E3647)))))-COUNTBLANK(OFFSET(A$1,,,SUMPRODUCT(MAX(ROW(E$1:E3646)*(E2=E$1:E3646))))))</f>
        <v> </v>
      </c>
      <c r="K3647" s="26" t="str">
        <f>IF(OR(E3647="",E3647="!!!",F3647="NEW"),"",INDEX(J$1:J3646,SUMPRODUCT(MAX(ROW(E$1:E3646)*(E3647=E$1:E3646)))))</f>
        <v> </v>
      </c>
      <c r="L3647" s="27"/>
    </row>
    <row r="3648" spans="1:12">
      <c r="A3648" s="20" t="s">
        <v>1158</v>
      </c>
      <c r="E3648" s="22">
        <f>IF(D3648="?OLD","!!!","")</f>
        <v/>
      </c>
      <c r="F3648" s="23" t="str">
        <f>IF(OR(E3648="",E3648="!!!"),"",IF(NOT(ISNA(VLOOKUP(E3648,E$1:E3647,1,FALSE()))),"OLD",IF(AND(E3648&lt;&gt;"",E3648&lt;&gt;"!!!"),"NEW","")))</f>
        <v> </v>
      </c>
      <c r="G3648" s="24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5" t="str">
        <f>IF(J3648&lt;&gt;1,"",IF(I3648="SBJ","CB","?"))</f>
        <v> </v>
      </c>
      <c r="I3648" s="26" t="str">
        <f>IF(OR(E3648="",E3648="!!!",F3648="NEW"),"",INDEX(B3647:B$2,-1+SUMPRODUCT(MAX(ROW(E3647:E$2)*(E3648=E3647:E$2)))))</f>
        <v> </v>
      </c>
      <c r="J3648" s="26" t="str">
        <f>IF(OR(E3648="",E3648="!!!",F3648="NEW"),"",COUNTBLANK(OFFSET(A$1,,,SUMPRODUCT(MAX(ROW(E$2:E3648)*(E3648=E$2:E3648)))))-COUNTBLANK(OFFSET(A$1,,,SUMPRODUCT(MAX(ROW(E$1:E3647)*(E2=E$1:E3647))))))</f>
        <v> </v>
      </c>
      <c r="K3648" s="26" t="str">
        <f>IF(OR(E3648="",E3648="!!!",F3648="NEW"),"",INDEX(J$1:J3647,SUMPRODUCT(MAX(ROW(E$1:E3647)*(E3648=E$1:E3647)))))</f>
        <v> </v>
      </c>
      <c r="L3648" s="27"/>
    </row>
    <row r="3649" spans="1:12">
      <c r="A3649" s="20" t="s">
        <v>1162</v>
      </c>
      <c r="E3649" s="22">
        <f>IF(D3649="?OLD","!!!","")</f>
        <v/>
      </c>
      <c r="F3649" s="23" t="str">
        <f>IF(OR(E3649="",E3649="!!!"),"",IF(NOT(ISNA(VLOOKUP(E3649,E$1:E3648,1,FALSE()))),"OLD",IF(AND(E3649&lt;&gt;"",E3649&lt;&gt;"!!!"),"NEW","")))</f>
        <v> </v>
      </c>
      <c r="G3649" s="24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5" t="str">
        <f>IF(J3649&lt;&gt;1,"",IF(I3649="SBJ","CB","?"))</f>
        <v> </v>
      </c>
      <c r="I3649" s="26" t="str">
        <f>IF(OR(E3649="",E3649="!!!",F3649="NEW"),"",INDEX(B3648:B$2,-1+SUMPRODUCT(MAX(ROW(E3648:E$2)*(E3649=E3648:E$2)))))</f>
        <v> </v>
      </c>
      <c r="J3649" s="26" t="str">
        <f>IF(OR(E3649="",E3649="!!!",F3649="NEW"),"",COUNTBLANK(OFFSET(A$1,,,SUMPRODUCT(MAX(ROW(E$2:E3649)*(E3649=E$2:E3649)))))-COUNTBLANK(OFFSET(A$1,,,SUMPRODUCT(MAX(ROW(E$1:E3648)*(E2=E$1:E3648))))))</f>
        <v> </v>
      </c>
      <c r="K3649" s="26" t="str">
        <f>IF(OR(E3649="",E3649="!!!",F3649="NEW"),"",INDEX(J$1:J3648,SUMPRODUCT(MAX(ROW(E$1:E3648)*(E3649=E$1:E3648)))))</f>
        <v> </v>
      </c>
      <c r="L3649" s="27"/>
    </row>
    <row r="3650" spans="1:12">
      <c r="A3650" s="20" t="s">
        <v>1004</v>
      </c>
      <c r="E3650" s="22">
        <f>IF(D3650="?OLD","!!!","")</f>
        <v/>
      </c>
      <c r="F3650" s="23" t="str">
        <f>IF(OR(E3650="",E3650="!!!"),"",IF(NOT(ISNA(VLOOKUP(E3650,E$1:E3649,1,FALSE()))),"OLD",IF(AND(E3650&lt;&gt;"",E3650&lt;&gt;"!!!"),"NEW","")))</f>
        <v> </v>
      </c>
      <c r="G3650" s="24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5" t="str">
        <f>IF(J3650&lt;&gt;1,"",IF(I3650="SBJ","CB","?"))</f>
        <v> </v>
      </c>
      <c r="I3650" s="26" t="str">
        <f>IF(OR(E3650="",E3650="!!!",F3650="NEW"),"",INDEX(B3649:B$2,-1+SUMPRODUCT(MAX(ROW(E3649:E$2)*(E3650=E3649:E$2)))))</f>
        <v> </v>
      </c>
      <c r="J3650" s="26" t="str">
        <f>IF(OR(E3650="",E3650="!!!",F3650="NEW"),"",COUNTBLANK(OFFSET(A$1,,,SUMPRODUCT(MAX(ROW(E$2:E3650)*(E3650=E$2:E3650)))))-COUNTBLANK(OFFSET(A$1,,,SUMPRODUCT(MAX(ROW(E$1:E3649)*(E2=E$1:E3649))))))</f>
        <v> </v>
      </c>
      <c r="K3650" s="26" t="str">
        <f>IF(OR(E3650="",E3650="!!!",F3650="NEW"),"",INDEX(J$1:J3649,SUMPRODUCT(MAX(ROW(E$1:E3649)*(E3650=E$1:E3649)))))</f>
        <v> </v>
      </c>
      <c r="L3650" s="27"/>
    </row>
    <row r="3651" spans="1:12">
      <c r="A3651" s="20" t="s">
        <v>1419</v>
      </c>
      <c r="E3651" s="22">
        <f>IF(D3651="?OLD","!!!","")</f>
        <v/>
      </c>
      <c r="F3651" s="23" t="str">
        <f>IF(OR(E3651="",E3651="!!!"),"",IF(NOT(ISNA(VLOOKUP(E3651,E$1:E3650,1,FALSE()))),"OLD",IF(AND(E3651&lt;&gt;"",E3651&lt;&gt;"!!!"),"NEW","")))</f>
        <v> </v>
      </c>
      <c r="G3651" s="24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5" t="str">
        <f>IF(J3651&lt;&gt;1,"",IF(I3651="SBJ","CB","?"))</f>
        <v> </v>
      </c>
      <c r="I3651" s="26" t="str">
        <f>IF(OR(E3651="",E3651="!!!",F3651="NEW"),"",INDEX(B3650:B$2,-1+SUMPRODUCT(MAX(ROW(E3650:E$2)*(E3651=E3650:E$2)))))</f>
        <v> </v>
      </c>
      <c r="J3651" s="26" t="str">
        <f>IF(OR(E3651="",E3651="!!!",F3651="NEW"),"",COUNTBLANK(OFFSET(A$1,,,SUMPRODUCT(MAX(ROW(E$2:E3651)*(E3651=E$2:E3651)))))-COUNTBLANK(OFFSET(A$1,,,SUMPRODUCT(MAX(ROW(E$1:E3650)*(E2=E$1:E3650))))))</f>
        <v> </v>
      </c>
      <c r="K3651" s="26" t="str">
        <f>IF(OR(E3651="",E3651="!!!",F3651="NEW"),"",INDEX(J$1:J3650,SUMPRODUCT(MAX(ROW(E$1:E3650)*(E3651=E$1:E3650)))))</f>
        <v> </v>
      </c>
      <c r="L3651" s="27"/>
    </row>
    <row r="3652" spans="1:12">
      <c r="A3652" s="20" t="s">
        <v>1355</v>
      </c>
      <c r="E3652" s="22">
        <f>IF(D3652="?OLD","!!!","")</f>
        <v/>
      </c>
      <c r="F3652" s="23" t="str">
        <f>IF(OR(E3652="",E3652="!!!"),"",IF(NOT(ISNA(VLOOKUP(E3652,E$1:E3651,1,FALSE()))),"OLD",IF(AND(E3652&lt;&gt;"",E3652&lt;&gt;"!!!"),"NEW","")))</f>
        <v> </v>
      </c>
      <c r="G3652" s="24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5" t="str">
        <f>IF(J3652&lt;&gt;1,"",IF(I3652="SBJ","CB","?"))</f>
        <v> </v>
      </c>
      <c r="I3652" s="26" t="str">
        <f>IF(OR(E3652="",E3652="!!!",F3652="NEW"),"",INDEX(B3651:B$2,-1+SUMPRODUCT(MAX(ROW(E3651:E$2)*(E3652=E3651:E$2)))))</f>
        <v> </v>
      </c>
      <c r="J3652" s="26" t="str">
        <f>IF(OR(E3652="",E3652="!!!",F3652="NEW"),"",COUNTBLANK(OFFSET(A$1,,,SUMPRODUCT(MAX(ROW(E$2:E3652)*(E3652=E$2:E3652)))))-COUNTBLANK(OFFSET(A$1,,,SUMPRODUCT(MAX(ROW(E$1:E3651)*(E2=E$1:E3651))))))</f>
        <v> </v>
      </c>
      <c r="K3652" s="26" t="str">
        <f>IF(OR(E3652="",E3652="!!!",F3652="NEW"),"",INDEX(J$1:J3651,SUMPRODUCT(MAX(ROW(E$1:E3651)*(E3652=E$1:E3651)))))</f>
        <v> </v>
      </c>
      <c r="L3652" s="27"/>
    </row>
    <row r="3653" spans="1:12">
      <c r="A3653" s="20" t="s">
        <v>1013</v>
      </c>
      <c r="E3653" s="22">
        <f>IF(D3653="?OLD","!!!","")</f>
        <v/>
      </c>
      <c r="F3653" s="23" t="str">
        <f>IF(OR(E3653="",E3653="!!!"),"",IF(NOT(ISNA(VLOOKUP(E3653,E$1:E3652,1,FALSE()))),"OLD",IF(AND(E3653&lt;&gt;"",E3653&lt;&gt;"!!!"),"NEW","")))</f>
        <v> </v>
      </c>
      <c r="G3653" s="24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5" t="str">
        <f>IF(J3653&lt;&gt;1,"",IF(I3653="SBJ","CB","?"))</f>
        <v> </v>
      </c>
      <c r="I3653" s="26" t="str">
        <f>IF(OR(E3653="",E3653="!!!",F3653="NEW"),"",INDEX(B3652:B$2,-1+SUMPRODUCT(MAX(ROW(E3652:E$2)*(E3653=E3652:E$2)))))</f>
        <v> </v>
      </c>
      <c r="J3653" s="26" t="str">
        <f>IF(OR(E3653="",E3653="!!!",F3653="NEW"),"",COUNTBLANK(OFFSET(A$1,,,SUMPRODUCT(MAX(ROW(E$2:E3653)*(E3653=E$2:E3653)))))-COUNTBLANK(OFFSET(A$1,,,SUMPRODUCT(MAX(ROW(E$1:E3652)*(E2=E$1:E3652))))))</f>
        <v> </v>
      </c>
      <c r="K3653" s="26" t="str">
        <f>IF(OR(E3653="",E3653="!!!",F3653="NEW"),"",INDEX(J$1:J3652,SUMPRODUCT(MAX(ROW(E$1:E3652)*(E3653=E$1:E3652)))))</f>
        <v> </v>
      </c>
      <c r="L3653" s="27"/>
    </row>
    <row r="3654" spans="1:12">
      <c r="A3654" s="20" t="s">
        <v>149</v>
      </c>
      <c r="E3654" s="22">
        <f>IF(D3654="?OLD","!!!","")</f>
        <v/>
      </c>
      <c r="F3654" s="23" t="str">
        <f>IF(OR(E3654="",E3654="!!!"),"",IF(NOT(ISNA(VLOOKUP(E3654,E$1:E3653,1,FALSE()))),"OLD",IF(AND(E3654&lt;&gt;"",E3654&lt;&gt;"!!!"),"NEW","")))</f>
        <v> </v>
      </c>
      <c r="G3654" s="24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5" t="str">
        <f>IF(J3654&lt;&gt;1,"",IF(I3654="SBJ","CB","?"))</f>
        <v> </v>
      </c>
      <c r="I3654" s="26" t="str">
        <f>IF(OR(E3654="",E3654="!!!",F3654="NEW"),"",INDEX(B3653:B$2,-1+SUMPRODUCT(MAX(ROW(E3653:E$2)*(E3654=E3653:E$2)))))</f>
        <v> </v>
      </c>
      <c r="J3654" s="26" t="str">
        <f>IF(OR(E3654="",E3654="!!!",F3654="NEW"),"",COUNTBLANK(OFFSET(A$1,,,SUMPRODUCT(MAX(ROW(E$2:E3654)*(E3654=E$2:E3654)))))-COUNTBLANK(OFFSET(A$1,,,SUMPRODUCT(MAX(ROW(E$1:E3653)*(E2=E$1:E3653))))))</f>
        <v> </v>
      </c>
      <c r="K3654" s="26" t="str">
        <f>IF(OR(E3654="",E3654="!!!",F3654="NEW"),"",INDEX(J$1:J3653,SUMPRODUCT(MAX(ROW(E$1:E3653)*(E3654=E$1:E3653)))))</f>
        <v> </v>
      </c>
      <c r="L3654" s="27"/>
    </row>
    <row r="3655" spans="1:12">
      <c r="A3655" s="20" t="s">
        <v>257</v>
      </c>
      <c r="E3655" s="22">
        <f>IF(D3655="?OLD","!!!","")</f>
        <v/>
      </c>
      <c r="F3655" s="23" t="str">
        <f>IF(OR(E3655="",E3655="!!!"),"",IF(NOT(ISNA(VLOOKUP(E3655,E$1:E3654,1,FALSE()))),"OLD",IF(AND(E3655&lt;&gt;"",E3655&lt;&gt;"!!!"),"NEW","")))</f>
        <v> </v>
      </c>
      <c r="G3655" s="24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5" t="str">
        <f>IF(J3655&lt;&gt;1,"",IF(I3655="SBJ","CB","?"))</f>
        <v> </v>
      </c>
      <c r="I3655" s="26" t="str">
        <f>IF(OR(E3655="",E3655="!!!",F3655="NEW"),"",INDEX(B3654:B$2,-1+SUMPRODUCT(MAX(ROW(E3654:E$2)*(E3655=E3654:E$2)))))</f>
        <v> </v>
      </c>
      <c r="J3655" s="26" t="str">
        <f>IF(OR(E3655="",E3655="!!!",F3655="NEW"),"",COUNTBLANK(OFFSET(A$1,,,SUMPRODUCT(MAX(ROW(E$2:E3655)*(E3655=E$2:E3655)))))-COUNTBLANK(OFFSET(A$1,,,SUMPRODUCT(MAX(ROW(E$1:E3654)*(E2=E$1:E3654))))))</f>
        <v> </v>
      </c>
      <c r="K3655" s="26" t="str">
        <f>IF(OR(E3655="",E3655="!!!",F3655="NEW"),"",INDEX(J$1:J3654,SUMPRODUCT(MAX(ROW(E$1:E3654)*(E3655=E$1:E3654)))))</f>
        <v> </v>
      </c>
      <c r="L3655" s="27"/>
    </row>
    <row r="3656" spans="1:12">
      <c r="A3656" s="20" t="s">
        <v>2394</v>
      </c>
      <c r="E3656" s="22">
        <f>IF(D3656="?OLD","!!!","")</f>
        <v/>
      </c>
      <c r="F3656" s="23" t="str">
        <f>IF(OR(E3656="",E3656="!!!"),"",IF(NOT(ISNA(VLOOKUP(E3656,E$1:E3655,1,FALSE()))),"OLD",IF(AND(E3656&lt;&gt;"",E3656&lt;&gt;"!!!"),"NEW","")))</f>
        <v> </v>
      </c>
      <c r="G3656" s="24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5" t="str">
        <f>IF(J3656&lt;&gt;1,"",IF(I3656="SBJ","CB","?"))</f>
        <v> </v>
      </c>
      <c r="I3656" s="26" t="str">
        <f>IF(OR(E3656="",E3656="!!!",F3656="NEW"),"",INDEX(B3655:B$2,-1+SUMPRODUCT(MAX(ROW(E3655:E$2)*(E3656=E3655:E$2)))))</f>
        <v> </v>
      </c>
      <c r="J3656" s="26" t="str">
        <f>IF(OR(E3656="",E3656="!!!",F3656="NEW"),"",COUNTBLANK(OFFSET(A$1,,,SUMPRODUCT(MAX(ROW(E$2:E3656)*(E3656=E$2:E3656)))))-COUNTBLANK(OFFSET(A$1,,,SUMPRODUCT(MAX(ROW(E$1:E3655)*(E2=E$1:E3655))))))</f>
        <v> </v>
      </c>
      <c r="K3656" s="26" t="str">
        <f>IF(OR(E3656="",E3656="!!!",F3656="NEW"),"",INDEX(J$1:J3655,SUMPRODUCT(MAX(ROW(E$1:E3655)*(E3656=E$1:E3655)))))</f>
        <v> </v>
      </c>
      <c r="L3656" s="27"/>
    </row>
    <row r="3657" spans="1:12">
      <c r="A3657" s="20" t="s">
        <v>979</v>
      </c>
      <c r="E3657" s="22">
        <f>IF(D3657="?OLD","!!!","")</f>
        <v/>
      </c>
      <c r="F3657" s="23" t="str">
        <f>IF(OR(E3657="",E3657="!!!"),"",IF(NOT(ISNA(VLOOKUP(E3657,E$1:E3656,1,FALSE()))),"OLD",IF(AND(E3657&lt;&gt;"",E3657&lt;&gt;"!!!"),"NEW","")))</f>
        <v> </v>
      </c>
      <c r="G3657" s="24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5" t="str">
        <f>IF(J3657&lt;&gt;1,"",IF(I3657="SBJ","CB","?"))</f>
        <v> </v>
      </c>
      <c r="I3657" s="26" t="str">
        <f>IF(OR(E3657="",E3657="!!!",F3657="NEW"),"",INDEX(B3656:B$2,-1+SUMPRODUCT(MAX(ROW(E3656:E$2)*(E3657=E3656:E$2)))))</f>
        <v> </v>
      </c>
      <c r="J3657" s="26" t="str">
        <f>IF(OR(E3657="",E3657="!!!",F3657="NEW"),"",COUNTBLANK(OFFSET(A$1,,,SUMPRODUCT(MAX(ROW(E$2:E3657)*(E3657=E$2:E3657)))))-COUNTBLANK(OFFSET(A$1,,,SUMPRODUCT(MAX(ROW(E$1:E3656)*(E2=E$1:E3656))))))</f>
        <v> </v>
      </c>
      <c r="K3657" s="26" t="str">
        <f>IF(OR(E3657="",E3657="!!!",F3657="NEW"),"",INDEX(J$1:J3656,SUMPRODUCT(MAX(ROW(E$1:E3656)*(E3657=E$1:E3656)))))</f>
        <v> </v>
      </c>
      <c r="L3657" s="27"/>
    </row>
    <row r="3658" spans="1:12">
      <c r="A3658" s="20"/>
    </row>
    <row r="3659" spans="1:12">
      <c r="A3659" s="20" t="s">
        <v>2395</v>
      </c>
    </row>
    <row r="3660" spans="1:12">
      <c r="A3660" s="20" t="s">
        <v>1070</v>
      </c>
      <c r="E3660" s="22">
        <f>IF(D3660="?OLD","!!!","")</f>
        <v/>
      </c>
      <c r="F3660" s="23" t="str">
        <f>IF(OR(E3660="",E3660="!!!"),"",IF(NOT(ISNA(VLOOKUP(E3660,E$1:E3659,1,FALSE()))),"OLD",IF(AND(E3660&lt;&gt;"",E3660&lt;&gt;"!!!"),"NEW","")))</f>
        <v> </v>
      </c>
      <c r="G3660" s="24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5" t="str">
        <f>IF(J3660&lt;&gt;1,"",IF(I3660="SBJ","CB","?"))</f>
        <v> </v>
      </c>
      <c r="I3660" s="26" t="str">
        <f>IF(OR(E3660="",E3660="!!!",F3660="NEW"),"",INDEX(B3659:B$2,-1+SUMPRODUCT(MAX(ROW(E3659:E$2)*(E3660=E3659:E$2)))))</f>
        <v> </v>
      </c>
      <c r="J3660" s="26" t="str">
        <f>IF(OR(E3660="",E3660="!!!",F3660="NEW"),"",COUNTBLANK(OFFSET(A$1,,,SUMPRODUCT(MAX(ROW(E$2:E3660)*(E3660=E$2:E3660)))))-COUNTBLANK(OFFSET(A$1,,,SUMPRODUCT(MAX(ROW(E$1:E3659)*(E2=E$1:E3659))))))</f>
        <v> </v>
      </c>
      <c r="K3660" s="26" t="str">
        <f>IF(OR(E3660="",E3660="!!!",F3660="NEW"),"",INDEX(J$1:J3659,SUMPRODUCT(MAX(ROW(E$1:E3659)*(E3660=E$1:E3659)))))</f>
        <v> </v>
      </c>
      <c r="L3660" s="27"/>
    </row>
    <row r="3661" spans="1:12">
      <c r="A3661" s="20" t="s">
        <v>1092</v>
      </c>
      <c r="E3661" s="22">
        <f>IF(D3661="?OLD","!!!","")</f>
        <v/>
      </c>
      <c r="F3661" s="23" t="str">
        <f>IF(OR(E3661="",E3661="!!!"),"",IF(NOT(ISNA(VLOOKUP(E3661,E$1:E3660,1,FALSE()))),"OLD",IF(AND(E3661&lt;&gt;"",E3661&lt;&gt;"!!!"),"NEW","")))</f>
        <v> </v>
      </c>
      <c r="G3661" s="24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5" t="str">
        <f>IF(J3661&lt;&gt;1,"",IF(I3661="SBJ","CB","?"))</f>
        <v> </v>
      </c>
      <c r="I3661" s="26" t="str">
        <f>IF(OR(E3661="",E3661="!!!",F3661="NEW"),"",INDEX(B3660:B$2,-1+SUMPRODUCT(MAX(ROW(E3660:E$2)*(E3661=E3660:E$2)))))</f>
        <v> </v>
      </c>
      <c r="J3661" s="26" t="str">
        <f>IF(OR(E3661="",E3661="!!!",F3661="NEW"),"",COUNTBLANK(OFFSET(A$1,,,SUMPRODUCT(MAX(ROW(E$2:E3661)*(E3661=E$2:E3661)))))-COUNTBLANK(OFFSET(A$1,,,SUMPRODUCT(MAX(ROW(E$1:E3660)*(E2=E$1:E3660))))))</f>
        <v> </v>
      </c>
      <c r="K3661" s="26" t="str">
        <f>IF(OR(E3661="",E3661="!!!",F3661="NEW"),"",INDEX(J$1:J3660,SUMPRODUCT(MAX(ROW(E$1:E3660)*(E3661=E$1:E3660)))))</f>
        <v> </v>
      </c>
      <c r="L3661" s="27"/>
    </row>
    <row r="3662" spans="1:12">
      <c r="A3662" s="20" t="s">
        <v>145</v>
      </c>
      <c r="B3662" s="21" t="s">
        <v>975</v>
      </c>
      <c r="C3662" s="21" t="s">
        <v>971</v>
      </c>
      <c r="D3662" s="21" t="s">
        <v>972</v>
      </c>
      <c r="E3662" s="22">
        <f>IF(D3662="?OLD","!!!","")</f>
        <v/>
      </c>
      <c r="F3662" s="23" t="str">
        <f>IF(OR(E3662="",E3662="!!!"),"",IF(NOT(ISNA(VLOOKUP(E3662,E$1:E3661,1,FALSE()))),"OLD",IF(AND(E3662&lt;&gt;"",E3662&lt;&gt;"!!!"),"NEW","")))</f>
        <v> </v>
      </c>
      <c r="G3662" s="24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5" t="str">
        <f>IF(J3662&lt;&gt;1,"",IF(I3662="SBJ","CB","?"))</f>
        <v> </v>
      </c>
      <c r="I3662" s="26" t="str">
        <f>IF(OR(E3662="",E3662="!!!",F3662="NEW"),"",INDEX(B3661:B$2,-1+SUMPRODUCT(MAX(ROW(E3661:E$2)*(E3662=E3661:E$2)))))</f>
        <v> </v>
      </c>
      <c r="J3662" s="26" t="str">
        <f>IF(OR(E3662="",E3662="!!!",F3662="NEW"),"",COUNTBLANK(OFFSET(A$1,,,SUMPRODUCT(MAX(ROW(E$2:E3662)*(E3662=E$2:E3662)))))-COUNTBLANK(OFFSET(A$1,,,SUMPRODUCT(MAX(ROW(E$1:E3661)*(E2=E$1:E3661))))))</f>
        <v> </v>
      </c>
      <c r="K3662" s="26" t="str">
        <f>IF(OR(E3662="",E3662="!!!",F3662="NEW"),"",INDEX(J$1:J3661,SUMPRODUCT(MAX(ROW(E$1:E3661)*(E3662=E$1:E3661)))))</f>
        <v> </v>
      </c>
      <c r="L3662" s="27"/>
    </row>
    <row r="3663" spans="1:12">
      <c r="A3663" s="20" t="s">
        <v>2396</v>
      </c>
      <c r="E3663" s="22">
        <f>IF(D3663="?OLD","!!!","")</f>
        <v/>
      </c>
      <c r="F3663" s="23" t="str">
        <f>IF(OR(E3663="",E3663="!!!"),"",IF(NOT(ISNA(VLOOKUP(E3663,E$1:E3662,1,FALSE()))),"OLD",IF(AND(E3663&lt;&gt;"",E3663&lt;&gt;"!!!"),"NEW","")))</f>
        <v> </v>
      </c>
      <c r="G3663" s="24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5" t="str">
        <f>IF(J3663&lt;&gt;1,"",IF(I3663="SBJ","CB","?"))</f>
        <v> </v>
      </c>
      <c r="I3663" s="26" t="str">
        <f>IF(OR(E3663="",E3663="!!!",F3663="NEW"),"",INDEX(B3662:B$2,-1+SUMPRODUCT(MAX(ROW(E3662:E$2)*(E3663=E3662:E$2)))))</f>
        <v> </v>
      </c>
      <c r="J3663" s="26" t="str">
        <f>IF(OR(E3663="",E3663="!!!",F3663="NEW"),"",COUNTBLANK(OFFSET(A$1,,,SUMPRODUCT(MAX(ROW(E$2:E3663)*(E3663=E$2:E3663)))))-COUNTBLANK(OFFSET(A$1,,,SUMPRODUCT(MAX(ROW(E$1:E3662)*(E2=E$1:E3662))))))</f>
        <v> </v>
      </c>
      <c r="K3663" s="26" t="str">
        <f>IF(OR(E3663="",E3663="!!!",F3663="NEW"),"",INDEX(J$1:J3662,SUMPRODUCT(MAX(ROW(E$1:E3662)*(E3663=E$1:E3662)))))</f>
        <v> </v>
      </c>
      <c r="L3663" s="27"/>
    </row>
    <row r="3664" spans="1:12">
      <c r="A3664" s="20" t="s">
        <v>1447</v>
      </c>
      <c r="B3664" s="21" t="s">
        <v>970</v>
      </c>
      <c r="C3664" s="21" t="s">
        <v>971</v>
      </c>
      <c r="D3664" s="21" t="s">
        <v>972</v>
      </c>
      <c r="E3664" s="22">
        <f>IF(D3664="?OLD","!!!","")</f>
        <v/>
      </c>
      <c r="F3664" s="23" t="str">
        <f>IF(OR(E3664="",E3664="!!!"),"",IF(NOT(ISNA(VLOOKUP(E3664,E$1:E3663,1,FALSE()))),"OLD",IF(AND(E3664&lt;&gt;"",E3664&lt;&gt;"!!!"),"NEW","")))</f>
        <v> </v>
      </c>
      <c r="G3664" s="24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5" t="str">
        <f>IF(J3664&lt;&gt;1,"",IF(I3664="SBJ","CB","?"))</f>
        <v> </v>
      </c>
      <c r="I3664" s="26" t="str">
        <f>IF(OR(E3664="",E3664="!!!",F3664="NEW"),"",INDEX(B3663:B$2,-1+SUMPRODUCT(MAX(ROW(E3663:E$2)*(E3664=E3663:E$2)))))</f>
        <v> </v>
      </c>
      <c r="J3664" s="26" t="str">
        <f>IF(OR(E3664="",E3664="!!!",F3664="NEW"),"",COUNTBLANK(OFFSET(A$1,,,SUMPRODUCT(MAX(ROW(E$2:E3664)*(E3664=E$2:E3664)))))-COUNTBLANK(OFFSET(A$1,,,SUMPRODUCT(MAX(ROW(E$1:E3663)*(E2=E$1:E3663))))))</f>
        <v> </v>
      </c>
      <c r="K3664" s="26" t="str">
        <f>IF(OR(E3664="",E3664="!!!",F3664="NEW"),"",INDEX(J$1:J3663,SUMPRODUCT(MAX(ROW(E$1:E3663)*(E3664=E$1:E3663)))))</f>
        <v> </v>
      </c>
      <c r="L3664" s="27"/>
    </row>
    <row r="3665" spans="1:12">
      <c r="A3665" s="20" t="s">
        <v>1005</v>
      </c>
      <c r="E3665" s="22">
        <f>IF(D3665="?OLD","!!!","")</f>
        <v/>
      </c>
      <c r="F3665" s="23" t="str">
        <f>IF(OR(E3665="",E3665="!!!"),"",IF(NOT(ISNA(VLOOKUP(E3665,E$1:E3664,1,FALSE()))),"OLD",IF(AND(E3665&lt;&gt;"",E3665&lt;&gt;"!!!"),"NEW","")))</f>
        <v> </v>
      </c>
      <c r="G3665" s="24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5" t="str">
        <f>IF(J3665&lt;&gt;1,"",IF(I3665="SBJ","CB","?"))</f>
        <v> </v>
      </c>
      <c r="I3665" s="26" t="str">
        <f>IF(OR(E3665="",E3665="!!!",F3665="NEW"),"",INDEX(B3664:B$2,-1+SUMPRODUCT(MAX(ROW(E3664:E$2)*(E3665=E3664:E$2)))))</f>
        <v> </v>
      </c>
      <c r="J3665" s="26" t="str">
        <f>IF(OR(E3665="",E3665="!!!",F3665="NEW"),"",COUNTBLANK(OFFSET(A$1,,,SUMPRODUCT(MAX(ROW(E$2:E3665)*(E3665=E$2:E3665)))))-COUNTBLANK(OFFSET(A$1,,,SUMPRODUCT(MAX(ROW(E$1:E3664)*(E2=E$1:E3664))))))</f>
        <v> </v>
      </c>
      <c r="K3665" s="26" t="str">
        <f>IF(OR(E3665="",E3665="!!!",F3665="NEW"),"",INDEX(J$1:J3664,SUMPRODUCT(MAX(ROW(E$1:E3664)*(E3665=E$1:E3664)))))</f>
        <v> </v>
      </c>
      <c r="L3665" s="27"/>
    </row>
    <row r="3666" spans="1:12">
      <c r="A3666" s="20" t="s">
        <v>2185</v>
      </c>
      <c r="E3666" s="22">
        <f>IF(D3666="?OLD","!!!","")</f>
        <v/>
      </c>
      <c r="F3666" s="23" t="str">
        <f>IF(OR(E3666="",E3666="!!!"),"",IF(NOT(ISNA(VLOOKUP(E3666,E$1:E3665,1,FALSE()))),"OLD",IF(AND(E3666&lt;&gt;"",E3666&lt;&gt;"!!!"),"NEW","")))</f>
        <v> </v>
      </c>
      <c r="G3666" s="24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5" t="str">
        <f>IF(J3666&lt;&gt;1,"",IF(I3666="SBJ","CB","?"))</f>
        <v> </v>
      </c>
      <c r="I3666" s="26" t="str">
        <f>IF(OR(E3666="",E3666="!!!",F3666="NEW"),"",INDEX(B3665:B$2,-1+SUMPRODUCT(MAX(ROW(E3665:E$2)*(E3666=E3665:E$2)))))</f>
        <v> </v>
      </c>
      <c r="J3666" s="26" t="str">
        <f>IF(OR(E3666="",E3666="!!!",F3666="NEW"),"",COUNTBLANK(OFFSET(A$1,,,SUMPRODUCT(MAX(ROW(E$2:E3666)*(E3666=E$2:E3666)))))-COUNTBLANK(OFFSET(A$1,,,SUMPRODUCT(MAX(ROW(E$1:E3665)*(E2=E$1:E3665))))))</f>
        <v> </v>
      </c>
      <c r="K3666" s="26" t="str">
        <f>IF(OR(E3666="",E3666="!!!",F3666="NEW"),"",INDEX(J$1:J3665,SUMPRODUCT(MAX(ROW(E$1:E3665)*(E3666=E$1:E3665)))))</f>
        <v> </v>
      </c>
      <c r="L3666" s="27"/>
    </row>
    <row r="3667" spans="1:12">
      <c r="A3667" s="20" t="s">
        <v>853</v>
      </c>
      <c r="E3667" s="22">
        <f>IF(D3667="?OLD","!!!","")</f>
        <v/>
      </c>
      <c r="F3667" s="23" t="str">
        <f>IF(OR(E3667="",E3667="!!!"),"",IF(NOT(ISNA(VLOOKUP(E3667,E$1:E3666,1,FALSE()))),"OLD",IF(AND(E3667&lt;&gt;"",E3667&lt;&gt;"!!!"),"NEW","")))</f>
        <v> </v>
      </c>
      <c r="G3667" s="24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5" t="str">
        <f>IF(J3667&lt;&gt;1,"",IF(I3667="SBJ","CB","?"))</f>
        <v> </v>
      </c>
      <c r="I3667" s="26" t="str">
        <f>IF(OR(E3667="",E3667="!!!",F3667="NEW"),"",INDEX(B3666:B$2,-1+SUMPRODUCT(MAX(ROW(E3666:E$2)*(E3667=E3666:E$2)))))</f>
        <v> </v>
      </c>
      <c r="J3667" s="26" t="str">
        <f>IF(OR(E3667="",E3667="!!!",F3667="NEW"),"",COUNTBLANK(OFFSET(A$1,,,SUMPRODUCT(MAX(ROW(E$2:E3667)*(E3667=E$2:E3667)))))-COUNTBLANK(OFFSET(A$1,,,SUMPRODUCT(MAX(ROW(E$1:E3666)*(E2=E$1:E3666))))))</f>
        <v> </v>
      </c>
      <c r="K3667" s="26" t="str">
        <f>IF(OR(E3667="",E3667="!!!",F3667="NEW"),"",INDEX(J$1:J3666,SUMPRODUCT(MAX(ROW(E$1:E3666)*(E3667=E$1:E3666)))))</f>
        <v> </v>
      </c>
      <c r="L3667" s="27"/>
    </row>
    <row r="3668" spans="1:12">
      <c r="A3668" s="20" t="s">
        <v>1222</v>
      </c>
      <c r="E3668" s="22">
        <f>IF(D3668="?OLD","!!!","")</f>
        <v/>
      </c>
      <c r="F3668" s="23" t="str">
        <f>IF(OR(E3668="",E3668="!!!"),"",IF(NOT(ISNA(VLOOKUP(E3668,E$1:E3667,1,FALSE()))),"OLD",IF(AND(E3668&lt;&gt;"",E3668&lt;&gt;"!!!"),"NEW","")))</f>
        <v> </v>
      </c>
      <c r="G3668" s="24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5" t="str">
        <f>IF(J3668&lt;&gt;1,"",IF(I3668="SBJ","CB","?"))</f>
        <v> </v>
      </c>
      <c r="I3668" s="26" t="str">
        <f>IF(OR(E3668="",E3668="!!!",F3668="NEW"),"",INDEX(B3667:B$2,-1+SUMPRODUCT(MAX(ROW(E3667:E$2)*(E3668=E3667:E$2)))))</f>
        <v> </v>
      </c>
      <c r="J3668" s="26" t="str">
        <f>IF(OR(E3668="",E3668="!!!",F3668="NEW"),"",COUNTBLANK(OFFSET(A$1,,,SUMPRODUCT(MAX(ROW(E$2:E3668)*(E3668=E$2:E3668)))))-COUNTBLANK(OFFSET(A$1,,,SUMPRODUCT(MAX(ROW(E$1:E3667)*(E2=E$1:E3667))))))</f>
        <v> </v>
      </c>
      <c r="K3668" s="26" t="str">
        <f>IF(OR(E3668="",E3668="!!!",F3668="NEW"),"",INDEX(J$1:J3667,SUMPRODUCT(MAX(ROW(E$1:E3667)*(E3668=E$1:E3667)))))</f>
        <v> </v>
      </c>
      <c r="L3668" s="27"/>
    </row>
    <row r="3669" spans="1:12">
      <c r="A3669" s="20" t="s">
        <v>2397</v>
      </c>
      <c r="E3669" s="22">
        <f>IF(D3669="?OLD","!!!","")</f>
        <v/>
      </c>
      <c r="F3669" s="23" t="str">
        <f>IF(OR(E3669="",E3669="!!!"),"",IF(NOT(ISNA(VLOOKUP(E3669,E$1:E3668,1,FALSE()))),"OLD",IF(AND(E3669&lt;&gt;"",E3669&lt;&gt;"!!!"),"NEW","")))</f>
        <v> </v>
      </c>
      <c r="G3669" s="24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5" t="str">
        <f>IF(J3669&lt;&gt;1,"",IF(I3669="SBJ","CB","?"))</f>
        <v> </v>
      </c>
      <c r="I3669" s="26" t="str">
        <f>IF(OR(E3669="",E3669="!!!",F3669="NEW"),"",INDEX(B3668:B$2,-1+SUMPRODUCT(MAX(ROW(E3668:E$2)*(E3669=E3668:E$2)))))</f>
        <v> </v>
      </c>
      <c r="J3669" s="26" t="str">
        <f>IF(OR(E3669="",E3669="!!!",F3669="NEW"),"",COUNTBLANK(OFFSET(A$1,,,SUMPRODUCT(MAX(ROW(E$2:E3669)*(E3669=E$2:E3669)))))-COUNTBLANK(OFFSET(A$1,,,SUMPRODUCT(MAX(ROW(E$1:E3668)*(E2=E$1:E3668))))))</f>
        <v> </v>
      </c>
      <c r="K3669" s="26" t="str">
        <f>IF(OR(E3669="",E3669="!!!",F3669="NEW"),"",INDEX(J$1:J3668,SUMPRODUCT(MAX(ROW(E$1:E3668)*(E3669=E$1:E3668)))))</f>
        <v> </v>
      </c>
      <c r="L3669" s="27"/>
    </row>
    <row r="3670" spans="1:12">
      <c r="A3670" s="20" t="s">
        <v>2142</v>
      </c>
      <c r="B3670" s="21" t="s">
        <v>1087</v>
      </c>
      <c r="C3670" s="21" t="s">
        <v>971</v>
      </c>
      <c r="D3670" s="21" t="s">
        <v>972</v>
      </c>
      <c r="E3670" s="22">
        <f>IF(D3670="?OLD","!!!","")</f>
        <v/>
      </c>
      <c r="F3670" s="23" t="str">
        <f>IF(OR(E3670="",E3670="!!!"),"",IF(NOT(ISNA(VLOOKUP(E3670,E$1:E3669,1,FALSE()))),"OLD",IF(AND(E3670&lt;&gt;"",E3670&lt;&gt;"!!!"),"NEW","")))</f>
        <v> </v>
      </c>
      <c r="G3670" s="24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5" t="str">
        <f>IF(J3670&lt;&gt;1,"",IF(I3670="SBJ","CB","?"))</f>
        <v> </v>
      </c>
      <c r="I3670" s="26" t="str">
        <f>IF(OR(E3670="",E3670="!!!",F3670="NEW"),"",INDEX(B3669:B$2,-1+SUMPRODUCT(MAX(ROW(E3669:E$2)*(E3670=E3669:E$2)))))</f>
        <v> </v>
      </c>
      <c r="J3670" s="26" t="str">
        <f>IF(OR(E3670="",E3670="!!!",F3670="NEW"),"",COUNTBLANK(OFFSET(A$1,,,SUMPRODUCT(MAX(ROW(E$2:E3670)*(E3670=E$2:E3670)))))-COUNTBLANK(OFFSET(A$1,,,SUMPRODUCT(MAX(ROW(E$1:E3669)*(E2=E$1:E3669))))))</f>
        <v> </v>
      </c>
      <c r="K3670" s="26" t="str">
        <f>IF(OR(E3670="",E3670="!!!",F3670="NEW"),"",INDEX(J$1:J3669,SUMPRODUCT(MAX(ROW(E$1:E3669)*(E3670=E$1:E3669)))))</f>
        <v> </v>
      </c>
      <c r="L3670" s="27"/>
    </row>
    <row r="3671" spans="1:12">
      <c r="A3671" s="20" t="s">
        <v>1023</v>
      </c>
      <c r="E3671" s="22">
        <f>IF(D3671="?OLD","!!!","")</f>
        <v/>
      </c>
      <c r="F3671" s="23" t="str">
        <f>IF(OR(E3671="",E3671="!!!"),"",IF(NOT(ISNA(VLOOKUP(E3671,E$1:E3670,1,FALSE()))),"OLD",IF(AND(E3671&lt;&gt;"",E3671&lt;&gt;"!!!"),"NEW","")))</f>
        <v> </v>
      </c>
      <c r="G3671" s="24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5" t="str">
        <f>IF(J3671&lt;&gt;1,"",IF(I3671="SBJ","CB","?"))</f>
        <v> </v>
      </c>
      <c r="I3671" s="26" t="str">
        <f>IF(OR(E3671="",E3671="!!!",F3671="NEW"),"",INDEX(B3670:B$2,-1+SUMPRODUCT(MAX(ROW(E3670:E$2)*(E3671=E3670:E$2)))))</f>
        <v> </v>
      </c>
      <c r="J3671" s="26" t="str">
        <f>IF(OR(E3671="",E3671="!!!",F3671="NEW"),"",COUNTBLANK(OFFSET(A$1,,,SUMPRODUCT(MAX(ROW(E$2:E3671)*(E3671=E$2:E3671)))))-COUNTBLANK(OFFSET(A$1,,,SUMPRODUCT(MAX(ROW(E$1:E3670)*(E2=E$1:E3670))))))</f>
        <v> </v>
      </c>
      <c r="K3671" s="26" t="str">
        <f>IF(OR(E3671="",E3671="!!!",F3671="NEW"),"",INDEX(J$1:J3670,SUMPRODUCT(MAX(ROW(E$1:E3670)*(E3671=E$1:E3670)))))</f>
        <v> </v>
      </c>
      <c r="L3671" s="27"/>
    </row>
    <row r="3672" spans="1:12">
      <c r="A3672" s="20" t="s">
        <v>2398</v>
      </c>
      <c r="B3672" s="21" t="s">
        <v>1003</v>
      </c>
      <c r="E3672" s="22">
        <f>IF(D3672="?OLD","!!!","")</f>
        <v/>
      </c>
      <c r="F3672" s="23" t="str">
        <f>IF(OR(E3672="",E3672="!!!"),"",IF(NOT(ISNA(VLOOKUP(E3672,E$1:E3671,1,FALSE()))),"OLD",IF(AND(E3672&lt;&gt;"",E3672&lt;&gt;"!!!"),"NEW","")))</f>
        <v> </v>
      </c>
      <c r="G3672" s="24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5" t="str">
        <f>IF(J3672&lt;&gt;1,"",IF(I3672="SBJ","CB","?"))</f>
        <v> </v>
      </c>
      <c r="I3672" s="26" t="str">
        <f>IF(OR(E3672="",E3672="!!!",F3672="NEW"),"",INDEX(B3671:B$2,-1+SUMPRODUCT(MAX(ROW(E3671:E$2)*(E3672=E3671:E$2)))))</f>
        <v> </v>
      </c>
      <c r="J3672" s="26" t="str">
        <f>IF(OR(E3672="",E3672="!!!",F3672="NEW"),"",COUNTBLANK(OFFSET(A$1,,,SUMPRODUCT(MAX(ROW(E$2:E3672)*(E3672=E$2:E3672)))))-COUNTBLANK(OFFSET(A$1,,,SUMPRODUCT(MAX(ROW(E$1:E3671)*(E2=E$1:E3671))))))</f>
        <v> </v>
      </c>
      <c r="K3672" s="26" t="str">
        <f>IF(OR(E3672="",E3672="!!!",F3672="NEW"),"",INDEX(J$1:J3671,SUMPRODUCT(MAX(ROW(E$1:E3671)*(E3672=E$1:E3671)))))</f>
        <v> </v>
      </c>
      <c r="L3672" s="27"/>
    </row>
    <row r="3673" spans="1:12">
      <c r="A3673" s="20" t="s">
        <v>1247</v>
      </c>
      <c r="B3673" s="21" t="s">
        <v>1003</v>
      </c>
      <c r="C3673" s="21" t="s">
        <v>971</v>
      </c>
      <c r="D3673" s="21" t="s">
        <v>972</v>
      </c>
      <c r="E3673" s="22">
        <f>IF(D3673="?OLD","!!!","")</f>
        <v/>
      </c>
      <c r="F3673" s="23" t="str">
        <f>IF(OR(E3673="",E3673="!!!"),"",IF(NOT(ISNA(VLOOKUP(E3673,E$1:E3672,1,FALSE()))),"OLD",IF(AND(E3673&lt;&gt;"",E3673&lt;&gt;"!!!"),"NEW","")))</f>
        <v> </v>
      </c>
      <c r="G3673" s="24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5" t="str">
        <f>IF(J3673&lt;&gt;1,"",IF(I3673="SBJ","CB","?"))</f>
        <v> </v>
      </c>
      <c r="I3673" s="26" t="str">
        <f>IF(OR(E3673="",E3673="!!!",F3673="NEW"),"",INDEX(B3672:B$2,-1+SUMPRODUCT(MAX(ROW(E3672:E$2)*(E3673=E3672:E$2)))))</f>
        <v> </v>
      </c>
      <c r="J3673" s="26" t="str">
        <f>IF(OR(E3673="",E3673="!!!",F3673="NEW"),"",COUNTBLANK(OFFSET(A$1,,,SUMPRODUCT(MAX(ROW(E$2:E3673)*(E3673=E$2:E3673)))))-COUNTBLANK(OFFSET(A$1,,,SUMPRODUCT(MAX(ROW(E$1:E3672)*(E2=E$1:E3672))))))</f>
        <v> </v>
      </c>
      <c r="K3673" s="26" t="str">
        <f>IF(OR(E3673="",E3673="!!!",F3673="NEW"),"",INDEX(J$1:J3672,SUMPRODUCT(MAX(ROW(E$1:E3672)*(E3673=E$1:E3672)))))</f>
        <v> </v>
      </c>
      <c r="L3673" s="27"/>
    </row>
    <row r="3674" spans="1:12">
      <c r="A3674" s="20" t="s">
        <v>2399</v>
      </c>
      <c r="E3674" s="22">
        <f>IF(D3674="?OLD","!!!","")</f>
        <v/>
      </c>
      <c r="F3674" s="23" t="str">
        <f>IF(OR(E3674="",E3674="!!!"),"",IF(NOT(ISNA(VLOOKUP(E3674,E$1:E3673,1,FALSE()))),"OLD",IF(AND(E3674&lt;&gt;"",E3674&lt;&gt;"!!!"),"NEW","")))</f>
        <v> </v>
      </c>
      <c r="G3674" s="24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5" t="str">
        <f>IF(J3674&lt;&gt;1,"",IF(I3674="SBJ","CB","?"))</f>
        <v> </v>
      </c>
      <c r="I3674" s="26" t="str">
        <f>IF(OR(E3674="",E3674="!!!",F3674="NEW"),"",INDEX(B3673:B$2,-1+SUMPRODUCT(MAX(ROW(E3673:E$2)*(E3674=E3673:E$2)))))</f>
        <v> </v>
      </c>
      <c r="J3674" s="26" t="str">
        <f>IF(OR(E3674="",E3674="!!!",F3674="NEW"),"",COUNTBLANK(OFFSET(A$1,,,SUMPRODUCT(MAX(ROW(E$2:E3674)*(E3674=E$2:E3674)))))-COUNTBLANK(OFFSET(A$1,,,SUMPRODUCT(MAX(ROW(E$1:E3673)*(E2=E$1:E3673))))))</f>
        <v> </v>
      </c>
      <c r="K3674" s="26" t="str">
        <f>IF(OR(E3674="",E3674="!!!",F3674="NEW"),"",INDEX(J$1:J3673,SUMPRODUCT(MAX(ROW(E$1:E3673)*(E3674=E$1:E3673)))))</f>
        <v> </v>
      </c>
      <c r="L3674" s="27"/>
    </row>
    <row r="3675" spans="1:12">
      <c r="A3675" s="20" t="s">
        <v>2400</v>
      </c>
      <c r="E3675" s="22">
        <f>IF(D3675="?OLD","!!!","")</f>
        <v/>
      </c>
      <c r="F3675" s="23" t="str">
        <f>IF(OR(E3675="",E3675="!!!"),"",IF(NOT(ISNA(VLOOKUP(E3675,E$1:E3674,1,FALSE()))),"OLD",IF(AND(E3675&lt;&gt;"",E3675&lt;&gt;"!!!"),"NEW","")))</f>
        <v> </v>
      </c>
      <c r="G3675" s="24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5" t="str">
        <f>IF(J3675&lt;&gt;1,"",IF(I3675="SBJ","CB","?"))</f>
        <v> </v>
      </c>
      <c r="I3675" s="26" t="str">
        <f>IF(OR(E3675="",E3675="!!!",F3675="NEW"),"",INDEX(B3674:B$2,-1+SUMPRODUCT(MAX(ROW(E3674:E$2)*(E3675=E3674:E$2)))))</f>
        <v> </v>
      </c>
      <c r="J3675" s="26" t="str">
        <f>IF(OR(E3675="",E3675="!!!",F3675="NEW"),"",COUNTBLANK(OFFSET(A$1,,,SUMPRODUCT(MAX(ROW(E$2:E3675)*(E3675=E$2:E3675)))))-COUNTBLANK(OFFSET(A$1,,,SUMPRODUCT(MAX(ROW(E$1:E3674)*(E2=E$1:E3674))))))</f>
        <v> </v>
      </c>
      <c r="K3675" s="26" t="str">
        <f>IF(OR(E3675="",E3675="!!!",F3675="NEW"),"",INDEX(J$1:J3674,SUMPRODUCT(MAX(ROW(E$1:E3674)*(E3675=E$1:E3674)))))</f>
        <v> </v>
      </c>
      <c r="L3675" s="27"/>
    </row>
    <row r="3676" spans="1:12">
      <c r="A3676" s="20" t="s">
        <v>979</v>
      </c>
      <c r="E3676" s="22">
        <f>IF(D3676="?OLD","!!!","")</f>
        <v/>
      </c>
      <c r="F3676" s="23" t="str">
        <f>IF(OR(E3676="",E3676="!!!"),"",IF(NOT(ISNA(VLOOKUP(E3676,E$1:E3675,1,FALSE()))),"OLD",IF(AND(E3676&lt;&gt;"",E3676&lt;&gt;"!!!"),"NEW","")))</f>
        <v> </v>
      </c>
      <c r="G3676" s="24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5" t="str">
        <f>IF(J3676&lt;&gt;1,"",IF(I3676="SBJ","CB","?"))</f>
        <v> </v>
      </c>
      <c r="I3676" s="26" t="str">
        <f>IF(OR(E3676="",E3676="!!!",F3676="NEW"),"",INDEX(B3675:B$2,-1+SUMPRODUCT(MAX(ROW(E3675:E$2)*(E3676=E3675:E$2)))))</f>
        <v> </v>
      </c>
      <c r="J3676" s="26" t="str">
        <f>IF(OR(E3676="",E3676="!!!",F3676="NEW"),"",COUNTBLANK(OFFSET(A$1,,,SUMPRODUCT(MAX(ROW(E$2:E3676)*(E3676=E$2:E3676)))))-COUNTBLANK(OFFSET(A$1,,,SUMPRODUCT(MAX(ROW(E$1:E3675)*(E2=E$1:E3675))))))</f>
        <v> </v>
      </c>
      <c r="K3676" s="26" t="str">
        <f>IF(OR(E3676="",E3676="!!!",F3676="NEW"),"",INDEX(J$1:J3675,SUMPRODUCT(MAX(ROW(E$1:E3675)*(E3676=E$1:E3675)))))</f>
        <v> </v>
      </c>
      <c r="L3676" s="27"/>
    </row>
    <row r="3677" spans="1:12">
      <c r="A3677" s="20"/>
    </row>
    <row r="3678" spans="1:12">
      <c r="A3678" s="20" t="s">
        <v>2401</v>
      </c>
    </row>
    <row r="3679" spans="1:12">
      <c r="A3679" s="20" t="s">
        <v>2402</v>
      </c>
      <c r="E3679" s="22">
        <f>IF(D3679="?OLD","!!!","")</f>
        <v/>
      </c>
      <c r="F3679" s="23" t="str">
        <f>IF(OR(E3679="",E3679="!!!"),"",IF(NOT(ISNA(VLOOKUP(E3679,E$1:E3678,1,FALSE()))),"OLD",IF(AND(E3679&lt;&gt;"",E3679&lt;&gt;"!!!"),"NEW","")))</f>
        <v> </v>
      </c>
      <c r="G3679" s="24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5" t="str">
        <f>IF(J3679&lt;&gt;1,"",IF(I3679="SBJ","CB","?"))</f>
        <v> </v>
      </c>
      <c r="I3679" s="26" t="str">
        <f>IF(OR(E3679="",E3679="!!!",F3679="NEW"),"",INDEX(B3678:B$2,-1+SUMPRODUCT(MAX(ROW(E3678:E$2)*(E3679=E3678:E$2)))))</f>
        <v> </v>
      </c>
      <c r="J3679" s="26" t="str">
        <f>IF(OR(E3679="",E3679="!!!",F3679="NEW"),"",COUNTBLANK(OFFSET(A$1,,,SUMPRODUCT(MAX(ROW(E$2:E3679)*(E3679=E$2:E3679)))))-COUNTBLANK(OFFSET(A$1,,,SUMPRODUCT(MAX(ROW(E$1:E3678)*(E2=E$1:E3678))))))</f>
        <v> </v>
      </c>
      <c r="K3679" s="26" t="str">
        <f>IF(OR(E3679="",E3679="!!!",F3679="NEW"),"",INDEX(J$1:J3678,SUMPRODUCT(MAX(ROW(E$1:E3678)*(E3679=E$1:E3678)))))</f>
        <v> </v>
      </c>
      <c r="L3679" s="27"/>
    </row>
    <row r="3680" spans="1:12">
      <c r="A3680" s="20" t="s">
        <v>640</v>
      </c>
      <c r="B3680" s="21" t="s">
        <v>975</v>
      </c>
      <c r="E3680" s="22">
        <f>IF(D3680="?OLD","!!!","")</f>
        <v/>
      </c>
      <c r="F3680" s="23" t="str">
        <f>IF(OR(E3680="",E3680="!!!"),"",IF(NOT(ISNA(VLOOKUP(E3680,E$1:E3679,1,FALSE()))),"OLD",IF(AND(E3680&lt;&gt;"",E3680&lt;&gt;"!!!"),"NEW","")))</f>
        <v> </v>
      </c>
      <c r="G3680" s="24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5" t="str">
        <f>IF(J3680&lt;&gt;1,"",IF(I3680="SBJ","CB","?"))</f>
        <v> </v>
      </c>
      <c r="I3680" s="26" t="str">
        <f>IF(OR(E3680="",E3680="!!!",F3680="NEW"),"",INDEX(B3679:B$2,-1+SUMPRODUCT(MAX(ROW(E3679:E$2)*(E3680=E3679:E$2)))))</f>
        <v> </v>
      </c>
      <c r="J3680" s="26" t="str">
        <f>IF(OR(E3680="",E3680="!!!",F3680="NEW"),"",COUNTBLANK(OFFSET(A$1,,,SUMPRODUCT(MAX(ROW(E$2:E3680)*(E3680=E$2:E3680)))))-COUNTBLANK(OFFSET(A$1,,,SUMPRODUCT(MAX(ROW(E$1:E3679)*(E2=E$1:E3679))))))</f>
        <v> </v>
      </c>
      <c r="K3680" s="26" t="str">
        <f>IF(OR(E3680="",E3680="!!!",F3680="NEW"),"",INDEX(J$1:J3679,SUMPRODUCT(MAX(ROW(E$1:E3679)*(E3680=E$1:E3679)))))</f>
        <v> </v>
      </c>
      <c r="L3680" s="27"/>
    </row>
    <row r="3681" spans="1:12">
      <c r="A3681" s="20" t="s">
        <v>1222</v>
      </c>
      <c r="E3681" s="22">
        <f>IF(D3681="?OLD","!!!","")</f>
        <v/>
      </c>
      <c r="F3681" s="23" t="str">
        <f>IF(OR(E3681="",E3681="!!!"),"",IF(NOT(ISNA(VLOOKUP(E3681,E$1:E3680,1,FALSE()))),"OLD",IF(AND(E3681&lt;&gt;"",E3681&lt;&gt;"!!!"),"NEW","")))</f>
        <v> </v>
      </c>
      <c r="G3681" s="24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5" t="str">
        <f>IF(J3681&lt;&gt;1,"",IF(I3681="SBJ","CB","?"))</f>
        <v> </v>
      </c>
      <c r="I3681" s="26" t="str">
        <f>IF(OR(E3681="",E3681="!!!",F3681="NEW"),"",INDEX(B3680:B$2,-1+SUMPRODUCT(MAX(ROW(E3680:E$2)*(E3681=E3680:E$2)))))</f>
        <v> </v>
      </c>
      <c r="J3681" s="26" t="str">
        <f>IF(OR(E3681="",E3681="!!!",F3681="NEW"),"",COUNTBLANK(OFFSET(A$1,,,SUMPRODUCT(MAX(ROW(E$2:E3681)*(E3681=E$2:E3681)))))-COUNTBLANK(OFFSET(A$1,,,SUMPRODUCT(MAX(ROW(E$1:E3680)*(E2=E$1:E3680))))))</f>
        <v> </v>
      </c>
      <c r="K3681" s="26" t="str">
        <f>IF(OR(E3681="",E3681="!!!",F3681="NEW"),"",INDEX(J$1:J3680,SUMPRODUCT(MAX(ROW(E$1:E3680)*(E3681=E$1:E3680)))))</f>
        <v> </v>
      </c>
      <c r="L3681" s="27"/>
    </row>
    <row r="3682" spans="1:12">
      <c r="A3682" s="20" t="s">
        <v>2403</v>
      </c>
      <c r="E3682" s="22">
        <f>IF(D3682="?OLD","!!!","")</f>
        <v/>
      </c>
      <c r="F3682" s="23" t="str">
        <f>IF(OR(E3682="",E3682="!!!"),"",IF(NOT(ISNA(VLOOKUP(E3682,E$1:E3681,1,FALSE()))),"OLD",IF(AND(E3682&lt;&gt;"",E3682&lt;&gt;"!!!"),"NEW","")))</f>
        <v> </v>
      </c>
      <c r="G3682" s="24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5" t="str">
        <f>IF(J3682&lt;&gt;1,"",IF(I3682="SBJ","CB","?"))</f>
        <v> </v>
      </c>
      <c r="I3682" s="26" t="str">
        <f>IF(OR(E3682="",E3682="!!!",F3682="NEW"),"",INDEX(B3681:B$2,-1+SUMPRODUCT(MAX(ROW(E3681:E$2)*(E3682=E3681:E$2)))))</f>
        <v> </v>
      </c>
      <c r="J3682" s="26" t="str">
        <f>IF(OR(E3682="",E3682="!!!",F3682="NEW"),"",COUNTBLANK(OFFSET(A$1,,,SUMPRODUCT(MAX(ROW(E$2:E3682)*(E3682=E$2:E3682)))))-COUNTBLANK(OFFSET(A$1,,,SUMPRODUCT(MAX(ROW(E$1:E3681)*(E2=E$1:E3681))))))</f>
        <v> </v>
      </c>
      <c r="K3682" s="26" t="str">
        <f>IF(OR(E3682="",E3682="!!!",F3682="NEW"),"",INDEX(J$1:J3681,SUMPRODUCT(MAX(ROW(E$1:E3681)*(E3682=E$1:E3681)))))</f>
        <v> </v>
      </c>
      <c r="L3682" s="27"/>
    </row>
    <row r="3683" spans="1:12">
      <c r="A3683" s="20" t="s">
        <v>2404</v>
      </c>
      <c r="E3683" s="22">
        <f>IF(D3683="?OLD","!!!","")</f>
        <v/>
      </c>
      <c r="F3683" s="23" t="str">
        <f>IF(OR(E3683="",E3683="!!!"),"",IF(NOT(ISNA(VLOOKUP(E3683,E$1:E3682,1,FALSE()))),"OLD",IF(AND(E3683&lt;&gt;"",E3683&lt;&gt;"!!!"),"NEW","")))</f>
        <v> </v>
      </c>
      <c r="G3683" s="24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5" t="str">
        <f>IF(J3683&lt;&gt;1,"",IF(I3683="SBJ","CB","?"))</f>
        <v> </v>
      </c>
      <c r="I3683" s="26" t="str">
        <f>IF(OR(E3683="",E3683="!!!",F3683="NEW"),"",INDEX(B3682:B$2,-1+SUMPRODUCT(MAX(ROW(E3682:E$2)*(E3683=E3682:E$2)))))</f>
        <v> </v>
      </c>
      <c r="J3683" s="26" t="str">
        <f>IF(OR(E3683="",E3683="!!!",F3683="NEW"),"",COUNTBLANK(OFFSET(A$1,,,SUMPRODUCT(MAX(ROW(E$2:E3683)*(E3683=E$2:E3683)))))-COUNTBLANK(OFFSET(A$1,,,SUMPRODUCT(MAX(ROW(E$1:E3682)*(E2=E$1:E3682))))))</f>
        <v> </v>
      </c>
      <c r="K3683" s="26" t="str">
        <f>IF(OR(E3683="",E3683="!!!",F3683="NEW"),"",INDEX(J$1:J3682,SUMPRODUCT(MAX(ROW(E$1:E3682)*(E3683=E$1:E3682)))))</f>
        <v> </v>
      </c>
      <c r="L3683" s="27"/>
    </row>
    <row r="3684" spans="1:12">
      <c r="A3684" s="20" t="s">
        <v>1162</v>
      </c>
      <c r="E3684" s="22">
        <f>IF(D3684="?OLD","!!!","")</f>
        <v/>
      </c>
      <c r="F3684" s="23" t="str">
        <f>IF(OR(E3684="",E3684="!!!"),"",IF(NOT(ISNA(VLOOKUP(E3684,E$1:E3683,1,FALSE()))),"OLD",IF(AND(E3684&lt;&gt;"",E3684&lt;&gt;"!!!"),"NEW","")))</f>
        <v> </v>
      </c>
      <c r="G3684" s="24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5" t="str">
        <f>IF(J3684&lt;&gt;1,"",IF(I3684="SBJ","CB","?"))</f>
        <v> </v>
      </c>
      <c r="I3684" s="26" t="str">
        <f>IF(OR(E3684="",E3684="!!!",F3684="NEW"),"",INDEX(B3683:B$2,-1+SUMPRODUCT(MAX(ROW(E3683:E$2)*(E3684=E3683:E$2)))))</f>
        <v> </v>
      </c>
      <c r="J3684" s="26" t="str">
        <f>IF(OR(E3684="",E3684="!!!",F3684="NEW"),"",COUNTBLANK(OFFSET(A$1,,,SUMPRODUCT(MAX(ROW(E$2:E3684)*(E3684=E$2:E3684)))))-COUNTBLANK(OFFSET(A$1,,,SUMPRODUCT(MAX(ROW(E$1:E3683)*(E2=E$1:E3683))))))</f>
        <v> </v>
      </c>
      <c r="K3684" s="26" t="str">
        <f>IF(OR(E3684="",E3684="!!!",F3684="NEW"),"",INDEX(J$1:J3683,SUMPRODUCT(MAX(ROW(E$1:E3683)*(E3684=E$1:E3683)))))</f>
        <v> </v>
      </c>
      <c r="L3684" s="27"/>
    </row>
    <row r="3685" spans="1:12">
      <c r="A3685" s="20" t="s">
        <v>2405</v>
      </c>
      <c r="E3685" s="22">
        <f>IF(D3685="?OLD","!!!","")</f>
        <v/>
      </c>
      <c r="F3685" s="23" t="str">
        <f>IF(OR(E3685="",E3685="!!!"),"",IF(NOT(ISNA(VLOOKUP(E3685,E$1:E3684,1,FALSE()))),"OLD",IF(AND(E3685&lt;&gt;"",E3685&lt;&gt;"!!!"),"NEW","")))</f>
        <v> </v>
      </c>
      <c r="G3685" s="24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5" t="str">
        <f>IF(J3685&lt;&gt;1,"",IF(I3685="SBJ","CB","?"))</f>
        <v> </v>
      </c>
      <c r="I3685" s="26" t="str">
        <f>IF(OR(E3685="",E3685="!!!",F3685="NEW"),"",INDEX(B3684:B$2,-1+SUMPRODUCT(MAX(ROW(E3684:E$2)*(E3685=E3684:E$2)))))</f>
        <v> </v>
      </c>
      <c r="J3685" s="26" t="str">
        <f>IF(OR(E3685="",E3685="!!!",F3685="NEW"),"",COUNTBLANK(OFFSET(A$1,,,SUMPRODUCT(MAX(ROW(E$2:E3685)*(E3685=E$2:E3685)))))-COUNTBLANK(OFFSET(A$1,,,SUMPRODUCT(MAX(ROW(E$1:E3684)*(E2=E$1:E3684))))))</f>
        <v> </v>
      </c>
      <c r="K3685" s="26" t="str">
        <f>IF(OR(E3685="",E3685="!!!",F3685="NEW"),"",INDEX(J$1:J3684,SUMPRODUCT(MAX(ROW(E$1:E3684)*(E3685=E$1:E3684)))))</f>
        <v> </v>
      </c>
      <c r="L3685" s="27"/>
    </row>
    <row r="3686" spans="1:12">
      <c r="A3686" s="20" t="s">
        <v>853</v>
      </c>
      <c r="E3686" s="22">
        <f>IF(D3686="?OLD","!!!","")</f>
        <v/>
      </c>
      <c r="F3686" s="23" t="str">
        <f>IF(OR(E3686="",E3686="!!!"),"",IF(NOT(ISNA(VLOOKUP(E3686,E$1:E3685,1,FALSE()))),"OLD",IF(AND(E3686&lt;&gt;"",E3686&lt;&gt;"!!!"),"NEW","")))</f>
        <v> </v>
      </c>
      <c r="G3686" s="24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5" t="str">
        <f>IF(J3686&lt;&gt;1,"",IF(I3686="SBJ","CB","?"))</f>
        <v> </v>
      </c>
      <c r="I3686" s="26" t="str">
        <f>IF(OR(E3686="",E3686="!!!",F3686="NEW"),"",INDEX(B3685:B$2,-1+SUMPRODUCT(MAX(ROW(E3685:E$2)*(E3686=E3685:E$2)))))</f>
        <v> </v>
      </c>
      <c r="J3686" s="26" t="str">
        <f>IF(OR(E3686="",E3686="!!!",F3686="NEW"),"",COUNTBLANK(OFFSET(A$1,,,SUMPRODUCT(MAX(ROW(E$2:E3686)*(E3686=E$2:E3686)))))-COUNTBLANK(OFFSET(A$1,,,SUMPRODUCT(MAX(ROW(E$1:E3685)*(E2=E$1:E3685))))))</f>
        <v> </v>
      </c>
      <c r="K3686" s="26" t="str">
        <f>IF(OR(E3686="",E3686="!!!",F3686="NEW"),"",INDEX(J$1:J3685,SUMPRODUCT(MAX(ROW(E$1:E3685)*(E3686=E$1:E3685)))))</f>
        <v> </v>
      </c>
      <c r="L3686" s="27"/>
    </row>
    <row r="3687" spans="1:12">
      <c r="A3687" s="20" t="s">
        <v>979</v>
      </c>
      <c r="E3687" s="22">
        <f>IF(D3687="?OLD","!!!","")</f>
        <v/>
      </c>
      <c r="F3687" s="23" t="str">
        <f>IF(OR(E3687="",E3687="!!!"),"",IF(NOT(ISNA(VLOOKUP(E3687,E$1:E3686,1,FALSE()))),"OLD",IF(AND(E3687&lt;&gt;"",E3687&lt;&gt;"!!!"),"NEW","")))</f>
        <v> </v>
      </c>
      <c r="G3687" s="24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5" t="str">
        <f>IF(J3687&lt;&gt;1,"",IF(I3687="SBJ","CB","?"))</f>
        <v> </v>
      </c>
      <c r="I3687" s="26" t="str">
        <f>IF(OR(E3687="",E3687="!!!",F3687="NEW"),"",INDEX(B3686:B$2,-1+SUMPRODUCT(MAX(ROW(E3686:E$2)*(E3687=E3686:E$2)))))</f>
        <v> </v>
      </c>
      <c r="J3687" s="26" t="str">
        <f>IF(OR(E3687="",E3687="!!!",F3687="NEW"),"",COUNTBLANK(OFFSET(A$1,,,SUMPRODUCT(MAX(ROW(E$2:E3687)*(E3687=E$2:E3687)))))-COUNTBLANK(OFFSET(A$1,,,SUMPRODUCT(MAX(ROW(E$1:E3686)*(E2=E$1:E3686))))))</f>
        <v> </v>
      </c>
      <c r="K3687" s="26" t="str">
        <f>IF(OR(E3687="",E3687="!!!",F3687="NEW"),"",INDEX(J$1:J3686,SUMPRODUCT(MAX(ROW(E$1:E3686)*(E3687=E$1:E3686)))))</f>
        <v> </v>
      </c>
      <c r="L3687" s="27"/>
    </row>
    <row r="3688" spans="1:12">
      <c r="A3688" s="20"/>
    </row>
    <row r="3689" spans="1:12">
      <c r="A3689" s="20" t="s">
        <v>2406</v>
      </c>
    </row>
    <row r="3690" spans="1:12">
      <c r="A3690" s="20" t="s">
        <v>2407</v>
      </c>
      <c r="E3690" s="22">
        <f>IF(D3690="?OLD","!!!","")</f>
        <v/>
      </c>
      <c r="F3690" s="23" t="str">
        <f>IF(OR(E3690="",E3690="!!!"),"",IF(NOT(ISNA(VLOOKUP(E3690,E$1:E3689,1,FALSE()))),"OLD",IF(AND(E3690&lt;&gt;"",E3690&lt;&gt;"!!!"),"NEW","")))</f>
        <v> </v>
      </c>
      <c r="G3690" s="24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5" t="str">
        <f>IF(J3690&lt;&gt;1,"",IF(I3690="SBJ","CB","?"))</f>
        <v> </v>
      </c>
      <c r="I3690" s="26" t="str">
        <f>IF(OR(E3690="",E3690="!!!",F3690="NEW"),"",INDEX(B3689:B$2,-1+SUMPRODUCT(MAX(ROW(E3689:E$2)*(E3690=E3689:E$2)))))</f>
        <v> </v>
      </c>
      <c r="J3690" s="26" t="str">
        <f>IF(OR(E3690="",E3690="!!!",F3690="NEW"),"",COUNTBLANK(OFFSET(A$1,,,SUMPRODUCT(MAX(ROW(E$2:E3690)*(E3690=E$2:E3690)))))-COUNTBLANK(OFFSET(A$1,,,SUMPRODUCT(MAX(ROW(E$1:E3689)*(E2=E$1:E3689))))))</f>
        <v> </v>
      </c>
      <c r="K3690" s="26" t="str">
        <f>IF(OR(E3690="",E3690="!!!",F3690="NEW"),"",INDEX(J$1:J3689,SUMPRODUCT(MAX(ROW(E$1:E3689)*(E3690=E$1:E3689)))))</f>
        <v> </v>
      </c>
      <c r="L3690" s="27"/>
    </row>
    <row r="3691" spans="1:12">
      <c r="A3691" s="20" t="s">
        <v>1381</v>
      </c>
      <c r="B3691" s="21" t="s">
        <v>970</v>
      </c>
      <c r="E3691" s="22">
        <f>IF(D3691="?OLD","!!!","")</f>
        <v/>
      </c>
      <c r="F3691" s="23" t="str">
        <f>IF(OR(E3691="",E3691="!!!"),"",IF(NOT(ISNA(VLOOKUP(E3691,E$1:E3690,1,FALSE()))),"OLD",IF(AND(E3691&lt;&gt;"",E3691&lt;&gt;"!!!"),"NEW","")))</f>
        <v> </v>
      </c>
      <c r="G3691" s="24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5" t="str">
        <f>IF(J3691&lt;&gt;1,"",IF(I3691="SBJ","CB","?"))</f>
        <v> </v>
      </c>
      <c r="I3691" s="26" t="str">
        <f>IF(OR(E3691="",E3691="!!!",F3691="NEW"),"",INDEX(B3690:B$2,-1+SUMPRODUCT(MAX(ROW(E3690:E$2)*(E3691=E3690:E$2)))))</f>
        <v> </v>
      </c>
      <c r="J3691" s="26" t="str">
        <f>IF(OR(E3691="",E3691="!!!",F3691="NEW"),"",COUNTBLANK(OFFSET(A$1,,,SUMPRODUCT(MAX(ROW(E$2:E3691)*(E3691=E$2:E3691)))))-COUNTBLANK(OFFSET(A$1,,,SUMPRODUCT(MAX(ROW(E$1:E3690)*(E2=E$1:E3690))))))</f>
        <v> </v>
      </c>
      <c r="K3691" s="26" t="str">
        <f>IF(OR(E3691="",E3691="!!!",F3691="NEW"),"",INDEX(J$1:J3690,SUMPRODUCT(MAX(ROW(E$1:E3690)*(E3691=E$1:E3690)))))</f>
        <v> </v>
      </c>
      <c r="L3691" s="27"/>
    </row>
    <row r="3692" spans="1:12">
      <c r="A3692" s="20" t="s">
        <v>1013</v>
      </c>
      <c r="E3692" s="22">
        <f>IF(D3692="?OLD","!!!","")</f>
        <v/>
      </c>
      <c r="F3692" s="23" t="str">
        <f>IF(OR(E3692="",E3692="!!!"),"",IF(NOT(ISNA(VLOOKUP(E3692,E$1:E3691,1,FALSE()))),"OLD",IF(AND(E3692&lt;&gt;"",E3692&lt;&gt;"!!!"),"NEW","")))</f>
        <v> </v>
      </c>
      <c r="G3692" s="24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5" t="str">
        <f>IF(J3692&lt;&gt;1,"",IF(I3692="SBJ","CB","?"))</f>
        <v> </v>
      </c>
      <c r="I3692" s="26" t="str">
        <f>IF(OR(E3692="",E3692="!!!",F3692="NEW"),"",INDEX(B3691:B$2,-1+SUMPRODUCT(MAX(ROW(E3691:E$2)*(E3692=E3691:E$2)))))</f>
        <v> </v>
      </c>
      <c r="J3692" s="26" t="str">
        <f>IF(OR(E3692="",E3692="!!!",F3692="NEW"),"",COUNTBLANK(OFFSET(A$1,,,SUMPRODUCT(MAX(ROW(E$2:E3692)*(E3692=E$2:E3692)))))-COUNTBLANK(OFFSET(A$1,,,SUMPRODUCT(MAX(ROW(E$1:E3691)*(E2=E$1:E3691))))))</f>
        <v> </v>
      </c>
      <c r="K3692" s="26" t="str">
        <f>IF(OR(E3692="",E3692="!!!",F3692="NEW"),"",INDEX(J$1:J3691,SUMPRODUCT(MAX(ROW(E$1:E3691)*(E3692=E$1:E3691)))))</f>
        <v> </v>
      </c>
      <c r="L3692" s="27"/>
    </row>
    <row r="3693" spans="1:12">
      <c r="A3693" s="20" t="s">
        <v>1053</v>
      </c>
      <c r="E3693" s="22">
        <f>IF(D3693="?OLD","!!!","")</f>
        <v/>
      </c>
      <c r="F3693" s="23" t="str">
        <f>IF(OR(E3693="",E3693="!!!"),"",IF(NOT(ISNA(VLOOKUP(E3693,E$1:E3692,1,FALSE()))),"OLD",IF(AND(E3693&lt;&gt;"",E3693&lt;&gt;"!!!"),"NEW","")))</f>
        <v> </v>
      </c>
      <c r="G3693" s="24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5" t="str">
        <f>IF(J3693&lt;&gt;1,"",IF(I3693="SBJ","CB","?"))</f>
        <v> </v>
      </c>
      <c r="I3693" s="26" t="str">
        <f>IF(OR(E3693="",E3693="!!!",F3693="NEW"),"",INDEX(B3692:B$2,-1+SUMPRODUCT(MAX(ROW(E3692:E$2)*(E3693=E3692:E$2)))))</f>
        <v> </v>
      </c>
      <c r="J3693" s="26" t="str">
        <f>IF(OR(E3693="",E3693="!!!",F3693="NEW"),"",COUNTBLANK(OFFSET(A$1,,,SUMPRODUCT(MAX(ROW(E$2:E3693)*(E3693=E$2:E3693)))))-COUNTBLANK(OFFSET(A$1,,,SUMPRODUCT(MAX(ROW(E$1:E3692)*(E2=E$1:E3692))))))</f>
        <v> </v>
      </c>
      <c r="K3693" s="26" t="str">
        <f>IF(OR(E3693="",E3693="!!!",F3693="NEW"),"",INDEX(J$1:J3692,SUMPRODUCT(MAX(ROW(E$1:E3692)*(E3693=E$1:E3692)))))</f>
        <v> </v>
      </c>
      <c r="L3693" s="27"/>
    </row>
    <row r="3694" spans="1:12">
      <c r="A3694" s="20" t="s">
        <v>2408</v>
      </c>
      <c r="E3694" s="22">
        <f>IF(D3694="?OLD","!!!","")</f>
        <v/>
      </c>
      <c r="F3694" s="23" t="str">
        <f>IF(OR(E3694="",E3694="!!!"),"",IF(NOT(ISNA(VLOOKUP(E3694,E$1:E3693,1,FALSE()))),"OLD",IF(AND(E3694&lt;&gt;"",E3694&lt;&gt;"!!!"),"NEW","")))</f>
        <v> </v>
      </c>
      <c r="G3694" s="24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5" t="str">
        <f>IF(J3694&lt;&gt;1,"",IF(I3694="SBJ","CB","?"))</f>
        <v> </v>
      </c>
      <c r="I3694" s="26" t="str">
        <f>IF(OR(E3694="",E3694="!!!",F3694="NEW"),"",INDEX(B3693:B$2,-1+SUMPRODUCT(MAX(ROW(E3693:E$2)*(E3694=E3693:E$2)))))</f>
        <v> </v>
      </c>
      <c r="J3694" s="26" t="str">
        <f>IF(OR(E3694="",E3694="!!!",F3694="NEW"),"",COUNTBLANK(OFFSET(A$1,,,SUMPRODUCT(MAX(ROW(E$2:E3694)*(E3694=E$2:E3694)))))-COUNTBLANK(OFFSET(A$1,,,SUMPRODUCT(MAX(ROW(E$1:E3693)*(E2=E$1:E3693))))))</f>
        <v> </v>
      </c>
      <c r="K3694" s="26" t="str">
        <f>IF(OR(E3694="",E3694="!!!",F3694="NEW"),"",INDEX(J$1:J3693,SUMPRODUCT(MAX(ROW(E$1:E3693)*(E3694=E$1:E3693)))))</f>
        <v> </v>
      </c>
      <c r="L3694" s="27"/>
    </row>
    <row r="3695" spans="1:12">
      <c r="A3695" s="20" t="s">
        <v>1013</v>
      </c>
      <c r="E3695" s="22">
        <f>IF(D3695="?OLD","!!!","")</f>
        <v/>
      </c>
      <c r="F3695" s="23" t="str">
        <f>IF(OR(E3695="",E3695="!!!"),"",IF(NOT(ISNA(VLOOKUP(E3695,E$1:E3694,1,FALSE()))),"OLD",IF(AND(E3695&lt;&gt;"",E3695&lt;&gt;"!!!"),"NEW","")))</f>
        <v> </v>
      </c>
      <c r="G3695" s="24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5" t="str">
        <f>IF(J3695&lt;&gt;1,"",IF(I3695="SBJ","CB","?"))</f>
        <v> </v>
      </c>
      <c r="I3695" s="26" t="str">
        <f>IF(OR(E3695="",E3695="!!!",F3695="NEW"),"",INDEX(B3694:B$2,-1+SUMPRODUCT(MAX(ROW(E3694:E$2)*(E3695=E3694:E$2)))))</f>
        <v> </v>
      </c>
      <c r="J3695" s="26" t="str">
        <f>IF(OR(E3695="",E3695="!!!",F3695="NEW"),"",COUNTBLANK(OFFSET(A$1,,,SUMPRODUCT(MAX(ROW(E$2:E3695)*(E3695=E$2:E3695)))))-COUNTBLANK(OFFSET(A$1,,,SUMPRODUCT(MAX(ROW(E$1:E3694)*(E2=E$1:E3694))))))</f>
        <v> </v>
      </c>
      <c r="K3695" s="26" t="str">
        <f>IF(OR(E3695="",E3695="!!!",F3695="NEW"),"",INDEX(J$1:J3694,SUMPRODUCT(MAX(ROW(E$1:E3694)*(E3695=E$1:E3694)))))</f>
        <v> </v>
      </c>
      <c r="L3695" s="27"/>
    </row>
    <row r="3696" spans="1:12">
      <c r="A3696" s="20" t="s">
        <v>1014</v>
      </c>
      <c r="E3696" s="22">
        <f>IF(D3696="?OLD","!!!","")</f>
        <v/>
      </c>
      <c r="F3696" s="23" t="str">
        <f>IF(OR(E3696="",E3696="!!!"),"",IF(NOT(ISNA(VLOOKUP(E3696,E$1:E3695,1,FALSE()))),"OLD",IF(AND(E3696&lt;&gt;"",E3696&lt;&gt;"!!!"),"NEW","")))</f>
        <v> </v>
      </c>
      <c r="G3696" s="24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5" t="str">
        <f>IF(J3696&lt;&gt;1,"",IF(I3696="SBJ","CB","?"))</f>
        <v> </v>
      </c>
      <c r="I3696" s="26" t="str">
        <f>IF(OR(E3696="",E3696="!!!",F3696="NEW"),"",INDEX(B3695:B$2,-1+SUMPRODUCT(MAX(ROW(E3695:E$2)*(E3696=E3695:E$2)))))</f>
        <v> </v>
      </c>
      <c r="J3696" s="26" t="str">
        <f>IF(OR(E3696="",E3696="!!!",F3696="NEW"),"",COUNTBLANK(OFFSET(A$1,,,SUMPRODUCT(MAX(ROW(E$2:E3696)*(E3696=E$2:E3696)))))-COUNTBLANK(OFFSET(A$1,,,SUMPRODUCT(MAX(ROW(E$1:E3695)*(E2=E$1:E3695))))))</f>
        <v> </v>
      </c>
      <c r="K3696" s="26" t="str">
        <f>IF(OR(E3696="",E3696="!!!",F3696="NEW"),"",INDEX(J$1:J3695,SUMPRODUCT(MAX(ROW(E$1:E3695)*(E3696=E$1:E3695)))))</f>
        <v> </v>
      </c>
      <c r="L3696" s="27"/>
    </row>
    <row r="3697" spans="1:12">
      <c r="A3697" s="20" t="s">
        <v>1471</v>
      </c>
      <c r="E3697" s="22">
        <f>IF(D3697="?OLD","!!!","")</f>
        <v/>
      </c>
      <c r="F3697" s="23" t="str">
        <f>IF(OR(E3697="",E3697="!!!"),"",IF(NOT(ISNA(VLOOKUP(E3697,E$1:E3696,1,FALSE()))),"OLD",IF(AND(E3697&lt;&gt;"",E3697&lt;&gt;"!!!"),"NEW","")))</f>
        <v> </v>
      </c>
      <c r="G3697" s="24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5" t="str">
        <f>IF(J3697&lt;&gt;1,"",IF(I3697="SBJ","CB","?"))</f>
        <v> </v>
      </c>
      <c r="I3697" s="26" t="str">
        <f>IF(OR(E3697="",E3697="!!!",F3697="NEW"),"",INDEX(B3696:B$2,-1+SUMPRODUCT(MAX(ROW(E3696:E$2)*(E3697=E3696:E$2)))))</f>
        <v> </v>
      </c>
      <c r="J3697" s="26" t="str">
        <f>IF(OR(E3697="",E3697="!!!",F3697="NEW"),"",COUNTBLANK(OFFSET(A$1,,,SUMPRODUCT(MAX(ROW(E$2:E3697)*(E3697=E$2:E3697)))))-COUNTBLANK(OFFSET(A$1,,,SUMPRODUCT(MAX(ROW(E$1:E3696)*(E2=E$1:E3696))))))</f>
        <v> </v>
      </c>
      <c r="K3697" s="26" t="str">
        <f>IF(OR(E3697="",E3697="!!!",F3697="NEW"),"",INDEX(J$1:J3696,SUMPRODUCT(MAX(ROW(E$1:E3696)*(E3697=E$1:E3696)))))</f>
        <v> </v>
      </c>
      <c r="L3697" s="27"/>
    </row>
    <row r="3698" spans="1:12">
      <c r="A3698" s="20" t="s">
        <v>145</v>
      </c>
      <c r="B3698" s="21" t="s">
        <v>1093</v>
      </c>
      <c r="C3698" s="21" t="s">
        <v>971</v>
      </c>
      <c r="D3698" s="21" t="s">
        <v>972</v>
      </c>
      <c r="E3698" s="22">
        <f>IF(D3698="?OLD","!!!","")</f>
        <v/>
      </c>
      <c r="F3698" s="23" t="str">
        <f>IF(OR(E3698="",E3698="!!!"),"",IF(NOT(ISNA(VLOOKUP(E3698,E$1:E3697,1,FALSE()))),"OLD",IF(AND(E3698&lt;&gt;"",E3698&lt;&gt;"!!!"),"NEW","")))</f>
        <v> </v>
      </c>
      <c r="G3698" s="24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5" t="str">
        <f>IF(J3698&lt;&gt;1,"",IF(I3698="SBJ","CB","?"))</f>
        <v> </v>
      </c>
      <c r="I3698" s="26" t="str">
        <f>IF(OR(E3698="",E3698="!!!",F3698="NEW"),"",INDEX(B3697:B$2,-1+SUMPRODUCT(MAX(ROW(E3697:E$2)*(E3698=E3697:E$2)))))</f>
        <v> </v>
      </c>
      <c r="J3698" s="26" t="str">
        <f>IF(OR(E3698="",E3698="!!!",F3698="NEW"),"",COUNTBLANK(OFFSET(A$1,,,SUMPRODUCT(MAX(ROW(E$2:E3698)*(E3698=E$2:E3698)))))-COUNTBLANK(OFFSET(A$1,,,SUMPRODUCT(MAX(ROW(E$1:E3697)*(E2=E$1:E3697))))))</f>
        <v> </v>
      </c>
      <c r="K3698" s="26" t="str">
        <f>IF(OR(E3698="",E3698="!!!",F3698="NEW"),"",INDEX(J$1:J3697,SUMPRODUCT(MAX(ROW(E$1:E3697)*(E3698=E$1:E3697)))))</f>
        <v> </v>
      </c>
      <c r="L3698" s="27"/>
    </row>
    <row r="3699" spans="1:12">
      <c r="A3699" s="20" t="s">
        <v>2409</v>
      </c>
      <c r="E3699" s="22">
        <f>IF(D3699="?OLD","!!!","")</f>
        <v/>
      </c>
      <c r="F3699" s="23" t="str">
        <f>IF(OR(E3699="",E3699="!!!"),"",IF(NOT(ISNA(VLOOKUP(E3699,E$1:E3698,1,FALSE()))),"OLD",IF(AND(E3699&lt;&gt;"",E3699&lt;&gt;"!!!"),"NEW","")))</f>
        <v> </v>
      </c>
      <c r="G3699" s="24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5" t="str">
        <f>IF(J3699&lt;&gt;1,"",IF(I3699="SBJ","CB","?"))</f>
        <v> </v>
      </c>
      <c r="I3699" s="26" t="str">
        <f>IF(OR(E3699="",E3699="!!!",F3699="NEW"),"",INDEX(B3698:B$2,-1+SUMPRODUCT(MAX(ROW(E3698:E$2)*(E3699=E3698:E$2)))))</f>
        <v> </v>
      </c>
      <c r="J3699" s="26" t="str">
        <f>IF(OR(E3699="",E3699="!!!",F3699="NEW"),"",COUNTBLANK(OFFSET(A$1,,,SUMPRODUCT(MAX(ROW(E$2:E3699)*(E3699=E$2:E3699)))))-COUNTBLANK(OFFSET(A$1,,,SUMPRODUCT(MAX(ROW(E$1:E3698)*(E2=E$1:E3698))))))</f>
        <v> </v>
      </c>
      <c r="K3699" s="26" t="str">
        <f>IF(OR(E3699="",E3699="!!!",F3699="NEW"),"",INDEX(J$1:J3698,SUMPRODUCT(MAX(ROW(E$1:E3698)*(E3699=E$1:E3698)))))</f>
        <v> </v>
      </c>
      <c r="L3699" s="27"/>
    </row>
    <row r="3700" spans="1:12">
      <c r="A3700" s="20" t="s">
        <v>979</v>
      </c>
      <c r="E3700" s="22">
        <f>IF(D3700="?OLD","!!!","")</f>
        <v/>
      </c>
      <c r="F3700" s="23" t="str">
        <f>IF(OR(E3700="",E3700="!!!"),"",IF(NOT(ISNA(VLOOKUP(E3700,E$1:E3699,1,FALSE()))),"OLD",IF(AND(E3700&lt;&gt;"",E3700&lt;&gt;"!!!"),"NEW","")))</f>
        <v> </v>
      </c>
      <c r="G3700" s="24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5" t="str">
        <f>IF(J3700&lt;&gt;1,"",IF(I3700="SBJ","CB","?"))</f>
        <v> </v>
      </c>
      <c r="I3700" s="26" t="str">
        <f>IF(OR(E3700="",E3700="!!!",F3700="NEW"),"",INDEX(B3699:B$2,-1+SUMPRODUCT(MAX(ROW(E3699:E$2)*(E3700=E3699:E$2)))))</f>
        <v> </v>
      </c>
      <c r="J3700" s="26" t="str">
        <f>IF(OR(E3700="",E3700="!!!",F3700="NEW"),"",COUNTBLANK(OFFSET(A$1,,,SUMPRODUCT(MAX(ROW(E$2:E3700)*(E3700=E$2:E3700)))))-COUNTBLANK(OFFSET(A$1,,,SUMPRODUCT(MAX(ROW(E$1:E3699)*(E2=E$1:E3699))))))</f>
        <v> </v>
      </c>
      <c r="K3700" s="26" t="str">
        <f>IF(OR(E3700="",E3700="!!!",F3700="NEW"),"",INDEX(J$1:J3699,SUMPRODUCT(MAX(ROW(E$1:E3699)*(E3700=E$1:E3699)))))</f>
        <v> </v>
      </c>
      <c r="L3700" s="27"/>
    </row>
    <row r="3701" spans="1:12">
      <c r="A3701" s="20"/>
    </row>
    <row r="3702" spans="1:12">
      <c r="A3702" s="20" t="s">
        <v>2410</v>
      </c>
    </row>
    <row r="3703" spans="1:12">
      <c r="A3703" s="20" t="s">
        <v>2411</v>
      </c>
      <c r="B3703" s="21" t="s">
        <v>975</v>
      </c>
      <c r="E3703" s="22">
        <f>IF(D3703="?OLD","!!!","")</f>
        <v/>
      </c>
      <c r="F3703" s="23" t="str">
        <f>IF(OR(E3703="",E3703="!!!"),"",IF(NOT(ISNA(VLOOKUP(E3703,E$1:E3702,1,FALSE()))),"OLD",IF(AND(E3703&lt;&gt;"",E3703&lt;&gt;"!!!"),"NEW","")))</f>
        <v> </v>
      </c>
      <c r="G3703" s="24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5" t="str">
        <f>IF(J3703&lt;&gt;1,"",IF(I3703="SBJ","CB","?"))</f>
        <v> </v>
      </c>
      <c r="I3703" s="26" t="str">
        <f>IF(OR(E3703="",E3703="!!!",F3703="NEW"),"",INDEX(B3702:B$2,-1+SUMPRODUCT(MAX(ROW(E3702:E$2)*(E3703=E3702:E$2)))))</f>
        <v> </v>
      </c>
      <c r="J3703" s="26" t="str">
        <f>IF(OR(E3703="",E3703="!!!",F3703="NEW"),"",COUNTBLANK(OFFSET(A$1,,,SUMPRODUCT(MAX(ROW(E$2:E3703)*(E3703=E$2:E3703)))))-COUNTBLANK(OFFSET(A$1,,,SUMPRODUCT(MAX(ROW(E$1:E3702)*(E2=E$1:E3702))))))</f>
        <v> </v>
      </c>
      <c r="K3703" s="26" t="str">
        <f>IF(OR(E3703="",E3703="!!!",F3703="NEW"),"",INDEX(J$1:J3702,SUMPRODUCT(MAX(ROW(E$1:E3702)*(E3703=E$1:E3702)))))</f>
        <v> </v>
      </c>
      <c r="L3703" s="27"/>
    </row>
    <row r="3704" spans="1:12">
      <c r="A3704" s="20" t="s">
        <v>2412</v>
      </c>
      <c r="B3704" s="21" t="s">
        <v>1011</v>
      </c>
      <c r="C3704" s="21" t="s">
        <v>996</v>
      </c>
      <c r="D3704" s="21" t="s">
        <v>972</v>
      </c>
      <c r="E3704" s="22">
        <f>IF(D3704="?OLD","!!!","")</f>
        <v/>
      </c>
      <c r="F3704" s="23" t="str">
        <f>IF(OR(E3704="",E3704="!!!"),"",IF(NOT(ISNA(VLOOKUP(E3704,E$1:E3703,1,FALSE()))),"OLD",IF(AND(E3704&lt;&gt;"",E3704&lt;&gt;"!!!"),"NEW","")))</f>
        <v> </v>
      </c>
      <c r="G3704" s="24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5" t="str">
        <f>IF(J3704&lt;&gt;1,"",IF(I3704="SBJ","CB","?"))</f>
        <v> </v>
      </c>
      <c r="I3704" s="26" t="str">
        <f>IF(OR(E3704="",E3704="!!!",F3704="NEW"),"",INDEX(B3703:B$2,-1+SUMPRODUCT(MAX(ROW(E3703:E$2)*(E3704=E3703:E$2)))))</f>
        <v> </v>
      </c>
      <c r="J3704" s="26" t="str">
        <f>IF(OR(E3704="",E3704="!!!",F3704="NEW"),"",COUNTBLANK(OFFSET(A$1,,,SUMPRODUCT(MAX(ROW(E$2:E3704)*(E3704=E$2:E3704)))))-COUNTBLANK(OFFSET(A$1,,,SUMPRODUCT(MAX(ROW(E$1:E3703)*(E2=E$1:E3703))))))</f>
        <v> </v>
      </c>
      <c r="K3704" s="26" t="str">
        <f>IF(OR(E3704="",E3704="!!!",F3704="NEW"),"",INDEX(J$1:J3703,SUMPRODUCT(MAX(ROW(E$1:E3703)*(E3704=E$1:E3703)))))</f>
        <v> </v>
      </c>
      <c r="L3704" s="27"/>
    </row>
    <row r="3705" spans="1:12">
      <c r="A3705" s="20" t="s">
        <v>2413</v>
      </c>
      <c r="E3705" s="22">
        <f>IF(D3705="?OLD","!!!","")</f>
        <v/>
      </c>
      <c r="F3705" s="23" t="str">
        <f>IF(OR(E3705="",E3705="!!!"),"",IF(NOT(ISNA(VLOOKUP(E3705,E$1:E3704,1,FALSE()))),"OLD",IF(AND(E3705&lt;&gt;"",E3705&lt;&gt;"!!!"),"NEW","")))</f>
        <v> </v>
      </c>
      <c r="G3705" s="24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5" t="str">
        <f>IF(J3705&lt;&gt;1,"",IF(I3705="SBJ","CB","?"))</f>
        <v> </v>
      </c>
      <c r="I3705" s="26" t="str">
        <f>IF(OR(E3705="",E3705="!!!",F3705="NEW"),"",INDEX(B3704:B$2,-1+SUMPRODUCT(MAX(ROW(E3704:E$2)*(E3705=E3704:E$2)))))</f>
        <v> </v>
      </c>
      <c r="J3705" s="26" t="str">
        <f>IF(OR(E3705="",E3705="!!!",F3705="NEW"),"",COUNTBLANK(OFFSET(A$1,,,SUMPRODUCT(MAX(ROW(E$2:E3705)*(E3705=E$2:E3705)))))-COUNTBLANK(OFFSET(A$1,,,SUMPRODUCT(MAX(ROW(E$1:E3704)*(E2=E$1:E3704))))))</f>
        <v> </v>
      </c>
      <c r="K3705" s="26" t="str">
        <f>IF(OR(E3705="",E3705="!!!",F3705="NEW"),"",INDEX(J$1:J3704,SUMPRODUCT(MAX(ROW(E$1:E3704)*(E3705=E$1:E3704)))))</f>
        <v> </v>
      </c>
      <c r="L3705" s="27"/>
    </row>
    <row r="3706" spans="1:12">
      <c r="A3706" s="20" t="s">
        <v>2414</v>
      </c>
      <c r="E3706" s="22">
        <f>IF(D3706="?OLD","!!!","")</f>
        <v/>
      </c>
      <c r="F3706" s="23" t="str">
        <f>IF(OR(E3706="",E3706="!!!"),"",IF(NOT(ISNA(VLOOKUP(E3706,E$1:E3705,1,FALSE()))),"OLD",IF(AND(E3706&lt;&gt;"",E3706&lt;&gt;"!!!"),"NEW","")))</f>
        <v> </v>
      </c>
      <c r="G3706" s="24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5" t="str">
        <f>IF(J3706&lt;&gt;1,"",IF(I3706="SBJ","CB","?"))</f>
        <v> </v>
      </c>
      <c r="I3706" s="26" t="str">
        <f>IF(OR(E3706="",E3706="!!!",F3706="NEW"),"",INDEX(B3705:B$2,-1+SUMPRODUCT(MAX(ROW(E3705:E$2)*(E3706=E3705:E$2)))))</f>
        <v> </v>
      </c>
      <c r="J3706" s="26" t="str">
        <f>IF(OR(E3706="",E3706="!!!",F3706="NEW"),"",COUNTBLANK(OFFSET(A$1,,,SUMPRODUCT(MAX(ROW(E$2:E3706)*(E3706=E$2:E3706)))))-COUNTBLANK(OFFSET(A$1,,,SUMPRODUCT(MAX(ROW(E$1:E3705)*(E2=E$1:E3705))))))</f>
        <v> </v>
      </c>
      <c r="K3706" s="26" t="str">
        <f>IF(OR(E3706="",E3706="!!!",F3706="NEW"),"",INDEX(J$1:J3705,SUMPRODUCT(MAX(ROW(E$1:E3705)*(E3706=E$1:E3705)))))</f>
        <v> </v>
      </c>
      <c r="L3706" s="27"/>
    </row>
    <row r="3707" spans="1:12">
      <c r="A3707" s="20" t="s">
        <v>2415</v>
      </c>
      <c r="B3707" s="21" t="s">
        <v>970</v>
      </c>
      <c r="E3707" s="22">
        <f>IF(D3707="?OLD","!!!","")</f>
        <v/>
      </c>
      <c r="F3707" s="23" t="str">
        <f>IF(OR(E3707="",E3707="!!!"),"",IF(NOT(ISNA(VLOOKUP(E3707,E$1:E3706,1,FALSE()))),"OLD",IF(AND(E3707&lt;&gt;"",E3707&lt;&gt;"!!!"),"NEW","")))</f>
        <v> </v>
      </c>
      <c r="G3707" s="24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5" t="str">
        <f>IF(J3707&lt;&gt;1,"",IF(I3707="SBJ","CB","?"))</f>
        <v> </v>
      </c>
      <c r="I3707" s="26" t="str">
        <f>IF(OR(E3707="",E3707="!!!",F3707="NEW"),"",INDEX(B3706:B$2,-1+SUMPRODUCT(MAX(ROW(E3706:E$2)*(E3707=E3706:E$2)))))</f>
        <v> </v>
      </c>
      <c r="J3707" s="26" t="str">
        <f>IF(OR(E3707="",E3707="!!!",F3707="NEW"),"",COUNTBLANK(OFFSET(A$1,,,SUMPRODUCT(MAX(ROW(E$2:E3707)*(E3707=E$2:E3707)))))-COUNTBLANK(OFFSET(A$1,,,SUMPRODUCT(MAX(ROW(E$1:E3706)*(E2=E$1:E3706))))))</f>
        <v> </v>
      </c>
      <c r="K3707" s="26" t="str">
        <f>IF(OR(E3707="",E3707="!!!",F3707="NEW"),"",INDEX(J$1:J3706,SUMPRODUCT(MAX(ROW(E$1:E3706)*(E3707=E$1:E3706)))))</f>
        <v> </v>
      </c>
      <c r="L3707" s="27"/>
    </row>
    <row r="3708" spans="1:12">
      <c r="A3708" s="20" t="s">
        <v>1013</v>
      </c>
      <c r="E3708" s="22">
        <f>IF(D3708="?OLD","!!!","")</f>
        <v/>
      </c>
      <c r="F3708" s="23" t="str">
        <f>IF(OR(E3708="",E3708="!!!"),"",IF(NOT(ISNA(VLOOKUP(E3708,E$1:E3707,1,FALSE()))),"OLD",IF(AND(E3708&lt;&gt;"",E3708&lt;&gt;"!!!"),"NEW","")))</f>
        <v> </v>
      </c>
      <c r="G3708" s="24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5" t="str">
        <f>IF(J3708&lt;&gt;1,"",IF(I3708="SBJ","CB","?"))</f>
        <v> </v>
      </c>
      <c r="I3708" s="26" t="str">
        <f>IF(OR(E3708="",E3708="!!!",F3708="NEW"),"",INDEX(B3707:B$2,-1+SUMPRODUCT(MAX(ROW(E3707:E$2)*(E3708=E3707:E$2)))))</f>
        <v> </v>
      </c>
      <c r="J3708" s="26" t="str">
        <f>IF(OR(E3708="",E3708="!!!",F3708="NEW"),"",COUNTBLANK(OFFSET(A$1,,,SUMPRODUCT(MAX(ROW(E$2:E3708)*(E3708=E$2:E3708)))))-COUNTBLANK(OFFSET(A$1,,,SUMPRODUCT(MAX(ROW(E$1:E3707)*(E2=E$1:E3707))))))</f>
        <v> </v>
      </c>
      <c r="K3708" s="26" t="str">
        <f>IF(OR(E3708="",E3708="!!!",F3708="NEW"),"",INDEX(J$1:J3707,SUMPRODUCT(MAX(ROW(E$1:E3707)*(E3708=E$1:E3707)))))</f>
        <v> </v>
      </c>
      <c r="L3708" s="27"/>
    </row>
    <row r="3709" spans="1:12">
      <c r="A3709" s="20" t="s">
        <v>1462</v>
      </c>
      <c r="B3709" s="21" t="s">
        <v>1003</v>
      </c>
      <c r="C3709" s="21" t="s">
        <v>1232</v>
      </c>
      <c r="E3709" s="22">
        <f>IF(D3709="?OLD","!!!","")</f>
        <v/>
      </c>
      <c r="F3709" s="23" t="str">
        <f>IF(OR(E3709="",E3709="!!!"),"",IF(NOT(ISNA(VLOOKUP(E3709,E$1:E3708,1,FALSE()))),"OLD",IF(AND(E3709&lt;&gt;"",E3709&lt;&gt;"!!!"),"NEW","")))</f>
        <v> </v>
      </c>
      <c r="G3709" s="24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5" t="str">
        <f>IF(J3709&lt;&gt;1,"",IF(I3709="SBJ","CB","?"))</f>
        <v> </v>
      </c>
      <c r="I3709" s="26" t="str">
        <f>IF(OR(E3709="",E3709="!!!",F3709="NEW"),"",INDEX(B3708:B$2,-1+SUMPRODUCT(MAX(ROW(E3708:E$2)*(E3709=E3708:E$2)))))</f>
        <v> </v>
      </c>
      <c r="J3709" s="26" t="str">
        <f>IF(OR(E3709="",E3709="!!!",F3709="NEW"),"",COUNTBLANK(OFFSET(A$1,,,SUMPRODUCT(MAX(ROW(E$2:E3709)*(E3709=E$2:E3709)))))-COUNTBLANK(OFFSET(A$1,,,SUMPRODUCT(MAX(ROW(E$1:E3708)*(E2=E$1:E3708))))))</f>
        <v> </v>
      </c>
      <c r="K3709" s="26" t="str">
        <f>IF(OR(E3709="",E3709="!!!",F3709="NEW"),"",INDEX(J$1:J3708,SUMPRODUCT(MAX(ROW(E$1:E3708)*(E3709=E$1:E3708)))))</f>
        <v> </v>
      </c>
      <c r="L3709" s="27"/>
    </row>
    <row r="3710" spans="1:12">
      <c r="A3710" s="20" t="s">
        <v>1189</v>
      </c>
      <c r="B3710" s="21" t="s">
        <v>1093</v>
      </c>
      <c r="C3710" s="21" t="s">
        <v>971</v>
      </c>
      <c r="D3710" s="21" t="s">
        <v>972</v>
      </c>
      <c r="E3710" s="22">
        <f>IF(D3710="?OLD","!!!","")</f>
        <v/>
      </c>
      <c r="F3710" s="23" t="str">
        <f>IF(OR(E3710="",E3710="!!!"),"",IF(NOT(ISNA(VLOOKUP(E3710,E$1:E3709,1,FALSE()))),"OLD",IF(AND(E3710&lt;&gt;"",E3710&lt;&gt;"!!!"),"NEW","")))</f>
        <v> </v>
      </c>
      <c r="G3710" s="24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5" t="str">
        <f>IF(J3710&lt;&gt;1,"",IF(I3710="SBJ","CB","?"))</f>
        <v> </v>
      </c>
      <c r="I3710" s="26" t="str">
        <f>IF(OR(E3710="",E3710="!!!",F3710="NEW"),"",INDEX(B3709:B$2,-1+SUMPRODUCT(MAX(ROW(E3709:E$2)*(E3710=E3709:E$2)))))</f>
        <v> </v>
      </c>
      <c r="J3710" s="26" t="str">
        <f>IF(OR(E3710="",E3710="!!!",F3710="NEW"),"",COUNTBLANK(OFFSET(A$1,,,SUMPRODUCT(MAX(ROW(E$2:E3710)*(E3710=E$2:E3710)))))-COUNTBLANK(OFFSET(A$1,,,SUMPRODUCT(MAX(ROW(E$1:E3709)*(E2=E$1:E3709))))))</f>
        <v> </v>
      </c>
      <c r="K3710" s="26" t="str">
        <f>IF(OR(E3710="",E3710="!!!",F3710="NEW"),"",INDEX(J$1:J3709,SUMPRODUCT(MAX(ROW(E$1:E3709)*(E3710=E$1:E3709)))))</f>
        <v> </v>
      </c>
      <c r="L3710" s="27"/>
    </row>
    <row r="3711" spans="1:12">
      <c r="A3711" s="20" t="s">
        <v>2416</v>
      </c>
      <c r="E3711" s="22">
        <f>IF(D3711="?OLD","!!!","")</f>
        <v/>
      </c>
      <c r="F3711" s="23" t="str">
        <f>IF(OR(E3711="",E3711="!!!"),"",IF(NOT(ISNA(VLOOKUP(E3711,E$1:E3710,1,FALSE()))),"OLD",IF(AND(E3711&lt;&gt;"",E3711&lt;&gt;"!!!"),"NEW","")))</f>
        <v> </v>
      </c>
      <c r="G3711" s="24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5" t="str">
        <f>IF(J3711&lt;&gt;1,"",IF(I3711="SBJ","CB","?"))</f>
        <v> </v>
      </c>
      <c r="I3711" s="26" t="str">
        <f>IF(OR(E3711="",E3711="!!!",F3711="NEW"),"",INDEX(B3710:B$2,-1+SUMPRODUCT(MAX(ROW(E3710:E$2)*(E3711=E3710:E$2)))))</f>
        <v> </v>
      </c>
      <c r="J3711" s="26" t="str">
        <f>IF(OR(E3711="",E3711="!!!",F3711="NEW"),"",COUNTBLANK(OFFSET(A$1,,,SUMPRODUCT(MAX(ROW(E$2:E3711)*(E3711=E$2:E3711)))))-COUNTBLANK(OFFSET(A$1,,,SUMPRODUCT(MAX(ROW(E$1:E3710)*(E2=E$1:E3710))))))</f>
        <v> </v>
      </c>
      <c r="K3711" s="26" t="str">
        <f>IF(OR(E3711="",E3711="!!!",F3711="NEW"),"",INDEX(J$1:J3710,SUMPRODUCT(MAX(ROW(E$1:E3710)*(E3711=E$1:E3710)))))</f>
        <v> </v>
      </c>
      <c r="L3711" s="27"/>
    </row>
    <row r="3712" spans="1:12">
      <c r="A3712" s="20" t="s">
        <v>1005</v>
      </c>
      <c r="E3712" s="22">
        <f>IF(D3712="?OLD","!!!","")</f>
        <v/>
      </c>
      <c r="F3712" s="23" t="str">
        <f>IF(OR(E3712="",E3712="!!!"),"",IF(NOT(ISNA(VLOOKUP(E3712,E$1:E3711,1,FALSE()))),"OLD",IF(AND(E3712&lt;&gt;"",E3712&lt;&gt;"!!!"),"NEW","")))</f>
        <v> </v>
      </c>
      <c r="G3712" s="24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5" t="str">
        <f>IF(J3712&lt;&gt;1,"",IF(I3712="SBJ","CB","?"))</f>
        <v> </v>
      </c>
      <c r="I3712" s="26" t="str">
        <f>IF(OR(E3712="",E3712="!!!",F3712="NEW"),"",INDEX(B3711:B$2,-1+SUMPRODUCT(MAX(ROW(E3711:E$2)*(E3712=E3711:E$2)))))</f>
        <v> </v>
      </c>
      <c r="J3712" s="26" t="str">
        <f>IF(OR(E3712="",E3712="!!!",F3712="NEW"),"",COUNTBLANK(OFFSET(A$1,,,SUMPRODUCT(MAX(ROW(E$2:E3712)*(E3712=E$2:E3712)))))-COUNTBLANK(OFFSET(A$1,,,SUMPRODUCT(MAX(ROW(E$1:E3711)*(E2=E$1:E3711))))))</f>
        <v> </v>
      </c>
      <c r="K3712" s="26" t="str">
        <f>IF(OR(E3712="",E3712="!!!",F3712="NEW"),"",INDEX(J$1:J3711,SUMPRODUCT(MAX(ROW(E$1:E3711)*(E3712=E$1:E3711)))))</f>
        <v> </v>
      </c>
      <c r="L3712" s="27"/>
    </row>
    <row r="3713" spans="1:12">
      <c r="A3713" s="20" t="s">
        <v>1097</v>
      </c>
      <c r="E3713" s="22">
        <f>IF(D3713="?OLD","!!!","")</f>
        <v/>
      </c>
      <c r="F3713" s="23" t="str">
        <f>IF(OR(E3713="",E3713="!!!"),"",IF(NOT(ISNA(VLOOKUP(E3713,E$1:E3712,1,FALSE()))),"OLD",IF(AND(E3713&lt;&gt;"",E3713&lt;&gt;"!!!"),"NEW","")))</f>
        <v> </v>
      </c>
      <c r="G3713" s="24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5" t="str">
        <f>IF(J3713&lt;&gt;1,"",IF(I3713="SBJ","CB","?"))</f>
        <v> </v>
      </c>
      <c r="I3713" s="26" t="str">
        <f>IF(OR(E3713="",E3713="!!!",F3713="NEW"),"",INDEX(B3712:B$2,-1+SUMPRODUCT(MAX(ROW(E3712:E$2)*(E3713=E3712:E$2)))))</f>
        <v> </v>
      </c>
      <c r="J3713" s="26" t="str">
        <f>IF(OR(E3713="",E3713="!!!",F3713="NEW"),"",COUNTBLANK(OFFSET(A$1,,,SUMPRODUCT(MAX(ROW(E$2:E3713)*(E3713=E$2:E3713)))))-COUNTBLANK(OFFSET(A$1,,,SUMPRODUCT(MAX(ROW(E$1:E3712)*(E2=E$1:E3712))))))</f>
        <v> </v>
      </c>
      <c r="K3713" s="26" t="str">
        <f>IF(OR(E3713="",E3713="!!!",F3713="NEW"),"",INDEX(J$1:J3712,SUMPRODUCT(MAX(ROW(E$1:E3712)*(E3713=E$1:E3712)))))</f>
        <v> </v>
      </c>
      <c r="L3713" s="27"/>
    </row>
    <row r="3714" spans="1:12">
      <c r="A3714" s="20" t="s">
        <v>1015</v>
      </c>
      <c r="B3714" s="21" t="s">
        <v>1011</v>
      </c>
      <c r="C3714" s="21" t="s">
        <v>1100</v>
      </c>
      <c r="D3714" s="21" t="s">
        <v>972</v>
      </c>
      <c r="E3714" s="22">
        <f>IF(D3714="?OLD","!!!","")</f>
        <v/>
      </c>
      <c r="F3714" s="23" t="str">
        <f>IF(OR(E3714="",E3714="!!!"),"",IF(NOT(ISNA(VLOOKUP(E3714,E$1:E3713,1,FALSE()))),"OLD",IF(AND(E3714&lt;&gt;"",E3714&lt;&gt;"!!!"),"NEW","")))</f>
        <v> </v>
      </c>
      <c r="G3714" s="24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5" t="str">
        <f>IF(J3714&lt;&gt;1,"",IF(I3714="SBJ","CB","?"))</f>
        <v> </v>
      </c>
      <c r="I3714" s="26" t="str">
        <f>IF(OR(E3714="",E3714="!!!",F3714="NEW"),"",INDEX(B3713:B$2,-1+SUMPRODUCT(MAX(ROW(E3713:E$2)*(E3714=E3713:E$2)))))</f>
        <v> </v>
      </c>
      <c r="J3714" s="26" t="str">
        <f>IF(OR(E3714="",E3714="!!!",F3714="NEW"),"",COUNTBLANK(OFFSET(A$1,,,SUMPRODUCT(MAX(ROW(E$2:E3714)*(E3714=E$2:E3714)))))-COUNTBLANK(OFFSET(A$1,,,SUMPRODUCT(MAX(ROW(E$1:E3713)*(E2=E$1:E3713))))))</f>
        <v> </v>
      </c>
      <c r="K3714" s="26" t="str">
        <f>IF(OR(E3714="",E3714="!!!",F3714="NEW"),"",INDEX(J$1:J3713,SUMPRODUCT(MAX(ROW(E$1:E3713)*(E3714=E$1:E3713)))))</f>
        <v> </v>
      </c>
      <c r="L3714" s="27"/>
    </row>
    <row r="3715" spans="1:12">
      <c r="A3715" s="20" t="s">
        <v>979</v>
      </c>
      <c r="E3715" s="22">
        <f>IF(D3715="?OLD","!!!","")</f>
        <v/>
      </c>
      <c r="F3715" s="23" t="str">
        <f>IF(OR(E3715="",E3715="!!!"),"",IF(NOT(ISNA(VLOOKUP(E3715,E$1:E3714,1,FALSE()))),"OLD",IF(AND(E3715&lt;&gt;"",E3715&lt;&gt;"!!!"),"NEW","")))</f>
        <v> </v>
      </c>
      <c r="G3715" s="24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5" t="str">
        <f>IF(J3715&lt;&gt;1,"",IF(I3715="SBJ","CB","?"))</f>
        <v> </v>
      </c>
      <c r="I3715" s="26" t="str">
        <f>IF(OR(E3715="",E3715="!!!",F3715="NEW"),"",INDEX(B3714:B$2,-1+SUMPRODUCT(MAX(ROW(E3714:E$2)*(E3715=E3714:E$2)))))</f>
        <v> </v>
      </c>
      <c r="J3715" s="26" t="str">
        <f>IF(OR(E3715="",E3715="!!!",F3715="NEW"),"",COUNTBLANK(OFFSET(A$1,,,SUMPRODUCT(MAX(ROW(E$2:E3715)*(E3715=E$2:E3715)))))-COUNTBLANK(OFFSET(A$1,,,SUMPRODUCT(MAX(ROW(E$1:E3714)*(E2=E$1:E3714))))))</f>
        <v> </v>
      </c>
      <c r="K3715" s="26" t="str">
        <f>IF(OR(E3715="",E3715="!!!",F3715="NEW"),"",INDEX(J$1:J3714,SUMPRODUCT(MAX(ROW(E$1:E3714)*(E3715=E$1:E3714)))))</f>
        <v> </v>
      </c>
      <c r="L3715" s="27"/>
    </row>
    <row r="3716" spans="1:12">
      <c r="A3716" s="20"/>
    </row>
    <row r="3717" spans="1:12">
      <c r="A3717" s="20" t="s">
        <v>2417</v>
      </c>
    </row>
    <row r="3718" spans="1:12">
      <c r="A3718" s="20" t="s">
        <v>1018</v>
      </c>
      <c r="E3718" s="22">
        <f>IF(D3718="?OLD","!!!","")</f>
        <v/>
      </c>
      <c r="F3718" s="23" t="str">
        <f>IF(OR(E3718="",E3718="!!!"),"",IF(NOT(ISNA(VLOOKUP(E3718,E$1:E3717,1,FALSE()))),"OLD",IF(AND(E3718&lt;&gt;"",E3718&lt;&gt;"!!!"),"NEW","")))</f>
        <v> </v>
      </c>
      <c r="G3718" s="24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5" t="str">
        <f>IF(J3718&lt;&gt;1,"",IF(I3718="SBJ","CB","?"))</f>
        <v> </v>
      </c>
      <c r="I3718" s="26" t="str">
        <f>IF(OR(E3718="",E3718="!!!",F3718="NEW"),"",INDEX(B3717:B$2,-1+SUMPRODUCT(MAX(ROW(E3717:E$2)*(E3718=E3717:E$2)))))</f>
        <v> </v>
      </c>
      <c r="J3718" s="26" t="str">
        <f>IF(OR(E3718="",E3718="!!!",F3718="NEW"),"",COUNTBLANK(OFFSET(A$1,,,SUMPRODUCT(MAX(ROW(E$2:E3718)*(E3718=E$2:E3718)))))-COUNTBLANK(OFFSET(A$1,,,SUMPRODUCT(MAX(ROW(E$1:E3717)*(E2=E$1:E3717))))))</f>
        <v> </v>
      </c>
      <c r="K3718" s="26" t="str">
        <f>IF(OR(E3718="",E3718="!!!",F3718="NEW"),"",INDEX(J$1:J3717,SUMPRODUCT(MAX(ROW(E$1:E3717)*(E3718=E$1:E3717)))))</f>
        <v> </v>
      </c>
      <c r="L3718" s="27"/>
    </row>
    <row r="3719" spans="1:12">
      <c r="A3719" s="20" t="s">
        <v>1816</v>
      </c>
      <c r="E3719" s="22">
        <f>IF(D3719="?OLD","!!!","")</f>
        <v/>
      </c>
      <c r="F3719" s="23" t="str">
        <f>IF(OR(E3719="",E3719="!!!"),"",IF(NOT(ISNA(VLOOKUP(E3719,E$1:E3718,1,FALSE()))),"OLD",IF(AND(E3719&lt;&gt;"",E3719&lt;&gt;"!!!"),"NEW","")))</f>
        <v> </v>
      </c>
      <c r="G3719" s="24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5" t="str">
        <f>IF(J3719&lt;&gt;1,"",IF(I3719="SBJ","CB","?"))</f>
        <v> </v>
      </c>
      <c r="I3719" s="26" t="str">
        <f>IF(OR(E3719="",E3719="!!!",F3719="NEW"),"",INDEX(B3718:B$2,-1+SUMPRODUCT(MAX(ROW(E3718:E$2)*(E3719=E3718:E$2)))))</f>
        <v> </v>
      </c>
      <c r="J3719" s="26" t="str">
        <f>IF(OR(E3719="",E3719="!!!",F3719="NEW"),"",COUNTBLANK(OFFSET(A$1,,,SUMPRODUCT(MAX(ROW(E$2:E3719)*(E3719=E$2:E3719)))))-COUNTBLANK(OFFSET(A$1,,,SUMPRODUCT(MAX(ROW(E$1:E3718)*(E2=E$1:E3718))))))</f>
        <v> </v>
      </c>
      <c r="K3719" s="26" t="str">
        <f>IF(OR(E3719="",E3719="!!!",F3719="NEW"),"",INDEX(J$1:J3718,SUMPRODUCT(MAX(ROW(E$1:E3718)*(E3719=E$1:E3718)))))</f>
        <v> </v>
      </c>
      <c r="L3719" s="27"/>
    </row>
    <row r="3720" spans="1:12">
      <c r="A3720" s="20" t="s">
        <v>985</v>
      </c>
      <c r="E3720" s="22">
        <f>IF(D3720="?OLD","!!!","")</f>
        <v/>
      </c>
      <c r="F3720" s="23" t="str">
        <f>IF(OR(E3720="",E3720="!!!"),"",IF(NOT(ISNA(VLOOKUP(E3720,E$1:E3719,1,FALSE()))),"OLD",IF(AND(E3720&lt;&gt;"",E3720&lt;&gt;"!!!"),"NEW","")))</f>
        <v> </v>
      </c>
      <c r="G3720" s="24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5" t="str">
        <f>IF(J3720&lt;&gt;1,"",IF(I3720="SBJ","CB","?"))</f>
        <v> </v>
      </c>
      <c r="I3720" s="26" t="str">
        <f>IF(OR(E3720="",E3720="!!!",F3720="NEW"),"",INDEX(B3719:B$2,-1+SUMPRODUCT(MAX(ROW(E3719:E$2)*(E3720=E3719:E$2)))))</f>
        <v> </v>
      </c>
      <c r="J3720" s="26" t="str">
        <f>IF(OR(E3720="",E3720="!!!",F3720="NEW"),"",COUNTBLANK(OFFSET(A$1,,,SUMPRODUCT(MAX(ROW(E$2:E3720)*(E3720=E$2:E3720)))))-COUNTBLANK(OFFSET(A$1,,,SUMPRODUCT(MAX(ROW(E$1:E3719)*(E2=E$1:E3719))))))</f>
        <v> </v>
      </c>
      <c r="K3720" s="26" t="str">
        <f>IF(OR(E3720="",E3720="!!!",F3720="NEW"),"",INDEX(J$1:J3719,SUMPRODUCT(MAX(ROW(E$1:E3719)*(E3720=E$1:E3719)))))</f>
        <v> </v>
      </c>
      <c r="L3720" s="27"/>
    </row>
    <row r="3721" spans="1:12">
      <c r="A3721" s="20" t="s">
        <v>1013</v>
      </c>
      <c r="E3721" s="22">
        <f>IF(D3721="?OLD","!!!","")</f>
        <v/>
      </c>
      <c r="F3721" s="23" t="str">
        <f>IF(OR(E3721="",E3721="!!!"),"",IF(NOT(ISNA(VLOOKUP(E3721,E$1:E3720,1,FALSE()))),"OLD",IF(AND(E3721&lt;&gt;"",E3721&lt;&gt;"!!!"),"NEW","")))</f>
        <v> </v>
      </c>
      <c r="G3721" s="24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5" t="str">
        <f>IF(J3721&lt;&gt;1,"",IF(I3721="SBJ","CB","?"))</f>
        <v> </v>
      </c>
      <c r="I3721" s="26" t="str">
        <f>IF(OR(E3721="",E3721="!!!",F3721="NEW"),"",INDEX(B3720:B$2,-1+SUMPRODUCT(MAX(ROW(E3720:E$2)*(E3721=E3720:E$2)))))</f>
        <v> </v>
      </c>
      <c r="J3721" s="26" t="str">
        <f>IF(OR(E3721="",E3721="!!!",F3721="NEW"),"",COUNTBLANK(OFFSET(A$1,,,SUMPRODUCT(MAX(ROW(E$2:E3721)*(E3721=E$2:E3721)))))-COUNTBLANK(OFFSET(A$1,,,SUMPRODUCT(MAX(ROW(E$1:E3720)*(E2=E$1:E3720))))))</f>
        <v> </v>
      </c>
      <c r="K3721" s="26" t="str">
        <f>IF(OR(E3721="",E3721="!!!",F3721="NEW"),"",INDEX(J$1:J3720,SUMPRODUCT(MAX(ROW(E$1:E3720)*(E3721=E$1:E3720)))))</f>
        <v> </v>
      </c>
      <c r="L3721" s="27"/>
    </row>
    <row r="3722" spans="1:12">
      <c r="A3722" s="20" t="s">
        <v>1330</v>
      </c>
      <c r="E3722" s="22">
        <f>IF(D3722="?OLD","!!!","")</f>
        <v/>
      </c>
      <c r="F3722" s="23" t="str">
        <f>IF(OR(E3722="",E3722="!!!"),"",IF(NOT(ISNA(VLOOKUP(E3722,E$1:E3721,1,FALSE()))),"OLD",IF(AND(E3722&lt;&gt;"",E3722&lt;&gt;"!!!"),"NEW","")))</f>
        <v> </v>
      </c>
      <c r="G3722" s="24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5" t="str">
        <f>IF(J3722&lt;&gt;1,"",IF(I3722="SBJ","CB","?"))</f>
        <v> </v>
      </c>
      <c r="I3722" s="26" t="str">
        <f>IF(OR(E3722="",E3722="!!!",F3722="NEW"),"",INDEX(B3721:B$2,-1+SUMPRODUCT(MAX(ROW(E3721:E$2)*(E3722=E3721:E$2)))))</f>
        <v> </v>
      </c>
      <c r="J3722" s="26" t="str">
        <f>IF(OR(E3722="",E3722="!!!",F3722="NEW"),"",COUNTBLANK(OFFSET(A$1,,,SUMPRODUCT(MAX(ROW(E$2:E3722)*(E3722=E$2:E3722)))))-COUNTBLANK(OFFSET(A$1,,,SUMPRODUCT(MAX(ROW(E$1:E3721)*(E2=E$1:E3721))))))</f>
        <v> </v>
      </c>
      <c r="K3722" s="26" t="str">
        <f>IF(OR(E3722="",E3722="!!!",F3722="NEW"),"",INDEX(J$1:J3721,SUMPRODUCT(MAX(ROW(E$1:E3721)*(E3722=E$1:E3721)))))</f>
        <v> </v>
      </c>
      <c r="L3722" s="27"/>
    </row>
    <row r="3723" spans="1:12">
      <c r="A3723" s="20" t="s">
        <v>1025</v>
      </c>
      <c r="E3723" s="22">
        <f>IF(D3723="?OLD","!!!","")</f>
        <v/>
      </c>
      <c r="F3723" s="23" t="str">
        <f>IF(OR(E3723="",E3723="!!!"),"",IF(NOT(ISNA(VLOOKUP(E3723,E$1:E3722,1,FALSE()))),"OLD",IF(AND(E3723&lt;&gt;"",E3723&lt;&gt;"!!!"),"NEW","")))</f>
        <v> </v>
      </c>
      <c r="G3723" s="24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5" t="str">
        <f>IF(J3723&lt;&gt;1,"",IF(I3723="SBJ","CB","?"))</f>
        <v> </v>
      </c>
      <c r="I3723" s="26" t="str">
        <f>IF(OR(E3723="",E3723="!!!",F3723="NEW"),"",INDEX(B3722:B$2,-1+SUMPRODUCT(MAX(ROW(E3722:E$2)*(E3723=E3722:E$2)))))</f>
        <v> </v>
      </c>
      <c r="J3723" s="26" t="str">
        <f>IF(OR(E3723="",E3723="!!!",F3723="NEW"),"",COUNTBLANK(OFFSET(A$1,,,SUMPRODUCT(MAX(ROW(E$2:E3723)*(E3723=E$2:E3723)))))-COUNTBLANK(OFFSET(A$1,,,SUMPRODUCT(MAX(ROW(E$1:E3722)*(E2=E$1:E3722))))))</f>
        <v> </v>
      </c>
      <c r="K3723" s="26" t="str">
        <f>IF(OR(E3723="",E3723="!!!",F3723="NEW"),"",INDEX(J$1:J3722,SUMPRODUCT(MAX(ROW(E$1:E3722)*(E3723=E$1:E3722)))))</f>
        <v> </v>
      </c>
      <c r="L3723" s="27"/>
    </row>
    <row r="3724" spans="1:12">
      <c r="A3724" s="20" t="s">
        <v>746</v>
      </c>
      <c r="E3724" s="22">
        <f>IF(D3724="?OLD","!!!","")</f>
        <v/>
      </c>
      <c r="F3724" s="23" t="str">
        <f>IF(OR(E3724="",E3724="!!!"),"",IF(NOT(ISNA(VLOOKUP(E3724,E$1:E3723,1,FALSE()))),"OLD",IF(AND(E3724&lt;&gt;"",E3724&lt;&gt;"!!!"),"NEW","")))</f>
        <v> </v>
      </c>
      <c r="G3724" s="24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5" t="str">
        <f>IF(J3724&lt;&gt;1,"",IF(I3724="SBJ","CB","?"))</f>
        <v> </v>
      </c>
      <c r="I3724" s="26" t="str">
        <f>IF(OR(E3724="",E3724="!!!",F3724="NEW"),"",INDEX(B3723:B$2,-1+SUMPRODUCT(MAX(ROW(E3723:E$2)*(E3724=E3723:E$2)))))</f>
        <v> </v>
      </c>
      <c r="J3724" s="26" t="str">
        <f>IF(OR(E3724="",E3724="!!!",F3724="NEW"),"",COUNTBLANK(OFFSET(A$1,,,SUMPRODUCT(MAX(ROW(E$2:E3724)*(E3724=E$2:E3724)))))-COUNTBLANK(OFFSET(A$1,,,SUMPRODUCT(MAX(ROW(E$1:E3723)*(E2=E$1:E3723))))))</f>
        <v> </v>
      </c>
      <c r="K3724" s="26" t="str">
        <f>IF(OR(E3724="",E3724="!!!",F3724="NEW"),"",INDEX(J$1:J3723,SUMPRODUCT(MAX(ROW(E$1:E3723)*(E3724=E$1:E3723)))))</f>
        <v> </v>
      </c>
      <c r="L3724" s="27"/>
    </row>
    <row r="3725" spans="1:12">
      <c r="A3725" s="20" t="s">
        <v>412</v>
      </c>
      <c r="B3725" s="21" t="s">
        <v>1055</v>
      </c>
      <c r="E3725" s="22">
        <f>IF(D3725="?OLD","!!!","")</f>
        <v/>
      </c>
      <c r="F3725" s="23" t="str">
        <f>IF(OR(E3725="",E3725="!!!"),"",IF(NOT(ISNA(VLOOKUP(E3725,E$1:E3724,1,FALSE()))),"OLD",IF(AND(E3725&lt;&gt;"",E3725&lt;&gt;"!!!"),"NEW","")))</f>
        <v> </v>
      </c>
      <c r="G3725" s="24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5" t="str">
        <f>IF(J3725&lt;&gt;1,"",IF(I3725="SBJ","CB","?"))</f>
        <v> </v>
      </c>
      <c r="I3725" s="26" t="str">
        <f>IF(OR(E3725="",E3725="!!!",F3725="NEW"),"",INDEX(B3724:B$2,-1+SUMPRODUCT(MAX(ROW(E3724:E$2)*(E3725=E3724:E$2)))))</f>
        <v> </v>
      </c>
      <c r="J3725" s="26" t="str">
        <f>IF(OR(E3725="",E3725="!!!",F3725="NEW"),"",COUNTBLANK(OFFSET(A$1,,,SUMPRODUCT(MAX(ROW(E$2:E3725)*(E3725=E$2:E3725)))))-COUNTBLANK(OFFSET(A$1,,,SUMPRODUCT(MAX(ROW(E$1:E3724)*(E2=E$1:E3724))))))</f>
        <v> </v>
      </c>
      <c r="K3725" s="26" t="str">
        <f>IF(OR(E3725="",E3725="!!!",F3725="NEW"),"",INDEX(J$1:J3724,SUMPRODUCT(MAX(ROW(E$1:E3724)*(E3725=E$1:E3724)))))</f>
        <v> </v>
      </c>
      <c r="L3725" s="27"/>
    </row>
    <row r="3726" spans="1:12">
      <c r="A3726" s="20" t="s">
        <v>1013</v>
      </c>
      <c r="E3726" s="22">
        <f>IF(D3726="?OLD","!!!","")</f>
        <v/>
      </c>
      <c r="F3726" s="23" t="str">
        <f>IF(OR(E3726="",E3726="!!!"),"",IF(NOT(ISNA(VLOOKUP(E3726,E$1:E3725,1,FALSE()))),"OLD",IF(AND(E3726&lt;&gt;"",E3726&lt;&gt;"!!!"),"NEW","")))</f>
        <v> </v>
      </c>
      <c r="G3726" s="24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5" t="str">
        <f>IF(J3726&lt;&gt;1,"",IF(I3726="SBJ","CB","?"))</f>
        <v> </v>
      </c>
      <c r="I3726" s="26" t="str">
        <f>IF(OR(E3726="",E3726="!!!",F3726="NEW"),"",INDEX(B3725:B$2,-1+SUMPRODUCT(MAX(ROW(E3725:E$2)*(E3726=E3725:E$2)))))</f>
        <v> </v>
      </c>
      <c r="J3726" s="26" t="str">
        <f>IF(OR(E3726="",E3726="!!!",F3726="NEW"),"",COUNTBLANK(OFFSET(A$1,,,SUMPRODUCT(MAX(ROW(E$2:E3726)*(E3726=E$2:E3726)))))-COUNTBLANK(OFFSET(A$1,,,SUMPRODUCT(MAX(ROW(E$1:E3725)*(E2=E$1:E3725))))))</f>
        <v> </v>
      </c>
      <c r="K3726" s="26" t="str">
        <f>IF(OR(E3726="",E3726="!!!",F3726="NEW"),"",INDEX(J$1:J3725,SUMPRODUCT(MAX(ROW(E$1:E3725)*(E3726=E$1:E3725)))))</f>
        <v> </v>
      </c>
      <c r="L3726" s="27"/>
    </row>
    <row r="3727" spans="1:12">
      <c r="A3727" s="20" t="s">
        <v>400</v>
      </c>
      <c r="B3727" s="21" t="s">
        <v>975</v>
      </c>
      <c r="C3727" s="21" t="s">
        <v>971</v>
      </c>
      <c r="D3727" s="21" t="s">
        <v>972</v>
      </c>
      <c r="E3727" s="22">
        <f>IF(D3727="?OLD","!!!","")</f>
        <v/>
      </c>
      <c r="F3727" s="23" t="str">
        <f>IF(OR(E3727="",E3727="!!!"),"",IF(NOT(ISNA(VLOOKUP(E3727,E$1:E3726,1,FALSE()))),"OLD",IF(AND(E3727&lt;&gt;"",E3727&lt;&gt;"!!!"),"NEW","")))</f>
        <v> </v>
      </c>
      <c r="G3727" s="24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5" t="str">
        <f>IF(J3727&lt;&gt;1,"",IF(I3727="SBJ","CB","?"))</f>
        <v> </v>
      </c>
      <c r="I3727" s="26" t="str">
        <f>IF(OR(E3727="",E3727="!!!",F3727="NEW"),"",INDEX(B3726:B$2,-1+SUMPRODUCT(MAX(ROW(E3726:E$2)*(E3727=E3726:E$2)))))</f>
        <v> </v>
      </c>
      <c r="J3727" s="26" t="str">
        <f>IF(OR(E3727="",E3727="!!!",F3727="NEW"),"",COUNTBLANK(OFFSET(A$1,,,SUMPRODUCT(MAX(ROW(E$2:E3727)*(E3727=E$2:E3727)))))-COUNTBLANK(OFFSET(A$1,,,SUMPRODUCT(MAX(ROW(E$1:E3726)*(E2=E$1:E3726))))))</f>
        <v> </v>
      </c>
      <c r="K3727" s="26" t="str">
        <f>IF(OR(E3727="",E3727="!!!",F3727="NEW"),"",INDEX(J$1:J3726,SUMPRODUCT(MAX(ROW(E$1:E3726)*(E3727=E$1:E3726)))))</f>
        <v> </v>
      </c>
      <c r="L3727" s="27"/>
    </row>
    <row r="3728" spans="1:12">
      <c r="A3728" s="20" t="s">
        <v>2418</v>
      </c>
      <c r="E3728" s="22">
        <f>IF(D3728="?OLD","!!!","")</f>
        <v/>
      </c>
      <c r="F3728" s="23" t="str">
        <f>IF(OR(E3728="",E3728="!!!"),"",IF(NOT(ISNA(VLOOKUP(E3728,E$1:E3727,1,FALSE()))),"OLD",IF(AND(E3728&lt;&gt;"",E3728&lt;&gt;"!!!"),"NEW","")))</f>
        <v> </v>
      </c>
      <c r="G3728" s="24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5" t="str">
        <f>IF(J3728&lt;&gt;1,"",IF(I3728="SBJ","CB","?"))</f>
        <v> </v>
      </c>
      <c r="I3728" s="26" t="str">
        <f>IF(OR(E3728="",E3728="!!!",F3728="NEW"),"",INDEX(B3727:B$2,-1+SUMPRODUCT(MAX(ROW(E3727:E$2)*(E3728=E3727:E$2)))))</f>
        <v> </v>
      </c>
      <c r="J3728" s="26" t="str">
        <f>IF(OR(E3728="",E3728="!!!",F3728="NEW"),"",COUNTBLANK(OFFSET(A$1,,,SUMPRODUCT(MAX(ROW(E$2:E3728)*(E3728=E$2:E3728)))))-COUNTBLANK(OFFSET(A$1,,,SUMPRODUCT(MAX(ROW(E$1:E3727)*(E2=E$1:E3727))))))</f>
        <v> </v>
      </c>
      <c r="K3728" s="26" t="str">
        <f>IF(OR(E3728="",E3728="!!!",F3728="NEW"),"",INDEX(J$1:J3727,SUMPRODUCT(MAX(ROW(E$1:E3727)*(E3728=E$1:E3727)))))</f>
        <v> </v>
      </c>
      <c r="L3728" s="27"/>
    </row>
    <row r="3729" spans="1:12">
      <c r="A3729" s="20" t="s">
        <v>2419</v>
      </c>
      <c r="B3729" s="21" t="s">
        <v>970</v>
      </c>
      <c r="E3729" s="22">
        <f>IF(D3729="?OLD","!!!","")</f>
        <v/>
      </c>
      <c r="F3729" s="23" t="str">
        <f>IF(OR(E3729="",E3729="!!!"),"",IF(NOT(ISNA(VLOOKUP(E3729,E$1:E3728,1,FALSE()))),"OLD",IF(AND(E3729&lt;&gt;"",E3729&lt;&gt;"!!!"),"NEW","")))</f>
        <v> </v>
      </c>
      <c r="G3729" s="24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5" t="str">
        <f>IF(J3729&lt;&gt;1,"",IF(I3729="SBJ","CB","?"))</f>
        <v> </v>
      </c>
      <c r="I3729" s="26" t="str">
        <f>IF(OR(E3729="",E3729="!!!",F3729="NEW"),"",INDEX(B3728:B$2,-1+SUMPRODUCT(MAX(ROW(E3728:E$2)*(E3729=E3728:E$2)))))</f>
        <v> </v>
      </c>
      <c r="J3729" s="26" t="str">
        <f>IF(OR(E3729="",E3729="!!!",F3729="NEW"),"",COUNTBLANK(OFFSET(A$1,,,SUMPRODUCT(MAX(ROW(E$2:E3729)*(E3729=E$2:E3729)))))-COUNTBLANK(OFFSET(A$1,,,SUMPRODUCT(MAX(ROW(E$1:E3728)*(E2=E$1:E3728))))))</f>
        <v> </v>
      </c>
      <c r="K3729" s="26" t="str">
        <f>IF(OR(E3729="",E3729="!!!",F3729="NEW"),"",INDEX(J$1:J3728,SUMPRODUCT(MAX(ROW(E$1:E3728)*(E3729=E$1:E3728)))))</f>
        <v> </v>
      </c>
      <c r="L3729" s="27"/>
    </row>
    <row r="3730" spans="1:12">
      <c r="A3730" s="20" t="s">
        <v>1013</v>
      </c>
      <c r="E3730" s="22">
        <f>IF(D3730="?OLD","!!!","")</f>
        <v/>
      </c>
      <c r="F3730" s="23" t="str">
        <f>IF(OR(E3730="",E3730="!!!"),"",IF(NOT(ISNA(VLOOKUP(E3730,E$1:E3729,1,FALSE()))),"OLD",IF(AND(E3730&lt;&gt;"",E3730&lt;&gt;"!!!"),"NEW","")))</f>
        <v> </v>
      </c>
      <c r="G3730" s="24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5" t="str">
        <f>IF(J3730&lt;&gt;1,"",IF(I3730="SBJ","CB","?"))</f>
        <v> </v>
      </c>
      <c r="I3730" s="26" t="str">
        <f>IF(OR(E3730="",E3730="!!!",F3730="NEW"),"",INDEX(B3729:B$2,-1+SUMPRODUCT(MAX(ROW(E3729:E$2)*(E3730=E3729:E$2)))))</f>
        <v> </v>
      </c>
      <c r="J3730" s="26" t="str">
        <f>IF(OR(E3730="",E3730="!!!",F3730="NEW"),"",COUNTBLANK(OFFSET(A$1,,,SUMPRODUCT(MAX(ROW(E$2:E3730)*(E3730=E$2:E3730)))))-COUNTBLANK(OFFSET(A$1,,,SUMPRODUCT(MAX(ROW(E$1:E3729)*(E2=E$1:E3729))))))</f>
        <v> </v>
      </c>
      <c r="K3730" s="26" t="str">
        <f>IF(OR(E3730="",E3730="!!!",F3730="NEW"),"",INDEX(J$1:J3729,SUMPRODUCT(MAX(ROW(E$1:E3729)*(E3730=E$1:E3729)))))</f>
        <v> </v>
      </c>
      <c r="L3730" s="27"/>
    </row>
    <row r="3731" spans="1:12">
      <c r="A3731" s="20" t="s">
        <v>2223</v>
      </c>
      <c r="E3731" s="22">
        <f>IF(D3731="?OLD","!!!","")</f>
        <v/>
      </c>
      <c r="F3731" s="23" t="str">
        <f>IF(OR(E3731="",E3731="!!!"),"",IF(NOT(ISNA(VLOOKUP(E3731,E$1:E3730,1,FALSE()))),"OLD",IF(AND(E3731&lt;&gt;"",E3731&lt;&gt;"!!!"),"NEW","")))</f>
        <v> </v>
      </c>
      <c r="G3731" s="24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5" t="str">
        <f>IF(J3731&lt;&gt;1,"",IF(I3731="SBJ","CB","?"))</f>
        <v> </v>
      </c>
      <c r="I3731" s="26" t="str">
        <f>IF(OR(E3731="",E3731="!!!",F3731="NEW"),"",INDEX(B3730:B$2,-1+SUMPRODUCT(MAX(ROW(E3730:E$2)*(E3731=E3730:E$2)))))</f>
        <v> </v>
      </c>
      <c r="J3731" s="26" t="str">
        <f>IF(OR(E3731="",E3731="!!!",F3731="NEW"),"",COUNTBLANK(OFFSET(A$1,,,SUMPRODUCT(MAX(ROW(E$2:E3731)*(E3731=E$2:E3731)))))-COUNTBLANK(OFFSET(A$1,,,SUMPRODUCT(MAX(ROW(E$1:E3730)*(E2=E$1:E3730))))))</f>
        <v> </v>
      </c>
      <c r="K3731" s="26" t="str">
        <f>IF(OR(E3731="",E3731="!!!",F3731="NEW"),"",INDEX(J$1:J3730,SUMPRODUCT(MAX(ROW(E$1:E3730)*(E3731=E$1:E3730)))))</f>
        <v> </v>
      </c>
      <c r="L3731" s="27"/>
    </row>
    <row r="3732" spans="1:12">
      <c r="A3732" s="20" t="s">
        <v>2420</v>
      </c>
      <c r="B3732" s="21" t="s">
        <v>1087</v>
      </c>
      <c r="E3732" s="22">
        <f>IF(D3732="?OLD","!!!","")</f>
        <v/>
      </c>
      <c r="F3732" s="23" t="str">
        <f>IF(OR(E3732="",E3732="!!!"),"",IF(NOT(ISNA(VLOOKUP(E3732,E$1:E3731,1,FALSE()))),"OLD",IF(AND(E3732&lt;&gt;"",E3732&lt;&gt;"!!!"),"NEW","")))</f>
        <v> </v>
      </c>
      <c r="G3732" s="24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5" t="str">
        <f>IF(J3732&lt;&gt;1,"",IF(I3732="SBJ","CB","?"))</f>
        <v> </v>
      </c>
      <c r="I3732" s="26" t="str">
        <f>IF(OR(E3732="",E3732="!!!",F3732="NEW"),"",INDEX(B3731:B$2,-1+SUMPRODUCT(MAX(ROW(E3731:E$2)*(E3732=E3731:E$2)))))</f>
        <v> </v>
      </c>
      <c r="J3732" s="26" t="str">
        <f>IF(OR(E3732="",E3732="!!!",F3732="NEW"),"",COUNTBLANK(OFFSET(A$1,,,SUMPRODUCT(MAX(ROW(E$2:E3732)*(E3732=E$2:E3732)))))-COUNTBLANK(OFFSET(A$1,,,SUMPRODUCT(MAX(ROW(E$1:E3731)*(E2=E$1:E3731))))))</f>
        <v> </v>
      </c>
      <c r="K3732" s="26" t="str">
        <f>IF(OR(E3732="",E3732="!!!",F3732="NEW"),"",INDEX(J$1:J3731,SUMPRODUCT(MAX(ROW(E$1:E3731)*(E3732=E$1:E3731)))))</f>
        <v> </v>
      </c>
      <c r="L3732" s="27"/>
    </row>
    <row r="3733" spans="1:12">
      <c r="A3733" s="20" t="s">
        <v>2421</v>
      </c>
      <c r="E3733" s="22">
        <f>IF(D3733="?OLD","!!!","")</f>
        <v/>
      </c>
      <c r="F3733" s="23" t="str">
        <f>IF(OR(E3733="",E3733="!!!"),"",IF(NOT(ISNA(VLOOKUP(E3733,E$1:E3732,1,FALSE()))),"OLD",IF(AND(E3733&lt;&gt;"",E3733&lt;&gt;"!!!"),"NEW","")))</f>
        <v> </v>
      </c>
      <c r="G3733" s="24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5" t="str">
        <f>IF(J3733&lt;&gt;1,"",IF(I3733="SBJ","CB","?"))</f>
        <v> </v>
      </c>
      <c r="I3733" s="26" t="str">
        <f>IF(OR(E3733="",E3733="!!!",F3733="NEW"),"",INDEX(B3732:B$2,-1+SUMPRODUCT(MAX(ROW(E3732:E$2)*(E3733=E3732:E$2)))))</f>
        <v> </v>
      </c>
      <c r="J3733" s="26" t="str">
        <f>IF(OR(E3733="",E3733="!!!",F3733="NEW"),"",COUNTBLANK(OFFSET(A$1,,,SUMPRODUCT(MAX(ROW(E$2:E3733)*(E3733=E$2:E3733)))))-COUNTBLANK(OFFSET(A$1,,,SUMPRODUCT(MAX(ROW(E$1:E3732)*(E2=E$1:E3732))))))</f>
        <v> </v>
      </c>
      <c r="K3733" s="26" t="str">
        <f>IF(OR(E3733="",E3733="!!!",F3733="NEW"),"",INDEX(J$1:J3732,SUMPRODUCT(MAX(ROW(E$1:E3732)*(E3733=E$1:E3732)))))</f>
        <v> </v>
      </c>
      <c r="L3733" s="27"/>
    </row>
    <row r="3734" spans="1:12">
      <c r="A3734" s="20" t="s">
        <v>1013</v>
      </c>
      <c r="E3734" s="22">
        <f>IF(D3734="?OLD","!!!","")</f>
        <v/>
      </c>
      <c r="F3734" s="23" t="str">
        <f>IF(OR(E3734="",E3734="!!!"),"",IF(NOT(ISNA(VLOOKUP(E3734,E$1:E3733,1,FALSE()))),"OLD",IF(AND(E3734&lt;&gt;"",E3734&lt;&gt;"!!!"),"NEW","")))</f>
        <v> </v>
      </c>
      <c r="G3734" s="24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5" t="str">
        <f>IF(J3734&lt;&gt;1,"",IF(I3734="SBJ","CB","?"))</f>
        <v> </v>
      </c>
      <c r="I3734" s="26" t="str">
        <f>IF(OR(E3734="",E3734="!!!",F3734="NEW"),"",INDEX(B3733:B$2,-1+SUMPRODUCT(MAX(ROW(E3733:E$2)*(E3734=E3733:E$2)))))</f>
        <v> </v>
      </c>
      <c r="J3734" s="26" t="str">
        <f>IF(OR(E3734="",E3734="!!!",F3734="NEW"),"",COUNTBLANK(OFFSET(A$1,,,SUMPRODUCT(MAX(ROW(E$2:E3734)*(E3734=E$2:E3734)))))-COUNTBLANK(OFFSET(A$1,,,SUMPRODUCT(MAX(ROW(E$1:E3733)*(E2=E$1:E3733))))))</f>
        <v> </v>
      </c>
      <c r="K3734" s="26" t="str">
        <f>IF(OR(E3734="",E3734="!!!",F3734="NEW"),"",INDEX(J$1:J3733,SUMPRODUCT(MAX(ROW(E$1:E3733)*(E3734=E$1:E3733)))))</f>
        <v> </v>
      </c>
      <c r="L3734" s="27"/>
    </row>
    <row r="3735" spans="1:12">
      <c r="A3735" s="20" t="s">
        <v>1342</v>
      </c>
      <c r="E3735" s="22">
        <f>IF(D3735="?OLD","!!!","")</f>
        <v/>
      </c>
      <c r="F3735" s="23" t="str">
        <f>IF(OR(E3735="",E3735="!!!"),"",IF(NOT(ISNA(VLOOKUP(E3735,E$1:E3734,1,FALSE()))),"OLD",IF(AND(E3735&lt;&gt;"",E3735&lt;&gt;"!!!"),"NEW","")))</f>
        <v> </v>
      </c>
      <c r="G3735" s="24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5" t="str">
        <f>IF(J3735&lt;&gt;1,"",IF(I3735="SBJ","CB","?"))</f>
        <v> </v>
      </c>
      <c r="I3735" s="26" t="str">
        <f>IF(OR(E3735="",E3735="!!!",F3735="NEW"),"",INDEX(B3734:B$2,-1+SUMPRODUCT(MAX(ROW(E3734:E$2)*(E3735=E3734:E$2)))))</f>
        <v> </v>
      </c>
      <c r="J3735" s="26" t="str">
        <f>IF(OR(E3735="",E3735="!!!",F3735="NEW"),"",COUNTBLANK(OFFSET(A$1,,,SUMPRODUCT(MAX(ROW(E$2:E3735)*(E3735=E$2:E3735)))))-COUNTBLANK(OFFSET(A$1,,,SUMPRODUCT(MAX(ROW(E$1:E3734)*(E2=E$1:E3734))))))</f>
        <v> </v>
      </c>
      <c r="K3735" s="26" t="str">
        <f>IF(OR(E3735="",E3735="!!!",F3735="NEW"),"",INDEX(J$1:J3734,SUMPRODUCT(MAX(ROW(E$1:E3734)*(E3735=E$1:E3734)))))</f>
        <v> </v>
      </c>
      <c r="L3735" s="27"/>
    </row>
    <row r="3736" spans="1:12">
      <c r="A3736" s="20" t="s">
        <v>1428</v>
      </c>
      <c r="E3736" s="22">
        <f>IF(D3736="?OLD","!!!","")</f>
        <v/>
      </c>
      <c r="F3736" s="23" t="str">
        <f>IF(OR(E3736="",E3736="!!!"),"",IF(NOT(ISNA(VLOOKUP(E3736,E$1:E3735,1,FALSE()))),"OLD",IF(AND(E3736&lt;&gt;"",E3736&lt;&gt;"!!!"),"NEW","")))</f>
        <v> </v>
      </c>
      <c r="G3736" s="24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5" t="str">
        <f>IF(J3736&lt;&gt;1,"",IF(I3736="SBJ","CB","?"))</f>
        <v> </v>
      </c>
      <c r="I3736" s="26" t="str">
        <f>IF(OR(E3736="",E3736="!!!",F3736="NEW"),"",INDEX(B3735:B$2,-1+SUMPRODUCT(MAX(ROW(E3735:E$2)*(E3736=E3735:E$2)))))</f>
        <v> </v>
      </c>
      <c r="J3736" s="26" t="str">
        <f>IF(OR(E3736="",E3736="!!!",F3736="NEW"),"",COUNTBLANK(OFFSET(A$1,,,SUMPRODUCT(MAX(ROW(E$2:E3736)*(E3736=E$2:E3736)))))-COUNTBLANK(OFFSET(A$1,,,SUMPRODUCT(MAX(ROW(E$1:E3735)*(E2=E$1:E3735))))))</f>
        <v> </v>
      </c>
      <c r="K3736" s="26" t="str">
        <f>IF(OR(E3736="",E3736="!!!",F3736="NEW"),"",INDEX(J$1:J3735,SUMPRODUCT(MAX(ROW(E$1:E3735)*(E3736=E$1:E3735)))))</f>
        <v> </v>
      </c>
      <c r="L3736" s="27"/>
    </row>
    <row r="3737" spans="1:12">
      <c r="A3737" s="20" t="s">
        <v>2422</v>
      </c>
      <c r="E3737" s="22">
        <f>IF(D3737="?OLD","!!!","")</f>
        <v/>
      </c>
      <c r="F3737" s="23" t="str">
        <f>IF(OR(E3737="",E3737="!!!"),"",IF(NOT(ISNA(VLOOKUP(E3737,E$1:E3736,1,FALSE()))),"OLD",IF(AND(E3737&lt;&gt;"",E3737&lt;&gt;"!!!"),"NEW","")))</f>
        <v> </v>
      </c>
      <c r="G3737" s="24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5" t="str">
        <f>IF(J3737&lt;&gt;1,"",IF(I3737="SBJ","CB","?"))</f>
        <v> </v>
      </c>
      <c r="I3737" s="26" t="str">
        <f>IF(OR(E3737="",E3737="!!!",F3737="NEW"),"",INDEX(B3736:B$2,-1+SUMPRODUCT(MAX(ROW(E3736:E$2)*(E3737=E3736:E$2)))))</f>
        <v> </v>
      </c>
      <c r="J3737" s="26" t="str">
        <f>IF(OR(E3737="",E3737="!!!",F3737="NEW"),"",COUNTBLANK(OFFSET(A$1,,,SUMPRODUCT(MAX(ROW(E$2:E3737)*(E3737=E$2:E3737)))))-COUNTBLANK(OFFSET(A$1,,,SUMPRODUCT(MAX(ROW(E$1:E3736)*(E2=E$1:E3736))))))</f>
        <v> </v>
      </c>
      <c r="K3737" s="26" t="str">
        <f>IF(OR(E3737="",E3737="!!!",F3737="NEW"),"",INDEX(J$1:J3736,SUMPRODUCT(MAX(ROW(E$1:E3736)*(E3737=E$1:E3736)))))</f>
        <v> </v>
      </c>
      <c r="L3737" s="27"/>
    </row>
    <row r="3738" spans="1:12">
      <c r="A3738" s="20" t="s">
        <v>2332</v>
      </c>
      <c r="E3738" s="22">
        <f>IF(D3738="?OLD","!!!","")</f>
        <v/>
      </c>
      <c r="F3738" s="23" t="str">
        <f>IF(OR(E3738="",E3738="!!!"),"",IF(NOT(ISNA(VLOOKUP(E3738,E$1:E3737,1,FALSE()))),"OLD",IF(AND(E3738&lt;&gt;"",E3738&lt;&gt;"!!!"),"NEW","")))</f>
        <v> </v>
      </c>
      <c r="G3738" s="24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5" t="str">
        <f>IF(J3738&lt;&gt;1,"",IF(I3738="SBJ","CB","?"))</f>
        <v> </v>
      </c>
      <c r="I3738" s="26" t="str">
        <f>IF(OR(E3738="",E3738="!!!",F3738="NEW"),"",INDEX(B3737:B$2,-1+SUMPRODUCT(MAX(ROW(E3737:E$2)*(E3738=E3737:E$2)))))</f>
        <v> </v>
      </c>
      <c r="J3738" s="26" t="str">
        <f>IF(OR(E3738="",E3738="!!!",F3738="NEW"),"",COUNTBLANK(OFFSET(A$1,,,SUMPRODUCT(MAX(ROW(E$2:E3738)*(E3738=E$2:E3738)))))-COUNTBLANK(OFFSET(A$1,,,SUMPRODUCT(MAX(ROW(E$1:E3737)*(E2=E$1:E3737))))))</f>
        <v> </v>
      </c>
      <c r="K3738" s="26" t="str">
        <f>IF(OR(E3738="",E3738="!!!",F3738="NEW"),"",INDEX(J$1:J3737,SUMPRODUCT(MAX(ROW(E$1:E3737)*(E3738=E$1:E3737)))))</f>
        <v> </v>
      </c>
      <c r="L3738" s="27"/>
    </row>
    <row r="3739" spans="1:12">
      <c r="A3739" s="20" t="s">
        <v>979</v>
      </c>
      <c r="E3739" s="22">
        <f>IF(D3739="?OLD","!!!","")</f>
        <v/>
      </c>
      <c r="F3739" s="23" t="str">
        <f>IF(OR(E3739="",E3739="!!!"),"",IF(NOT(ISNA(VLOOKUP(E3739,E$1:E3738,1,FALSE()))),"OLD",IF(AND(E3739&lt;&gt;"",E3739&lt;&gt;"!!!"),"NEW","")))</f>
        <v> </v>
      </c>
      <c r="G3739" s="24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5" t="str">
        <f>IF(J3739&lt;&gt;1,"",IF(I3739="SBJ","CB","?"))</f>
        <v> </v>
      </c>
      <c r="I3739" s="26" t="str">
        <f>IF(OR(E3739="",E3739="!!!",F3739="NEW"),"",INDEX(B3738:B$2,-1+SUMPRODUCT(MAX(ROW(E3738:E$2)*(E3739=E3738:E$2)))))</f>
        <v> </v>
      </c>
      <c r="J3739" s="26" t="str">
        <f>IF(OR(E3739="",E3739="!!!",F3739="NEW"),"",COUNTBLANK(OFFSET(A$1,,,SUMPRODUCT(MAX(ROW(E$2:E3739)*(E3739=E$2:E3739)))))-COUNTBLANK(OFFSET(A$1,,,SUMPRODUCT(MAX(ROW(E$1:E3738)*(E2=E$1:E3738))))))</f>
        <v> </v>
      </c>
      <c r="K3739" s="26" t="str">
        <f>IF(OR(E3739="",E3739="!!!",F3739="NEW"),"",INDEX(J$1:J3738,SUMPRODUCT(MAX(ROW(E$1:E3738)*(E3739=E$1:E3738)))))</f>
        <v> </v>
      </c>
      <c r="L3739" s="27"/>
    </row>
    <row r="3740" spans="1:12">
      <c r="A3740" s="20"/>
    </row>
    <row r="3741" spans="1:12">
      <c r="A3741" s="20" t="s">
        <v>2423</v>
      </c>
    </row>
    <row r="3742" spans="1:12">
      <c r="A3742" s="20" t="s">
        <v>1348</v>
      </c>
      <c r="B3742" s="21" t="s">
        <v>975</v>
      </c>
      <c r="C3742" s="21" t="s">
        <v>971</v>
      </c>
      <c r="D3742" s="21" t="s">
        <v>972</v>
      </c>
      <c r="E3742" s="22">
        <f>IF(D3742="?OLD","!!!","")</f>
        <v/>
      </c>
      <c r="F3742" s="23" t="str">
        <f>IF(OR(E3742="",E3742="!!!"),"",IF(NOT(ISNA(VLOOKUP(E3742,E$1:E3741,1,FALSE()))),"OLD",IF(AND(E3742&lt;&gt;"",E3742&lt;&gt;"!!!"),"NEW","")))</f>
        <v> </v>
      </c>
      <c r="G3742" s="24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5" t="str">
        <f>IF(J3742&lt;&gt;1,"",IF(I3742="SBJ","CB","?"))</f>
        <v> </v>
      </c>
      <c r="I3742" s="26" t="str">
        <f>IF(OR(E3742="",E3742="!!!",F3742="NEW"),"",INDEX(B3741:B$2,-1+SUMPRODUCT(MAX(ROW(E3741:E$2)*(E3742=E3741:E$2)))))</f>
        <v> </v>
      </c>
      <c r="J3742" s="26" t="str">
        <f>IF(OR(E3742="",E3742="!!!",F3742="NEW"),"",COUNTBLANK(OFFSET(A$1,,,SUMPRODUCT(MAX(ROW(E$2:E3742)*(E3742=E$2:E3742)))))-COUNTBLANK(OFFSET(A$1,,,SUMPRODUCT(MAX(ROW(E$1:E3741)*(E2=E$1:E3741))))))</f>
        <v> </v>
      </c>
      <c r="K3742" s="26" t="str">
        <f>IF(OR(E3742="",E3742="!!!",F3742="NEW"),"",INDEX(J$1:J3741,SUMPRODUCT(MAX(ROW(E$1:E3741)*(E3742=E$1:E3741)))))</f>
        <v> </v>
      </c>
      <c r="L3742" s="27"/>
    </row>
    <row r="3743" spans="1:12">
      <c r="A3743" s="20" t="s">
        <v>2424</v>
      </c>
      <c r="E3743" s="22">
        <f>IF(D3743="?OLD","!!!","")</f>
        <v/>
      </c>
      <c r="F3743" s="23" t="str">
        <f>IF(OR(E3743="",E3743="!!!"),"",IF(NOT(ISNA(VLOOKUP(E3743,E$1:E3742,1,FALSE()))),"OLD",IF(AND(E3743&lt;&gt;"",E3743&lt;&gt;"!!!"),"NEW","")))</f>
        <v> </v>
      </c>
      <c r="G3743" s="24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5" t="str">
        <f>IF(J3743&lt;&gt;1,"",IF(I3743="SBJ","CB","?"))</f>
        <v> </v>
      </c>
      <c r="I3743" s="26" t="str">
        <f>IF(OR(E3743="",E3743="!!!",F3743="NEW"),"",INDEX(B3742:B$2,-1+SUMPRODUCT(MAX(ROW(E3742:E$2)*(E3743=E3742:E$2)))))</f>
        <v> </v>
      </c>
      <c r="J3743" s="26" t="str">
        <f>IF(OR(E3743="",E3743="!!!",F3743="NEW"),"",COUNTBLANK(OFFSET(A$1,,,SUMPRODUCT(MAX(ROW(E$2:E3743)*(E3743=E$2:E3743)))))-COUNTBLANK(OFFSET(A$1,,,SUMPRODUCT(MAX(ROW(E$1:E3742)*(E2=E$1:E3742))))))</f>
        <v> </v>
      </c>
      <c r="K3743" s="26" t="str">
        <f>IF(OR(E3743="",E3743="!!!",F3743="NEW"),"",INDEX(J$1:J3742,SUMPRODUCT(MAX(ROW(E$1:E3742)*(E3743=E$1:E3742)))))</f>
        <v> </v>
      </c>
      <c r="L3743" s="27"/>
    </row>
    <row r="3744" spans="1:12">
      <c r="A3744" s="20" t="s">
        <v>1630</v>
      </c>
      <c r="B3744" s="21" t="s">
        <v>970</v>
      </c>
      <c r="E3744" s="22">
        <f>IF(D3744="?OLD","!!!","")</f>
        <v/>
      </c>
      <c r="F3744" s="23" t="str">
        <f>IF(OR(E3744="",E3744="!!!"),"",IF(NOT(ISNA(VLOOKUP(E3744,E$1:E3743,1,FALSE()))),"OLD",IF(AND(E3744&lt;&gt;"",E3744&lt;&gt;"!!!"),"NEW","")))</f>
        <v> </v>
      </c>
      <c r="G3744" s="24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5" t="str">
        <f>IF(J3744&lt;&gt;1,"",IF(I3744="SBJ","CB","?"))</f>
        <v> </v>
      </c>
      <c r="I3744" s="26" t="str">
        <f>IF(OR(E3744="",E3744="!!!",F3744="NEW"),"",INDEX(B3743:B$2,-1+SUMPRODUCT(MAX(ROW(E3743:E$2)*(E3744=E3743:E$2)))))</f>
        <v> </v>
      </c>
      <c r="J3744" s="26" t="str">
        <f>IF(OR(E3744="",E3744="!!!",F3744="NEW"),"",COUNTBLANK(OFFSET(A$1,,,SUMPRODUCT(MAX(ROW(E$2:E3744)*(E3744=E$2:E3744)))))-COUNTBLANK(OFFSET(A$1,,,SUMPRODUCT(MAX(ROW(E$1:E3743)*(E2=E$1:E3743))))))</f>
        <v> </v>
      </c>
      <c r="K3744" s="26" t="str">
        <f>IF(OR(E3744="",E3744="!!!",F3744="NEW"),"",INDEX(J$1:J3743,SUMPRODUCT(MAX(ROW(E$1:E3743)*(E3744=E$1:E3743)))))</f>
        <v> </v>
      </c>
      <c r="L3744" s="27"/>
    </row>
    <row r="3745" spans="1:12">
      <c r="A3745" s="20" t="s">
        <v>2425</v>
      </c>
      <c r="E3745" s="22">
        <f>IF(D3745="?OLD","!!!","")</f>
        <v/>
      </c>
      <c r="F3745" s="23" t="str">
        <f>IF(OR(E3745="",E3745="!!!"),"",IF(NOT(ISNA(VLOOKUP(E3745,E$1:E3744,1,FALSE()))),"OLD",IF(AND(E3745&lt;&gt;"",E3745&lt;&gt;"!!!"),"NEW","")))</f>
        <v> </v>
      </c>
      <c r="G3745" s="24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5" t="str">
        <f>IF(J3745&lt;&gt;1,"",IF(I3745="SBJ","CB","?"))</f>
        <v> </v>
      </c>
      <c r="I3745" s="26" t="str">
        <f>IF(OR(E3745="",E3745="!!!",F3745="NEW"),"",INDEX(B3744:B$2,-1+SUMPRODUCT(MAX(ROW(E3744:E$2)*(E3745=E3744:E$2)))))</f>
        <v> </v>
      </c>
      <c r="J3745" s="26" t="str">
        <f>IF(OR(E3745="",E3745="!!!",F3745="NEW"),"",COUNTBLANK(OFFSET(A$1,,,SUMPRODUCT(MAX(ROW(E$2:E3745)*(E3745=E$2:E3745)))))-COUNTBLANK(OFFSET(A$1,,,SUMPRODUCT(MAX(ROW(E$1:E3744)*(E2=E$1:E3744))))))</f>
        <v> </v>
      </c>
      <c r="K3745" s="26" t="str">
        <f>IF(OR(E3745="",E3745="!!!",F3745="NEW"),"",INDEX(J$1:J3744,SUMPRODUCT(MAX(ROW(E$1:E3744)*(E3745=E$1:E3744)))))</f>
        <v> </v>
      </c>
      <c r="L3745" s="27"/>
    </row>
    <row r="3746" spans="1:12">
      <c r="A3746" s="20" t="s">
        <v>2426</v>
      </c>
      <c r="E3746" s="22">
        <f>IF(D3746="?OLD","!!!","")</f>
        <v/>
      </c>
      <c r="F3746" s="23" t="str">
        <f>IF(OR(E3746="",E3746="!!!"),"",IF(NOT(ISNA(VLOOKUP(E3746,E$1:E3745,1,FALSE()))),"OLD",IF(AND(E3746&lt;&gt;"",E3746&lt;&gt;"!!!"),"NEW","")))</f>
        <v> </v>
      </c>
      <c r="G3746" s="24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5" t="str">
        <f>IF(J3746&lt;&gt;1,"",IF(I3746="SBJ","CB","?"))</f>
        <v> </v>
      </c>
      <c r="I3746" s="26" t="str">
        <f>IF(OR(E3746="",E3746="!!!",F3746="NEW"),"",INDEX(B3745:B$2,-1+SUMPRODUCT(MAX(ROW(E3745:E$2)*(E3746=E3745:E$2)))))</f>
        <v> </v>
      </c>
      <c r="J3746" s="26" t="str">
        <f>IF(OR(E3746="",E3746="!!!",F3746="NEW"),"",COUNTBLANK(OFFSET(A$1,,,SUMPRODUCT(MAX(ROW(E$2:E3746)*(E3746=E$2:E3746)))))-COUNTBLANK(OFFSET(A$1,,,SUMPRODUCT(MAX(ROW(E$1:E3745)*(E2=E$1:E3745))))))</f>
        <v> </v>
      </c>
      <c r="K3746" s="26" t="str">
        <f>IF(OR(E3746="",E3746="!!!",F3746="NEW"),"",INDEX(J$1:J3745,SUMPRODUCT(MAX(ROW(E$1:E3745)*(E3746=E$1:E3745)))))</f>
        <v> </v>
      </c>
      <c r="L3746" s="27"/>
    </row>
    <row r="3747" spans="1:12">
      <c r="A3747" s="20" t="s">
        <v>2427</v>
      </c>
      <c r="E3747" s="22">
        <f>IF(D3747="?OLD","!!!","")</f>
        <v/>
      </c>
      <c r="F3747" s="23" t="str">
        <f>IF(OR(E3747="",E3747="!!!"),"",IF(NOT(ISNA(VLOOKUP(E3747,E$1:E3746,1,FALSE()))),"OLD",IF(AND(E3747&lt;&gt;"",E3747&lt;&gt;"!!!"),"NEW","")))</f>
        <v> </v>
      </c>
      <c r="G3747" s="24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5" t="str">
        <f>IF(J3747&lt;&gt;1,"",IF(I3747="SBJ","CB","?"))</f>
        <v> </v>
      </c>
      <c r="I3747" s="26" t="str">
        <f>IF(OR(E3747="",E3747="!!!",F3747="NEW"),"",INDEX(B3746:B$2,-1+SUMPRODUCT(MAX(ROW(E3746:E$2)*(E3747=E3746:E$2)))))</f>
        <v> </v>
      </c>
      <c r="J3747" s="26" t="str">
        <f>IF(OR(E3747="",E3747="!!!",F3747="NEW"),"",COUNTBLANK(OFFSET(A$1,,,SUMPRODUCT(MAX(ROW(E$2:E3747)*(E3747=E$2:E3747)))))-COUNTBLANK(OFFSET(A$1,,,SUMPRODUCT(MAX(ROW(E$1:E3746)*(E2=E$1:E3746))))))</f>
        <v> </v>
      </c>
      <c r="K3747" s="26" t="str">
        <f>IF(OR(E3747="",E3747="!!!",F3747="NEW"),"",INDEX(J$1:J3746,SUMPRODUCT(MAX(ROW(E$1:E3746)*(E3747=E$1:E3746)))))</f>
        <v> </v>
      </c>
      <c r="L3747" s="27"/>
    </row>
    <row r="3748" spans="1:12">
      <c r="A3748" s="20" t="s">
        <v>1401</v>
      </c>
      <c r="E3748" s="22">
        <f>IF(D3748="?OLD","!!!","")</f>
        <v/>
      </c>
      <c r="F3748" s="23" t="str">
        <f>IF(OR(E3748="",E3748="!!!"),"",IF(NOT(ISNA(VLOOKUP(E3748,E$1:E3747,1,FALSE()))),"OLD",IF(AND(E3748&lt;&gt;"",E3748&lt;&gt;"!!!"),"NEW","")))</f>
        <v> </v>
      </c>
      <c r="G3748" s="24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5" t="str">
        <f>IF(J3748&lt;&gt;1,"",IF(I3748="SBJ","CB","?"))</f>
        <v> </v>
      </c>
      <c r="I3748" s="26" t="str">
        <f>IF(OR(E3748="",E3748="!!!",F3748="NEW"),"",INDEX(B3747:B$2,-1+SUMPRODUCT(MAX(ROW(E3747:E$2)*(E3748=E3747:E$2)))))</f>
        <v> </v>
      </c>
      <c r="J3748" s="26" t="str">
        <f>IF(OR(E3748="",E3748="!!!",F3748="NEW"),"",COUNTBLANK(OFFSET(A$1,,,SUMPRODUCT(MAX(ROW(E$2:E3748)*(E3748=E$2:E3748)))))-COUNTBLANK(OFFSET(A$1,,,SUMPRODUCT(MAX(ROW(E$1:E3747)*(E2=E$1:E3747))))))</f>
        <v> </v>
      </c>
      <c r="K3748" s="26" t="str">
        <f>IF(OR(E3748="",E3748="!!!",F3748="NEW"),"",INDEX(J$1:J3747,SUMPRODUCT(MAX(ROW(E$1:E3747)*(E3748=E$1:E3747)))))</f>
        <v> </v>
      </c>
      <c r="L3748" s="27"/>
    </row>
    <row r="3749" spans="1:12">
      <c r="A3749" s="20" t="s">
        <v>2428</v>
      </c>
      <c r="E3749" s="22">
        <f>IF(D3749="?OLD","!!!","")</f>
        <v/>
      </c>
      <c r="F3749" s="23" t="str">
        <f>IF(OR(E3749="",E3749="!!!"),"",IF(NOT(ISNA(VLOOKUP(E3749,E$1:E3748,1,FALSE()))),"OLD",IF(AND(E3749&lt;&gt;"",E3749&lt;&gt;"!!!"),"NEW","")))</f>
        <v> </v>
      </c>
      <c r="G3749" s="24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5" t="str">
        <f>IF(J3749&lt;&gt;1,"",IF(I3749="SBJ","CB","?"))</f>
        <v> </v>
      </c>
      <c r="I3749" s="26" t="str">
        <f>IF(OR(E3749="",E3749="!!!",F3749="NEW"),"",INDEX(B3748:B$2,-1+SUMPRODUCT(MAX(ROW(E3748:E$2)*(E3749=E3748:E$2)))))</f>
        <v> </v>
      </c>
      <c r="J3749" s="26" t="str">
        <f>IF(OR(E3749="",E3749="!!!",F3749="NEW"),"",COUNTBLANK(OFFSET(A$1,,,SUMPRODUCT(MAX(ROW(E$2:E3749)*(E3749=E$2:E3749)))))-COUNTBLANK(OFFSET(A$1,,,SUMPRODUCT(MAX(ROW(E$1:E3748)*(E2=E$1:E3748))))))</f>
        <v> </v>
      </c>
      <c r="K3749" s="26" t="str">
        <f>IF(OR(E3749="",E3749="!!!",F3749="NEW"),"",INDEX(J$1:J3748,SUMPRODUCT(MAX(ROW(E$1:E3748)*(E3749=E$1:E3748)))))</f>
        <v> </v>
      </c>
      <c r="L3749" s="27"/>
    </row>
    <row r="3750" spans="1:12">
      <c r="A3750" s="20" t="s">
        <v>2429</v>
      </c>
      <c r="E3750" s="22">
        <f>IF(D3750="?OLD","!!!","")</f>
        <v/>
      </c>
      <c r="F3750" s="23" t="str">
        <f>IF(OR(E3750="",E3750="!!!"),"",IF(NOT(ISNA(VLOOKUP(E3750,E$1:E3749,1,FALSE()))),"OLD",IF(AND(E3750&lt;&gt;"",E3750&lt;&gt;"!!!"),"NEW","")))</f>
        <v> </v>
      </c>
      <c r="G3750" s="24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5" t="str">
        <f>IF(J3750&lt;&gt;1,"",IF(I3750="SBJ","CB","?"))</f>
        <v> </v>
      </c>
      <c r="I3750" s="26" t="str">
        <f>IF(OR(E3750="",E3750="!!!",F3750="NEW"),"",INDEX(B3749:B$2,-1+SUMPRODUCT(MAX(ROW(E3749:E$2)*(E3750=E3749:E$2)))))</f>
        <v> </v>
      </c>
      <c r="J3750" s="26" t="str">
        <f>IF(OR(E3750="",E3750="!!!",F3750="NEW"),"",COUNTBLANK(OFFSET(A$1,,,SUMPRODUCT(MAX(ROW(E$2:E3750)*(E3750=E$2:E3750)))))-COUNTBLANK(OFFSET(A$1,,,SUMPRODUCT(MAX(ROW(E$1:E3749)*(E2=E$1:E3749))))))</f>
        <v> </v>
      </c>
      <c r="K3750" s="26" t="str">
        <f>IF(OR(E3750="",E3750="!!!",F3750="NEW"),"",INDEX(J$1:J3749,SUMPRODUCT(MAX(ROW(E$1:E3749)*(E3750=E$1:E3749)))))</f>
        <v> </v>
      </c>
      <c r="L3750" s="27"/>
    </row>
    <row r="3751" spans="1:12">
      <c r="A3751" s="20" t="s">
        <v>1013</v>
      </c>
      <c r="E3751" s="22">
        <f>IF(D3751="?OLD","!!!","")</f>
        <v/>
      </c>
      <c r="F3751" s="23" t="str">
        <f>IF(OR(E3751="",E3751="!!!"),"",IF(NOT(ISNA(VLOOKUP(E3751,E$1:E3750,1,FALSE()))),"OLD",IF(AND(E3751&lt;&gt;"",E3751&lt;&gt;"!!!"),"NEW","")))</f>
        <v> </v>
      </c>
      <c r="G3751" s="24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5" t="str">
        <f>IF(J3751&lt;&gt;1,"",IF(I3751="SBJ","CB","?"))</f>
        <v> </v>
      </c>
      <c r="I3751" s="26" t="str">
        <f>IF(OR(E3751="",E3751="!!!",F3751="NEW"),"",INDEX(B3750:B$2,-1+SUMPRODUCT(MAX(ROW(E3750:E$2)*(E3751=E3750:E$2)))))</f>
        <v> </v>
      </c>
      <c r="J3751" s="26" t="str">
        <f>IF(OR(E3751="",E3751="!!!",F3751="NEW"),"",COUNTBLANK(OFFSET(A$1,,,SUMPRODUCT(MAX(ROW(E$2:E3751)*(E3751=E$2:E3751)))))-COUNTBLANK(OFFSET(A$1,,,SUMPRODUCT(MAX(ROW(E$1:E3750)*(E2=E$1:E3750))))))</f>
        <v> </v>
      </c>
      <c r="K3751" s="26" t="str">
        <f>IF(OR(E3751="",E3751="!!!",F3751="NEW"),"",INDEX(J$1:J3750,SUMPRODUCT(MAX(ROW(E$1:E3750)*(E3751=E$1:E3750)))))</f>
        <v> </v>
      </c>
      <c r="L3751" s="27"/>
    </row>
    <row r="3752" spans="1:12">
      <c r="A3752" s="20" t="s">
        <v>2430</v>
      </c>
      <c r="B3752" s="21" t="s">
        <v>1101</v>
      </c>
      <c r="E3752" s="22">
        <f>IF(D3752="?OLD","!!!","")</f>
        <v/>
      </c>
      <c r="F3752" s="23" t="str">
        <f>IF(OR(E3752="",E3752="!!!"),"",IF(NOT(ISNA(VLOOKUP(E3752,E$1:E3751,1,FALSE()))),"OLD",IF(AND(E3752&lt;&gt;"",E3752&lt;&gt;"!!!"),"NEW","")))</f>
        <v> </v>
      </c>
      <c r="G3752" s="24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5" t="str">
        <f>IF(J3752&lt;&gt;1,"",IF(I3752="SBJ","CB","?"))</f>
        <v> </v>
      </c>
      <c r="I3752" s="26" t="str">
        <f>IF(OR(E3752="",E3752="!!!",F3752="NEW"),"",INDEX(B3751:B$2,-1+SUMPRODUCT(MAX(ROW(E3751:E$2)*(E3752=E3751:E$2)))))</f>
        <v> </v>
      </c>
      <c r="J3752" s="26" t="str">
        <f>IF(OR(E3752="",E3752="!!!",F3752="NEW"),"",COUNTBLANK(OFFSET(A$1,,,SUMPRODUCT(MAX(ROW(E$2:E3752)*(E3752=E$2:E3752)))))-COUNTBLANK(OFFSET(A$1,,,SUMPRODUCT(MAX(ROW(E$1:E3751)*(E2=E$1:E3751))))))</f>
        <v> </v>
      </c>
      <c r="K3752" s="26" t="str">
        <f>IF(OR(E3752="",E3752="!!!",F3752="NEW"),"",INDEX(J$1:J3751,SUMPRODUCT(MAX(ROW(E$1:E3751)*(E3752=E$1:E3751)))))</f>
        <v> </v>
      </c>
      <c r="L3752" s="27"/>
    </row>
    <row r="3753" spans="1:12">
      <c r="A3753" s="20" t="s">
        <v>2431</v>
      </c>
      <c r="E3753" s="22">
        <f>IF(D3753="?OLD","!!!","")</f>
        <v/>
      </c>
      <c r="F3753" s="23" t="str">
        <f>IF(OR(E3753="",E3753="!!!"),"",IF(NOT(ISNA(VLOOKUP(E3753,E$1:E3752,1,FALSE()))),"OLD",IF(AND(E3753&lt;&gt;"",E3753&lt;&gt;"!!!"),"NEW","")))</f>
        <v> </v>
      </c>
      <c r="G3753" s="24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5" t="str">
        <f>IF(J3753&lt;&gt;1,"",IF(I3753="SBJ","CB","?"))</f>
        <v> </v>
      </c>
      <c r="I3753" s="26" t="str">
        <f>IF(OR(E3753="",E3753="!!!",F3753="NEW"),"",INDEX(B3752:B$2,-1+SUMPRODUCT(MAX(ROW(E3752:E$2)*(E3753=E3752:E$2)))))</f>
        <v> </v>
      </c>
      <c r="J3753" s="26" t="str">
        <f>IF(OR(E3753="",E3753="!!!",F3753="NEW"),"",COUNTBLANK(OFFSET(A$1,,,SUMPRODUCT(MAX(ROW(E$2:E3753)*(E3753=E$2:E3753)))))-COUNTBLANK(OFFSET(A$1,,,SUMPRODUCT(MAX(ROW(E$1:E3752)*(E2=E$1:E3752))))))</f>
        <v> </v>
      </c>
      <c r="K3753" s="26" t="str">
        <f>IF(OR(E3753="",E3753="!!!",F3753="NEW"),"",INDEX(J$1:J3752,SUMPRODUCT(MAX(ROW(E$1:E3752)*(E3753=E$1:E3752)))))</f>
        <v> </v>
      </c>
      <c r="L3753" s="27"/>
    </row>
    <row r="3754" spans="1:12">
      <c r="A3754" s="20" t="s">
        <v>1013</v>
      </c>
      <c r="E3754" s="22">
        <f>IF(D3754="?OLD","!!!","")</f>
        <v/>
      </c>
      <c r="F3754" s="23" t="str">
        <f>IF(OR(E3754="",E3754="!!!"),"",IF(NOT(ISNA(VLOOKUP(E3754,E$1:E3753,1,FALSE()))),"OLD",IF(AND(E3754&lt;&gt;"",E3754&lt;&gt;"!!!"),"NEW","")))</f>
        <v> </v>
      </c>
      <c r="G3754" s="24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5" t="str">
        <f>IF(J3754&lt;&gt;1,"",IF(I3754="SBJ","CB","?"))</f>
        <v> </v>
      </c>
      <c r="I3754" s="26" t="str">
        <f>IF(OR(E3754="",E3754="!!!",F3754="NEW"),"",INDEX(B3753:B$2,-1+SUMPRODUCT(MAX(ROW(E3753:E$2)*(E3754=E3753:E$2)))))</f>
        <v> </v>
      </c>
      <c r="J3754" s="26" t="str">
        <f>IF(OR(E3754="",E3754="!!!",F3754="NEW"),"",COUNTBLANK(OFFSET(A$1,,,SUMPRODUCT(MAX(ROW(E$2:E3754)*(E3754=E$2:E3754)))))-COUNTBLANK(OFFSET(A$1,,,SUMPRODUCT(MAX(ROW(E$1:E3753)*(E2=E$1:E3753))))))</f>
        <v> </v>
      </c>
      <c r="K3754" s="26" t="str">
        <f>IF(OR(E3754="",E3754="!!!",F3754="NEW"),"",INDEX(J$1:J3753,SUMPRODUCT(MAX(ROW(E$1:E3753)*(E3754=E$1:E3753)))))</f>
        <v> </v>
      </c>
      <c r="L3754" s="27"/>
    </row>
    <row r="3755" spans="1:12">
      <c r="A3755" s="20" t="s">
        <v>149</v>
      </c>
      <c r="E3755" s="22">
        <f>IF(D3755="?OLD","!!!","")</f>
        <v/>
      </c>
      <c r="F3755" s="23" t="str">
        <f>IF(OR(E3755="",E3755="!!!"),"",IF(NOT(ISNA(VLOOKUP(E3755,E$1:E3754,1,FALSE()))),"OLD",IF(AND(E3755&lt;&gt;"",E3755&lt;&gt;"!!!"),"NEW","")))</f>
        <v> </v>
      </c>
      <c r="G3755" s="24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5" t="str">
        <f>IF(J3755&lt;&gt;1,"",IF(I3755="SBJ","CB","?"))</f>
        <v> </v>
      </c>
      <c r="I3755" s="26" t="str">
        <f>IF(OR(E3755="",E3755="!!!",F3755="NEW"),"",INDEX(B3754:B$2,-1+SUMPRODUCT(MAX(ROW(E3754:E$2)*(E3755=E3754:E$2)))))</f>
        <v> </v>
      </c>
      <c r="J3755" s="26" t="str">
        <f>IF(OR(E3755="",E3755="!!!",F3755="NEW"),"",COUNTBLANK(OFFSET(A$1,,,SUMPRODUCT(MAX(ROW(E$2:E3755)*(E3755=E$2:E3755)))))-COUNTBLANK(OFFSET(A$1,,,SUMPRODUCT(MAX(ROW(E$1:E3754)*(E2=E$1:E3754))))))</f>
        <v> </v>
      </c>
      <c r="K3755" s="26" t="str">
        <f>IF(OR(E3755="",E3755="!!!",F3755="NEW"),"",INDEX(J$1:J3754,SUMPRODUCT(MAX(ROW(E$1:E3754)*(E3755=E$1:E3754)))))</f>
        <v> </v>
      </c>
      <c r="L3755" s="27"/>
    </row>
    <row r="3756" spans="1:12">
      <c r="A3756" s="20" t="s">
        <v>2432</v>
      </c>
      <c r="B3756" s="21" t="s">
        <v>1003</v>
      </c>
      <c r="E3756" s="22">
        <f>IF(D3756="?OLD","!!!","")</f>
        <v/>
      </c>
      <c r="F3756" s="23" t="str">
        <f>IF(OR(E3756="",E3756="!!!"),"",IF(NOT(ISNA(VLOOKUP(E3756,E$1:E3755,1,FALSE()))),"OLD",IF(AND(E3756&lt;&gt;"",E3756&lt;&gt;"!!!"),"NEW","")))</f>
        <v> </v>
      </c>
      <c r="G3756" s="24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5" t="str">
        <f>IF(J3756&lt;&gt;1,"",IF(I3756="SBJ","CB","?"))</f>
        <v> </v>
      </c>
      <c r="I3756" s="26" t="str">
        <f>IF(OR(E3756="",E3756="!!!",F3756="NEW"),"",INDEX(B3755:B$2,-1+SUMPRODUCT(MAX(ROW(E3755:E$2)*(E3756=E3755:E$2)))))</f>
        <v> </v>
      </c>
      <c r="J3756" s="26" t="str">
        <f>IF(OR(E3756="",E3756="!!!",F3756="NEW"),"",COUNTBLANK(OFFSET(A$1,,,SUMPRODUCT(MAX(ROW(E$2:E3756)*(E3756=E$2:E3756)))))-COUNTBLANK(OFFSET(A$1,,,SUMPRODUCT(MAX(ROW(E$1:E3755)*(E2=E$1:E3755))))))</f>
        <v> </v>
      </c>
      <c r="K3756" s="26" t="str">
        <f>IF(OR(E3756="",E3756="!!!",F3756="NEW"),"",INDEX(J$1:J3755,SUMPRODUCT(MAX(ROW(E$1:E3755)*(E3756=E$1:E3755)))))</f>
        <v> </v>
      </c>
      <c r="L3756" s="27"/>
    </row>
    <row r="3757" spans="1:12">
      <c r="A3757" s="20" t="s">
        <v>2433</v>
      </c>
      <c r="E3757" s="22">
        <f>IF(D3757="?OLD","!!!","")</f>
        <v/>
      </c>
      <c r="F3757" s="23" t="str">
        <f>IF(OR(E3757="",E3757="!!!"),"",IF(NOT(ISNA(VLOOKUP(E3757,E$1:E3756,1,FALSE()))),"OLD",IF(AND(E3757&lt;&gt;"",E3757&lt;&gt;"!!!"),"NEW","")))</f>
        <v> </v>
      </c>
      <c r="G3757" s="24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5" t="str">
        <f>IF(J3757&lt;&gt;1,"",IF(I3757="SBJ","CB","?"))</f>
        <v> </v>
      </c>
      <c r="I3757" s="26" t="str">
        <f>IF(OR(E3757="",E3757="!!!",F3757="NEW"),"",INDEX(B3756:B$2,-1+SUMPRODUCT(MAX(ROW(E3756:E$2)*(E3757=E3756:E$2)))))</f>
        <v> </v>
      </c>
      <c r="J3757" s="26" t="str">
        <f>IF(OR(E3757="",E3757="!!!",F3757="NEW"),"",COUNTBLANK(OFFSET(A$1,,,SUMPRODUCT(MAX(ROW(E$2:E3757)*(E3757=E$2:E3757)))))-COUNTBLANK(OFFSET(A$1,,,SUMPRODUCT(MAX(ROW(E$1:E3756)*(E2=E$1:E3756))))))</f>
        <v> </v>
      </c>
      <c r="K3757" s="26" t="str">
        <f>IF(OR(E3757="",E3757="!!!",F3757="NEW"),"",INDEX(J$1:J3756,SUMPRODUCT(MAX(ROW(E$1:E3756)*(E3757=E$1:E3756)))))</f>
        <v> </v>
      </c>
      <c r="L3757" s="27"/>
    </row>
    <row r="3758" spans="1:12">
      <c r="A3758" s="20" t="s">
        <v>1998</v>
      </c>
      <c r="E3758" s="22">
        <f>IF(D3758="?OLD","!!!","")</f>
        <v/>
      </c>
      <c r="F3758" s="23" t="str">
        <f>IF(OR(E3758="",E3758="!!!"),"",IF(NOT(ISNA(VLOOKUP(E3758,E$1:E3757,1,FALSE()))),"OLD",IF(AND(E3758&lt;&gt;"",E3758&lt;&gt;"!!!"),"NEW","")))</f>
        <v> </v>
      </c>
      <c r="G3758" s="24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5" t="str">
        <f>IF(J3758&lt;&gt;1,"",IF(I3758="SBJ","CB","?"))</f>
        <v> </v>
      </c>
      <c r="I3758" s="26" t="str">
        <f>IF(OR(E3758="",E3758="!!!",F3758="NEW"),"",INDEX(B3757:B$2,-1+SUMPRODUCT(MAX(ROW(E3757:E$2)*(E3758=E3757:E$2)))))</f>
        <v> </v>
      </c>
      <c r="J3758" s="26" t="str">
        <f>IF(OR(E3758="",E3758="!!!",F3758="NEW"),"",COUNTBLANK(OFFSET(A$1,,,SUMPRODUCT(MAX(ROW(E$2:E3758)*(E3758=E$2:E3758)))))-COUNTBLANK(OFFSET(A$1,,,SUMPRODUCT(MAX(ROW(E$1:E3757)*(E2=E$1:E3757))))))</f>
        <v> </v>
      </c>
      <c r="K3758" s="26" t="str">
        <f>IF(OR(E3758="",E3758="!!!",F3758="NEW"),"",INDEX(J$1:J3757,SUMPRODUCT(MAX(ROW(E$1:E3757)*(E3758=E$1:E3757)))))</f>
        <v> </v>
      </c>
      <c r="L3758" s="27"/>
    </row>
    <row r="3759" spans="1:12">
      <c r="A3759" s="20" t="s">
        <v>98</v>
      </c>
      <c r="E3759" s="22">
        <f>IF(D3759="?OLD","!!!","")</f>
        <v/>
      </c>
      <c r="F3759" s="23" t="str">
        <f>IF(OR(E3759="",E3759="!!!"),"",IF(NOT(ISNA(VLOOKUP(E3759,E$1:E3758,1,FALSE()))),"OLD",IF(AND(E3759&lt;&gt;"",E3759&lt;&gt;"!!!"),"NEW","")))</f>
        <v> </v>
      </c>
      <c r="G3759" s="24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5" t="str">
        <f>IF(J3759&lt;&gt;1,"",IF(I3759="SBJ","CB","?"))</f>
        <v> </v>
      </c>
      <c r="I3759" s="26" t="str">
        <f>IF(OR(E3759="",E3759="!!!",F3759="NEW"),"",INDEX(B3758:B$2,-1+SUMPRODUCT(MAX(ROW(E3758:E$2)*(E3759=E3758:E$2)))))</f>
        <v> </v>
      </c>
      <c r="J3759" s="26" t="str">
        <f>IF(OR(E3759="",E3759="!!!",F3759="NEW"),"",COUNTBLANK(OFFSET(A$1,,,SUMPRODUCT(MAX(ROW(E$2:E3759)*(E3759=E$2:E3759)))))-COUNTBLANK(OFFSET(A$1,,,SUMPRODUCT(MAX(ROW(E$1:E3758)*(E2=E$1:E3758))))))</f>
        <v> </v>
      </c>
      <c r="K3759" s="26" t="str">
        <f>IF(OR(E3759="",E3759="!!!",F3759="NEW"),"",INDEX(J$1:J3758,SUMPRODUCT(MAX(ROW(E$1:E3758)*(E3759=E$1:E3758)))))</f>
        <v> </v>
      </c>
      <c r="L3759" s="27"/>
    </row>
    <row r="3760" spans="1:12">
      <c r="A3760" s="20" t="s">
        <v>1678</v>
      </c>
      <c r="B3760" s="21" t="s">
        <v>1093</v>
      </c>
      <c r="C3760" s="21" t="s">
        <v>991</v>
      </c>
      <c r="E3760" s="22">
        <f>IF(D3760="?OLD","!!!","")</f>
        <v/>
      </c>
      <c r="F3760" s="23" t="str">
        <f>IF(OR(E3760="",E3760="!!!"),"",IF(NOT(ISNA(VLOOKUP(E3760,E$1:E3759,1,FALSE()))),"OLD",IF(AND(E3760&lt;&gt;"",E3760&lt;&gt;"!!!"),"NEW","")))</f>
        <v> </v>
      </c>
      <c r="G3760" s="24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5" t="str">
        <f>IF(J3760&lt;&gt;1,"",IF(I3760="SBJ","CB","?"))</f>
        <v> </v>
      </c>
      <c r="I3760" s="26" t="str">
        <f>IF(OR(E3760="",E3760="!!!",F3760="NEW"),"",INDEX(B3759:B$2,-1+SUMPRODUCT(MAX(ROW(E3759:E$2)*(E3760=E3759:E$2)))))</f>
        <v> </v>
      </c>
      <c r="J3760" s="26" t="str">
        <f>IF(OR(E3760="",E3760="!!!",F3760="NEW"),"",COUNTBLANK(OFFSET(A$1,,,SUMPRODUCT(MAX(ROW(E$2:E3760)*(E3760=E$2:E3760)))))-COUNTBLANK(OFFSET(A$1,,,SUMPRODUCT(MAX(ROW(E$1:E3759)*(E2=E$1:E3759))))))</f>
        <v> </v>
      </c>
      <c r="K3760" s="26" t="str">
        <f>IF(OR(E3760="",E3760="!!!",F3760="NEW"),"",INDEX(J$1:J3759,SUMPRODUCT(MAX(ROW(E$1:E3759)*(E3760=E$1:E3759)))))</f>
        <v> </v>
      </c>
      <c r="L3760" s="27"/>
    </row>
    <row r="3761" spans="1:12">
      <c r="A3761" s="20" t="s">
        <v>987</v>
      </c>
      <c r="E3761" s="22">
        <f>IF(D3761="?OLD","!!!","")</f>
        <v/>
      </c>
      <c r="F3761" s="23" t="str">
        <f>IF(OR(E3761="",E3761="!!!"),"",IF(NOT(ISNA(VLOOKUP(E3761,E$1:E3760,1,FALSE()))),"OLD",IF(AND(E3761&lt;&gt;"",E3761&lt;&gt;"!!!"),"NEW","")))</f>
        <v> </v>
      </c>
      <c r="G3761" s="24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5" t="str">
        <f>IF(J3761&lt;&gt;1,"",IF(I3761="SBJ","CB","?"))</f>
        <v> </v>
      </c>
      <c r="I3761" s="26" t="str">
        <f>IF(OR(E3761="",E3761="!!!",F3761="NEW"),"",INDEX(B3760:B$2,-1+SUMPRODUCT(MAX(ROW(E3760:E$2)*(E3761=E3760:E$2)))))</f>
        <v> </v>
      </c>
      <c r="J3761" s="26" t="str">
        <f>IF(OR(E3761="",E3761="!!!",F3761="NEW"),"",COUNTBLANK(OFFSET(A$1,,,SUMPRODUCT(MAX(ROW(E$2:E3761)*(E3761=E$2:E3761)))))-COUNTBLANK(OFFSET(A$1,,,SUMPRODUCT(MAX(ROW(E$1:E3760)*(E2=E$1:E3760))))))</f>
        <v> </v>
      </c>
      <c r="K3761" s="26" t="str">
        <f>IF(OR(E3761="",E3761="!!!",F3761="NEW"),"",INDEX(J$1:J3760,SUMPRODUCT(MAX(ROW(E$1:E3760)*(E3761=E$1:E3760)))))</f>
        <v> </v>
      </c>
      <c r="L3761" s="27"/>
    </row>
    <row r="3762" spans="1:12">
      <c r="A3762" s="20" t="s">
        <v>1097</v>
      </c>
      <c r="E3762" s="22">
        <f>IF(D3762="?OLD","!!!","")</f>
        <v/>
      </c>
      <c r="F3762" s="23" t="str">
        <f>IF(OR(E3762="",E3762="!!!"),"",IF(NOT(ISNA(VLOOKUP(E3762,E$1:E3761,1,FALSE()))),"OLD",IF(AND(E3762&lt;&gt;"",E3762&lt;&gt;"!!!"),"NEW","")))</f>
        <v> </v>
      </c>
      <c r="G3762" s="24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5" t="str">
        <f>IF(J3762&lt;&gt;1,"",IF(I3762="SBJ","CB","?"))</f>
        <v> </v>
      </c>
      <c r="I3762" s="26" t="str">
        <f>IF(OR(E3762="",E3762="!!!",F3762="NEW"),"",INDEX(B3761:B$2,-1+SUMPRODUCT(MAX(ROW(E3761:E$2)*(E3762=E3761:E$2)))))</f>
        <v> </v>
      </c>
      <c r="J3762" s="26" t="str">
        <f>IF(OR(E3762="",E3762="!!!",F3762="NEW"),"",COUNTBLANK(OFFSET(A$1,,,SUMPRODUCT(MAX(ROW(E$2:E3762)*(E3762=E$2:E3762)))))-COUNTBLANK(OFFSET(A$1,,,SUMPRODUCT(MAX(ROW(E$1:E3761)*(E2=E$1:E3761))))))</f>
        <v> </v>
      </c>
      <c r="K3762" s="26" t="str">
        <f>IF(OR(E3762="",E3762="!!!",F3762="NEW"),"",INDEX(J$1:J3761,SUMPRODUCT(MAX(ROW(E$1:E3761)*(E3762=E$1:E3761)))))</f>
        <v> </v>
      </c>
      <c r="L3762" s="27"/>
    </row>
    <row r="3763" spans="1:12">
      <c r="A3763" s="20" t="s">
        <v>1098</v>
      </c>
      <c r="B3763" s="21" t="s">
        <v>1011</v>
      </c>
      <c r="C3763" s="21" t="s">
        <v>1100</v>
      </c>
      <c r="D3763" s="21" t="s">
        <v>972</v>
      </c>
      <c r="E3763" s="22">
        <f>IF(D3763="?OLD","!!!","")</f>
        <v/>
      </c>
      <c r="F3763" s="23" t="str">
        <f>IF(OR(E3763="",E3763="!!!"),"",IF(NOT(ISNA(VLOOKUP(E3763,E$1:E3762,1,FALSE()))),"OLD",IF(AND(E3763&lt;&gt;"",E3763&lt;&gt;"!!!"),"NEW","")))</f>
        <v> </v>
      </c>
      <c r="G3763" s="24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5" t="str">
        <f>IF(J3763&lt;&gt;1,"",IF(I3763="SBJ","CB","?"))</f>
        <v> </v>
      </c>
      <c r="I3763" s="26" t="str">
        <f>IF(OR(E3763="",E3763="!!!",F3763="NEW"),"",INDEX(B3762:B$2,-1+SUMPRODUCT(MAX(ROW(E3762:E$2)*(E3763=E3762:E$2)))))</f>
        <v> </v>
      </c>
      <c r="J3763" s="26" t="str">
        <f>IF(OR(E3763="",E3763="!!!",F3763="NEW"),"",COUNTBLANK(OFFSET(A$1,,,SUMPRODUCT(MAX(ROW(E$2:E3763)*(E3763=E$2:E3763)))))-COUNTBLANK(OFFSET(A$1,,,SUMPRODUCT(MAX(ROW(E$1:E3762)*(E2=E$1:E3762))))))</f>
        <v> </v>
      </c>
      <c r="K3763" s="26" t="str">
        <f>IF(OR(E3763="",E3763="!!!",F3763="NEW"),"",INDEX(J$1:J3762,SUMPRODUCT(MAX(ROW(E$1:E3762)*(E3763=E$1:E3762)))))</f>
        <v> </v>
      </c>
      <c r="L3763" s="27"/>
    </row>
    <row r="3764" spans="1:12">
      <c r="A3764" s="20" t="s">
        <v>979</v>
      </c>
      <c r="E3764" s="22">
        <f>IF(D3764="?OLD","!!!","")</f>
        <v/>
      </c>
      <c r="F3764" s="23" t="str">
        <f>IF(OR(E3764="",E3764="!!!"),"",IF(NOT(ISNA(VLOOKUP(E3764,E$1:E3763,1,FALSE()))),"OLD",IF(AND(E3764&lt;&gt;"",E3764&lt;&gt;"!!!"),"NEW","")))</f>
        <v> </v>
      </c>
      <c r="G3764" s="24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5" t="str">
        <f>IF(J3764&lt;&gt;1,"",IF(I3764="SBJ","CB","?"))</f>
        <v> </v>
      </c>
      <c r="I3764" s="26" t="str">
        <f>IF(OR(E3764="",E3764="!!!",F3764="NEW"),"",INDEX(B3763:B$2,-1+SUMPRODUCT(MAX(ROW(E3763:E$2)*(E3764=E3763:E$2)))))</f>
        <v> </v>
      </c>
      <c r="J3764" s="26" t="str">
        <f>IF(OR(E3764="",E3764="!!!",F3764="NEW"),"",COUNTBLANK(OFFSET(A$1,,,SUMPRODUCT(MAX(ROW(E$2:E3764)*(E3764=E$2:E3764)))))-COUNTBLANK(OFFSET(A$1,,,SUMPRODUCT(MAX(ROW(E$1:E3763)*(E2=E$1:E3763))))))</f>
        <v> </v>
      </c>
      <c r="K3764" s="26" t="str">
        <f>IF(OR(E3764="",E3764="!!!",F3764="NEW"),"",INDEX(J$1:J3763,SUMPRODUCT(MAX(ROW(E$1:E3763)*(E3764=E$1:E3763)))))</f>
        <v> </v>
      </c>
      <c r="L3764" s="27"/>
    </row>
    <row r="3765" spans="1:12">
      <c r="A3765" s="20"/>
    </row>
    <row r="3766" spans="1:12">
      <c r="A3766" s="20" t="s">
        <v>2434</v>
      </c>
    </row>
    <row r="3767" spans="1:12">
      <c r="A3767" s="20" t="s">
        <v>2435</v>
      </c>
      <c r="B3767" s="21" t="s">
        <v>970</v>
      </c>
      <c r="E3767" s="22">
        <f>IF(D3767="?OLD","!!!","")</f>
        <v/>
      </c>
      <c r="F3767" s="23" t="str">
        <f>IF(OR(E3767="",E3767="!!!"),"",IF(NOT(ISNA(VLOOKUP(E3767,E$1:E3766,1,FALSE()))),"OLD",IF(AND(E3767&lt;&gt;"",E3767&lt;&gt;"!!!"),"NEW","")))</f>
        <v> </v>
      </c>
      <c r="G3767" s="24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5" t="str">
        <f>IF(J3767&lt;&gt;1,"",IF(I3767="SBJ","CB","?"))</f>
        <v> </v>
      </c>
      <c r="I3767" s="26" t="str">
        <f>IF(OR(E3767="",E3767="!!!",F3767="NEW"),"",INDEX(B3766:B$2,-1+SUMPRODUCT(MAX(ROW(E3766:E$2)*(E3767=E3766:E$2)))))</f>
        <v> </v>
      </c>
      <c r="J3767" s="26" t="str">
        <f>IF(OR(E3767="",E3767="!!!",F3767="NEW"),"",COUNTBLANK(OFFSET(A$1,,,SUMPRODUCT(MAX(ROW(E$2:E3767)*(E3767=E$2:E3767)))))-COUNTBLANK(OFFSET(A$1,,,SUMPRODUCT(MAX(ROW(E$1:E3766)*(E2=E$1:E3766))))))</f>
        <v> </v>
      </c>
      <c r="K3767" s="26" t="str">
        <f>IF(OR(E3767="",E3767="!!!",F3767="NEW"),"",INDEX(J$1:J3766,SUMPRODUCT(MAX(ROW(E$1:E3766)*(E3767=E$1:E3766)))))</f>
        <v> </v>
      </c>
      <c r="L3767" s="27"/>
    </row>
    <row r="3768" spans="1:12">
      <c r="A3768" s="20" t="s">
        <v>2436</v>
      </c>
      <c r="E3768" s="22">
        <f>IF(D3768="?OLD","!!!","")</f>
        <v/>
      </c>
      <c r="F3768" s="23" t="str">
        <f>IF(OR(E3768="",E3768="!!!"),"",IF(NOT(ISNA(VLOOKUP(E3768,E$1:E3767,1,FALSE()))),"OLD",IF(AND(E3768&lt;&gt;"",E3768&lt;&gt;"!!!"),"NEW","")))</f>
        <v> </v>
      </c>
      <c r="G3768" s="24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5" t="str">
        <f>IF(J3768&lt;&gt;1,"",IF(I3768="SBJ","CB","?"))</f>
        <v> </v>
      </c>
      <c r="I3768" s="26" t="str">
        <f>IF(OR(E3768="",E3768="!!!",F3768="NEW"),"",INDEX(B3767:B$2,-1+SUMPRODUCT(MAX(ROW(E3767:E$2)*(E3768=E3767:E$2)))))</f>
        <v> </v>
      </c>
      <c r="J3768" s="26" t="str">
        <f>IF(OR(E3768="",E3768="!!!",F3768="NEW"),"",COUNTBLANK(OFFSET(A$1,,,SUMPRODUCT(MAX(ROW(E$2:E3768)*(E3768=E$2:E3768)))))-COUNTBLANK(OFFSET(A$1,,,SUMPRODUCT(MAX(ROW(E$1:E3767)*(E2=E$1:E3767))))))</f>
        <v> </v>
      </c>
      <c r="K3768" s="26" t="str">
        <f>IF(OR(E3768="",E3768="!!!",F3768="NEW"),"",INDEX(J$1:J3767,SUMPRODUCT(MAX(ROW(E$1:E3767)*(E3768=E$1:E3767)))))</f>
        <v> </v>
      </c>
      <c r="L3768" s="27"/>
    </row>
    <row r="3769" spans="1:12">
      <c r="A3769" s="20" t="s">
        <v>2437</v>
      </c>
      <c r="E3769" s="22">
        <f>IF(D3769="?OLD","!!!","")</f>
        <v/>
      </c>
      <c r="F3769" s="23" t="str">
        <f>IF(OR(E3769="",E3769="!!!"),"",IF(NOT(ISNA(VLOOKUP(E3769,E$1:E3768,1,FALSE()))),"OLD",IF(AND(E3769&lt;&gt;"",E3769&lt;&gt;"!!!"),"NEW","")))</f>
        <v> </v>
      </c>
      <c r="G3769" s="24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5" t="str">
        <f>IF(J3769&lt;&gt;1,"",IF(I3769="SBJ","CB","?"))</f>
        <v> </v>
      </c>
      <c r="I3769" s="26" t="str">
        <f>IF(OR(E3769="",E3769="!!!",F3769="NEW"),"",INDEX(B3768:B$2,-1+SUMPRODUCT(MAX(ROW(E3768:E$2)*(E3769=E3768:E$2)))))</f>
        <v> </v>
      </c>
      <c r="J3769" s="26" t="str">
        <f>IF(OR(E3769="",E3769="!!!",F3769="NEW"),"",COUNTBLANK(OFFSET(A$1,,,SUMPRODUCT(MAX(ROW(E$2:E3769)*(E3769=E$2:E3769)))))-COUNTBLANK(OFFSET(A$1,,,SUMPRODUCT(MAX(ROW(E$1:E3768)*(E2=E$1:E3768))))))</f>
        <v> </v>
      </c>
      <c r="K3769" s="26" t="str">
        <f>IF(OR(E3769="",E3769="!!!",F3769="NEW"),"",INDEX(J$1:J3768,SUMPRODUCT(MAX(ROW(E$1:E3768)*(E3769=E$1:E3768)))))</f>
        <v> </v>
      </c>
      <c r="L3769" s="27"/>
    </row>
    <row r="3770" spans="1:12">
      <c r="A3770" s="20" t="s">
        <v>2438</v>
      </c>
      <c r="E3770" s="22">
        <f>IF(D3770="?OLD","!!!","")</f>
        <v/>
      </c>
      <c r="F3770" s="23" t="str">
        <f>IF(OR(E3770="",E3770="!!!"),"",IF(NOT(ISNA(VLOOKUP(E3770,E$1:E3769,1,FALSE()))),"OLD",IF(AND(E3770&lt;&gt;"",E3770&lt;&gt;"!!!"),"NEW","")))</f>
        <v> </v>
      </c>
      <c r="G3770" s="24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5" t="str">
        <f>IF(J3770&lt;&gt;1,"",IF(I3770="SBJ","CB","?"))</f>
        <v> </v>
      </c>
      <c r="I3770" s="26" t="str">
        <f>IF(OR(E3770="",E3770="!!!",F3770="NEW"),"",INDEX(B3769:B$2,-1+SUMPRODUCT(MAX(ROW(E3769:E$2)*(E3770=E3769:E$2)))))</f>
        <v> </v>
      </c>
      <c r="J3770" s="26" t="str">
        <f>IF(OR(E3770="",E3770="!!!",F3770="NEW"),"",COUNTBLANK(OFFSET(A$1,,,SUMPRODUCT(MAX(ROW(E$2:E3770)*(E3770=E$2:E3770)))))-COUNTBLANK(OFFSET(A$1,,,SUMPRODUCT(MAX(ROW(E$1:E3769)*(E2=E$1:E3769))))))</f>
        <v> </v>
      </c>
      <c r="K3770" s="26" t="str">
        <f>IF(OR(E3770="",E3770="!!!",F3770="NEW"),"",INDEX(J$1:J3769,SUMPRODUCT(MAX(ROW(E$1:E3769)*(E3770=E$1:E3769)))))</f>
        <v> </v>
      </c>
      <c r="L3770" s="27"/>
    </row>
    <row r="3771" spans="1:12">
      <c r="A3771" s="20" t="s">
        <v>1013</v>
      </c>
      <c r="E3771" s="22">
        <f>IF(D3771="?OLD","!!!","")</f>
        <v/>
      </c>
      <c r="F3771" s="23" t="str">
        <f>IF(OR(E3771="",E3771="!!!"),"",IF(NOT(ISNA(VLOOKUP(E3771,E$1:E3770,1,FALSE()))),"OLD",IF(AND(E3771&lt;&gt;"",E3771&lt;&gt;"!!!"),"NEW","")))</f>
        <v> </v>
      </c>
      <c r="G3771" s="24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5" t="str">
        <f>IF(J3771&lt;&gt;1,"",IF(I3771="SBJ","CB","?"))</f>
        <v> </v>
      </c>
      <c r="I3771" s="26" t="str">
        <f>IF(OR(E3771="",E3771="!!!",F3771="NEW"),"",INDEX(B3770:B$2,-1+SUMPRODUCT(MAX(ROW(E3770:E$2)*(E3771=E3770:E$2)))))</f>
        <v> </v>
      </c>
      <c r="J3771" s="26" t="str">
        <f>IF(OR(E3771="",E3771="!!!",F3771="NEW"),"",COUNTBLANK(OFFSET(A$1,,,SUMPRODUCT(MAX(ROW(E$2:E3771)*(E3771=E$2:E3771)))))-COUNTBLANK(OFFSET(A$1,,,SUMPRODUCT(MAX(ROW(E$1:E3770)*(E2=E$1:E3770))))))</f>
        <v> </v>
      </c>
      <c r="K3771" s="26" t="str">
        <f>IF(OR(E3771="",E3771="!!!",F3771="NEW"),"",INDEX(J$1:J3770,SUMPRODUCT(MAX(ROW(E$1:E3770)*(E3771=E$1:E3770)))))</f>
        <v> </v>
      </c>
      <c r="L3771" s="27"/>
    </row>
    <row r="3772" spans="1:12">
      <c r="A3772" s="20" t="s">
        <v>2439</v>
      </c>
      <c r="E3772" s="22">
        <f>IF(D3772="?OLD","!!!","")</f>
        <v/>
      </c>
      <c r="F3772" s="23" t="str">
        <f>IF(OR(E3772="",E3772="!!!"),"",IF(NOT(ISNA(VLOOKUP(E3772,E$1:E3771,1,FALSE()))),"OLD",IF(AND(E3772&lt;&gt;"",E3772&lt;&gt;"!!!"),"NEW","")))</f>
        <v> </v>
      </c>
      <c r="G3772" s="24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5" t="str">
        <f>IF(J3772&lt;&gt;1,"",IF(I3772="SBJ","CB","?"))</f>
        <v> </v>
      </c>
      <c r="I3772" s="26" t="str">
        <f>IF(OR(E3772="",E3772="!!!",F3772="NEW"),"",INDEX(B3771:B$2,-1+SUMPRODUCT(MAX(ROW(E3771:E$2)*(E3772=E3771:E$2)))))</f>
        <v> </v>
      </c>
      <c r="J3772" s="26" t="str">
        <f>IF(OR(E3772="",E3772="!!!",F3772="NEW"),"",COUNTBLANK(OFFSET(A$1,,,SUMPRODUCT(MAX(ROW(E$2:E3772)*(E3772=E$2:E3772)))))-COUNTBLANK(OFFSET(A$1,,,SUMPRODUCT(MAX(ROW(E$1:E3771)*(E2=E$1:E3771))))))</f>
        <v> </v>
      </c>
      <c r="K3772" s="26" t="str">
        <f>IF(OR(E3772="",E3772="!!!",F3772="NEW"),"",INDEX(J$1:J3771,SUMPRODUCT(MAX(ROW(E$1:E3771)*(E3772=E$1:E3771)))))</f>
        <v> </v>
      </c>
      <c r="L3772" s="27"/>
    </row>
    <row r="3773" spans="1:12">
      <c r="A3773" s="20" t="s">
        <v>2440</v>
      </c>
      <c r="E3773" s="22">
        <f>IF(D3773="?OLD","!!!","")</f>
        <v/>
      </c>
      <c r="F3773" s="23" t="str">
        <f>IF(OR(E3773="",E3773="!!!"),"",IF(NOT(ISNA(VLOOKUP(E3773,E$1:E3772,1,FALSE()))),"OLD",IF(AND(E3773&lt;&gt;"",E3773&lt;&gt;"!!!"),"NEW","")))</f>
        <v> </v>
      </c>
      <c r="G3773" s="24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5" t="str">
        <f>IF(J3773&lt;&gt;1,"",IF(I3773="SBJ","CB","?"))</f>
        <v> </v>
      </c>
      <c r="I3773" s="26" t="str">
        <f>IF(OR(E3773="",E3773="!!!",F3773="NEW"),"",INDEX(B3772:B$2,-1+SUMPRODUCT(MAX(ROW(E3772:E$2)*(E3773=E3772:E$2)))))</f>
        <v> </v>
      </c>
      <c r="J3773" s="26" t="str">
        <f>IF(OR(E3773="",E3773="!!!",F3773="NEW"),"",COUNTBLANK(OFFSET(A$1,,,SUMPRODUCT(MAX(ROW(E$2:E3773)*(E3773=E$2:E3773)))))-COUNTBLANK(OFFSET(A$1,,,SUMPRODUCT(MAX(ROW(E$1:E3772)*(E2=E$1:E3772))))))</f>
        <v> </v>
      </c>
      <c r="K3773" s="26" t="str">
        <f>IF(OR(E3773="",E3773="!!!",F3773="NEW"),"",INDEX(J$1:J3772,SUMPRODUCT(MAX(ROW(E$1:E3772)*(E3773=E$1:E3772)))))</f>
        <v> </v>
      </c>
      <c r="L3773" s="27"/>
    </row>
    <row r="3774" spans="1:12">
      <c r="A3774" s="20" t="s">
        <v>1013</v>
      </c>
      <c r="E3774" s="22">
        <f>IF(D3774="?OLD","!!!","")</f>
        <v/>
      </c>
      <c r="F3774" s="23" t="str">
        <f>IF(OR(E3774="",E3774="!!!"),"",IF(NOT(ISNA(VLOOKUP(E3774,E$1:E3773,1,FALSE()))),"OLD",IF(AND(E3774&lt;&gt;"",E3774&lt;&gt;"!!!"),"NEW","")))</f>
        <v> </v>
      </c>
      <c r="G3774" s="24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5" t="str">
        <f>IF(J3774&lt;&gt;1,"",IF(I3774="SBJ","CB","?"))</f>
        <v> </v>
      </c>
      <c r="I3774" s="26" t="str">
        <f>IF(OR(E3774="",E3774="!!!",F3774="NEW"),"",INDEX(B3773:B$2,-1+SUMPRODUCT(MAX(ROW(E3773:E$2)*(E3774=E3773:E$2)))))</f>
        <v> </v>
      </c>
      <c r="J3774" s="26" t="str">
        <f>IF(OR(E3774="",E3774="!!!",F3774="NEW"),"",COUNTBLANK(OFFSET(A$1,,,SUMPRODUCT(MAX(ROW(E$2:E3774)*(E3774=E$2:E3774)))))-COUNTBLANK(OFFSET(A$1,,,SUMPRODUCT(MAX(ROW(E$1:E3773)*(E2=E$1:E3773))))))</f>
        <v> </v>
      </c>
      <c r="K3774" s="26" t="str">
        <f>IF(OR(E3774="",E3774="!!!",F3774="NEW"),"",INDEX(J$1:J3773,SUMPRODUCT(MAX(ROW(E$1:E3773)*(E3774=E$1:E3773)))))</f>
        <v> </v>
      </c>
      <c r="L3774" s="27"/>
    </row>
    <row r="3775" spans="1:12">
      <c r="A3775" s="20" t="s">
        <v>1561</v>
      </c>
      <c r="E3775" s="22">
        <f>IF(D3775="?OLD","!!!","")</f>
        <v/>
      </c>
      <c r="F3775" s="23" t="str">
        <f>IF(OR(E3775="",E3775="!!!"),"",IF(NOT(ISNA(VLOOKUP(E3775,E$1:E3774,1,FALSE()))),"OLD",IF(AND(E3775&lt;&gt;"",E3775&lt;&gt;"!!!"),"NEW","")))</f>
        <v> </v>
      </c>
      <c r="G3775" s="24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5" t="str">
        <f>IF(J3775&lt;&gt;1,"",IF(I3775="SBJ","CB","?"))</f>
        <v> </v>
      </c>
      <c r="I3775" s="26" t="str">
        <f>IF(OR(E3775="",E3775="!!!",F3775="NEW"),"",INDEX(B3774:B$2,-1+SUMPRODUCT(MAX(ROW(E3774:E$2)*(E3775=E3774:E$2)))))</f>
        <v> </v>
      </c>
      <c r="J3775" s="26" t="str">
        <f>IF(OR(E3775="",E3775="!!!",F3775="NEW"),"",COUNTBLANK(OFFSET(A$1,,,SUMPRODUCT(MAX(ROW(E$2:E3775)*(E3775=E$2:E3775)))))-COUNTBLANK(OFFSET(A$1,,,SUMPRODUCT(MAX(ROW(E$1:E3774)*(E2=E$1:E3774))))))</f>
        <v> </v>
      </c>
      <c r="K3775" s="26" t="str">
        <f>IF(OR(E3775="",E3775="!!!",F3775="NEW"),"",INDEX(J$1:J3774,SUMPRODUCT(MAX(ROW(E$1:E3774)*(E3775=E$1:E3774)))))</f>
        <v> </v>
      </c>
      <c r="L3775" s="27"/>
    </row>
    <row r="3776" spans="1:12">
      <c r="A3776" s="20" t="s">
        <v>979</v>
      </c>
      <c r="E3776" s="22">
        <f>IF(D3776="?OLD","!!!","")</f>
        <v/>
      </c>
      <c r="F3776" s="23" t="str">
        <f>IF(OR(E3776="",E3776="!!!"),"",IF(NOT(ISNA(VLOOKUP(E3776,E$1:E3775,1,FALSE()))),"OLD",IF(AND(E3776&lt;&gt;"",E3776&lt;&gt;"!!!"),"NEW","")))</f>
        <v> </v>
      </c>
      <c r="G3776" s="24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5" t="str">
        <f>IF(J3776&lt;&gt;1,"",IF(I3776="SBJ","CB","?"))</f>
        <v> </v>
      </c>
      <c r="I3776" s="26" t="str">
        <f>IF(OR(E3776="",E3776="!!!",F3776="NEW"),"",INDEX(B3775:B$2,-1+SUMPRODUCT(MAX(ROW(E3775:E$2)*(E3776=E3775:E$2)))))</f>
        <v> </v>
      </c>
      <c r="J3776" s="26" t="str">
        <f>IF(OR(E3776="",E3776="!!!",F3776="NEW"),"",COUNTBLANK(OFFSET(A$1,,,SUMPRODUCT(MAX(ROW(E$2:E3776)*(E3776=E$2:E3776)))))-COUNTBLANK(OFFSET(A$1,,,SUMPRODUCT(MAX(ROW(E$1:E3775)*(E2=E$1:E3775))))))</f>
        <v> </v>
      </c>
      <c r="K3776" s="26" t="str">
        <f>IF(OR(E3776="",E3776="!!!",F3776="NEW"),"",INDEX(J$1:J3775,SUMPRODUCT(MAX(ROW(E$1:E3775)*(E3776=E$1:E3775)))))</f>
        <v> </v>
      </c>
      <c r="L3776" s="27"/>
    </row>
    <row r="3777" spans="1:12">
      <c r="A3777" s="20"/>
    </row>
    <row r="3778" spans="1:12">
      <c r="A3778" s="20" t="s">
        <v>2441</v>
      </c>
    </row>
    <row r="3779" spans="1:12">
      <c r="A3779" s="20" t="s">
        <v>1348</v>
      </c>
      <c r="B3779" s="21" t="s">
        <v>975</v>
      </c>
      <c r="C3779" s="21" t="s">
        <v>971</v>
      </c>
      <c r="D3779" s="21" t="s">
        <v>972</v>
      </c>
      <c r="E3779" s="22">
        <f>IF(D3779="?OLD","!!!","")</f>
        <v/>
      </c>
      <c r="F3779" s="23" t="str">
        <f>IF(OR(E3779="",E3779="!!!"),"",IF(NOT(ISNA(VLOOKUP(E3779,E$1:E3778,1,FALSE()))),"OLD",IF(AND(E3779&lt;&gt;"",E3779&lt;&gt;"!!!"),"NEW","")))</f>
        <v> </v>
      </c>
      <c r="G3779" s="24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5" t="str">
        <f>IF(J3779&lt;&gt;1,"",IF(I3779="SBJ","CB","?"))</f>
        <v> </v>
      </c>
      <c r="I3779" s="26" t="str">
        <f>IF(OR(E3779="",E3779="!!!",F3779="NEW"),"",INDEX(B3778:B$2,-1+SUMPRODUCT(MAX(ROW(E3778:E$2)*(E3779=E3778:E$2)))))</f>
        <v> </v>
      </c>
      <c r="J3779" s="26" t="str">
        <f>IF(OR(E3779="",E3779="!!!",F3779="NEW"),"",COUNTBLANK(OFFSET(A$1,,,SUMPRODUCT(MAX(ROW(E$2:E3779)*(E3779=E$2:E3779)))))-COUNTBLANK(OFFSET(A$1,,,SUMPRODUCT(MAX(ROW(E$1:E3778)*(E2=E$1:E3778))))))</f>
        <v> </v>
      </c>
      <c r="K3779" s="26" t="str">
        <f>IF(OR(E3779="",E3779="!!!",F3779="NEW"),"",INDEX(J$1:J3778,SUMPRODUCT(MAX(ROW(E$1:E3778)*(E3779=E$1:E3778)))))</f>
        <v> </v>
      </c>
      <c r="L3779" s="27"/>
    </row>
    <row r="3780" spans="1:12">
      <c r="A3780" s="20" t="s">
        <v>2442</v>
      </c>
      <c r="E3780" s="22">
        <f>IF(D3780="?OLD","!!!","")</f>
        <v/>
      </c>
      <c r="F3780" s="23" t="str">
        <f>IF(OR(E3780="",E3780="!!!"),"",IF(NOT(ISNA(VLOOKUP(E3780,E$1:E3779,1,FALSE()))),"OLD",IF(AND(E3780&lt;&gt;"",E3780&lt;&gt;"!!!"),"NEW","")))</f>
        <v> </v>
      </c>
      <c r="G3780" s="24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5" t="str">
        <f>IF(J3780&lt;&gt;1,"",IF(I3780="SBJ","CB","?"))</f>
        <v> </v>
      </c>
      <c r="I3780" s="26" t="str">
        <f>IF(OR(E3780="",E3780="!!!",F3780="NEW"),"",INDEX(B3779:B$2,-1+SUMPRODUCT(MAX(ROW(E3779:E$2)*(E3780=E3779:E$2)))))</f>
        <v> </v>
      </c>
      <c r="J3780" s="26" t="str">
        <f>IF(OR(E3780="",E3780="!!!",F3780="NEW"),"",COUNTBLANK(OFFSET(A$1,,,SUMPRODUCT(MAX(ROW(E$2:E3780)*(E3780=E$2:E3780)))))-COUNTBLANK(OFFSET(A$1,,,SUMPRODUCT(MAX(ROW(E$1:E3779)*(E2=E$1:E3779))))))</f>
        <v> </v>
      </c>
      <c r="K3780" s="26" t="str">
        <f>IF(OR(E3780="",E3780="!!!",F3780="NEW"),"",INDEX(J$1:J3779,SUMPRODUCT(MAX(ROW(E$1:E3779)*(E3780=E$1:E3779)))))</f>
        <v> </v>
      </c>
      <c r="L3780" s="27"/>
    </row>
    <row r="3781" spans="1:12">
      <c r="A3781" s="20" t="s">
        <v>1027</v>
      </c>
      <c r="B3781" s="21" t="s">
        <v>1087</v>
      </c>
      <c r="E3781" s="22">
        <f>IF(D3781="?OLD","!!!","")</f>
        <v/>
      </c>
      <c r="F3781" s="23" t="str">
        <f>IF(OR(E3781="",E3781="!!!"),"",IF(NOT(ISNA(VLOOKUP(E3781,E$1:E3780,1,FALSE()))),"OLD",IF(AND(E3781&lt;&gt;"",E3781&lt;&gt;"!!!"),"NEW","")))</f>
        <v> </v>
      </c>
      <c r="G3781" s="24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5" t="str">
        <f>IF(J3781&lt;&gt;1,"",IF(I3781="SBJ","CB","?"))</f>
        <v> </v>
      </c>
      <c r="I3781" s="26" t="str">
        <f>IF(OR(E3781="",E3781="!!!",F3781="NEW"),"",INDEX(B3780:B$2,-1+SUMPRODUCT(MAX(ROW(E3780:E$2)*(E3781=E3780:E$2)))))</f>
        <v> </v>
      </c>
      <c r="J3781" s="26" t="str">
        <f>IF(OR(E3781="",E3781="!!!",F3781="NEW"),"",COUNTBLANK(OFFSET(A$1,,,SUMPRODUCT(MAX(ROW(E$2:E3781)*(E3781=E$2:E3781)))))-COUNTBLANK(OFFSET(A$1,,,SUMPRODUCT(MAX(ROW(E$1:E3780)*(E2=E$1:E3780))))))</f>
        <v> </v>
      </c>
      <c r="K3781" s="26" t="str">
        <f>IF(OR(E3781="",E3781="!!!",F3781="NEW"),"",INDEX(J$1:J3780,SUMPRODUCT(MAX(ROW(E$1:E3780)*(E3781=E$1:E3780)))))</f>
        <v> </v>
      </c>
      <c r="L3781" s="27"/>
    </row>
    <row r="3782" spans="1:12">
      <c r="A3782" s="20" t="s">
        <v>2443</v>
      </c>
      <c r="E3782" s="22">
        <f>IF(D3782="?OLD","!!!","")</f>
        <v/>
      </c>
      <c r="F3782" s="23" t="str">
        <f>IF(OR(E3782="",E3782="!!!"),"",IF(NOT(ISNA(VLOOKUP(E3782,E$1:E3781,1,FALSE()))),"OLD",IF(AND(E3782&lt;&gt;"",E3782&lt;&gt;"!!!"),"NEW","")))</f>
        <v> </v>
      </c>
      <c r="G3782" s="24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5" t="str">
        <f>IF(J3782&lt;&gt;1,"",IF(I3782="SBJ","CB","?"))</f>
        <v> </v>
      </c>
      <c r="I3782" s="26" t="str">
        <f>IF(OR(E3782="",E3782="!!!",F3782="NEW"),"",INDEX(B3781:B$2,-1+SUMPRODUCT(MAX(ROW(E3781:E$2)*(E3782=E3781:E$2)))))</f>
        <v> </v>
      </c>
      <c r="J3782" s="26" t="str">
        <f>IF(OR(E3782="",E3782="!!!",F3782="NEW"),"",COUNTBLANK(OFFSET(A$1,,,SUMPRODUCT(MAX(ROW(E$2:E3782)*(E3782=E$2:E3782)))))-COUNTBLANK(OFFSET(A$1,,,SUMPRODUCT(MAX(ROW(E$1:E3781)*(E2=E$1:E3781))))))</f>
        <v> </v>
      </c>
      <c r="K3782" s="26" t="str">
        <f>IF(OR(E3782="",E3782="!!!",F3782="NEW"),"",INDEX(J$1:J3781,SUMPRODUCT(MAX(ROW(E$1:E3781)*(E3782=E$1:E3781)))))</f>
        <v> </v>
      </c>
      <c r="L3782" s="27"/>
    </row>
    <row r="3783" spans="1:12">
      <c r="A3783" s="20" t="s">
        <v>1005</v>
      </c>
      <c r="E3783" s="22">
        <f>IF(D3783="?OLD","!!!","")</f>
        <v/>
      </c>
      <c r="F3783" s="23" t="str">
        <f>IF(OR(E3783="",E3783="!!!"),"",IF(NOT(ISNA(VLOOKUP(E3783,E$1:E3782,1,FALSE()))),"OLD",IF(AND(E3783&lt;&gt;"",E3783&lt;&gt;"!!!"),"NEW","")))</f>
        <v> </v>
      </c>
      <c r="G3783" s="24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5" t="str">
        <f>IF(J3783&lt;&gt;1,"",IF(I3783="SBJ","CB","?"))</f>
        <v> </v>
      </c>
      <c r="I3783" s="26" t="str">
        <f>IF(OR(E3783="",E3783="!!!",F3783="NEW"),"",INDEX(B3782:B$2,-1+SUMPRODUCT(MAX(ROW(E3782:E$2)*(E3783=E3782:E$2)))))</f>
        <v> </v>
      </c>
      <c r="J3783" s="26" t="str">
        <f>IF(OR(E3783="",E3783="!!!",F3783="NEW"),"",COUNTBLANK(OFFSET(A$1,,,SUMPRODUCT(MAX(ROW(E$2:E3783)*(E3783=E$2:E3783)))))-COUNTBLANK(OFFSET(A$1,,,SUMPRODUCT(MAX(ROW(E$1:E3782)*(E2=E$1:E3782))))))</f>
        <v> </v>
      </c>
      <c r="K3783" s="26" t="str">
        <f>IF(OR(E3783="",E3783="!!!",F3783="NEW"),"",INDEX(J$1:J3782,SUMPRODUCT(MAX(ROW(E$1:E3782)*(E3783=E$1:E3782)))))</f>
        <v> </v>
      </c>
      <c r="L3783" s="27"/>
    </row>
    <row r="3784" spans="1:12">
      <c r="A3784" s="20" t="s">
        <v>816</v>
      </c>
      <c r="E3784" s="22">
        <f>IF(D3784="?OLD","!!!","")</f>
        <v/>
      </c>
      <c r="F3784" s="23" t="str">
        <f>IF(OR(E3784="",E3784="!!!"),"",IF(NOT(ISNA(VLOOKUP(E3784,E$1:E3783,1,FALSE()))),"OLD",IF(AND(E3784&lt;&gt;"",E3784&lt;&gt;"!!!"),"NEW","")))</f>
        <v> </v>
      </c>
      <c r="G3784" s="24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5" t="str">
        <f>IF(J3784&lt;&gt;1,"",IF(I3784="SBJ","CB","?"))</f>
        <v> </v>
      </c>
      <c r="I3784" s="26" t="str">
        <f>IF(OR(E3784="",E3784="!!!",F3784="NEW"),"",INDEX(B3783:B$2,-1+SUMPRODUCT(MAX(ROW(E3783:E$2)*(E3784=E3783:E$2)))))</f>
        <v> </v>
      </c>
      <c r="J3784" s="26" t="str">
        <f>IF(OR(E3784="",E3784="!!!",F3784="NEW"),"",COUNTBLANK(OFFSET(A$1,,,SUMPRODUCT(MAX(ROW(E$2:E3784)*(E3784=E$2:E3784)))))-COUNTBLANK(OFFSET(A$1,,,SUMPRODUCT(MAX(ROW(E$1:E3783)*(E2=E$1:E3783))))))</f>
        <v> </v>
      </c>
      <c r="K3784" s="26" t="str">
        <f>IF(OR(E3784="",E3784="!!!",F3784="NEW"),"",INDEX(J$1:J3783,SUMPRODUCT(MAX(ROW(E$1:E3783)*(E3784=E$1:E3783)))))</f>
        <v> </v>
      </c>
      <c r="L3784" s="27"/>
    </row>
    <row r="3785" spans="1:12">
      <c r="A3785" s="20" t="s">
        <v>2444</v>
      </c>
      <c r="B3785" s="21" t="s">
        <v>975</v>
      </c>
      <c r="E3785" s="22">
        <f>IF(D3785="?OLD","!!!","")</f>
        <v/>
      </c>
      <c r="F3785" s="23" t="str">
        <f>IF(OR(E3785="",E3785="!!!"),"",IF(NOT(ISNA(VLOOKUP(E3785,E$1:E3784,1,FALSE()))),"OLD",IF(AND(E3785&lt;&gt;"",E3785&lt;&gt;"!!!"),"NEW","")))</f>
        <v> </v>
      </c>
      <c r="G3785" s="24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5" t="str">
        <f>IF(J3785&lt;&gt;1,"",IF(I3785="SBJ","CB","?"))</f>
        <v> </v>
      </c>
      <c r="I3785" s="26" t="str">
        <f>IF(OR(E3785="",E3785="!!!",F3785="NEW"),"",INDEX(B3784:B$2,-1+SUMPRODUCT(MAX(ROW(E3784:E$2)*(E3785=E3784:E$2)))))</f>
        <v> </v>
      </c>
      <c r="J3785" s="26" t="str">
        <f>IF(OR(E3785="",E3785="!!!",F3785="NEW"),"",COUNTBLANK(OFFSET(A$1,,,SUMPRODUCT(MAX(ROW(E$2:E3785)*(E3785=E$2:E3785)))))-COUNTBLANK(OFFSET(A$1,,,SUMPRODUCT(MAX(ROW(E$1:E3784)*(E2=E$1:E3784))))))</f>
        <v> </v>
      </c>
      <c r="K3785" s="26" t="str">
        <f>IF(OR(E3785="",E3785="!!!",F3785="NEW"),"",INDEX(J$1:J3784,SUMPRODUCT(MAX(ROW(E$1:E3784)*(E3785=E$1:E3784)))))</f>
        <v> </v>
      </c>
      <c r="L3785" s="27"/>
    </row>
    <row r="3786" spans="1:12">
      <c r="A3786" s="20" t="s">
        <v>1013</v>
      </c>
      <c r="E3786" s="22">
        <f>IF(D3786="?OLD","!!!","")</f>
        <v/>
      </c>
      <c r="F3786" s="23" t="str">
        <f>IF(OR(E3786="",E3786="!!!"),"",IF(NOT(ISNA(VLOOKUP(E3786,E$1:E3785,1,FALSE()))),"OLD",IF(AND(E3786&lt;&gt;"",E3786&lt;&gt;"!!!"),"NEW","")))</f>
        <v> </v>
      </c>
      <c r="G3786" s="24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5" t="str">
        <f>IF(J3786&lt;&gt;1,"",IF(I3786="SBJ","CB","?"))</f>
        <v> </v>
      </c>
      <c r="I3786" s="26" t="str">
        <f>IF(OR(E3786="",E3786="!!!",F3786="NEW"),"",INDEX(B3785:B$2,-1+SUMPRODUCT(MAX(ROW(E3785:E$2)*(E3786=E3785:E$2)))))</f>
        <v> </v>
      </c>
      <c r="J3786" s="26" t="str">
        <f>IF(OR(E3786="",E3786="!!!",F3786="NEW"),"",COUNTBLANK(OFFSET(A$1,,,SUMPRODUCT(MAX(ROW(E$2:E3786)*(E3786=E$2:E3786)))))-COUNTBLANK(OFFSET(A$1,,,SUMPRODUCT(MAX(ROW(E$1:E3785)*(E2=E$1:E3785))))))</f>
        <v> </v>
      </c>
      <c r="K3786" s="26" t="str">
        <f>IF(OR(E3786="",E3786="!!!",F3786="NEW"),"",INDEX(J$1:J3785,SUMPRODUCT(MAX(ROW(E$1:E3785)*(E3786=E$1:E3785)))))</f>
        <v> </v>
      </c>
      <c r="L3786" s="27"/>
    </row>
    <row r="3787" spans="1:12">
      <c r="A3787" s="20" t="s">
        <v>2445</v>
      </c>
      <c r="E3787" s="22">
        <f>IF(D3787="?OLD","!!!","")</f>
        <v/>
      </c>
      <c r="F3787" s="23" t="str">
        <f>IF(OR(E3787="",E3787="!!!"),"",IF(NOT(ISNA(VLOOKUP(E3787,E$1:E3786,1,FALSE()))),"OLD",IF(AND(E3787&lt;&gt;"",E3787&lt;&gt;"!!!"),"NEW","")))</f>
        <v> </v>
      </c>
      <c r="G3787" s="24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5" t="str">
        <f>IF(J3787&lt;&gt;1,"",IF(I3787="SBJ","CB","?"))</f>
        <v> </v>
      </c>
      <c r="I3787" s="26" t="str">
        <f>IF(OR(E3787="",E3787="!!!",F3787="NEW"),"",INDEX(B3786:B$2,-1+SUMPRODUCT(MAX(ROW(E3786:E$2)*(E3787=E3786:E$2)))))</f>
        <v> </v>
      </c>
      <c r="J3787" s="26" t="str">
        <f>IF(OR(E3787="",E3787="!!!",F3787="NEW"),"",COUNTBLANK(OFFSET(A$1,,,SUMPRODUCT(MAX(ROW(E$2:E3787)*(E3787=E$2:E3787)))))-COUNTBLANK(OFFSET(A$1,,,SUMPRODUCT(MAX(ROW(E$1:E3786)*(E2=E$1:E3786))))))</f>
        <v> </v>
      </c>
      <c r="K3787" s="26" t="str">
        <f>IF(OR(E3787="",E3787="!!!",F3787="NEW"),"",INDEX(J$1:J3786,SUMPRODUCT(MAX(ROW(E$1:E3786)*(E3787=E$1:E3786)))))</f>
        <v> </v>
      </c>
      <c r="L3787" s="27"/>
    </row>
    <row r="3788" spans="1:12">
      <c r="A3788" s="20" t="s">
        <v>1014</v>
      </c>
      <c r="E3788" s="22">
        <f>IF(D3788="?OLD","!!!","")</f>
        <v/>
      </c>
      <c r="F3788" s="23" t="str">
        <f>IF(OR(E3788="",E3788="!!!"),"",IF(NOT(ISNA(VLOOKUP(E3788,E$1:E3787,1,FALSE()))),"OLD",IF(AND(E3788&lt;&gt;"",E3788&lt;&gt;"!!!"),"NEW","")))</f>
        <v> </v>
      </c>
      <c r="G3788" s="24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5" t="str">
        <f>IF(J3788&lt;&gt;1,"",IF(I3788="SBJ","CB","?"))</f>
        <v> </v>
      </c>
      <c r="I3788" s="26" t="str">
        <f>IF(OR(E3788="",E3788="!!!",F3788="NEW"),"",INDEX(B3787:B$2,-1+SUMPRODUCT(MAX(ROW(E3787:E$2)*(E3788=E3787:E$2)))))</f>
        <v> </v>
      </c>
      <c r="J3788" s="26" t="str">
        <f>IF(OR(E3788="",E3788="!!!",F3788="NEW"),"",COUNTBLANK(OFFSET(A$1,,,SUMPRODUCT(MAX(ROW(E$2:E3788)*(E3788=E$2:E3788)))))-COUNTBLANK(OFFSET(A$1,,,SUMPRODUCT(MAX(ROW(E$1:E3787)*(E2=E$1:E3787))))))</f>
        <v> </v>
      </c>
      <c r="K3788" s="26" t="str">
        <f>IF(OR(E3788="",E3788="!!!",F3788="NEW"),"",INDEX(J$1:J3787,SUMPRODUCT(MAX(ROW(E$1:E3787)*(E3788=E$1:E3787)))))</f>
        <v> </v>
      </c>
      <c r="L3788" s="27"/>
    </row>
    <row r="3789" spans="1:12">
      <c r="A3789" s="20" t="s">
        <v>1005</v>
      </c>
      <c r="E3789" s="22">
        <f>IF(D3789="?OLD","!!!","")</f>
        <v/>
      </c>
      <c r="F3789" s="23" t="str">
        <f>IF(OR(E3789="",E3789="!!!"),"",IF(NOT(ISNA(VLOOKUP(E3789,E$1:E3788,1,FALSE()))),"OLD",IF(AND(E3789&lt;&gt;"",E3789&lt;&gt;"!!!"),"NEW","")))</f>
        <v> </v>
      </c>
      <c r="G3789" s="24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5" t="str">
        <f>IF(J3789&lt;&gt;1,"",IF(I3789="SBJ","CB","?"))</f>
        <v> </v>
      </c>
      <c r="I3789" s="26" t="str">
        <f>IF(OR(E3789="",E3789="!!!",F3789="NEW"),"",INDEX(B3788:B$2,-1+SUMPRODUCT(MAX(ROW(E3788:E$2)*(E3789=E3788:E$2)))))</f>
        <v> </v>
      </c>
      <c r="J3789" s="26" t="str">
        <f>IF(OR(E3789="",E3789="!!!",F3789="NEW"),"",COUNTBLANK(OFFSET(A$1,,,SUMPRODUCT(MAX(ROW(E$2:E3789)*(E3789=E$2:E3789)))))-COUNTBLANK(OFFSET(A$1,,,SUMPRODUCT(MAX(ROW(E$1:E3788)*(E2=E$1:E3788))))))</f>
        <v> </v>
      </c>
      <c r="K3789" s="26" t="str">
        <f>IF(OR(E3789="",E3789="!!!",F3789="NEW"),"",INDEX(J$1:J3788,SUMPRODUCT(MAX(ROW(E$1:E3788)*(E3789=E$1:E3788)))))</f>
        <v> </v>
      </c>
      <c r="L3789" s="27"/>
    </row>
    <row r="3790" spans="1:12">
      <c r="A3790" s="20" t="s">
        <v>2446</v>
      </c>
      <c r="B3790" s="21" t="s">
        <v>978</v>
      </c>
      <c r="C3790" s="21" t="s">
        <v>1200</v>
      </c>
      <c r="D3790" s="21" t="s">
        <v>972</v>
      </c>
      <c r="E3790" s="22">
        <f>IF(D3790="?OLD","!!!","")</f>
        <v/>
      </c>
      <c r="F3790" s="23" t="str">
        <f>IF(OR(E3790="",E3790="!!!"),"",IF(NOT(ISNA(VLOOKUP(E3790,E$1:E3789,1,FALSE()))),"OLD",IF(AND(E3790&lt;&gt;"",E3790&lt;&gt;"!!!"),"NEW","")))</f>
        <v> </v>
      </c>
      <c r="G3790" s="24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5" t="str">
        <f>IF(J3790&lt;&gt;1,"",IF(I3790="SBJ","CB","?"))</f>
        <v> </v>
      </c>
      <c r="I3790" s="26" t="str">
        <f>IF(OR(E3790="",E3790="!!!",F3790="NEW"),"",INDEX(B3789:B$2,-1+SUMPRODUCT(MAX(ROW(E3789:E$2)*(E3790=E3789:E$2)))))</f>
        <v> </v>
      </c>
      <c r="J3790" s="26" t="str">
        <f>IF(OR(E3790="",E3790="!!!",F3790="NEW"),"",COUNTBLANK(OFFSET(A$1,,,SUMPRODUCT(MAX(ROW(E$2:E3790)*(E3790=E$2:E3790)))))-COUNTBLANK(OFFSET(A$1,,,SUMPRODUCT(MAX(ROW(E$1:E3789)*(E2=E$1:E3789))))))</f>
        <v> </v>
      </c>
      <c r="K3790" s="26" t="str">
        <f>IF(OR(E3790="",E3790="!!!",F3790="NEW"),"",INDEX(J$1:J3789,SUMPRODUCT(MAX(ROW(E$1:E3789)*(E3790=E$1:E3789)))))</f>
        <v> </v>
      </c>
      <c r="L3790" s="27"/>
    </row>
    <row r="3791" spans="1:12">
      <c r="A3791" s="20" t="s">
        <v>2447</v>
      </c>
      <c r="B3791" s="21" t="s">
        <v>1011</v>
      </c>
      <c r="C3791" s="21" t="s">
        <v>976</v>
      </c>
      <c r="D3791" s="21" t="s">
        <v>972</v>
      </c>
      <c r="E3791" s="22">
        <f>IF(D3791="?OLD","!!!","")</f>
        <v/>
      </c>
      <c r="F3791" s="23" t="str">
        <f>IF(OR(E3791="",E3791="!!!"),"",IF(NOT(ISNA(VLOOKUP(E3791,E$1:E3790,1,FALSE()))),"OLD",IF(AND(E3791&lt;&gt;"",E3791&lt;&gt;"!!!"),"NEW","")))</f>
        <v> </v>
      </c>
      <c r="G3791" s="24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5" t="str">
        <f>IF(J3791&lt;&gt;1,"",IF(I3791="SBJ","CB","?"))</f>
        <v> </v>
      </c>
      <c r="I3791" s="26" t="str">
        <f>IF(OR(E3791="",E3791="!!!",F3791="NEW"),"",INDEX(B3790:B$2,-1+SUMPRODUCT(MAX(ROW(E3790:E$2)*(E3791=E3790:E$2)))))</f>
        <v> </v>
      </c>
      <c r="J3791" s="26" t="str">
        <f>IF(OR(E3791="",E3791="!!!",F3791="NEW"),"",COUNTBLANK(OFFSET(A$1,,,SUMPRODUCT(MAX(ROW(E$2:E3791)*(E3791=E$2:E3791)))))-COUNTBLANK(OFFSET(A$1,,,SUMPRODUCT(MAX(ROW(E$1:E3790)*(E2=E$1:E3790))))))</f>
        <v> </v>
      </c>
      <c r="K3791" s="26" t="str">
        <f>IF(OR(E3791="",E3791="!!!",F3791="NEW"),"",INDEX(J$1:J3790,SUMPRODUCT(MAX(ROW(E$1:E3790)*(E3791=E$1:E3790)))))</f>
        <v> </v>
      </c>
      <c r="L3791" s="27"/>
    </row>
    <row r="3792" spans="1:12">
      <c r="A3792" s="20" t="s">
        <v>2448</v>
      </c>
      <c r="B3792" s="21" t="s">
        <v>1175</v>
      </c>
      <c r="C3792" s="21" t="s">
        <v>976</v>
      </c>
      <c r="D3792" s="21" t="s">
        <v>972</v>
      </c>
      <c r="E3792" s="22">
        <f>IF(D3792="?OLD","!!!","")</f>
        <v/>
      </c>
      <c r="F3792" s="23" t="str">
        <f>IF(OR(E3792="",E3792="!!!"),"",IF(NOT(ISNA(VLOOKUP(E3792,E$1:E3791,1,FALSE()))),"OLD",IF(AND(E3792&lt;&gt;"",E3792&lt;&gt;"!!!"),"NEW","")))</f>
        <v> </v>
      </c>
      <c r="G3792" s="24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5" t="str">
        <f>IF(J3792&lt;&gt;1,"",IF(I3792="SBJ","CB","?"))</f>
        <v> </v>
      </c>
      <c r="I3792" s="26" t="str">
        <f>IF(OR(E3792="",E3792="!!!",F3792="NEW"),"",INDEX(B3791:B$2,-1+SUMPRODUCT(MAX(ROW(E3791:E$2)*(E3792=E3791:E$2)))))</f>
        <v> </v>
      </c>
      <c r="J3792" s="26" t="str">
        <f>IF(OR(E3792="",E3792="!!!",F3792="NEW"),"",COUNTBLANK(OFFSET(A$1,,,SUMPRODUCT(MAX(ROW(E$2:E3792)*(E3792=E$2:E3792)))))-COUNTBLANK(OFFSET(A$1,,,SUMPRODUCT(MAX(ROW(E$1:E3791)*(E2=E$1:E3791))))))</f>
        <v> </v>
      </c>
      <c r="K3792" s="26" t="str">
        <f>IF(OR(E3792="",E3792="!!!",F3792="NEW"),"",INDEX(J$1:J3791,SUMPRODUCT(MAX(ROW(E$1:E3791)*(E3792=E$1:E3791)))))</f>
        <v> </v>
      </c>
      <c r="L3792" s="27"/>
    </row>
    <row r="3793" spans="1:12">
      <c r="A3793" s="20" t="s">
        <v>979</v>
      </c>
      <c r="E3793" s="22">
        <f>IF(D3793="?OLD","!!!","")</f>
        <v/>
      </c>
      <c r="F3793" s="23" t="str">
        <f>IF(OR(E3793="",E3793="!!!"),"",IF(NOT(ISNA(VLOOKUP(E3793,E$1:E3792,1,FALSE()))),"OLD",IF(AND(E3793&lt;&gt;"",E3793&lt;&gt;"!!!"),"NEW","")))</f>
        <v> </v>
      </c>
      <c r="G3793" s="24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5" t="str">
        <f>IF(J3793&lt;&gt;1,"",IF(I3793="SBJ","CB","?"))</f>
        <v> </v>
      </c>
      <c r="I3793" s="26" t="str">
        <f>IF(OR(E3793="",E3793="!!!",F3793="NEW"),"",INDEX(B3792:B$2,-1+SUMPRODUCT(MAX(ROW(E3792:E$2)*(E3793=E3792:E$2)))))</f>
        <v> </v>
      </c>
      <c r="J3793" s="26" t="str">
        <f>IF(OR(E3793="",E3793="!!!",F3793="NEW"),"",COUNTBLANK(OFFSET(A$1,,,SUMPRODUCT(MAX(ROW(E$2:E3793)*(E3793=E$2:E3793)))))-COUNTBLANK(OFFSET(A$1,,,SUMPRODUCT(MAX(ROW(E$1:E3792)*(E2=E$1:E3792))))))</f>
        <v> </v>
      </c>
      <c r="K3793" s="26" t="str">
        <f>IF(OR(E3793="",E3793="!!!",F3793="NEW"),"",INDEX(J$1:J3792,SUMPRODUCT(MAX(ROW(E$1:E3792)*(E3793=E$1:E3792)))))</f>
        <v> </v>
      </c>
      <c r="L3793" s="27"/>
    </row>
    <row r="3794" spans="1:12">
      <c r="A3794" s="20"/>
    </row>
    <row r="3795" spans="1:12">
      <c r="A3795" s="20" t="s">
        <v>2449</v>
      </c>
    </row>
    <row r="3796" spans="1:12">
      <c r="A3796" s="20" t="s">
        <v>1509</v>
      </c>
      <c r="B3796" s="21" t="s">
        <v>975</v>
      </c>
      <c r="C3796" s="21" t="s">
        <v>971</v>
      </c>
      <c r="D3796" s="21" t="s">
        <v>972</v>
      </c>
      <c r="E3796" s="22">
        <f>IF(D3796="?OLD","!!!","")</f>
        <v/>
      </c>
      <c r="F3796" s="23" t="str">
        <f>IF(OR(E3796="",E3796="!!!"),"",IF(NOT(ISNA(VLOOKUP(E3796,E$1:E3795,1,FALSE()))),"OLD",IF(AND(E3796&lt;&gt;"",E3796&lt;&gt;"!!!"),"NEW","")))</f>
        <v> </v>
      </c>
      <c r="G3796" s="24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5" t="str">
        <f>IF(J3796&lt;&gt;1,"",IF(I3796="SBJ","CB","?"))</f>
        <v> </v>
      </c>
      <c r="I3796" s="26" t="str">
        <f>IF(OR(E3796="",E3796="!!!",F3796="NEW"),"",INDEX(B3795:B$2,-1+SUMPRODUCT(MAX(ROW(E3795:E$2)*(E3796=E3795:E$2)))))</f>
        <v> </v>
      </c>
      <c r="J3796" s="26" t="str">
        <f>IF(OR(E3796="",E3796="!!!",F3796="NEW"),"",COUNTBLANK(OFFSET(A$1,,,SUMPRODUCT(MAX(ROW(E$2:E3796)*(E3796=E$2:E3796)))))-COUNTBLANK(OFFSET(A$1,,,SUMPRODUCT(MAX(ROW(E$1:E3795)*(E2=E$1:E3795))))))</f>
        <v> </v>
      </c>
      <c r="K3796" s="26" t="str">
        <f>IF(OR(E3796="",E3796="!!!",F3796="NEW"),"",INDEX(J$1:J3795,SUMPRODUCT(MAX(ROW(E$1:E3795)*(E3796=E$1:E3795)))))</f>
        <v> </v>
      </c>
      <c r="L3796" s="27"/>
    </row>
    <row r="3797" spans="1:12">
      <c r="A3797" s="20" t="s">
        <v>1910</v>
      </c>
      <c r="E3797" s="22">
        <f>IF(D3797="?OLD","!!!","")</f>
        <v/>
      </c>
      <c r="F3797" s="23" t="str">
        <f>IF(OR(E3797="",E3797="!!!"),"",IF(NOT(ISNA(VLOOKUP(E3797,E$1:E3796,1,FALSE()))),"OLD",IF(AND(E3797&lt;&gt;"",E3797&lt;&gt;"!!!"),"NEW","")))</f>
        <v> </v>
      </c>
      <c r="G3797" s="24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5" t="str">
        <f>IF(J3797&lt;&gt;1,"",IF(I3797="SBJ","CB","?"))</f>
        <v> </v>
      </c>
      <c r="I3797" s="26" t="str">
        <f>IF(OR(E3797="",E3797="!!!",F3797="NEW"),"",INDEX(B3796:B$2,-1+SUMPRODUCT(MAX(ROW(E3796:E$2)*(E3797=E3796:E$2)))))</f>
        <v> </v>
      </c>
      <c r="J3797" s="26" t="str">
        <f>IF(OR(E3797="",E3797="!!!",F3797="NEW"),"",COUNTBLANK(OFFSET(A$1,,,SUMPRODUCT(MAX(ROW(E$2:E3797)*(E3797=E$2:E3797)))))-COUNTBLANK(OFFSET(A$1,,,SUMPRODUCT(MAX(ROW(E$1:E3796)*(E2=E$1:E3796))))))</f>
        <v> </v>
      </c>
      <c r="K3797" s="26" t="str">
        <f>IF(OR(E3797="",E3797="!!!",F3797="NEW"),"",INDEX(J$1:J3796,SUMPRODUCT(MAX(ROW(E$1:E3796)*(E3797=E$1:E3796)))))</f>
        <v> </v>
      </c>
      <c r="L3797" s="27"/>
    </row>
    <row r="3798" spans="1:12">
      <c r="A3798" s="20" t="s">
        <v>1013</v>
      </c>
      <c r="E3798" s="22">
        <f>IF(D3798="?OLD","!!!","")</f>
        <v/>
      </c>
      <c r="F3798" s="23" t="str">
        <f>IF(OR(E3798="",E3798="!!!"),"",IF(NOT(ISNA(VLOOKUP(E3798,E$1:E3797,1,FALSE()))),"OLD",IF(AND(E3798&lt;&gt;"",E3798&lt;&gt;"!!!"),"NEW","")))</f>
        <v> </v>
      </c>
      <c r="G3798" s="24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5" t="str">
        <f>IF(J3798&lt;&gt;1,"",IF(I3798="SBJ","CB","?"))</f>
        <v> </v>
      </c>
      <c r="I3798" s="26" t="str">
        <f>IF(OR(E3798="",E3798="!!!",F3798="NEW"),"",INDEX(B3797:B$2,-1+SUMPRODUCT(MAX(ROW(E3797:E$2)*(E3798=E3797:E$2)))))</f>
        <v> </v>
      </c>
      <c r="J3798" s="26" t="str">
        <f>IF(OR(E3798="",E3798="!!!",F3798="NEW"),"",COUNTBLANK(OFFSET(A$1,,,SUMPRODUCT(MAX(ROW(E$2:E3798)*(E3798=E$2:E3798)))))-COUNTBLANK(OFFSET(A$1,,,SUMPRODUCT(MAX(ROW(E$1:E3797)*(E2=E$1:E3797))))))</f>
        <v> </v>
      </c>
      <c r="K3798" s="26" t="str">
        <f>IF(OR(E3798="",E3798="!!!",F3798="NEW"),"",INDEX(J$1:J3797,SUMPRODUCT(MAX(ROW(E$1:E3797)*(E3798=E$1:E3797)))))</f>
        <v> </v>
      </c>
      <c r="L3798" s="27"/>
    </row>
    <row r="3799" spans="1:12">
      <c r="A3799" s="20" t="s">
        <v>2450</v>
      </c>
      <c r="B3799" s="21" t="s">
        <v>970</v>
      </c>
      <c r="C3799" s="21" t="s">
        <v>1200</v>
      </c>
      <c r="D3799" s="21" t="s">
        <v>972</v>
      </c>
      <c r="E3799" s="22">
        <f>IF(D3799="?OLD","!!!","")</f>
        <v/>
      </c>
      <c r="F3799" s="23" t="str">
        <f>IF(OR(E3799="",E3799="!!!"),"",IF(NOT(ISNA(VLOOKUP(E3799,E$1:E3798,1,FALSE()))),"OLD",IF(AND(E3799&lt;&gt;"",E3799&lt;&gt;"!!!"),"NEW","")))</f>
        <v> </v>
      </c>
      <c r="G3799" s="24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5" t="str">
        <f>IF(J3799&lt;&gt;1,"",IF(I3799="SBJ","CB","?"))</f>
        <v> </v>
      </c>
      <c r="I3799" s="26" t="str">
        <f>IF(OR(E3799="",E3799="!!!",F3799="NEW"),"",INDEX(B3798:B$2,-1+SUMPRODUCT(MAX(ROW(E3798:E$2)*(E3799=E3798:E$2)))))</f>
        <v> </v>
      </c>
      <c r="J3799" s="26" t="str">
        <f>IF(OR(E3799="",E3799="!!!",F3799="NEW"),"",COUNTBLANK(OFFSET(A$1,,,SUMPRODUCT(MAX(ROW(E$2:E3799)*(E3799=E$2:E3799)))))-COUNTBLANK(OFFSET(A$1,,,SUMPRODUCT(MAX(ROW(E$1:E3798)*(E2=E$1:E3798))))))</f>
        <v> </v>
      </c>
      <c r="K3799" s="26" t="str">
        <f>IF(OR(E3799="",E3799="!!!",F3799="NEW"),"",INDEX(J$1:J3798,SUMPRODUCT(MAX(ROW(E$1:E3798)*(E3799=E$1:E3798)))))</f>
        <v> </v>
      </c>
      <c r="L3799" s="27"/>
    </row>
    <row r="3800" spans="1:12">
      <c r="A3800" s="20" t="s">
        <v>2447</v>
      </c>
      <c r="B3800" s="21" t="s">
        <v>978</v>
      </c>
      <c r="C3800" s="21" t="s">
        <v>976</v>
      </c>
      <c r="D3800" s="21" t="s">
        <v>972</v>
      </c>
      <c r="E3800" s="22">
        <f>IF(D3800="?OLD","!!!","")</f>
        <v/>
      </c>
      <c r="F3800" s="23" t="str">
        <f>IF(OR(E3800="",E3800="!!!"),"",IF(NOT(ISNA(VLOOKUP(E3800,E$1:E3799,1,FALSE()))),"OLD",IF(AND(E3800&lt;&gt;"",E3800&lt;&gt;"!!!"),"NEW","")))</f>
        <v> </v>
      </c>
      <c r="G3800" s="24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5" t="str">
        <f>IF(J3800&lt;&gt;1,"",IF(I3800="SBJ","CB","?"))</f>
        <v> </v>
      </c>
      <c r="I3800" s="26" t="str">
        <f>IF(OR(E3800="",E3800="!!!",F3800="NEW"),"",INDEX(B3799:B$2,-1+SUMPRODUCT(MAX(ROW(E3799:E$2)*(E3800=E3799:E$2)))))</f>
        <v> </v>
      </c>
      <c r="J3800" s="26" t="str">
        <f>IF(OR(E3800="",E3800="!!!",F3800="NEW"),"",COUNTBLANK(OFFSET(A$1,,,SUMPRODUCT(MAX(ROW(E$2:E3800)*(E3800=E$2:E3800)))))-COUNTBLANK(OFFSET(A$1,,,SUMPRODUCT(MAX(ROW(E$1:E3799)*(E2=E$1:E3799))))))</f>
        <v> </v>
      </c>
      <c r="K3800" s="26" t="str">
        <f>IF(OR(E3800="",E3800="!!!",F3800="NEW"),"",INDEX(J$1:J3799,SUMPRODUCT(MAX(ROW(E$1:E3799)*(E3800=E$1:E3799)))))</f>
        <v> </v>
      </c>
      <c r="L3800" s="27"/>
    </row>
    <row r="3801" spans="1:12">
      <c r="A3801" s="20" t="s">
        <v>2448</v>
      </c>
      <c r="B3801" s="21" t="s">
        <v>1011</v>
      </c>
      <c r="C3801" s="21" t="s">
        <v>976</v>
      </c>
      <c r="D3801" s="21" t="s">
        <v>972</v>
      </c>
      <c r="E3801" s="22">
        <f>IF(D3801="?OLD","!!!","")</f>
        <v/>
      </c>
      <c r="F3801" s="23" t="str">
        <f>IF(OR(E3801="",E3801="!!!"),"",IF(NOT(ISNA(VLOOKUP(E3801,E$1:E3800,1,FALSE()))),"OLD",IF(AND(E3801&lt;&gt;"",E3801&lt;&gt;"!!!"),"NEW","")))</f>
        <v> </v>
      </c>
      <c r="G3801" s="24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5" t="str">
        <f>IF(J3801&lt;&gt;1,"",IF(I3801="SBJ","CB","?"))</f>
        <v> </v>
      </c>
      <c r="I3801" s="26" t="str">
        <f>IF(OR(E3801="",E3801="!!!",F3801="NEW"),"",INDEX(B3800:B$2,-1+SUMPRODUCT(MAX(ROW(E3800:E$2)*(E3801=E3800:E$2)))))</f>
        <v> </v>
      </c>
      <c r="J3801" s="26" t="str">
        <f>IF(OR(E3801="",E3801="!!!",F3801="NEW"),"",COUNTBLANK(OFFSET(A$1,,,SUMPRODUCT(MAX(ROW(E$2:E3801)*(E3801=E$2:E3801)))))-COUNTBLANK(OFFSET(A$1,,,SUMPRODUCT(MAX(ROW(E$1:E3800)*(E2=E$1:E3800))))))</f>
        <v> </v>
      </c>
      <c r="K3801" s="26" t="str">
        <f>IF(OR(E3801="",E3801="!!!",F3801="NEW"),"",INDEX(J$1:J3800,SUMPRODUCT(MAX(ROW(E$1:E3800)*(E3801=E$1:E3800)))))</f>
        <v> </v>
      </c>
      <c r="L3801" s="27"/>
    </row>
    <row r="3802" spans="1:12">
      <c r="A3802" s="20" t="s">
        <v>1013</v>
      </c>
      <c r="E3802" s="22">
        <f>IF(D3802="?OLD","!!!","")</f>
        <v/>
      </c>
      <c r="F3802" s="23" t="str">
        <f>IF(OR(E3802="",E3802="!!!"),"",IF(NOT(ISNA(VLOOKUP(E3802,E$1:E3801,1,FALSE()))),"OLD",IF(AND(E3802&lt;&gt;"",E3802&lt;&gt;"!!!"),"NEW","")))</f>
        <v> </v>
      </c>
      <c r="G3802" s="24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5" t="str">
        <f>IF(J3802&lt;&gt;1,"",IF(I3802="SBJ","CB","?"))</f>
        <v> </v>
      </c>
      <c r="I3802" s="26" t="str">
        <f>IF(OR(E3802="",E3802="!!!",F3802="NEW"),"",INDEX(B3801:B$2,-1+SUMPRODUCT(MAX(ROW(E3801:E$2)*(E3802=E3801:E$2)))))</f>
        <v> </v>
      </c>
      <c r="J3802" s="26" t="str">
        <f>IF(OR(E3802="",E3802="!!!",F3802="NEW"),"",COUNTBLANK(OFFSET(A$1,,,SUMPRODUCT(MAX(ROW(E$2:E3802)*(E3802=E$2:E3802)))))-COUNTBLANK(OFFSET(A$1,,,SUMPRODUCT(MAX(ROW(E$1:E3801)*(E2=E$1:E3801))))))</f>
        <v> </v>
      </c>
      <c r="K3802" s="26" t="str">
        <f>IF(OR(E3802="",E3802="!!!",F3802="NEW"),"",INDEX(J$1:J3801,SUMPRODUCT(MAX(ROW(E$1:E3801)*(E3802=E$1:E3801)))))</f>
        <v> </v>
      </c>
      <c r="L3802" s="27"/>
    </row>
    <row r="3803" spans="1:12">
      <c r="A3803" s="20" t="s">
        <v>1330</v>
      </c>
      <c r="E3803" s="22">
        <f>IF(D3803="?OLD","!!!","")</f>
        <v/>
      </c>
      <c r="F3803" s="23" t="str">
        <f>IF(OR(E3803="",E3803="!!!"),"",IF(NOT(ISNA(VLOOKUP(E3803,E$1:E3802,1,FALSE()))),"OLD",IF(AND(E3803&lt;&gt;"",E3803&lt;&gt;"!!!"),"NEW","")))</f>
        <v> </v>
      </c>
      <c r="G3803" s="24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5" t="str">
        <f>IF(J3803&lt;&gt;1,"",IF(I3803="SBJ","CB","?"))</f>
        <v> </v>
      </c>
      <c r="I3803" s="26" t="str">
        <f>IF(OR(E3803="",E3803="!!!",F3803="NEW"),"",INDEX(B3802:B$2,-1+SUMPRODUCT(MAX(ROW(E3802:E$2)*(E3803=E3802:E$2)))))</f>
        <v> </v>
      </c>
      <c r="J3803" s="26" t="str">
        <f>IF(OR(E3803="",E3803="!!!",F3803="NEW"),"",COUNTBLANK(OFFSET(A$1,,,SUMPRODUCT(MAX(ROW(E$2:E3803)*(E3803=E$2:E3803)))))-COUNTBLANK(OFFSET(A$1,,,SUMPRODUCT(MAX(ROW(E$1:E3802)*(E2=E$1:E3802))))))</f>
        <v> </v>
      </c>
      <c r="K3803" s="26" t="str">
        <f>IF(OR(E3803="",E3803="!!!",F3803="NEW"),"",INDEX(J$1:J3802,SUMPRODUCT(MAX(ROW(E$1:E3802)*(E3803=E$1:E3802)))))</f>
        <v> </v>
      </c>
      <c r="L3803" s="27"/>
    </row>
    <row r="3804" spans="1:12">
      <c r="A3804" s="20" t="s">
        <v>2451</v>
      </c>
      <c r="E3804" s="22">
        <f>IF(D3804="?OLD","!!!","")</f>
        <v/>
      </c>
      <c r="F3804" s="23" t="str">
        <f>IF(OR(E3804="",E3804="!!!"),"",IF(NOT(ISNA(VLOOKUP(E3804,E$1:E3803,1,FALSE()))),"OLD",IF(AND(E3804&lt;&gt;"",E3804&lt;&gt;"!!!"),"NEW","")))</f>
        <v> </v>
      </c>
      <c r="G3804" s="24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5" t="str">
        <f>IF(J3804&lt;&gt;1,"",IF(I3804="SBJ","CB","?"))</f>
        <v> </v>
      </c>
      <c r="I3804" s="26" t="str">
        <f>IF(OR(E3804="",E3804="!!!",F3804="NEW"),"",INDEX(B3803:B$2,-1+SUMPRODUCT(MAX(ROW(E3803:E$2)*(E3804=E3803:E$2)))))</f>
        <v> </v>
      </c>
      <c r="J3804" s="26" t="str">
        <f>IF(OR(E3804="",E3804="!!!",F3804="NEW"),"",COUNTBLANK(OFFSET(A$1,,,SUMPRODUCT(MAX(ROW(E$2:E3804)*(E3804=E$2:E3804)))))-COUNTBLANK(OFFSET(A$1,,,SUMPRODUCT(MAX(ROW(E$1:E3803)*(E2=E$1:E3803))))))</f>
        <v> </v>
      </c>
      <c r="K3804" s="26" t="str">
        <f>IF(OR(E3804="",E3804="!!!",F3804="NEW"),"",INDEX(J$1:J3803,SUMPRODUCT(MAX(ROW(E$1:E3803)*(E3804=E$1:E3803)))))</f>
        <v> </v>
      </c>
      <c r="L3804" s="27"/>
    </row>
    <row r="3805" spans="1:12">
      <c r="A3805" s="20" t="s">
        <v>2452</v>
      </c>
      <c r="B3805" s="21" t="s">
        <v>1003</v>
      </c>
      <c r="E3805" s="22">
        <f>IF(D3805="?OLD","!!!","")</f>
        <v/>
      </c>
      <c r="F3805" s="23" t="str">
        <f>IF(OR(E3805="",E3805="!!!"),"",IF(NOT(ISNA(VLOOKUP(E3805,E$1:E3804,1,FALSE()))),"OLD",IF(AND(E3805&lt;&gt;"",E3805&lt;&gt;"!!!"),"NEW","")))</f>
        <v> </v>
      </c>
      <c r="G3805" s="24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5" t="str">
        <f>IF(J3805&lt;&gt;1,"",IF(I3805="SBJ","CB","?"))</f>
        <v> </v>
      </c>
      <c r="I3805" s="26" t="str">
        <f>IF(OR(E3805="",E3805="!!!",F3805="NEW"),"",INDEX(B3804:B$2,-1+SUMPRODUCT(MAX(ROW(E3804:E$2)*(E3805=E3804:E$2)))))</f>
        <v> </v>
      </c>
      <c r="J3805" s="26" t="str">
        <f>IF(OR(E3805="",E3805="!!!",F3805="NEW"),"",COUNTBLANK(OFFSET(A$1,,,SUMPRODUCT(MAX(ROW(E$2:E3805)*(E3805=E$2:E3805)))))-COUNTBLANK(OFFSET(A$1,,,SUMPRODUCT(MAX(ROW(E$1:E3804)*(E2=E$1:E3804))))))</f>
        <v> </v>
      </c>
      <c r="K3805" s="26" t="str">
        <f>IF(OR(E3805="",E3805="!!!",F3805="NEW"),"",INDEX(J$1:J3804,SUMPRODUCT(MAX(ROW(E$1:E3804)*(E3805=E$1:E3804)))))</f>
        <v> </v>
      </c>
      <c r="L3805" s="27"/>
    </row>
    <row r="3806" spans="1:12">
      <c r="A3806" s="20" t="s">
        <v>2453</v>
      </c>
      <c r="E3806" s="22">
        <f>IF(D3806="?OLD","!!!","")</f>
        <v/>
      </c>
      <c r="F3806" s="23" t="str">
        <f>IF(OR(E3806="",E3806="!!!"),"",IF(NOT(ISNA(VLOOKUP(E3806,E$1:E3805,1,FALSE()))),"OLD",IF(AND(E3806&lt;&gt;"",E3806&lt;&gt;"!!!"),"NEW","")))</f>
        <v> </v>
      </c>
      <c r="G3806" s="24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5" t="str">
        <f>IF(J3806&lt;&gt;1,"",IF(I3806="SBJ","CB","?"))</f>
        <v> </v>
      </c>
      <c r="I3806" s="26" t="str">
        <f>IF(OR(E3806="",E3806="!!!",F3806="NEW"),"",INDEX(B3805:B$2,-1+SUMPRODUCT(MAX(ROW(E3805:E$2)*(E3806=E3805:E$2)))))</f>
        <v> </v>
      </c>
      <c r="J3806" s="26" t="str">
        <f>IF(OR(E3806="",E3806="!!!",F3806="NEW"),"",COUNTBLANK(OFFSET(A$1,,,SUMPRODUCT(MAX(ROW(E$2:E3806)*(E3806=E$2:E3806)))))-COUNTBLANK(OFFSET(A$1,,,SUMPRODUCT(MAX(ROW(E$1:E3805)*(E2=E$1:E3805))))))</f>
        <v> </v>
      </c>
      <c r="K3806" s="26" t="str">
        <f>IF(OR(E3806="",E3806="!!!",F3806="NEW"),"",INDEX(J$1:J3805,SUMPRODUCT(MAX(ROW(E$1:E3805)*(E3806=E$1:E3805)))))</f>
        <v> </v>
      </c>
      <c r="L3806" s="27"/>
    </row>
    <row r="3807" spans="1:12">
      <c r="A3807" s="20" t="s">
        <v>979</v>
      </c>
      <c r="E3807" s="22">
        <f>IF(D3807="?OLD","!!!","")</f>
        <v/>
      </c>
      <c r="F3807" s="23" t="str">
        <f>IF(OR(E3807="",E3807="!!!"),"",IF(NOT(ISNA(VLOOKUP(E3807,E$1:E3806,1,FALSE()))),"OLD",IF(AND(E3807&lt;&gt;"",E3807&lt;&gt;"!!!"),"NEW","")))</f>
        <v> </v>
      </c>
      <c r="G3807" s="24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5" t="str">
        <f>IF(J3807&lt;&gt;1,"",IF(I3807="SBJ","CB","?"))</f>
        <v> </v>
      </c>
      <c r="I3807" s="26" t="str">
        <f>IF(OR(E3807="",E3807="!!!",F3807="NEW"),"",INDEX(B3806:B$2,-1+SUMPRODUCT(MAX(ROW(E3806:E$2)*(E3807=E3806:E$2)))))</f>
        <v> </v>
      </c>
      <c r="J3807" s="26" t="str">
        <f>IF(OR(E3807="",E3807="!!!",F3807="NEW"),"",COUNTBLANK(OFFSET(A$1,,,SUMPRODUCT(MAX(ROW(E$2:E3807)*(E3807=E$2:E3807)))))-COUNTBLANK(OFFSET(A$1,,,SUMPRODUCT(MAX(ROW(E$1:E3806)*(E2=E$1:E3806))))))</f>
        <v> </v>
      </c>
      <c r="K3807" s="26" t="str">
        <f>IF(OR(E3807="",E3807="!!!",F3807="NEW"),"",INDEX(J$1:J3806,SUMPRODUCT(MAX(ROW(E$1:E3806)*(E3807=E$1:E3806)))))</f>
        <v> </v>
      </c>
      <c r="L3807" s="27"/>
    </row>
    <row r="3808" spans="1:12">
      <c r="A3808" s="20"/>
    </row>
    <row r="3809" spans="1:12">
      <c r="A3809" s="20" t="s">
        <v>2454</v>
      </c>
    </row>
    <row r="3810" spans="1:12">
      <c r="A3810" s="20" t="s">
        <v>2005</v>
      </c>
      <c r="E3810" s="22">
        <f>IF(D3810="?OLD","!!!","")</f>
        <v/>
      </c>
      <c r="F3810" s="23" t="str">
        <f>IF(OR(E3810="",E3810="!!!"),"",IF(NOT(ISNA(VLOOKUP(E3810,E$1:E3809,1,FALSE()))),"OLD",IF(AND(E3810&lt;&gt;"",E3810&lt;&gt;"!!!"),"NEW","")))</f>
        <v> </v>
      </c>
      <c r="G3810" s="24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5" t="str">
        <f>IF(J3810&lt;&gt;1,"",IF(I3810="SBJ","CB","?"))</f>
        <v> </v>
      </c>
      <c r="I3810" s="26" t="str">
        <f>IF(OR(E3810="",E3810="!!!",F3810="NEW"),"",INDEX(B3809:B$2,-1+SUMPRODUCT(MAX(ROW(E3809:E$2)*(E3810=E3809:E$2)))))</f>
        <v> </v>
      </c>
      <c r="J3810" s="26" t="str">
        <f>IF(OR(E3810="",E3810="!!!",F3810="NEW"),"",COUNTBLANK(OFFSET(A$1,,,SUMPRODUCT(MAX(ROW(E$2:E3810)*(E3810=E$2:E3810)))))-COUNTBLANK(OFFSET(A$1,,,SUMPRODUCT(MAX(ROW(E$1:E3809)*(E2=E$1:E3809))))))</f>
        <v> </v>
      </c>
      <c r="K3810" s="26" t="str">
        <f>IF(OR(E3810="",E3810="!!!",F3810="NEW"),"",INDEX(J$1:J3809,SUMPRODUCT(MAX(ROW(E$1:E3809)*(E3810=E$1:E3809)))))</f>
        <v> </v>
      </c>
      <c r="L3810" s="27"/>
    </row>
    <row r="3811" spans="1:12">
      <c r="A3811" s="20" t="s">
        <v>2455</v>
      </c>
      <c r="B3811" s="21" t="s">
        <v>975</v>
      </c>
      <c r="E3811" s="22">
        <f>IF(D3811="?OLD","!!!","")</f>
        <v/>
      </c>
      <c r="F3811" s="23" t="str">
        <f>IF(OR(E3811="",E3811="!!!"),"",IF(NOT(ISNA(VLOOKUP(E3811,E$1:E3810,1,FALSE()))),"OLD",IF(AND(E3811&lt;&gt;"",E3811&lt;&gt;"!!!"),"NEW","")))</f>
        <v> </v>
      </c>
      <c r="G3811" s="24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5" t="str">
        <f>IF(J3811&lt;&gt;1,"",IF(I3811="SBJ","CB","?"))</f>
        <v> </v>
      </c>
      <c r="I3811" s="26" t="str">
        <f>IF(OR(E3811="",E3811="!!!",F3811="NEW"),"",INDEX(B3810:B$2,-1+SUMPRODUCT(MAX(ROW(E3810:E$2)*(E3811=E3810:E$2)))))</f>
        <v> </v>
      </c>
      <c r="J3811" s="26" t="str">
        <f>IF(OR(E3811="",E3811="!!!",F3811="NEW"),"",COUNTBLANK(OFFSET(A$1,,,SUMPRODUCT(MAX(ROW(E$2:E3811)*(E3811=E$2:E3811)))))-COUNTBLANK(OFFSET(A$1,,,SUMPRODUCT(MAX(ROW(E$1:E3810)*(E2=E$1:E3810))))))</f>
        <v> </v>
      </c>
      <c r="K3811" s="26" t="str">
        <f>IF(OR(E3811="",E3811="!!!",F3811="NEW"),"",INDEX(J$1:J3810,SUMPRODUCT(MAX(ROW(E$1:E3810)*(E3811=E$1:E3810)))))</f>
        <v> </v>
      </c>
      <c r="L3811" s="27"/>
    </row>
    <row r="3812" spans="1:12">
      <c r="A3812" s="20" t="s">
        <v>1013</v>
      </c>
      <c r="E3812" s="22">
        <f>IF(D3812="?OLD","!!!","")</f>
        <v/>
      </c>
      <c r="F3812" s="23" t="str">
        <f>IF(OR(E3812="",E3812="!!!"),"",IF(NOT(ISNA(VLOOKUP(E3812,E$1:E3811,1,FALSE()))),"OLD",IF(AND(E3812&lt;&gt;"",E3812&lt;&gt;"!!!"),"NEW","")))</f>
        <v> </v>
      </c>
      <c r="G3812" s="24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5" t="str">
        <f>IF(J3812&lt;&gt;1,"",IF(I3812="SBJ","CB","?"))</f>
        <v> </v>
      </c>
      <c r="I3812" s="26" t="str">
        <f>IF(OR(E3812="",E3812="!!!",F3812="NEW"),"",INDEX(B3811:B$2,-1+SUMPRODUCT(MAX(ROW(E3811:E$2)*(E3812=E3811:E$2)))))</f>
        <v> </v>
      </c>
      <c r="J3812" s="26" t="str">
        <f>IF(OR(E3812="",E3812="!!!",F3812="NEW"),"",COUNTBLANK(OFFSET(A$1,,,SUMPRODUCT(MAX(ROW(E$2:E3812)*(E3812=E$2:E3812)))))-COUNTBLANK(OFFSET(A$1,,,SUMPRODUCT(MAX(ROW(E$1:E3811)*(E2=E$1:E3811))))))</f>
        <v> </v>
      </c>
      <c r="K3812" s="26" t="str">
        <f>IF(OR(E3812="",E3812="!!!",F3812="NEW"),"",INDEX(J$1:J3811,SUMPRODUCT(MAX(ROW(E$1:E3811)*(E3812=E$1:E3811)))))</f>
        <v> </v>
      </c>
      <c r="L3812" s="27"/>
    </row>
    <row r="3813" spans="1:12">
      <c r="A3813" s="20" t="s">
        <v>2456</v>
      </c>
      <c r="E3813" s="22">
        <f>IF(D3813="?OLD","!!!","")</f>
        <v/>
      </c>
      <c r="F3813" s="23" t="str">
        <f>IF(OR(E3813="",E3813="!!!"),"",IF(NOT(ISNA(VLOOKUP(E3813,E$1:E3812,1,FALSE()))),"OLD",IF(AND(E3813&lt;&gt;"",E3813&lt;&gt;"!!!"),"NEW","")))</f>
        <v> </v>
      </c>
      <c r="G3813" s="24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5" t="str">
        <f>IF(J3813&lt;&gt;1,"",IF(I3813="SBJ","CB","?"))</f>
        <v> </v>
      </c>
      <c r="I3813" s="26" t="str">
        <f>IF(OR(E3813="",E3813="!!!",F3813="NEW"),"",INDEX(B3812:B$2,-1+SUMPRODUCT(MAX(ROW(E3812:E$2)*(E3813=E3812:E$2)))))</f>
        <v> </v>
      </c>
      <c r="J3813" s="26" t="str">
        <f>IF(OR(E3813="",E3813="!!!",F3813="NEW"),"",COUNTBLANK(OFFSET(A$1,,,SUMPRODUCT(MAX(ROW(E$2:E3813)*(E3813=E$2:E3813)))))-COUNTBLANK(OFFSET(A$1,,,SUMPRODUCT(MAX(ROW(E$1:E3812)*(E2=E$1:E3812))))))</f>
        <v> </v>
      </c>
      <c r="K3813" s="26" t="str">
        <f>IF(OR(E3813="",E3813="!!!",F3813="NEW"),"",INDEX(J$1:J3812,SUMPRODUCT(MAX(ROW(E$1:E3812)*(E3813=E$1:E3812)))))</f>
        <v> </v>
      </c>
      <c r="L3813" s="27"/>
    </row>
    <row r="3814" spans="1:12">
      <c r="A3814" s="20" t="s">
        <v>1013</v>
      </c>
      <c r="E3814" s="22">
        <f>IF(D3814="?OLD","!!!","")</f>
        <v/>
      </c>
      <c r="F3814" s="23" t="str">
        <f>IF(OR(E3814="",E3814="!!!"),"",IF(NOT(ISNA(VLOOKUP(E3814,E$1:E3813,1,FALSE()))),"OLD",IF(AND(E3814&lt;&gt;"",E3814&lt;&gt;"!!!"),"NEW","")))</f>
        <v> </v>
      </c>
      <c r="G3814" s="24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5" t="str">
        <f>IF(J3814&lt;&gt;1,"",IF(I3814="SBJ","CB","?"))</f>
        <v> </v>
      </c>
      <c r="I3814" s="26" t="str">
        <f>IF(OR(E3814="",E3814="!!!",F3814="NEW"),"",INDEX(B3813:B$2,-1+SUMPRODUCT(MAX(ROW(E3813:E$2)*(E3814=E3813:E$2)))))</f>
        <v> </v>
      </c>
      <c r="J3814" s="26" t="str">
        <f>IF(OR(E3814="",E3814="!!!",F3814="NEW"),"",COUNTBLANK(OFFSET(A$1,,,SUMPRODUCT(MAX(ROW(E$2:E3814)*(E3814=E$2:E3814)))))-COUNTBLANK(OFFSET(A$1,,,SUMPRODUCT(MAX(ROW(E$1:E3813)*(E2=E$1:E3813))))))</f>
        <v> </v>
      </c>
      <c r="K3814" s="26" t="str">
        <f>IF(OR(E3814="",E3814="!!!",F3814="NEW"),"",INDEX(J$1:J3813,SUMPRODUCT(MAX(ROW(E$1:E3813)*(E3814=E$1:E3813)))))</f>
        <v> </v>
      </c>
      <c r="L3814" s="27"/>
    </row>
    <row r="3815" spans="1:12">
      <c r="A3815" s="20" t="s">
        <v>2457</v>
      </c>
      <c r="E3815" s="22">
        <f>IF(D3815="?OLD","!!!","")</f>
        <v/>
      </c>
      <c r="F3815" s="23" t="str">
        <f>IF(OR(E3815="",E3815="!!!"),"",IF(NOT(ISNA(VLOOKUP(E3815,E$1:E3814,1,FALSE()))),"OLD",IF(AND(E3815&lt;&gt;"",E3815&lt;&gt;"!!!"),"NEW","")))</f>
        <v> </v>
      </c>
      <c r="G3815" s="24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5" t="str">
        <f>IF(J3815&lt;&gt;1,"",IF(I3815="SBJ","CB","?"))</f>
        <v> </v>
      </c>
      <c r="I3815" s="26" t="str">
        <f>IF(OR(E3815="",E3815="!!!",F3815="NEW"),"",INDEX(B3814:B$2,-1+SUMPRODUCT(MAX(ROW(E3814:E$2)*(E3815=E3814:E$2)))))</f>
        <v> </v>
      </c>
      <c r="J3815" s="26" t="str">
        <f>IF(OR(E3815="",E3815="!!!",F3815="NEW"),"",COUNTBLANK(OFFSET(A$1,,,SUMPRODUCT(MAX(ROW(E$2:E3815)*(E3815=E$2:E3815)))))-COUNTBLANK(OFFSET(A$1,,,SUMPRODUCT(MAX(ROW(E$1:E3814)*(E2=E$1:E3814))))))</f>
        <v> </v>
      </c>
      <c r="K3815" s="26" t="str">
        <f>IF(OR(E3815="",E3815="!!!",F3815="NEW"),"",INDEX(J$1:J3814,SUMPRODUCT(MAX(ROW(E$1:E3814)*(E3815=E$1:E3814)))))</f>
        <v> </v>
      </c>
      <c r="L3815" s="27"/>
    </row>
    <row r="3816" spans="1:12">
      <c r="A3816" s="20" t="s">
        <v>2458</v>
      </c>
      <c r="E3816" s="22">
        <f>IF(D3816="?OLD","!!!","")</f>
        <v/>
      </c>
      <c r="F3816" s="23" t="str">
        <f>IF(OR(E3816="",E3816="!!!"),"",IF(NOT(ISNA(VLOOKUP(E3816,E$1:E3815,1,FALSE()))),"OLD",IF(AND(E3816&lt;&gt;"",E3816&lt;&gt;"!!!"),"NEW","")))</f>
        <v> </v>
      </c>
      <c r="G3816" s="24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5" t="str">
        <f>IF(J3816&lt;&gt;1,"",IF(I3816="SBJ","CB","?"))</f>
        <v> </v>
      </c>
      <c r="I3816" s="26" t="str">
        <f>IF(OR(E3816="",E3816="!!!",F3816="NEW"),"",INDEX(B3815:B$2,-1+SUMPRODUCT(MAX(ROW(E3815:E$2)*(E3816=E3815:E$2)))))</f>
        <v> </v>
      </c>
      <c r="J3816" s="26" t="str">
        <f>IF(OR(E3816="",E3816="!!!",F3816="NEW"),"",COUNTBLANK(OFFSET(A$1,,,SUMPRODUCT(MAX(ROW(E$2:E3816)*(E3816=E$2:E3816)))))-COUNTBLANK(OFFSET(A$1,,,SUMPRODUCT(MAX(ROW(E$1:E3815)*(E2=E$1:E3815))))))</f>
        <v> </v>
      </c>
      <c r="K3816" s="26" t="str">
        <f>IF(OR(E3816="",E3816="!!!",F3816="NEW"),"",INDEX(J$1:J3815,SUMPRODUCT(MAX(ROW(E$1:E3815)*(E3816=E$1:E3815)))))</f>
        <v> </v>
      </c>
      <c r="L3816" s="27"/>
    </row>
    <row r="3817" spans="1:12">
      <c r="A3817" s="20" t="s">
        <v>999</v>
      </c>
      <c r="E3817" s="22">
        <f>IF(D3817="?OLD","!!!","")</f>
        <v/>
      </c>
      <c r="F3817" s="23" t="str">
        <f>IF(OR(E3817="",E3817="!!!"),"",IF(NOT(ISNA(VLOOKUP(E3817,E$1:E3816,1,FALSE()))),"OLD",IF(AND(E3817&lt;&gt;"",E3817&lt;&gt;"!!!"),"NEW","")))</f>
        <v> </v>
      </c>
      <c r="G3817" s="24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5" t="str">
        <f>IF(J3817&lt;&gt;1,"",IF(I3817="SBJ","CB","?"))</f>
        <v> </v>
      </c>
      <c r="I3817" s="26" t="str">
        <f>IF(OR(E3817="",E3817="!!!",F3817="NEW"),"",INDEX(B3816:B$2,-1+SUMPRODUCT(MAX(ROW(E3816:E$2)*(E3817=E3816:E$2)))))</f>
        <v> </v>
      </c>
      <c r="J3817" s="26" t="str">
        <f>IF(OR(E3817="",E3817="!!!",F3817="NEW"),"",COUNTBLANK(OFFSET(A$1,,,SUMPRODUCT(MAX(ROW(E$2:E3817)*(E3817=E$2:E3817)))))-COUNTBLANK(OFFSET(A$1,,,SUMPRODUCT(MAX(ROW(E$1:E3816)*(E2=E$1:E3816))))))</f>
        <v> </v>
      </c>
      <c r="K3817" s="26" t="str">
        <f>IF(OR(E3817="",E3817="!!!",F3817="NEW"),"",INDEX(J$1:J3816,SUMPRODUCT(MAX(ROW(E$1:E3816)*(E3817=E$1:E3816)))))</f>
        <v> </v>
      </c>
      <c r="L3817" s="27"/>
    </row>
    <row r="3818" spans="1:12">
      <c r="A3818" s="20" t="s">
        <v>1222</v>
      </c>
      <c r="E3818" s="22">
        <f>IF(D3818="?OLD","!!!","")</f>
        <v/>
      </c>
      <c r="F3818" s="23" t="str">
        <f>IF(OR(E3818="",E3818="!!!"),"",IF(NOT(ISNA(VLOOKUP(E3818,E$1:E3817,1,FALSE()))),"OLD",IF(AND(E3818&lt;&gt;"",E3818&lt;&gt;"!!!"),"NEW","")))</f>
        <v> </v>
      </c>
      <c r="G3818" s="24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5" t="str">
        <f>IF(J3818&lt;&gt;1,"",IF(I3818="SBJ","CB","?"))</f>
        <v> </v>
      </c>
      <c r="I3818" s="26" t="str">
        <f>IF(OR(E3818="",E3818="!!!",F3818="NEW"),"",INDEX(B3817:B$2,-1+SUMPRODUCT(MAX(ROW(E3817:E$2)*(E3818=E3817:E$2)))))</f>
        <v> </v>
      </c>
      <c r="J3818" s="26" t="str">
        <f>IF(OR(E3818="",E3818="!!!",F3818="NEW"),"",COUNTBLANK(OFFSET(A$1,,,SUMPRODUCT(MAX(ROW(E$2:E3818)*(E3818=E$2:E3818)))))-COUNTBLANK(OFFSET(A$1,,,SUMPRODUCT(MAX(ROW(E$1:E3817)*(E2=E$1:E3817))))))</f>
        <v> </v>
      </c>
      <c r="K3818" s="26" t="str">
        <f>IF(OR(E3818="",E3818="!!!",F3818="NEW"),"",INDEX(J$1:J3817,SUMPRODUCT(MAX(ROW(E$1:E3817)*(E3818=E$1:E3817)))))</f>
        <v> </v>
      </c>
      <c r="L3818" s="27"/>
    </row>
    <row r="3819" spans="1:12">
      <c r="A3819" s="20" t="s">
        <v>1297</v>
      </c>
      <c r="E3819" s="22">
        <f>IF(D3819="?OLD","!!!","")</f>
        <v/>
      </c>
      <c r="F3819" s="23" t="str">
        <f>IF(OR(E3819="",E3819="!!!"),"",IF(NOT(ISNA(VLOOKUP(E3819,E$1:E3818,1,FALSE()))),"OLD",IF(AND(E3819&lt;&gt;"",E3819&lt;&gt;"!!!"),"NEW","")))</f>
        <v> </v>
      </c>
      <c r="G3819" s="24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5" t="str">
        <f>IF(J3819&lt;&gt;1,"",IF(I3819="SBJ","CB","?"))</f>
        <v> </v>
      </c>
      <c r="I3819" s="26" t="str">
        <f>IF(OR(E3819="",E3819="!!!",F3819="NEW"),"",INDEX(B3818:B$2,-1+SUMPRODUCT(MAX(ROW(E3818:E$2)*(E3819=E3818:E$2)))))</f>
        <v> </v>
      </c>
      <c r="J3819" s="26" t="str">
        <f>IF(OR(E3819="",E3819="!!!",F3819="NEW"),"",COUNTBLANK(OFFSET(A$1,,,SUMPRODUCT(MAX(ROW(E$2:E3819)*(E3819=E$2:E3819)))))-COUNTBLANK(OFFSET(A$1,,,SUMPRODUCT(MAX(ROW(E$1:E3818)*(E2=E$1:E3818))))))</f>
        <v> </v>
      </c>
      <c r="K3819" s="26" t="str">
        <f>IF(OR(E3819="",E3819="!!!",F3819="NEW"),"",INDEX(J$1:J3818,SUMPRODUCT(MAX(ROW(E$1:E3818)*(E3819=E$1:E3818)))))</f>
        <v> </v>
      </c>
      <c r="L3819" s="27"/>
    </row>
    <row r="3820" spans="1:12">
      <c r="A3820" s="20" t="s">
        <v>1189</v>
      </c>
      <c r="B3820" s="21" t="s">
        <v>1339</v>
      </c>
      <c r="C3820" s="21" t="s">
        <v>971</v>
      </c>
      <c r="D3820" s="21" t="s">
        <v>972</v>
      </c>
      <c r="E3820" s="22">
        <f>IF(D3820="?OLD","!!!","")</f>
        <v/>
      </c>
      <c r="F3820" s="23" t="str">
        <f>IF(OR(E3820="",E3820="!!!"),"",IF(NOT(ISNA(VLOOKUP(E3820,E$1:E3819,1,FALSE()))),"OLD",IF(AND(E3820&lt;&gt;"",E3820&lt;&gt;"!!!"),"NEW","")))</f>
        <v> </v>
      </c>
      <c r="G3820" s="24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5" t="str">
        <f>IF(J3820&lt;&gt;1,"",IF(I3820="SBJ","CB","?"))</f>
        <v> </v>
      </c>
      <c r="I3820" s="26" t="str">
        <f>IF(OR(E3820="",E3820="!!!",F3820="NEW"),"",INDEX(B3819:B$2,-1+SUMPRODUCT(MAX(ROW(E3819:E$2)*(E3820=E3819:E$2)))))</f>
        <v> </v>
      </c>
      <c r="J3820" s="26" t="str">
        <f>IF(OR(E3820="",E3820="!!!",F3820="NEW"),"",COUNTBLANK(OFFSET(A$1,,,SUMPRODUCT(MAX(ROW(E$2:E3820)*(E3820=E$2:E3820)))))-COUNTBLANK(OFFSET(A$1,,,SUMPRODUCT(MAX(ROW(E$1:E3819)*(E2=E$1:E3819))))))</f>
        <v> </v>
      </c>
      <c r="K3820" s="26" t="str">
        <f>IF(OR(E3820="",E3820="!!!",F3820="NEW"),"",INDEX(J$1:J3819,SUMPRODUCT(MAX(ROW(E$1:E3819)*(E3820=E$1:E3819)))))</f>
        <v> </v>
      </c>
      <c r="L3820" s="27"/>
    </row>
    <row r="3821" spans="1:12">
      <c r="A3821" s="20" t="s">
        <v>1388</v>
      </c>
      <c r="E3821" s="22">
        <f>IF(D3821="?OLD","!!!","")</f>
        <v/>
      </c>
      <c r="F3821" s="23" t="str">
        <f>IF(OR(E3821="",E3821="!!!"),"",IF(NOT(ISNA(VLOOKUP(E3821,E$1:E3820,1,FALSE()))),"OLD",IF(AND(E3821&lt;&gt;"",E3821&lt;&gt;"!!!"),"NEW","")))</f>
        <v> </v>
      </c>
      <c r="G3821" s="24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5" t="str">
        <f>IF(J3821&lt;&gt;1,"",IF(I3821="SBJ","CB","?"))</f>
        <v> </v>
      </c>
      <c r="I3821" s="26" t="str">
        <f>IF(OR(E3821="",E3821="!!!",F3821="NEW"),"",INDEX(B3820:B$2,-1+SUMPRODUCT(MAX(ROW(E3820:E$2)*(E3821=E3820:E$2)))))</f>
        <v> </v>
      </c>
      <c r="J3821" s="26" t="str">
        <f>IF(OR(E3821="",E3821="!!!",F3821="NEW"),"",COUNTBLANK(OFFSET(A$1,,,SUMPRODUCT(MAX(ROW(E$2:E3821)*(E3821=E$2:E3821)))))-COUNTBLANK(OFFSET(A$1,,,SUMPRODUCT(MAX(ROW(E$1:E3820)*(E2=E$1:E3820))))))</f>
        <v> </v>
      </c>
      <c r="K3821" s="26" t="str">
        <f>IF(OR(E3821="",E3821="!!!",F3821="NEW"),"",INDEX(J$1:J3820,SUMPRODUCT(MAX(ROW(E$1:E3820)*(E3821=E$1:E3820)))))</f>
        <v> </v>
      </c>
      <c r="L3821" s="27"/>
    </row>
    <row r="3822" spans="1:12">
      <c r="A3822" s="20" t="s">
        <v>2459</v>
      </c>
      <c r="E3822" s="22">
        <f>IF(D3822="?OLD","!!!","")</f>
        <v/>
      </c>
      <c r="F3822" s="23" t="str">
        <f>IF(OR(E3822="",E3822="!!!"),"",IF(NOT(ISNA(VLOOKUP(E3822,E$1:E3821,1,FALSE()))),"OLD",IF(AND(E3822&lt;&gt;"",E3822&lt;&gt;"!!!"),"NEW","")))</f>
        <v> </v>
      </c>
      <c r="G3822" s="24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5" t="str">
        <f>IF(J3822&lt;&gt;1,"",IF(I3822="SBJ","CB","?"))</f>
        <v> </v>
      </c>
      <c r="I3822" s="26" t="str">
        <f>IF(OR(E3822="",E3822="!!!",F3822="NEW"),"",INDEX(B3821:B$2,-1+SUMPRODUCT(MAX(ROW(E3821:E$2)*(E3822=E3821:E$2)))))</f>
        <v> </v>
      </c>
      <c r="J3822" s="26" t="str">
        <f>IF(OR(E3822="",E3822="!!!",F3822="NEW"),"",COUNTBLANK(OFFSET(A$1,,,SUMPRODUCT(MAX(ROW(E$2:E3822)*(E3822=E$2:E3822)))))-COUNTBLANK(OFFSET(A$1,,,SUMPRODUCT(MAX(ROW(E$1:E3821)*(E2=E$1:E3821))))))</f>
        <v> </v>
      </c>
      <c r="K3822" s="26" t="str">
        <f>IF(OR(E3822="",E3822="!!!",F3822="NEW"),"",INDEX(J$1:J3821,SUMPRODUCT(MAX(ROW(E$1:E3821)*(E3822=E$1:E3821)))))</f>
        <v> </v>
      </c>
      <c r="L3822" s="27"/>
    </row>
    <row r="3823" spans="1:12">
      <c r="A3823" s="20" t="s">
        <v>2460</v>
      </c>
      <c r="E3823" s="22">
        <f>IF(D3823="?OLD","!!!","")</f>
        <v/>
      </c>
      <c r="F3823" s="23" t="str">
        <f>IF(OR(E3823="",E3823="!!!"),"",IF(NOT(ISNA(VLOOKUP(E3823,E$1:E3822,1,FALSE()))),"OLD",IF(AND(E3823&lt;&gt;"",E3823&lt;&gt;"!!!"),"NEW","")))</f>
        <v> </v>
      </c>
      <c r="G3823" s="24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5" t="str">
        <f>IF(J3823&lt;&gt;1,"",IF(I3823="SBJ","CB","?"))</f>
        <v> </v>
      </c>
      <c r="I3823" s="26" t="str">
        <f>IF(OR(E3823="",E3823="!!!",F3823="NEW"),"",INDEX(B3822:B$2,-1+SUMPRODUCT(MAX(ROW(E3822:E$2)*(E3823=E3822:E$2)))))</f>
        <v> </v>
      </c>
      <c r="J3823" s="26" t="str">
        <f>IF(OR(E3823="",E3823="!!!",F3823="NEW"),"",COUNTBLANK(OFFSET(A$1,,,SUMPRODUCT(MAX(ROW(E$2:E3823)*(E3823=E$2:E3823)))))-COUNTBLANK(OFFSET(A$1,,,SUMPRODUCT(MAX(ROW(E$1:E3822)*(E2=E$1:E3822))))))</f>
        <v> </v>
      </c>
      <c r="K3823" s="26" t="str">
        <f>IF(OR(E3823="",E3823="!!!",F3823="NEW"),"",INDEX(J$1:J3822,SUMPRODUCT(MAX(ROW(E$1:E3822)*(E3823=E$1:E3822)))))</f>
        <v> </v>
      </c>
      <c r="L3823" s="27"/>
    </row>
    <row r="3824" spans="1:12">
      <c r="A3824" s="20" t="s">
        <v>1004</v>
      </c>
      <c r="E3824" s="22">
        <f>IF(D3824="?OLD","!!!","")</f>
        <v/>
      </c>
      <c r="F3824" s="23" t="str">
        <f>IF(OR(E3824="",E3824="!!!"),"",IF(NOT(ISNA(VLOOKUP(E3824,E$1:E3823,1,FALSE()))),"OLD",IF(AND(E3824&lt;&gt;"",E3824&lt;&gt;"!!!"),"NEW","")))</f>
        <v> </v>
      </c>
      <c r="G3824" s="24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5" t="str">
        <f>IF(J3824&lt;&gt;1,"",IF(I3824="SBJ","CB","?"))</f>
        <v> </v>
      </c>
      <c r="I3824" s="26" t="str">
        <f>IF(OR(E3824="",E3824="!!!",F3824="NEW"),"",INDEX(B3823:B$2,-1+SUMPRODUCT(MAX(ROW(E3823:E$2)*(E3824=E3823:E$2)))))</f>
        <v> </v>
      </c>
      <c r="J3824" s="26" t="str">
        <f>IF(OR(E3824="",E3824="!!!",F3824="NEW"),"",COUNTBLANK(OFFSET(A$1,,,SUMPRODUCT(MAX(ROW(E$2:E3824)*(E3824=E$2:E3824)))))-COUNTBLANK(OFFSET(A$1,,,SUMPRODUCT(MAX(ROW(E$1:E3823)*(E2=E$1:E3823))))))</f>
        <v> </v>
      </c>
      <c r="K3824" s="26" t="str">
        <f>IF(OR(E3824="",E3824="!!!",F3824="NEW"),"",INDEX(J$1:J3823,SUMPRODUCT(MAX(ROW(E$1:E3823)*(E3824=E$1:E3823)))))</f>
        <v> </v>
      </c>
      <c r="L3824" s="27"/>
    </row>
    <row r="3825" spans="1:12">
      <c r="A3825" s="20" t="s">
        <v>979</v>
      </c>
      <c r="E3825" s="22">
        <f>IF(D3825="?OLD","!!!","")</f>
        <v/>
      </c>
      <c r="F3825" s="23" t="str">
        <f>IF(OR(E3825="",E3825="!!!"),"",IF(NOT(ISNA(VLOOKUP(E3825,E$1:E3824,1,FALSE()))),"OLD",IF(AND(E3825&lt;&gt;"",E3825&lt;&gt;"!!!"),"NEW","")))</f>
        <v> </v>
      </c>
      <c r="G3825" s="24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5" t="str">
        <f>IF(J3825&lt;&gt;1,"",IF(I3825="SBJ","CB","?"))</f>
        <v> </v>
      </c>
      <c r="I3825" s="26" t="str">
        <f>IF(OR(E3825="",E3825="!!!",F3825="NEW"),"",INDEX(B3824:B$2,-1+SUMPRODUCT(MAX(ROW(E3824:E$2)*(E3825=E3824:E$2)))))</f>
        <v> </v>
      </c>
      <c r="J3825" s="26" t="str">
        <f>IF(OR(E3825="",E3825="!!!",F3825="NEW"),"",COUNTBLANK(OFFSET(A$1,,,SUMPRODUCT(MAX(ROW(E$2:E3825)*(E3825=E$2:E3825)))))-COUNTBLANK(OFFSET(A$1,,,SUMPRODUCT(MAX(ROW(E$1:E3824)*(E2=E$1:E3824))))))</f>
        <v> </v>
      </c>
      <c r="K3825" s="26" t="str">
        <f>IF(OR(E3825="",E3825="!!!",F3825="NEW"),"",INDEX(J$1:J3824,SUMPRODUCT(MAX(ROW(E$1:E3824)*(E3825=E$1:E3824)))))</f>
        <v> </v>
      </c>
      <c r="L3825" s="27"/>
    </row>
    <row r="3826" spans="1:12">
      <c r="A3826" s="20"/>
    </row>
    <row r="3827" spans="1:12">
      <c r="A3827" s="20" t="s">
        <v>2461</v>
      </c>
    </row>
    <row r="3828" spans="1:12">
      <c r="A3828" s="20" t="s">
        <v>1070</v>
      </c>
      <c r="E3828" s="22">
        <f>IF(D3828="?OLD","!!!","")</f>
        <v/>
      </c>
      <c r="F3828" s="23" t="str">
        <f>IF(OR(E3828="",E3828="!!!"),"",IF(NOT(ISNA(VLOOKUP(E3828,E$1:E3827,1,FALSE()))),"OLD",IF(AND(E3828&lt;&gt;"",E3828&lt;&gt;"!!!"),"NEW","")))</f>
        <v> </v>
      </c>
      <c r="G3828" s="24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5" t="str">
        <f>IF(J3828&lt;&gt;1,"",IF(I3828="SBJ","CB","?"))</f>
        <v> </v>
      </c>
      <c r="I3828" s="26" t="str">
        <f>IF(OR(E3828="",E3828="!!!",F3828="NEW"),"",INDEX(B3827:B$2,-1+SUMPRODUCT(MAX(ROW(E3827:E$2)*(E3828=E3827:E$2)))))</f>
        <v> </v>
      </c>
      <c r="J3828" s="26" t="str">
        <f>IF(OR(E3828="",E3828="!!!",F3828="NEW"),"",COUNTBLANK(OFFSET(A$1,,,SUMPRODUCT(MAX(ROW(E$2:E3828)*(E3828=E$2:E3828)))))-COUNTBLANK(OFFSET(A$1,,,SUMPRODUCT(MAX(ROW(E$1:E3827)*(E2=E$1:E3827))))))</f>
        <v> </v>
      </c>
      <c r="K3828" s="26" t="str">
        <f>IF(OR(E3828="",E3828="!!!",F3828="NEW"),"",INDEX(J$1:J3827,SUMPRODUCT(MAX(ROW(E$1:E3827)*(E3828=E$1:E3827)))))</f>
        <v> </v>
      </c>
      <c r="L3828" s="27"/>
    </row>
    <row r="3829" spans="1:12">
      <c r="A3829" s="20" t="s">
        <v>1005</v>
      </c>
      <c r="E3829" s="22">
        <f>IF(D3829="?OLD","!!!","")</f>
        <v/>
      </c>
      <c r="F3829" s="23" t="str">
        <f>IF(OR(E3829="",E3829="!!!"),"",IF(NOT(ISNA(VLOOKUP(E3829,E$1:E3828,1,FALSE()))),"OLD",IF(AND(E3829&lt;&gt;"",E3829&lt;&gt;"!!!"),"NEW","")))</f>
        <v> </v>
      </c>
      <c r="G3829" s="24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5" t="str">
        <f>IF(J3829&lt;&gt;1,"",IF(I3829="SBJ","CB","?"))</f>
        <v> </v>
      </c>
      <c r="I3829" s="26" t="str">
        <f>IF(OR(E3829="",E3829="!!!",F3829="NEW"),"",INDEX(B3828:B$2,-1+SUMPRODUCT(MAX(ROW(E3828:E$2)*(E3829=E3828:E$2)))))</f>
        <v> </v>
      </c>
      <c r="J3829" s="26" t="str">
        <f>IF(OR(E3829="",E3829="!!!",F3829="NEW"),"",COUNTBLANK(OFFSET(A$1,,,SUMPRODUCT(MAX(ROW(E$2:E3829)*(E3829=E$2:E3829)))))-COUNTBLANK(OFFSET(A$1,,,SUMPRODUCT(MAX(ROW(E$1:E3828)*(E2=E$1:E3828))))))</f>
        <v> </v>
      </c>
      <c r="K3829" s="26" t="str">
        <f>IF(OR(E3829="",E3829="!!!",F3829="NEW"),"",INDEX(J$1:J3828,SUMPRODUCT(MAX(ROW(E$1:E3828)*(E3829=E$1:E3828)))))</f>
        <v> </v>
      </c>
      <c r="L3829" s="27"/>
    </row>
    <row r="3830" spans="1:12">
      <c r="A3830" s="20" t="s">
        <v>2259</v>
      </c>
      <c r="B3830" s="21" t="s">
        <v>978</v>
      </c>
      <c r="C3830" s="21" t="s">
        <v>996</v>
      </c>
      <c r="D3830" s="21" t="s">
        <v>972</v>
      </c>
      <c r="E3830" s="22">
        <f>IF(D3830="?OLD","!!!","")</f>
        <v/>
      </c>
      <c r="F3830" s="23" t="str">
        <f>IF(OR(E3830="",E3830="!!!"),"",IF(NOT(ISNA(VLOOKUP(E3830,E$1:E3829,1,FALSE()))),"OLD",IF(AND(E3830&lt;&gt;"",E3830&lt;&gt;"!!!"),"NEW","")))</f>
        <v> </v>
      </c>
      <c r="G3830" s="24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5" t="str">
        <f>IF(J3830&lt;&gt;1,"",IF(I3830="SBJ","CB","?"))</f>
        <v> </v>
      </c>
      <c r="I3830" s="26" t="str">
        <f>IF(OR(E3830="",E3830="!!!",F3830="NEW"),"",INDEX(B3829:B$2,-1+SUMPRODUCT(MAX(ROW(E3829:E$2)*(E3830=E3829:E$2)))))</f>
        <v> </v>
      </c>
      <c r="J3830" s="26" t="str">
        <f>IF(OR(E3830="",E3830="!!!",F3830="NEW"),"",COUNTBLANK(OFFSET(A$1,,,SUMPRODUCT(MAX(ROW(E$2:E3830)*(E3830=E$2:E3830)))))-COUNTBLANK(OFFSET(A$1,,,SUMPRODUCT(MAX(ROW(E$1:E3829)*(E2=E$1:E3829))))))</f>
        <v> </v>
      </c>
      <c r="K3830" s="26" t="str">
        <f>IF(OR(E3830="",E3830="!!!",F3830="NEW"),"",INDEX(J$1:J3829,SUMPRODUCT(MAX(ROW(E$1:E3829)*(E3830=E$1:E3829)))))</f>
        <v> </v>
      </c>
      <c r="L3830" s="27"/>
    </row>
    <row r="3831" spans="1:12">
      <c r="A3831" s="20" t="s">
        <v>1015</v>
      </c>
      <c r="E3831" s="22">
        <f>IF(D3831="?OLD","!!!","")</f>
        <v/>
      </c>
      <c r="F3831" s="23" t="str">
        <f>IF(OR(E3831="",E3831="!!!"),"",IF(NOT(ISNA(VLOOKUP(E3831,E$1:E3830,1,FALSE()))),"OLD",IF(AND(E3831&lt;&gt;"",E3831&lt;&gt;"!!!"),"NEW","")))</f>
        <v> </v>
      </c>
      <c r="G3831" s="24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5" t="str">
        <f>IF(J3831&lt;&gt;1,"",IF(I3831="SBJ","CB","?"))</f>
        <v> </v>
      </c>
      <c r="I3831" s="26" t="str">
        <f>IF(OR(E3831="",E3831="!!!",F3831="NEW"),"",INDEX(B3830:B$2,-1+SUMPRODUCT(MAX(ROW(E3830:E$2)*(E3831=E3830:E$2)))))</f>
        <v> </v>
      </c>
      <c r="J3831" s="26" t="str">
        <f>IF(OR(E3831="",E3831="!!!",F3831="NEW"),"",COUNTBLANK(OFFSET(A$1,,,SUMPRODUCT(MAX(ROW(E$2:E3831)*(E3831=E$2:E3831)))))-COUNTBLANK(OFFSET(A$1,,,SUMPRODUCT(MAX(ROW(E$1:E3830)*(E2=E$1:E3830))))))</f>
        <v> </v>
      </c>
      <c r="K3831" s="26" t="str">
        <f>IF(OR(E3831="",E3831="!!!",F3831="NEW"),"",INDEX(J$1:J3830,SUMPRODUCT(MAX(ROW(E$1:E3830)*(E3831=E$1:E3830)))))</f>
        <v> </v>
      </c>
      <c r="L3831" s="27"/>
    </row>
    <row r="3832" spans="1:12">
      <c r="A3832" s="20" t="s">
        <v>1013</v>
      </c>
      <c r="E3832" s="22">
        <f>IF(D3832="?OLD","!!!","")</f>
        <v/>
      </c>
      <c r="F3832" s="23" t="str">
        <f>IF(OR(E3832="",E3832="!!!"),"",IF(NOT(ISNA(VLOOKUP(E3832,E$1:E3831,1,FALSE()))),"OLD",IF(AND(E3832&lt;&gt;"",E3832&lt;&gt;"!!!"),"NEW","")))</f>
        <v> </v>
      </c>
      <c r="G3832" s="24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5" t="str">
        <f>IF(J3832&lt;&gt;1,"",IF(I3832="SBJ","CB","?"))</f>
        <v> </v>
      </c>
      <c r="I3832" s="26" t="str">
        <f>IF(OR(E3832="",E3832="!!!",F3832="NEW"),"",INDEX(B3831:B$2,-1+SUMPRODUCT(MAX(ROW(E3831:E$2)*(E3832=E3831:E$2)))))</f>
        <v> </v>
      </c>
      <c r="J3832" s="26" t="str">
        <f>IF(OR(E3832="",E3832="!!!",F3832="NEW"),"",COUNTBLANK(OFFSET(A$1,,,SUMPRODUCT(MAX(ROW(E$2:E3832)*(E3832=E$2:E3832)))))-COUNTBLANK(OFFSET(A$1,,,SUMPRODUCT(MAX(ROW(E$1:E3831)*(E2=E$1:E3831))))))</f>
        <v> </v>
      </c>
      <c r="K3832" s="26" t="str">
        <f>IF(OR(E3832="",E3832="!!!",F3832="NEW"),"",INDEX(J$1:J3831,SUMPRODUCT(MAX(ROW(E$1:E3831)*(E3832=E$1:E3831)))))</f>
        <v> </v>
      </c>
      <c r="L3832" s="27"/>
    </row>
    <row r="3833" spans="1:12">
      <c r="A3833" s="20" t="s">
        <v>2462</v>
      </c>
      <c r="E3833" s="22">
        <f>IF(D3833="?OLD","!!!","")</f>
        <v/>
      </c>
      <c r="F3833" s="23" t="str">
        <f>IF(OR(E3833="",E3833="!!!"),"",IF(NOT(ISNA(VLOOKUP(E3833,E$1:E3832,1,FALSE()))),"OLD",IF(AND(E3833&lt;&gt;"",E3833&lt;&gt;"!!!"),"NEW","")))</f>
        <v> </v>
      </c>
      <c r="G3833" s="24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5" t="str">
        <f>IF(J3833&lt;&gt;1,"",IF(I3833="SBJ","CB","?"))</f>
        <v> </v>
      </c>
      <c r="I3833" s="26" t="str">
        <f>IF(OR(E3833="",E3833="!!!",F3833="NEW"),"",INDEX(B3832:B$2,-1+SUMPRODUCT(MAX(ROW(E3832:E$2)*(E3833=E3832:E$2)))))</f>
        <v> </v>
      </c>
      <c r="J3833" s="26" t="str">
        <f>IF(OR(E3833="",E3833="!!!",F3833="NEW"),"",COUNTBLANK(OFFSET(A$1,,,SUMPRODUCT(MAX(ROW(E$2:E3833)*(E3833=E$2:E3833)))))-COUNTBLANK(OFFSET(A$1,,,SUMPRODUCT(MAX(ROW(E$1:E3832)*(E2=E$1:E3832))))))</f>
        <v> </v>
      </c>
      <c r="K3833" s="26" t="str">
        <f>IF(OR(E3833="",E3833="!!!",F3833="NEW"),"",INDEX(J$1:J3832,SUMPRODUCT(MAX(ROW(E$1:E3832)*(E3833=E$1:E3832)))))</f>
        <v> </v>
      </c>
      <c r="L3833" s="27"/>
    </row>
    <row r="3834" spans="1:12">
      <c r="A3834" s="20" t="s">
        <v>1234</v>
      </c>
      <c r="B3834" s="21" t="s">
        <v>995</v>
      </c>
      <c r="C3834" s="21" t="s">
        <v>1012</v>
      </c>
      <c r="D3834" s="21" t="s">
        <v>972</v>
      </c>
      <c r="E3834" s="22">
        <f>IF(D3834="?OLD","!!!","")</f>
        <v/>
      </c>
      <c r="F3834" s="23" t="str">
        <f>IF(OR(E3834="",E3834="!!!"),"",IF(NOT(ISNA(VLOOKUP(E3834,E$1:E3833,1,FALSE()))),"OLD",IF(AND(E3834&lt;&gt;"",E3834&lt;&gt;"!!!"),"NEW","")))</f>
        <v> </v>
      </c>
      <c r="G3834" s="24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5" t="str">
        <f>IF(J3834&lt;&gt;1,"",IF(I3834="SBJ","CB","?"))</f>
        <v> </v>
      </c>
      <c r="I3834" s="26" t="str">
        <f>IF(OR(E3834="",E3834="!!!",F3834="NEW"),"",INDEX(B3833:B$2,-1+SUMPRODUCT(MAX(ROW(E3833:E$2)*(E3834=E3833:E$2)))))</f>
        <v> </v>
      </c>
      <c r="J3834" s="26" t="str">
        <f>IF(OR(E3834="",E3834="!!!",F3834="NEW"),"",COUNTBLANK(OFFSET(A$1,,,SUMPRODUCT(MAX(ROW(E$2:E3834)*(E3834=E$2:E3834)))))-COUNTBLANK(OFFSET(A$1,,,SUMPRODUCT(MAX(ROW(E$1:E3833)*(E2=E$1:E3833))))))</f>
        <v> </v>
      </c>
      <c r="K3834" s="26" t="str">
        <f>IF(OR(E3834="",E3834="!!!",F3834="NEW"),"",INDEX(J$1:J3833,SUMPRODUCT(MAX(ROW(E$1:E3833)*(E3834=E$1:E3833)))))</f>
        <v> </v>
      </c>
      <c r="L3834" s="27"/>
    </row>
    <row r="3835" spans="1:12">
      <c r="A3835" s="20" t="s">
        <v>1013</v>
      </c>
      <c r="E3835" s="22">
        <f>IF(D3835="?OLD","!!!","")</f>
        <v/>
      </c>
      <c r="F3835" s="23" t="str">
        <f>IF(OR(E3835="",E3835="!!!"),"",IF(NOT(ISNA(VLOOKUP(E3835,E$1:E3834,1,FALSE()))),"OLD",IF(AND(E3835&lt;&gt;"",E3835&lt;&gt;"!!!"),"NEW","")))</f>
        <v> </v>
      </c>
      <c r="G3835" s="24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5" t="str">
        <f>IF(J3835&lt;&gt;1,"",IF(I3835="SBJ","CB","?"))</f>
        <v> </v>
      </c>
      <c r="I3835" s="26" t="str">
        <f>IF(OR(E3835="",E3835="!!!",F3835="NEW"),"",INDEX(B3834:B$2,-1+SUMPRODUCT(MAX(ROW(E3834:E$2)*(E3835=E3834:E$2)))))</f>
        <v> </v>
      </c>
      <c r="J3835" s="26" t="str">
        <f>IF(OR(E3835="",E3835="!!!",F3835="NEW"),"",COUNTBLANK(OFFSET(A$1,,,SUMPRODUCT(MAX(ROW(E$2:E3835)*(E3835=E$2:E3835)))))-COUNTBLANK(OFFSET(A$1,,,SUMPRODUCT(MAX(ROW(E$1:E3834)*(E2=E$1:E3834))))))</f>
        <v> </v>
      </c>
      <c r="K3835" s="26" t="str">
        <f>IF(OR(E3835="",E3835="!!!",F3835="NEW"),"",INDEX(J$1:J3834,SUMPRODUCT(MAX(ROW(E$1:E3834)*(E3835=E$1:E3834)))))</f>
        <v> </v>
      </c>
      <c r="L3835" s="27"/>
    </row>
    <row r="3836" spans="1:12">
      <c r="A3836" s="20" t="s">
        <v>1053</v>
      </c>
      <c r="E3836" s="22">
        <f>IF(D3836="?OLD","!!!","")</f>
        <v/>
      </c>
      <c r="F3836" s="23" t="str">
        <f>IF(OR(E3836="",E3836="!!!"),"",IF(NOT(ISNA(VLOOKUP(E3836,E$1:E3835,1,FALSE()))),"OLD",IF(AND(E3836&lt;&gt;"",E3836&lt;&gt;"!!!"),"NEW","")))</f>
        <v> </v>
      </c>
      <c r="G3836" s="24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5" t="str">
        <f>IF(J3836&lt;&gt;1,"",IF(I3836="SBJ","CB","?"))</f>
        <v> </v>
      </c>
      <c r="I3836" s="26" t="str">
        <f>IF(OR(E3836="",E3836="!!!",F3836="NEW"),"",INDEX(B3835:B$2,-1+SUMPRODUCT(MAX(ROW(E3835:E$2)*(E3836=E3835:E$2)))))</f>
        <v> </v>
      </c>
      <c r="J3836" s="26" t="str">
        <f>IF(OR(E3836="",E3836="!!!",F3836="NEW"),"",COUNTBLANK(OFFSET(A$1,,,SUMPRODUCT(MAX(ROW(E$2:E3836)*(E3836=E$2:E3836)))))-COUNTBLANK(OFFSET(A$1,,,SUMPRODUCT(MAX(ROW(E$1:E3835)*(E2=E$1:E3835))))))</f>
        <v> </v>
      </c>
      <c r="K3836" s="26" t="str">
        <f>IF(OR(E3836="",E3836="!!!",F3836="NEW"),"",INDEX(J$1:J3835,SUMPRODUCT(MAX(ROW(E$1:E3835)*(E3836=E$1:E3835)))))</f>
        <v> </v>
      </c>
      <c r="L3836" s="27"/>
    </row>
    <row r="3837" spans="1:12">
      <c r="A3837" s="20" t="s">
        <v>2037</v>
      </c>
      <c r="E3837" s="22">
        <f>IF(D3837="?OLD","!!!","")</f>
        <v/>
      </c>
      <c r="F3837" s="23" t="str">
        <f>IF(OR(E3837="",E3837="!!!"),"",IF(NOT(ISNA(VLOOKUP(E3837,E$1:E3836,1,FALSE()))),"OLD",IF(AND(E3837&lt;&gt;"",E3837&lt;&gt;"!!!"),"NEW","")))</f>
        <v> </v>
      </c>
      <c r="G3837" s="24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5" t="str">
        <f>IF(J3837&lt;&gt;1,"",IF(I3837="SBJ","CB","?"))</f>
        <v> </v>
      </c>
      <c r="I3837" s="26" t="str">
        <f>IF(OR(E3837="",E3837="!!!",F3837="NEW"),"",INDEX(B3836:B$2,-1+SUMPRODUCT(MAX(ROW(E3836:E$2)*(E3837=E3836:E$2)))))</f>
        <v> </v>
      </c>
      <c r="J3837" s="26" t="str">
        <f>IF(OR(E3837="",E3837="!!!",F3837="NEW"),"",COUNTBLANK(OFFSET(A$1,,,SUMPRODUCT(MAX(ROW(E$2:E3837)*(E3837=E$2:E3837)))))-COUNTBLANK(OFFSET(A$1,,,SUMPRODUCT(MAX(ROW(E$1:E3836)*(E2=E$1:E3836))))))</f>
        <v> </v>
      </c>
      <c r="K3837" s="26" t="str">
        <f>IF(OR(E3837="",E3837="!!!",F3837="NEW"),"",INDEX(J$1:J3836,SUMPRODUCT(MAX(ROW(E$1:E3836)*(E3837=E$1:E3836)))))</f>
        <v> </v>
      </c>
      <c r="L3837" s="27"/>
    </row>
    <row r="3838" spans="1:12">
      <c r="A3838" s="20" t="s">
        <v>2463</v>
      </c>
      <c r="B3838" s="21" t="s">
        <v>1003</v>
      </c>
      <c r="E3838" s="22">
        <f>IF(D3838="?OLD","!!!","")</f>
        <v/>
      </c>
      <c r="F3838" s="23" t="str">
        <f>IF(OR(E3838="",E3838="!!!"),"",IF(NOT(ISNA(VLOOKUP(E3838,E$1:E3837,1,FALSE()))),"OLD",IF(AND(E3838&lt;&gt;"",E3838&lt;&gt;"!!!"),"NEW","")))</f>
        <v> </v>
      </c>
      <c r="G3838" s="24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5" t="str">
        <f>IF(J3838&lt;&gt;1,"",IF(I3838="SBJ","CB","?"))</f>
        <v> </v>
      </c>
      <c r="I3838" s="26" t="str">
        <f>IF(OR(E3838="",E3838="!!!",F3838="NEW"),"",INDEX(B3837:B$2,-1+SUMPRODUCT(MAX(ROW(E3837:E$2)*(E3838=E3837:E$2)))))</f>
        <v> </v>
      </c>
      <c r="J3838" s="26" t="str">
        <f>IF(OR(E3838="",E3838="!!!",F3838="NEW"),"",COUNTBLANK(OFFSET(A$1,,,SUMPRODUCT(MAX(ROW(E$2:E3838)*(E3838=E$2:E3838)))))-COUNTBLANK(OFFSET(A$1,,,SUMPRODUCT(MAX(ROW(E$1:E3837)*(E2=E$1:E3837))))))</f>
        <v> </v>
      </c>
      <c r="K3838" s="26" t="str">
        <f>IF(OR(E3838="",E3838="!!!",F3838="NEW"),"",INDEX(J$1:J3837,SUMPRODUCT(MAX(ROW(E$1:E3837)*(E3838=E$1:E3837)))))</f>
        <v> </v>
      </c>
      <c r="L3838" s="27"/>
    </row>
    <row r="3839" spans="1:12">
      <c r="A3839" s="20" t="s">
        <v>1005</v>
      </c>
      <c r="E3839" s="22">
        <f>IF(D3839="?OLD","!!!","")</f>
        <v/>
      </c>
      <c r="F3839" s="23" t="str">
        <f>IF(OR(E3839="",E3839="!!!"),"",IF(NOT(ISNA(VLOOKUP(E3839,E$1:E3838,1,FALSE()))),"OLD",IF(AND(E3839&lt;&gt;"",E3839&lt;&gt;"!!!"),"NEW","")))</f>
        <v> </v>
      </c>
      <c r="G3839" s="24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5" t="str">
        <f>IF(J3839&lt;&gt;1,"",IF(I3839="SBJ","CB","?"))</f>
        <v> </v>
      </c>
      <c r="I3839" s="26" t="str">
        <f>IF(OR(E3839="",E3839="!!!",F3839="NEW"),"",INDEX(B3838:B$2,-1+SUMPRODUCT(MAX(ROW(E3838:E$2)*(E3839=E3838:E$2)))))</f>
        <v> </v>
      </c>
      <c r="J3839" s="26" t="str">
        <f>IF(OR(E3839="",E3839="!!!",F3839="NEW"),"",COUNTBLANK(OFFSET(A$1,,,SUMPRODUCT(MAX(ROW(E$2:E3839)*(E3839=E$2:E3839)))))-COUNTBLANK(OFFSET(A$1,,,SUMPRODUCT(MAX(ROW(E$1:E3838)*(E2=E$1:E3838))))))</f>
        <v> </v>
      </c>
      <c r="K3839" s="26" t="str">
        <f>IF(OR(E3839="",E3839="!!!",F3839="NEW"),"",INDEX(J$1:J3838,SUMPRODUCT(MAX(ROW(E$1:E3838)*(E3839=E$1:E3838)))))</f>
        <v> </v>
      </c>
      <c r="L3839" s="27"/>
    </row>
    <row r="3840" spans="1:12">
      <c r="A3840" s="20" t="s">
        <v>2464</v>
      </c>
      <c r="E3840" s="22">
        <f>IF(D3840="?OLD","!!!","")</f>
        <v/>
      </c>
      <c r="F3840" s="23" t="str">
        <f>IF(OR(E3840="",E3840="!!!"),"",IF(NOT(ISNA(VLOOKUP(E3840,E$1:E3839,1,FALSE()))),"OLD",IF(AND(E3840&lt;&gt;"",E3840&lt;&gt;"!!!"),"NEW","")))</f>
        <v> </v>
      </c>
      <c r="G3840" s="24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5" t="str">
        <f>IF(J3840&lt;&gt;1,"",IF(I3840="SBJ","CB","?"))</f>
        <v> </v>
      </c>
      <c r="I3840" s="26" t="str">
        <f>IF(OR(E3840="",E3840="!!!",F3840="NEW"),"",INDEX(B3839:B$2,-1+SUMPRODUCT(MAX(ROW(E3839:E$2)*(E3840=E3839:E$2)))))</f>
        <v> </v>
      </c>
      <c r="J3840" s="26" t="str">
        <f>IF(OR(E3840="",E3840="!!!",F3840="NEW"),"",COUNTBLANK(OFFSET(A$1,,,SUMPRODUCT(MAX(ROW(E$2:E3840)*(E3840=E$2:E3840)))))-COUNTBLANK(OFFSET(A$1,,,SUMPRODUCT(MAX(ROW(E$1:E3839)*(E2=E$1:E3839))))))</f>
        <v> </v>
      </c>
      <c r="K3840" s="26" t="str">
        <f>IF(OR(E3840="",E3840="!!!",F3840="NEW"),"",INDEX(J$1:J3839,SUMPRODUCT(MAX(ROW(E$1:E3839)*(E3840=E$1:E3839)))))</f>
        <v> </v>
      </c>
      <c r="L3840" s="27"/>
    </row>
    <row r="3841" spans="1:12">
      <c r="A3841" s="20" t="s">
        <v>1013</v>
      </c>
      <c r="E3841" s="22">
        <f>IF(D3841="?OLD","!!!","")</f>
        <v/>
      </c>
      <c r="F3841" s="23" t="str">
        <f>IF(OR(E3841="",E3841="!!!"),"",IF(NOT(ISNA(VLOOKUP(E3841,E$1:E3840,1,FALSE()))),"OLD",IF(AND(E3841&lt;&gt;"",E3841&lt;&gt;"!!!"),"NEW","")))</f>
        <v> </v>
      </c>
      <c r="G3841" s="24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5" t="str">
        <f>IF(J3841&lt;&gt;1,"",IF(I3841="SBJ","CB","?"))</f>
        <v> </v>
      </c>
      <c r="I3841" s="26" t="str">
        <f>IF(OR(E3841="",E3841="!!!",F3841="NEW"),"",INDEX(B3840:B$2,-1+SUMPRODUCT(MAX(ROW(E3840:E$2)*(E3841=E3840:E$2)))))</f>
        <v> </v>
      </c>
      <c r="J3841" s="26" t="str">
        <f>IF(OR(E3841="",E3841="!!!",F3841="NEW"),"",COUNTBLANK(OFFSET(A$1,,,SUMPRODUCT(MAX(ROW(E$2:E3841)*(E3841=E$2:E3841)))))-COUNTBLANK(OFFSET(A$1,,,SUMPRODUCT(MAX(ROW(E$1:E3840)*(E2=E$1:E3840))))))</f>
        <v> </v>
      </c>
      <c r="K3841" s="26" t="str">
        <f>IF(OR(E3841="",E3841="!!!",F3841="NEW"),"",INDEX(J$1:J3840,SUMPRODUCT(MAX(ROW(E$1:E3840)*(E3841=E$1:E3840)))))</f>
        <v> </v>
      </c>
      <c r="L3841" s="27"/>
    </row>
    <row r="3842" spans="1:12">
      <c r="A3842" s="20" t="s">
        <v>400</v>
      </c>
      <c r="B3842" s="21" t="s">
        <v>975</v>
      </c>
      <c r="C3842" s="21" t="s">
        <v>971</v>
      </c>
      <c r="D3842" s="21" t="s">
        <v>972</v>
      </c>
      <c r="E3842" s="22">
        <f>IF(D3842="?OLD","!!!","")</f>
        <v/>
      </c>
      <c r="F3842" s="23" t="str">
        <f>IF(OR(E3842="",E3842="!!!"),"",IF(NOT(ISNA(VLOOKUP(E3842,E$1:E3841,1,FALSE()))),"OLD",IF(AND(E3842&lt;&gt;"",E3842&lt;&gt;"!!!"),"NEW","")))</f>
        <v> </v>
      </c>
      <c r="G3842" s="24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5" t="str">
        <f>IF(J3842&lt;&gt;1,"",IF(I3842="SBJ","CB","?"))</f>
        <v> </v>
      </c>
      <c r="I3842" s="26" t="str">
        <f>IF(OR(E3842="",E3842="!!!",F3842="NEW"),"",INDEX(B3841:B$2,-1+SUMPRODUCT(MAX(ROW(E3841:E$2)*(E3842=E3841:E$2)))))</f>
        <v> </v>
      </c>
      <c r="J3842" s="26" t="str">
        <f>IF(OR(E3842="",E3842="!!!",F3842="NEW"),"",COUNTBLANK(OFFSET(A$1,,,SUMPRODUCT(MAX(ROW(E$2:E3842)*(E3842=E$2:E3842)))))-COUNTBLANK(OFFSET(A$1,,,SUMPRODUCT(MAX(ROW(E$1:E3841)*(E2=E$1:E3841))))))</f>
        <v> </v>
      </c>
      <c r="K3842" s="26" t="str">
        <f>IF(OR(E3842="",E3842="!!!",F3842="NEW"),"",INDEX(J$1:J3841,SUMPRODUCT(MAX(ROW(E$1:E3841)*(E3842=E$1:E3841)))))</f>
        <v> </v>
      </c>
      <c r="L3842" s="27"/>
    </row>
    <row r="3843" spans="1:12">
      <c r="A3843" s="20" t="s">
        <v>2465</v>
      </c>
      <c r="E3843" s="22">
        <f>IF(D3843="?OLD","!!!","")</f>
        <v/>
      </c>
      <c r="F3843" s="23" t="str">
        <f>IF(OR(E3843="",E3843="!!!"),"",IF(NOT(ISNA(VLOOKUP(E3843,E$1:E3842,1,FALSE()))),"OLD",IF(AND(E3843&lt;&gt;"",E3843&lt;&gt;"!!!"),"NEW","")))</f>
        <v> </v>
      </c>
      <c r="G3843" s="24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5" t="str">
        <f>IF(J3843&lt;&gt;1,"",IF(I3843="SBJ","CB","?"))</f>
        <v> </v>
      </c>
      <c r="I3843" s="26" t="str">
        <f>IF(OR(E3843="",E3843="!!!",F3843="NEW"),"",INDEX(B3842:B$2,-1+SUMPRODUCT(MAX(ROW(E3842:E$2)*(E3843=E3842:E$2)))))</f>
        <v> </v>
      </c>
      <c r="J3843" s="26" t="str">
        <f>IF(OR(E3843="",E3843="!!!",F3843="NEW"),"",COUNTBLANK(OFFSET(A$1,,,SUMPRODUCT(MAX(ROW(E$2:E3843)*(E3843=E$2:E3843)))))-COUNTBLANK(OFFSET(A$1,,,SUMPRODUCT(MAX(ROW(E$1:E3842)*(E2=E$1:E3842))))))</f>
        <v> </v>
      </c>
      <c r="K3843" s="26" t="str">
        <f>IF(OR(E3843="",E3843="!!!",F3843="NEW"),"",INDEX(J$1:J3842,SUMPRODUCT(MAX(ROW(E$1:E3842)*(E3843=E$1:E3842)))))</f>
        <v> </v>
      </c>
      <c r="L3843" s="27"/>
    </row>
    <row r="3844" spans="1:12">
      <c r="A3844" s="20" t="s">
        <v>1013</v>
      </c>
      <c r="E3844" s="22">
        <f>IF(D3844="?OLD","!!!","")</f>
        <v/>
      </c>
      <c r="F3844" s="23" t="str">
        <f>IF(OR(E3844="",E3844="!!!"),"",IF(NOT(ISNA(VLOOKUP(E3844,E$1:E3843,1,FALSE()))),"OLD",IF(AND(E3844&lt;&gt;"",E3844&lt;&gt;"!!!"),"NEW","")))</f>
        <v> </v>
      </c>
      <c r="G3844" s="24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5" t="str">
        <f>IF(J3844&lt;&gt;1,"",IF(I3844="SBJ","CB","?"))</f>
        <v> </v>
      </c>
      <c r="I3844" s="26" t="str">
        <f>IF(OR(E3844="",E3844="!!!",F3844="NEW"),"",INDEX(B3843:B$2,-1+SUMPRODUCT(MAX(ROW(E3843:E$2)*(E3844=E3843:E$2)))))</f>
        <v> </v>
      </c>
      <c r="J3844" s="26" t="str">
        <f>IF(OR(E3844="",E3844="!!!",F3844="NEW"),"",COUNTBLANK(OFFSET(A$1,,,SUMPRODUCT(MAX(ROW(E$2:E3844)*(E3844=E$2:E3844)))))-COUNTBLANK(OFFSET(A$1,,,SUMPRODUCT(MAX(ROW(E$1:E3843)*(E2=E$1:E3843))))))</f>
        <v> </v>
      </c>
      <c r="K3844" s="26" t="str">
        <f>IF(OR(E3844="",E3844="!!!",F3844="NEW"),"",INDEX(J$1:J3843,SUMPRODUCT(MAX(ROW(E$1:E3843)*(E3844=E$1:E3843)))))</f>
        <v> </v>
      </c>
      <c r="L3844" s="27"/>
    </row>
    <row r="3845" spans="1:12">
      <c r="A3845" s="20" t="s">
        <v>149</v>
      </c>
      <c r="E3845" s="22">
        <f>IF(D3845="?OLD","!!!","")</f>
        <v/>
      </c>
      <c r="F3845" s="23" t="str">
        <f>IF(OR(E3845="",E3845="!!!"),"",IF(NOT(ISNA(VLOOKUP(E3845,E$1:E3844,1,FALSE()))),"OLD",IF(AND(E3845&lt;&gt;"",E3845&lt;&gt;"!!!"),"NEW","")))</f>
        <v> </v>
      </c>
      <c r="G3845" s="24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5" t="str">
        <f>IF(J3845&lt;&gt;1,"",IF(I3845="SBJ","CB","?"))</f>
        <v> </v>
      </c>
      <c r="I3845" s="26" t="str">
        <f>IF(OR(E3845="",E3845="!!!",F3845="NEW"),"",INDEX(B3844:B$2,-1+SUMPRODUCT(MAX(ROW(E3844:E$2)*(E3845=E3844:E$2)))))</f>
        <v> </v>
      </c>
      <c r="J3845" s="26" t="str">
        <f>IF(OR(E3845="",E3845="!!!",F3845="NEW"),"",COUNTBLANK(OFFSET(A$1,,,SUMPRODUCT(MAX(ROW(E$2:E3845)*(E3845=E$2:E3845)))))-COUNTBLANK(OFFSET(A$1,,,SUMPRODUCT(MAX(ROW(E$1:E3844)*(E2=E$1:E3844))))))</f>
        <v> </v>
      </c>
      <c r="K3845" s="26" t="str">
        <f>IF(OR(E3845="",E3845="!!!",F3845="NEW"),"",INDEX(J$1:J3844,SUMPRODUCT(MAX(ROW(E$1:E3844)*(E3845=E$1:E3844)))))</f>
        <v> </v>
      </c>
      <c r="L3845" s="27"/>
    </row>
    <row r="3846" spans="1:12">
      <c r="A3846" s="20" t="s">
        <v>1297</v>
      </c>
      <c r="B3846" s="21" t="s">
        <v>1101</v>
      </c>
      <c r="C3846" s="21" t="s">
        <v>971</v>
      </c>
      <c r="D3846" s="21" t="s">
        <v>972</v>
      </c>
      <c r="E3846" s="22">
        <f>IF(D3846="?OLD","!!!","")</f>
        <v/>
      </c>
      <c r="F3846" s="23" t="str">
        <f>IF(OR(E3846="",E3846="!!!"),"",IF(NOT(ISNA(VLOOKUP(E3846,E$1:E3845,1,FALSE()))),"OLD",IF(AND(E3846&lt;&gt;"",E3846&lt;&gt;"!!!"),"NEW","")))</f>
        <v> </v>
      </c>
      <c r="G3846" s="24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5" t="str">
        <f>IF(J3846&lt;&gt;1,"",IF(I3846="SBJ","CB","?"))</f>
        <v> </v>
      </c>
      <c r="I3846" s="26" t="str">
        <f>IF(OR(E3846="",E3846="!!!",F3846="NEW"),"",INDEX(B3845:B$2,-1+SUMPRODUCT(MAX(ROW(E3845:E$2)*(E3846=E3845:E$2)))))</f>
        <v> </v>
      </c>
      <c r="J3846" s="26" t="str">
        <f>IF(OR(E3846="",E3846="!!!",F3846="NEW"),"",COUNTBLANK(OFFSET(A$1,,,SUMPRODUCT(MAX(ROW(E$2:E3846)*(E3846=E$2:E3846)))))-COUNTBLANK(OFFSET(A$1,,,SUMPRODUCT(MAX(ROW(E$1:E3845)*(E2=E$1:E3845))))))</f>
        <v> </v>
      </c>
      <c r="K3846" s="26" t="str">
        <f>IF(OR(E3846="",E3846="!!!",F3846="NEW"),"",INDEX(J$1:J3845,SUMPRODUCT(MAX(ROW(E$1:E3845)*(E3846=E$1:E3845)))))</f>
        <v> </v>
      </c>
      <c r="L3846" s="27"/>
    </row>
    <row r="3847" spans="1:12">
      <c r="A3847" s="20" t="s">
        <v>2466</v>
      </c>
      <c r="E3847" s="22">
        <f>IF(D3847="?OLD","!!!","")</f>
        <v/>
      </c>
      <c r="F3847" s="23" t="str">
        <f>IF(OR(E3847="",E3847="!!!"),"",IF(NOT(ISNA(VLOOKUP(E3847,E$1:E3846,1,FALSE()))),"OLD",IF(AND(E3847&lt;&gt;"",E3847&lt;&gt;"!!!"),"NEW","")))</f>
        <v> </v>
      </c>
      <c r="G3847" s="24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5" t="str">
        <f>IF(J3847&lt;&gt;1,"",IF(I3847="SBJ","CB","?"))</f>
        <v> </v>
      </c>
      <c r="I3847" s="26" t="str">
        <f>IF(OR(E3847="",E3847="!!!",F3847="NEW"),"",INDEX(B3846:B$2,-1+SUMPRODUCT(MAX(ROW(E3846:E$2)*(E3847=E3846:E$2)))))</f>
        <v> </v>
      </c>
      <c r="J3847" s="26" t="str">
        <f>IF(OR(E3847="",E3847="!!!",F3847="NEW"),"",COUNTBLANK(OFFSET(A$1,,,SUMPRODUCT(MAX(ROW(E$2:E3847)*(E3847=E$2:E3847)))))-COUNTBLANK(OFFSET(A$1,,,SUMPRODUCT(MAX(ROW(E$1:E3846)*(E2=E$1:E3846))))))</f>
        <v> </v>
      </c>
      <c r="K3847" s="26" t="str">
        <f>IF(OR(E3847="",E3847="!!!",F3847="NEW"),"",INDEX(J$1:J3846,SUMPRODUCT(MAX(ROW(E$1:E3846)*(E3847=E$1:E3846)))))</f>
        <v> </v>
      </c>
      <c r="L3847" s="27"/>
    </row>
    <row r="3848" spans="1:12">
      <c r="A3848" s="20" t="s">
        <v>1005</v>
      </c>
      <c r="E3848" s="22">
        <f>IF(D3848="?OLD","!!!","")</f>
        <v/>
      </c>
      <c r="F3848" s="23" t="str">
        <f>IF(OR(E3848="",E3848="!!!"),"",IF(NOT(ISNA(VLOOKUP(E3848,E$1:E3847,1,FALSE()))),"OLD",IF(AND(E3848&lt;&gt;"",E3848&lt;&gt;"!!!"),"NEW","")))</f>
        <v> </v>
      </c>
      <c r="G3848" s="24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5" t="str">
        <f>IF(J3848&lt;&gt;1,"",IF(I3848="SBJ","CB","?"))</f>
        <v> </v>
      </c>
      <c r="I3848" s="26" t="str">
        <f>IF(OR(E3848="",E3848="!!!",F3848="NEW"),"",INDEX(B3847:B$2,-1+SUMPRODUCT(MAX(ROW(E3847:E$2)*(E3848=E3847:E$2)))))</f>
        <v> </v>
      </c>
      <c r="J3848" s="26" t="str">
        <f>IF(OR(E3848="",E3848="!!!",F3848="NEW"),"",COUNTBLANK(OFFSET(A$1,,,SUMPRODUCT(MAX(ROW(E$2:E3848)*(E3848=E$2:E3848)))))-COUNTBLANK(OFFSET(A$1,,,SUMPRODUCT(MAX(ROW(E$1:E3847)*(E2=E$1:E3847))))))</f>
        <v> </v>
      </c>
      <c r="K3848" s="26" t="str">
        <f>IF(OR(E3848="",E3848="!!!",F3848="NEW"),"",INDEX(J$1:J3847,SUMPRODUCT(MAX(ROW(E$1:E3847)*(E3848=E$1:E3847)))))</f>
        <v> </v>
      </c>
      <c r="L3848" s="27"/>
    </row>
    <row r="3849" spans="1:12">
      <c r="A3849" s="20" t="s">
        <v>1972</v>
      </c>
      <c r="B3849" s="21" t="s">
        <v>1011</v>
      </c>
      <c r="C3849" s="21" t="s">
        <v>996</v>
      </c>
      <c r="D3849" s="21" t="s">
        <v>972</v>
      </c>
      <c r="E3849" s="22">
        <f>IF(D3849="?OLD","!!!","")</f>
        <v/>
      </c>
      <c r="F3849" s="23" t="str">
        <f>IF(OR(E3849="",E3849="!!!"),"",IF(NOT(ISNA(VLOOKUP(E3849,E$1:E3848,1,FALSE()))),"OLD",IF(AND(E3849&lt;&gt;"",E3849&lt;&gt;"!!!"),"NEW","")))</f>
        <v> </v>
      </c>
      <c r="G3849" s="24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5" t="str">
        <f>IF(J3849&lt;&gt;1,"",IF(I3849="SBJ","CB","?"))</f>
        <v> </v>
      </c>
      <c r="I3849" s="26" t="str">
        <f>IF(OR(E3849="",E3849="!!!",F3849="NEW"),"",INDEX(B3848:B$2,-1+SUMPRODUCT(MAX(ROW(E3848:E$2)*(E3849=E3848:E$2)))))</f>
        <v> </v>
      </c>
      <c r="J3849" s="26" t="str">
        <f>IF(OR(E3849="",E3849="!!!",F3849="NEW"),"",COUNTBLANK(OFFSET(A$1,,,SUMPRODUCT(MAX(ROW(E$2:E3849)*(E3849=E$2:E3849)))))-COUNTBLANK(OFFSET(A$1,,,SUMPRODUCT(MAX(ROW(E$1:E3848)*(E2=E$1:E3848))))))</f>
        <v> </v>
      </c>
      <c r="K3849" s="26" t="str">
        <f>IF(OR(E3849="",E3849="!!!",F3849="NEW"),"",INDEX(J$1:J3848,SUMPRODUCT(MAX(ROW(E$1:E3848)*(E3849=E$1:E3848)))))</f>
        <v> </v>
      </c>
      <c r="L3849" s="27"/>
    </row>
    <row r="3850" spans="1:12">
      <c r="A3850" s="20" t="s">
        <v>2467</v>
      </c>
      <c r="E3850" s="22">
        <f>IF(D3850="?OLD","!!!","")</f>
        <v/>
      </c>
      <c r="F3850" s="23" t="str">
        <f>IF(OR(E3850="",E3850="!!!"),"",IF(NOT(ISNA(VLOOKUP(E3850,E$1:E3849,1,FALSE()))),"OLD",IF(AND(E3850&lt;&gt;"",E3850&lt;&gt;"!!!"),"NEW","")))</f>
        <v> </v>
      </c>
      <c r="G3850" s="24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5" t="str">
        <f>IF(J3850&lt;&gt;1,"",IF(I3850="SBJ","CB","?"))</f>
        <v> </v>
      </c>
      <c r="I3850" s="26" t="str">
        <f>IF(OR(E3850="",E3850="!!!",F3850="NEW"),"",INDEX(B3849:B$2,-1+SUMPRODUCT(MAX(ROW(E3849:E$2)*(E3850=E3849:E$2)))))</f>
        <v> </v>
      </c>
      <c r="J3850" s="26" t="str">
        <f>IF(OR(E3850="",E3850="!!!",F3850="NEW"),"",COUNTBLANK(OFFSET(A$1,,,SUMPRODUCT(MAX(ROW(E$2:E3850)*(E3850=E$2:E3850)))))-COUNTBLANK(OFFSET(A$1,,,SUMPRODUCT(MAX(ROW(E$1:E3849)*(E2=E$1:E3849))))))</f>
        <v> </v>
      </c>
      <c r="K3850" s="26" t="str">
        <f>IF(OR(E3850="",E3850="!!!",F3850="NEW"),"",INDEX(J$1:J3849,SUMPRODUCT(MAX(ROW(E$1:E3849)*(E3850=E$1:E3849)))))</f>
        <v> </v>
      </c>
      <c r="L3850" s="27"/>
    </row>
    <row r="3851" spans="1:12">
      <c r="A3851" s="20" t="s">
        <v>1013</v>
      </c>
      <c r="E3851" s="22">
        <f>IF(D3851="?OLD","!!!","")</f>
        <v/>
      </c>
      <c r="F3851" s="23" t="str">
        <f>IF(OR(E3851="",E3851="!!!"),"",IF(NOT(ISNA(VLOOKUP(E3851,E$1:E3850,1,FALSE()))),"OLD",IF(AND(E3851&lt;&gt;"",E3851&lt;&gt;"!!!"),"NEW","")))</f>
        <v> </v>
      </c>
      <c r="G3851" s="24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5" t="str">
        <f>IF(J3851&lt;&gt;1,"",IF(I3851="SBJ","CB","?"))</f>
        <v> </v>
      </c>
      <c r="I3851" s="26" t="str">
        <f>IF(OR(E3851="",E3851="!!!",F3851="NEW"),"",INDEX(B3850:B$2,-1+SUMPRODUCT(MAX(ROW(E3850:E$2)*(E3851=E3850:E$2)))))</f>
        <v> </v>
      </c>
      <c r="J3851" s="26" t="str">
        <f>IF(OR(E3851="",E3851="!!!",F3851="NEW"),"",COUNTBLANK(OFFSET(A$1,,,SUMPRODUCT(MAX(ROW(E$2:E3851)*(E3851=E$2:E3851)))))-COUNTBLANK(OFFSET(A$1,,,SUMPRODUCT(MAX(ROW(E$1:E3850)*(E2=E$1:E3850))))))</f>
        <v> </v>
      </c>
      <c r="K3851" s="26" t="str">
        <f>IF(OR(E3851="",E3851="!!!",F3851="NEW"),"",INDEX(J$1:J3850,SUMPRODUCT(MAX(ROW(E$1:E3850)*(E3851=E$1:E3850)))))</f>
        <v> </v>
      </c>
      <c r="L3851" s="27"/>
    </row>
    <row r="3852" spans="1:12">
      <c r="A3852" s="20" t="s">
        <v>1222</v>
      </c>
      <c r="E3852" s="22">
        <f>IF(D3852="?OLD","!!!","")</f>
        <v/>
      </c>
      <c r="F3852" s="23" t="str">
        <f>IF(OR(E3852="",E3852="!!!"),"",IF(NOT(ISNA(VLOOKUP(E3852,E$1:E3851,1,FALSE()))),"OLD",IF(AND(E3852&lt;&gt;"",E3852&lt;&gt;"!!!"),"NEW","")))</f>
        <v> </v>
      </c>
      <c r="G3852" s="24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5" t="str">
        <f>IF(J3852&lt;&gt;1,"",IF(I3852="SBJ","CB","?"))</f>
        <v> </v>
      </c>
      <c r="I3852" s="26" t="str">
        <f>IF(OR(E3852="",E3852="!!!",F3852="NEW"),"",INDEX(B3851:B$2,-1+SUMPRODUCT(MAX(ROW(E3851:E$2)*(E3852=E3851:E$2)))))</f>
        <v> </v>
      </c>
      <c r="J3852" s="26" t="str">
        <f>IF(OR(E3852="",E3852="!!!",F3852="NEW"),"",COUNTBLANK(OFFSET(A$1,,,SUMPRODUCT(MAX(ROW(E$2:E3852)*(E3852=E$2:E3852)))))-COUNTBLANK(OFFSET(A$1,,,SUMPRODUCT(MAX(ROW(E$1:E3851)*(E2=E$1:E3851))))))</f>
        <v> </v>
      </c>
      <c r="K3852" s="26" t="str">
        <f>IF(OR(E3852="",E3852="!!!",F3852="NEW"),"",INDEX(J$1:J3851,SUMPRODUCT(MAX(ROW(E$1:E3851)*(E3852=E$1:E3851)))))</f>
        <v> </v>
      </c>
      <c r="L3852" s="27"/>
    </row>
    <row r="3853" spans="1:12">
      <c r="A3853" s="20" t="s">
        <v>1588</v>
      </c>
      <c r="E3853" s="22">
        <f>IF(D3853="?OLD","!!!","")</f>
        <v/>
      </c>
      <c r="F3853" s="23" t="str">
        <f>IF(OR(E3853="",E3853="!!!"),"",IF(NOT(ISNA(VLOOKUP(E3853,E$1:E3852,1,FALSE()))),"OLD",IF(AND(E3853&lt;&gt;"",E3853&lt;&gt;"!!!"),"NEW","")))</f>
        <v> </v>
      </c>
      <c r="G3853" s="24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5" t="str">
        <f>IF(J3853&lt;&gt;1,"",IF(I3853="SBJ","CB","?"))</f>
        <v> </v>
      </c>
      <c r="I3853" s="26" t="str">
        <f>IF(OR(E3853="",E3853="!!!",F3853="NEW"),"",INDEX(B3852:B$2,-1+SUMPRODUCT(MAX(ROW(E3852:E$2)*(E3853=E3852:E$2)))))</f>
        <v> </v>
      </c>
      <c r="J3853" s="26" t="str">
        <f>IF(OR(E3853="",E3853="!!!",F3853="NEW"),"",COUNTBLANK(OFFSET(A$1,,,SUMPRODUCT(MAX(ROW(E$2:E3853)*(E3853=E$2:E3853)))))-COUNTBLANK(OFFSET(A$1,,,SUMPRODUCT(MAX(ROW(E$1:E3852)*(E2=E$1:E3852))))))</f>
        <v> </v>
      </c>
      <c r="K3853" s="26" t="str">
        <f>IF(OR(E3853="",E3853="!!!",F3853="NEW"),"",INDEX(J$1:J3852,SUMPRODUCT(MAX(ROW(E$1:E3852)*(E3853=E$1:E3852)))))</f>
        <v> </v>
      </c>
      <c r="L3853" s="27"/>
    </row>
    <row r="3854" spans="1:12">
      <c r="A3854" s="20" t="s">
        <v>2341</v>
      </c>
      <c r="B3854" s="21" t="s">
        <v>1011</v>
      </c>
      <c r="C3854" s="21" t="s">
        <v>996</v>
      </c>
      <c r="D3854" s="21" t="s">
        <v>972</v>
      </c>
      <c r="E3854" s="22">
        <f>IF(D3854="?OLD","!!!","")</f>
        <v/>
      </c>
      <c r="F3854" s="23" t="str">
        <f>IF(OR(E3854="",E3854="!!!"),"",IF(NOT(ISNA(VLOOKUP(E3854,E$1:E3853,1,FALSE()))),"OLD",IF(AND(E3854&lt;&gt;"",E3854&lt;&gt;"!!!"),"NEW","")))</f>
        <v> </v>
      </c>
      <c r="G3854" s="24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5" t="str">
        <f>IF(J3854&lt;&gt;1,"",IF(I3854="SBJ","CB","?"))</f>
        <v> </v>
      </c>
      <c r="I3854" s="26" t="str">
        <f>IF(OR(E3854="",E3854="!!!",F3854="NEW"),"",INDEX(B3853:B$2,-1+SUMPRODUCT(MAX(ROW(E3853:E$2)*(E3854=E3853:E$2)))))</f>
        <v> </v>
      </c>
      <c r="J3854" s="26" t="str">
        <f>IF(OR(E3854="",E3854="!!!",F3854="NEW"),"",COUNTBLANK(OFFSET(A$1,,,SUMPRODUCT(MAX(ROW(E$2:E3854)*(E3854=E$2:E3854)))))-COUNTBLANK(OFFSET(A$1,,,SUMPRODUCT(MAX(ROW(E$1:E3853)*(E2=E$1:E3853))))))</f>
        <v> </v>
      </c>
      <c r="K3854" s="26" t="str">
        <f>IF(OR(E3854="",E3854="!!!",F3854="NEW"),"",INDEX(J$1:J3853,SUMPRODUCT(MAX(ROW(E$1:E3853)*(E3854=E$1:E3853)))))</f>
        <v> </v>
      </c>
      <c r="L3854" s="27"/>
    </row>
    <row r="3855" spans="1:12">
      <c r="A3855" s="20" t="s">
        <v>2468</v>
      </c>
      <c r="E3855" s="22">
        <f>IF(D3855="?OLD","!!!","")</f>
        <v/>
      </c>
      <c r="F3855" s="23" t="str">
        <f>IF(OR(E3855="",E3855="!!!"),"",IF(NOT(ISNA(VLOOKUP(E3855,E$1:E3854,1,FALSE()))),"OLD",IF(AND(E3855&lt;&gt;"",E3855&lt;&gt;"!!!"),"NEW","")))</f>
        <v> </v>
      </c>
      <c r="G3855" s="24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5" t="str">
        <f>IF(J3855&lt;&gt;1,"",IF(I3855="SBJ","CB","?"))</f>
        <v> </v>
      </c>
      <c r="I3855" s="26" t="str">
        <f>IF(OR(E3855="",E3855="!!!",F3855="NEW"),"",INDEX(B3854:B$2,-1+SUMPRODUCT(MAX(ROW(E3854:E$2)*(E3855=E3854:E$2)))))</f>
        <v> </v>
      </c>
      <c r="J3855" s="26" t="str">
        <f>IF(OR(E3855="",E3855="!!!",F3855="NEW"),"",COUNTBLANK(OFFSET(A$1,,,SUMPRODUCT(MAX(ROW(E$2:E3855)*(E3855=E$2:E3855)))))-COUNTBLANK(OFFSET(A$1,,,SUMPRODUCT(MAX(ROW(E$1:E3854)*(E2=E$1:E3854))))))</f>
        <v> </v>
      </c>
      <c r="K3855" s="26" t="str">
        <f>IF(OR(E3855="",E3855="!!!",F3855="NEW"),"",INDEX(J$1:J3854,SUMPRODUCT(MAX(ROW(E$1:E3854)*(E3855=E$1:E3854)))))</f>
        <v> </v>
      </c>
      <c r="L3855" s="27"/>
    </row>
    <row r="3856" spans="1:12">
      <c r="A3856" s="20" t="s">
        <v>2469</v>
      </c>
      <c r="E3856" s="22">
        <f>IF(D3856="?OLD","!!!","")</f>
        <v/>
      </c>
      <c r="F3856" s="23" t="str">
        <f>IF(OR(E3856="",E3856="!!!"),"",IF(NOT(ISNA(VLOOKUP(E3856,E$1:E3855,1,FALSE()))),"OLD",IF(AND(E3856&lt;&gt;"",E3856&lt;&gt;"!!!"),"NEW","")))</f>
        <v> </v>
      </c>
      <c r="G3856" s="24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5" t="str">
        <f>IF(J3856&lt;&gt;1,"",IF(I3856="SBJ","CB","?"))</f>
        <v> </v>
      </c>
      <c r="I3856" s="26" t="str">
        <f>IF(OR(E3856="",E3856="!!!",F3856="NEW"),"",INDEX(B3855:B$2,-1+SUMPRODUCT(MAX(ROW(E3855:E$2)*(E3856=E3855:E$2)))))</f>
        <v> </v>
      </c>
      <c r="J3856" s="26" t="str">
        <f>IF(OR(E3856="",E3856="!!!",F3856="NEW"),"",COUNTBLANK(OFFSET(A$1,,,SUMPRODUCT(MAX(ROW(E$2:E3856)*(E3856=E$2:E3856)))))-COUNTBLANK(OFFSET(A$1,,,SUMPRODUCT(MAX(ROW(E$1:E3855)*(E2=E$1:E3855))))))</f>
        <v> </v>
      </c>
      <c r="K3856" s="26" t="str">
        <f>IF(OR(E3856="",E3856="!!!",F3856="NEW"),"",INDEX(J$1:J3855,SUMPRODUCT(MAX(ROW(E$1:E3855)*(E3856=E$1:E3855)))))</f>
        <v> </v>
      </c>
      <c r="L3856" s="27"/>
    </row>
    <row r="3857" spans="1:12">
      <c r="A3857" s="20" t="s">
        <v>2470</v>
      </c>
      <c r="B3857" s="21" t="s">
        <v>1101</v>
      </c>
      <c r="E3857" s="22">
        <f>IF(D3857="?OLD","!!!","")</f>
        <v/>
      </c>
      <c r="F3857" s="23" t="str">
        <f>IF(OR(E3857="",E3857="!!!"),"",IF(NOT(ISNA(VLOOKUP(E3857,E$1:E3856,1,FALSE()))),"OLD",IF(AND(E3857&lt;&gt;"",E3857&lt;&gt;"!!!"),"NEW","")))</f>
        <v> </v>
      </c>
      <c r="G3857" s="24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5" t="str">
        <f>IF(J3857&lt;&gt;1,"",IF(I3857="SBJ","CB","?"))</f>
        <v> </v>
      </c>
      <c r="I3857" s="26" t="str">
        <f>IF(OR(E3857="",E3857="!!!",F3857="NEW"),"",INDEX(B3856:B$2,-1+SUMPRODUCT(MAX(ROW(E3856:E$2)*(E3857=E3856:E$2)))))</f>
        <v> </v>
      </c>
      <c r="J3857" s="26" t="str">
        <f>IF(OR(E3857="",E3857="!!!",F3857="NEW"),"",COUNTBLANK(OFFSET(A$1,,,SUMPRODUCT(MAX(ROW(E$2:E3857)*(E3857=E$2:E3857)))))-COUNTBLANK(OFFSET(A$1,,,SUMPRODUCT(MAX(ROW(E$1:E3856)*(E2=E$1:E3856))))))</f>
        <v> </v>
      </c>
      <c r="K3857" s="26" t="str">
        <f>IF(OR(E3857="",E3857="!!!",F3857="NEW"),"",INDEX(J$1:J3856,SUMPRODUCT(MAX(ROW(E$1:E3856)*(E3857=E$1:E3856)))))</f>
        <v> </v>
      </c>
      <c r="L3857" s="27"/>
    </row>
    <row r="3858" spans="1:12">
      <c r="A3858" s="20" t="s">
        <v>1078</v>
      </c>
      <c r="E3858" s="22">
        <f>IF(D3858="?OLD","!!!","")</f>
        <v/>
      </c>
      <c r="F3858" s="23" t="str">
        <f>IF(OR(E3858="",E3858="!!!"),"",IF(NOT(ISNA(VLOOKUP(E3858,E$1:E3857,1,FALSE()))),"OLD",IF(AND(E3858&lt;&gt;"",E3858&lt;&gt;"!!!"),"NEW","")))</f>
        <v> </v>
      </c>
      <c r="G3858" s="24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5" t="str">
        <f>IF(J3858&lt;&gt;1,"",IF(I3858="SBJ","CB","?"))</f>
        <v> </v>
      </c>
      <c r="I3858" s="26" t="str">
        <f>IF(OR(E3858="",E3858="!!!",F3858="NEW"),"",INDEX(B3857:B$2,-1+SUMPRODUCT(MAX(ROW(E3857:E$2)*(E3858=E3857:E$2)))))</f>
        <v> </v>
      </c>
      <c r="J3858" s="26" t="str">
        <f>IF(OR(E3858="",E3858="!!!",F3858="NEW"),"",COUNTBLANK(OFFSET(A$1,,,SUMPRODUCT(MAX(ROW(E$2:E3858)*(E3858=E$2:E3858)))))-COUNTBLANK(OFFSET(A$1,,,SUMPRODUCT(MAX(ROW(E$1:E3857)*(E2=E$1:E3857))))))</f>
        <v> </v>
      </c>
      <c r="K3858" s="26" t="str">
        <f>IF(OR(E3858="",E3858="!!!",F3858="NEW"),"",INDEX(J$1:J3857,SUMPRODUCT(MAX(ROW(E$1:E3857)*(E3858=E$1:E3857)))))</f>
        <v> </v>
      </c>
      <c r="L3858" s="27"/>
    </row>
    <row r="3859" spans="1:12">
      <c r="A3859" s="20" t="s">
        <v>1162</v>
      </c>
      <c r="E3859" s="22">
        <f>IF(D3859="?OLD","!!!","")</f>
        <v/>
      </c>
      <c r="F3859" s="23" t="str">
        <f>IF(OR(E3859="",E3859="!!!"),"",IF(NOT(ISNA(VLOOKUP(E3859,E$1:E3858,1,FALSE()))),"OLD",IF(AND(E3859&lt;&gt;"",E3859&lt;&gt;"!!!"),"NEW","")))</f>
        <v> </v>
      </c>
      <c r="G3859" s="24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5" t="str">
        <f>IF(J3859&lt;&gt;1,"",IF(I3859="SBJ","CB","?"))</f>
        <v> </v>
      </c>
      <c r="I3859" s="26" t="str">
        <f>IF(OR(E3859="",E3859="!!!",F3859="NEW"),"",INDEX(B3858:B$2,-1+SUMPRODUCT(MAX(ROW(E3858:E$2)*(E3859=E3858:E$2)))))</f>
        <v> </v>
      </c>
      <c r="J3859" s="26" t="str">
        <f>IF(OR(E3859="",E3859="!!!",F3859="NEW"),"",COUNTBLANK(OFFSET(A$1,,,SUMPRODUCT(MAX(ROW(E$2:E3859)*(E3859=E$2:E3859)))))-COUNTBLANK(OFFSET(A$1,,,SUMPRODUCT(MAX(ROW(E$1:E3858)*(E2=E$1:E3858))))))</f>
        <v> </v>
      </c>
      <c r="K3859" s="26" t="str">
        <f>IF(OR(E3859="",E3859="!!!",F3859="NEW"),"",INDEX(J$1:J3858,SUMPRODUCT(MAX(ROW(E$1:E3858)*(E3859=E$1:E3858)))))</f>
        <v> </v>
      </c>
      <c r="L3859" s="27"/>
    </row>
    <row r="3860" spans="1:12">
      <c r="A3860" s="20" t="s">
        <v>1801</v>
      </c>
      <c r="E3860" s="22">
        <f>IF(D3860="?OLD","!!!","")</f>
        <v/>
      </c>
      <c r="F3860" s="23" t="str">
        <f>IF(OR(E3860="",E3860="!!!"),"",IF(NOT(ISNA(VLOOKUP(E3860,E$1:E3859,1,FALSE()))),"OLD",IF(AND(E3860&lt;&gt;"",E3860&lt;&gt;"!!!"),"NEW","")))</f>
        <v> </v>
      </c>
      <c r="G3860" s="24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5" t="str">
        <f>IF(J3860&lt;&gt;1,"",IF(I3860="SBJ","CB","?"))</f>
        <v> </v>
      </c>
      <c r="I3860" s="26" t="str">
        <f>IF(OR(E3860="",E3860="!!!",F3860="NEW"),"",INDEX(B3859:B$2,-1+SUMPRODUCT(MAX(ROW(E3859:E$2)*(E3860=E3859:E$2)))))</f>
        <v> </v>
      </c>
      <c r="J3860" s="26" t="str">
        <f>IF(OR(E3860="",E3860="!!!",F3860="NEW"),"",COUNTBLANK(OFFSET(A$1,,,SUMPRODUCT(MAX(ROW(E$2:E3860)*(E3860=E$2:E3860)))))-COUNTBLANK(OFFSET(A$1,,,SUMPRODUCT(MAX(ROW(E$1:E3859)*(E2=E$1:E3859))))))</f>
        <v> </v>
      </c>
      <c r="K3860" s="26" t="str">
        <f>IF(OR(E3860="",E3860="!!!",F3860="NEW"),"",INDEX(J$1:J3859,SUMPRODUCT(MAX(ROW(E$1:E3859)*(E3860=E$1:E3859)))))</f>
        <v> </v>
      </c>
      <c r="L3860" s="27"/>
    </row>
    <row r="3861" spans="1:12">
      <c r="A3861" s="20" t="s">
        <v>1013</v>
      </c>
      <c r="E3861" s="22">
        <f>IF(D3861="?OLD","!!!","")</f>
        <v/>
      </c>
      <c r="F3861" s="23" t="str">
        <f>IF(OR(E3861="",E3861="!!!"),"",IF(NOT(ISNA(VLOOKUP(E3861,E$1:E3860,1,FALSE()))),"OLD",IF(AND(E3861&lt;&gt;"",E3861&lt;&gt;"!!!"),"NEW","")))</f>
        <v> </v>
      </c>
      <c r="G3861" s="24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5" t="str">
        <f>IF(J3861&lt;&gt;1,"",IF(I3861="SBJ","CB","?"))</f>
        <v> </v>
      </c>
      <c r="I3861" s="26" t="str">
        <f>IF(OR(E3861="",E3861="!!!",F3861="NEW"),"",INDEX(B3860:B$2,-1+SUMPRODUCT(MAX(ROW(E3860:E$2)*(E3861=E3860:E$2)))))</f>
        <v> </v>
      </c>
      <c r="J3861" s="26" t="str">
        <f>IF(OR(E3861="",E3861="!!!",F3861="NEW"),"",COUNTBLANK(OFFSET(A$1,,,SUMPRODUCT(MAX(ROW(E$2:E3861)*(E3861=E$2:E3861)))))-COUNTBLANK(OFFSET(A$1,,,SUMPRODUCT(MAX(ROW(E$1:E3860)*(E2=E$1:E3860))))))</f>
        <v> </v>
      </c>
      <c r="K3861" s="26" t="str">
        <f>IF(OR(E3861="",E3861="!!!",F3861="NEW"),"",INDEX(J$1:J3860,SUMPRODUCT(MAX(ROW(E$1:E3860)*(E3861=E$1:E3860)))))</f>
        <v> </v>
      </c>
      <c r="L3861" s="27"/>
    </row>
    <row r="3862" spans="1:12">
      <c r="A3862" s="20" t="s">
        <v>2362</v>
      </c>
      <c r="E3862" s="22">
        <f>IF(D3862="?OLD","!!!","")</f>
        <v/>
      </c>
      <c r="F3862" s="23" t="str">
        <f>IF(OR(E3862="",E3862="!!!"),"",IF(NOT(ISNA(VLOOKUP(E3862,E$1:E3861,1,FALSE()))),"OLD",IF(AND(E3862&lt;&gt;"",E3862&lt;&gt;"!!!"),"NEW","")))</f>
        <v> </v>
      </c>
      <c r="G3862" s="24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5" t="str">
        <f>IF(J3862&lt;&gt;1,"",IF(I3862="SBJ","CB","?"))</f>
        <v> </v>
      </c>
      <c r="I3862" s="26" t="str">
        <f>IF(OR(E3862="",E3862="!!!",F3862="NEW"),"",INDEX(B3861:B$2,-1+SUMPRODUCT(MAX(ROW(E3861:E$2)*(E3862=E3861:E$2)))))</f>
        <v> </v>
      </c>
      <c r="J3862" s="26" t="str">
        <f>IF(OR(E3862="",E3862="!!!",F3862="NEW"),"",COUNTBLANK(OFFSET(A$1,,,SUMPRODUCT(MAX(ROW(E$2:E3862)*(E3862=E$2:E3862)))))-COUNTBLANK(OFFSET(A$1,,,SUMPRODUCT(MAX(ROW(E$1:E3861)*(E2=E$1:E3861))))))</f>
        <v> </v>
      </c>
      <c r="K3862" s="26" t="str">
        <f>IF(OR(E3862="",E3862="!!!",F3862="NEW"),"",INDEX(J$1:J3861,SUMPRODUCT(MAX(ROW(E$1:E3861)*(E3862=E$1:E3861)))))</f>
        <v> </v>
      </c>
      <c r="L3862" s="27"/>
    </row>
    <row r="3863" spans="1:12">
      <c r="A3863" s="20" t="s">
        <v>2363</v>
      </c>
      <c r="E3863" s="22">
        <f>IF(D3863="?OLD","!!!","")</f>
        <v/>
      </c>
      <c r="F3863" s="23" t="str">
        <f>IF(OR(E3863="",E3863="!!!"),"",IF(NOT(ISNA(VLOOKUP(E3863,E$1:E3862,1,FALSE()))),"OLD",IF(AND(E3863&lt;&gt;"",E3863&lt;&gt;"!!!"),"NEW","")))</f>
        <v> </v>
      </c>
      <c r="G3863" s="24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5" t="str">
        <f>IF(J3863&lt;&gt;1,"",IF(I3863="SBJ","CB","?"))</f>
        <v> </v>
      </c>
      <c r="I3863" s="26" t="str">
        <f>IF(OR(E3863="",E3863="!!!",F3863="NEW"),"",INDEX(B3862:B$2,-1+SUMPRODUCT(MAX(ROW(E3862:E$2)*(E3863=E3862:E$2)))))</f>
        <v> </v>
      </c>
      <c r="J3863" s="26" t="str">
        <f>IF(OR(E3863="",E3863="!!!",F3863="NEW"),"",COUNTBLANK(OFFSET(A$1,,,SUMPRODUCT(MAX(ROW(E$2:E3863)*(E3863=E$2:E3863)))))-COUNTBLANK(OFFSET(A$1,,,SUMPRODUCT(MAX(ROW(E$1:E3862)*(E2=E$1:E3862))))))</f>
        <v> </v>
      </c>
      <c r="K3863" s="26" t="str">
        <f>IF(OR(E3863="",E3863="!!!",F3863="NEW"),"",INDEX(J$1:J3862,SUMPRODUCT(MAX(ROW(E$1:E3862)*(E3863=E$1:E3862)))))</f>
        <v> </v>
      </c>
      <c r="L3863" s="27"/>
    </row>
    <row r="3864" spans="1:12">
      <c r="A3864" s="20" t="s">
        <v>1013</v>
      </c>
      <c r="E3864" s="22">
        <f>IF(D3864="?OLD","!!!","")</f>
        <v/>
      </c>
      <c r="F3864" s="23" t="str">
        <f>IF(OR(E3864="",E3864="!!!"),"",IF(NOT(ISNA(VLOOKUP(E3864,E$1:E3863,1,FALSE()))),"OLD",IF(AND(E3864&lt;&gt;"",E3864&lt;&gt;"!!!"),"NEW","")))</f>
        <v> </v>
      </c>
      <c r="G3864" s="24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5" t="str">
        <f>IF(J3864&lt;&gt;1,"",IF(I3864="SBJ","CB","?"))</f>
        <v> </v>
      </c>
      <c r="I3864" s="26" t="str">
        <f>IF(OR(E3864="",E3864="!!!",F3864="NEW"),"",INDEX(B3863:B$2,-1+SUMPRODUCT(MAX(ROW(E3863:E$2)*(E3864=E3863:E$2)))))</f>
        <v> </v>
      </c>
      <c r="J3864" s="26" t="str">
        <f>IF(OR(E3864="",E3864="!!!",F3864="NEW"),"",COUNTBLANK(OFFSET(A$1,,,SUMPRODUCT(MAX(ROW(E$2:E3864)*(E3864=E$2:E3864)))))-COUNTBLANK(OFFSET(A$1,,,SUMPRODUCT(MAX(ROW(E$1:E3863)*(E2=E$1:E3863))))))</f>
        <v> </v>
      </c>
      <c r="K3864" s="26" t="str">
        <f>IF(OR(E3864="",E3864="!!!",F3864="NEW"),"",INDEX(J$1:J3863,SUMPRODUCT(MAX(ROW(E$1:E3863)*(E3864=E$1:E3863)))))</f>
        <v> </v>
      </c>
      <c r="L3864" s="27"/>
    </row>
    <row r="3865" spans="1:12">
      <c r="A3865" s="20" t="s">
        <v>2471</v>
      </c>
      <c r="E3865" s="22">
        <f>IF(D3865="?OLD","!!!","")</f>
        <v/>
      </c>
      <c r="F3865" s="23" t="str">
        <f>IF(OR(E3865="",E3865="!!!"),"",IF(NOT(ISNA(VLOOKUP(E3865,E$1:E3864,1,FALSE()))),"OLD",IF(AND(E3865&lt;&gt;"",E3865&lt;&gt;"!!!"),"NEW","")))</f>
        <v> </v>
      </c>
      <c r="G3865" s="24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5" t="str">
        <f>IF(J3865&lt;&gt;1,"",IF(I3865="SBJ","CB","?"))</f>
        <v> </v>
      </c>
      <c r="I3865" s="26" t="str">
        <f>IF(OR(E3865="",E3865="!!!",F3865="NEW"),"",INDEX(B3864:B$2,-1+SUMPRODUCT(MAX(ROW(E3864:E$2)*(E3865=E3864:E$2)))))</f>
        <v> </v>
      </c>
      <c r="J3865" s="26" t="str">
        <f>IF(OR(E3865="",E3865="!!!",F3865="NEW"),"",COUNTBLANK(OFFSET(A$1,,,SUMPRODUCT(MAX(ROW(E$2:E3865)*(E3865=E$2:E3865)))))-COUNTBLANK(OFFSET(A$1,,,SUMPRODUCT(MAX(ROW(E$1:E3864)*(E2=E$1:E3864))))))</f>
        <v> </v>
      </c>
      <c r="K3865" s="26" t="str">
        <f>IF(OR(E3865="",E3865="!!!",F3865="NEW"),"",INDEX(J$1:J3864,SUMPRODUCT(MAX(ROW(E$1:E3864)*(E3865=E$1:E3864)))))</f>
        <v> </v>
      </c>
      <c r="L3865" s="27"/>
    </row>
    <row r="3866" spans="1:12">
      <c r="A3866" s="20" t="s">
        <v>1013</v>
      </c>
      <c r="E3866" s="22">
        <f>IF(D3866="?OLD","!!!","")</f>
        <v/>
      </c>
      <c r="F3866" s="23" t="str">
        <f>IF(OR(E3866="",E3866="!!!"),"",IF(NOT(ISNA(VLOOKUP(E3866,E$1:E3865,1,FALSE()))),"OLD",IF(AND(E3866&lt;&gt;"",E3866&lt;&gt;"!!!"),"NEW","")))</f>
        <v> </v>
      </c>
      <c r="G3866" s="24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5" t="str">
        <f>IF(J3866&lt;&gt;1,"",IF(I3866="SBJ","CB","?"))</f>
        <v> </v>
      </c>
      <c r="I3866" s="26" t="str">
        <f>IF(OR(E3866="",E3866="!!!",F3866="NEW"),"",INDEX(B3865:B$2,-1+SUMPRODUCT(MAX(ROW(E3865:E$2)*(E3866=E3865:E$2)))))</f>
        <v> </v>
      </c>
      <c r="J3866" s="26" t="str">
        <f>IF(OR(E3866="",E3866="!!!",F3866="NEW"),"",COUNTBLANK(OFFSET(A$1,,,SUMPRODUCT(MAX(ROW(E$2:E3866)*(E3866=E$2:E3866)))))-COUNTBLANK(OFFSET(A$1,,,SUMPRODUCT(MAX(ROW(E$1:E3865)*(E2=E$1:E3865))))))</f>
        <v> </v>
      </c>
      <c r="K3866" s="26" t="str">
        <f>IF(OR(E3866="",E3866="!!!",F3866="NEW"),"",INDEX(J$1:J3865,SUMPRODUCT(MAX(ROW(E$1:E3865)*(E3866=E$1:E3865)))))</f>
        <v> </v>
      </c>
      <c r="L3866" s="27"/>
    </row>
    <row r="3867" spans="1:12">
      <c r="A3867" s="20" t="s">
        <v>2472</v>
      </c>
      <c r="E3867" s="22">
        <f>IF(D3867="?OLD","!!!","")</f>
        <v/>
      </c>
      <c r="F3867" s="23" t="str">
        <f>IF(OR(E3867="",E3867="!!!"),"",IF(NOT(ISNA(VLOOKUP(E3867,E$1:E3866,1,FALSE()))),"OLD",IF(AND(E3867&lt;&gt;"",E3867&lt;&gt;"!!!"),"NEW","")))</f>
        <v> </v>
      </c>
      <c r="G3867" s="24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5" t="str">
        <f>IF(J3867&lt;&gt;1,"",IF(I3867="SBJ","CB","?"))</f>
        <v> </v>
      </c>
      <c r="I3867" s="26" t="str">
        <f>IF(OR(E3867="",E3867="!!!",F3867="NEW"),"",INDEX(B3866:B$2,-1+SUMPRODUCT(MAX(ROW(E3866:E$2)*(E3867=E3866:E$2)))))</f>
        <v> </v>
      </c>
      <c r="J3867" s="26" t="str">
        <f>IF(OR(E3867="",E3867="!!!",F3867="NEW"),"",COUNTBLANK(OFFSET(A$1,,,SUMPRODUCT(MAX(ROW(E$2:E3867)*(E3867=E$2:E3867)))))-COUNTBLANK(OFFSET(A$1,,,SUMPRODUCT(MAX(ROW(E$1:E3866)*(E2=E$1:E3866))))))</f>
        <v> </v>
      </c>
      <c r="K3867" s="26" t="str">
        <f>IF(OR(E3867="",E3867="!!!",F3867="NEW"),"",INDEX(J$1:J3866,SUMPRODUCT(MAX(ROW(E$1:E3866)*(E3867=E$1:E3866)))))</f>
        <v> </v>
      </c>
      <c r="L3867" s="27"/>
    </row>
    <row r="3868" spans="1:12">
      <c r="A3868" s="20" t="s">
        <v>1013</v>
      </c>
      <c r="E3868" s="22">
        <f>IF(D3868="?OLD","!!!","")</f>
        <v/>
      </c>
      <c r="F3868" s="23" t="str">
        <f>IF(OR(E3868="",E3868="!!!"),"",IF(NOT(ISNA(VLOOKUP(E3868,E$1:E3867,1,FALSE()))),"OLD",IF(AND(E3868&lt;&gt;"",E3868&lt;&gt;"!!!"),"NEW","")))</f>
        <v> </v>
      </c>
      <c r="G3868" s="24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5" t="str">
        <f>IF(J3868&lt;&gt;1,"",IF(I3868="SBJ","CB","?"))</f>
        <v> </v>
      </c>
      <c r="I3868" s="26" t="str">
        <f>IF(OR(E3868="",E3868="!!!",F3868="NEW"),"",INDEX(B3867:B$2,-1+SUMPRODUCT(MAX(ROW(E3867:E$2)*(E3868=E3867:E$2)))))</f>
        <v> </v>
      </c>
      <c r="J3868" s="26" t="str">
        <f>IF(OR(E3868="",E3868="!!!",F3868="NEW"),"",COUNTBLANK(OFFSET(A$1,,,SUMPRODUCT(MAX(ROW(E$2:E3868)*(E3868=E$2:E3868)))))-COUNTBLANK(OFFSET(A$1,,,SUMPRODUCT(MAX(ROW(E$1:E3867)*(E2=E$1:E3867))))))</f>
        <v> </v>
      </c>
      <c r="K3868" s="26" t="str">
        <f>IF(OR(E3868="",E3868="!!!",F3868="NEW"),"",INDEX(J$1:J3867,SUMPRODUCT(MAX(ROW(E$1:E3867)*(E3868=E$1:E3867)))))</f>
        <v> </v>
      </c>
      <c r="L3868" s="27"/>
    </row>
    <row r="3869" spans="1:12">
      <c r="A3869" s="20" t="s">
        <v>1222</v>
      </c>
      <c r="E3869" s="22">
        <f>IF(D3869="?OLD","!!!","")</f>
        <v/>
      </c>
      <c r="F3869" s="23" t="str">
        <f>IF(OR(E3869="",E3869="!!!"),"",IF(NOT(ISNA(VLOOKUP(E3869,E$1:E3868,1,FALSE()))),"OLD",IF(AND(E3869&lt;&gt;"",E3869&lt;&gt;"!!!"),"NEW","")))</f>
        <v> </v>
      </c>
      <c r="G3869" s="24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5" t="str">
        <f>IF(J3869&lt;&gt;1,"",IF(I3869="SBJ","CB","?"))</f>
        <v> </v>
      </c>
      <c r="I3869" s="26" t="str">
        <f>IF(OR(E3869="",E3869="!!!",F3869="NEW"),"",INDEX(B3868:B$2,-1+SUMPRODUCT(MAX(ROW(E3868:E$2)*(E3869=E3868:E$2)))))</f>
        <v> </v>
      </c>
      <c r="J3869" s="26" t="str">
        <f>IF(OR(E3869="",E3869="!!!",F3869="NEW"),"",COUNTBLANK(OFFSET(A$1,,,SUMPRODUCT(MAX(ROW(E$2:E3869)*(E3869=E$2:E3869)))))-COUNTBLANK(OFFSET(A$1,,,SUMPRODUCT(MAX(ROW(E$1:E3868)*(E2=E$1:E3868))))))</f>
        <v> </v>
      </c>
      <c r="K3869" s="26" t="str">
        <f>IF(OR(E3869="",E3869="!!!",F3869="NEW"),"",INDEX(J$1:J3868,SUMPRODUCT(MAX(ROW(E$1:E3868)*(E3869=E$1:E3868)))))</f>
        <v> </v>
      </c>
      <c r="L3869" s="27"/>
    </row>
    <row r="3870" spans="1:12">
      <c r="A3870" s="20" t="s">
        <v>1078</v>
      </c>
      <c r="E3870" s="22">
        <f>IF(D3870="?OLD","!!!","")</f>
        <v/>
      </c>
      <c r="F3870" s="23" t="str">
        <f>IF(OR(E3870="",E3870="!!!"),"",IF(NOT(ISNA(VLOOKUP(E3870,E$1:E3869,1,FALSE()))),"OLD",IF(AND(E3870&lt;&gt;"",E3870&lt;&gt;"!!!"),"NEW","")))</f>
        <v> </v>
      </c>
      <c r="G3870" s="24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5" t="str">
        <f>IF(J3870&lt;&gt;1,"",IF(I3870="SBJ","CB","?"))</f>
        <v> </v>
      </c>
      <c r="I3870" s="26" t="str">
        <f>IF(OR(E3870="",E3870="!!!",F3870="NEW"),"",INDEX(B3869:B$2,-1+SUMPRODUCT(MAX(ROW(E3869:E$2)*(E3870=E3869:E$2)))))</f>
        <v> </v>
      </c>
      <c r="J3870" s="26" t="str">
        <f>IF(OR(E3870="",E3870="!!!",F3870="NEW"),"",COUNTBLANK(OFFSET(A$1,,,SUMPRODUCT(MAX(ROW(E$2:E3870)*(E3870=E$2:E3870)))))-COUNTBLANK(OFFSET(A$1,,,SUMPRODUCT(MAX(ROW(E$1:E3869)*(E2=E$1:E3869))))))</f>
        <v> </v>
      </c>
      <c r="K3870" s="26" t="str">
        <f>IF(OR(E3870="",E3870="!!!",F3870="NEW"),"",INDEX(J$1:J3869,SUMPRODUCT(MAX(ROW(E$1:E3869)*(E3870=E$1:E3869)))))</f>
        <v> </v>
      </c>
      <c r="L3870" s="27"/>
    </row>
    <row r="3871" spans="1:12">
      <c r="A3871" s="20" t="s">
        <v>1162</v>
      </c>
      <c r="E3871" s="22">
        <f>IF(D3871="?OLD","!!!","")</f>
        <v/>
      </c>
      <c r="F3871" s="23" t="str">
        <f>IF(OR(E3871="",E3871="!!!"),"",IF(NOT(ISNA(VLOOKUP(E3871,E$1:E3870,1,FALSE()))),"OLD",IF(AND(E3871&lt;&gt;"",E3871&lt;&gt;"!!!"),"NEW","")))</f>
        <v> </v>
      </c>
      <c r="G3871" s="24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5" t="str">
        <f>IF(J3871&lt;&gt;1,"",IF(I3871="SBJ","CB","?"))</f>
        <v> </v>
      </c>
      <c r="I3871" s="26" t="str">
        <f>IF(OR(E3871="",E3871="!!!",F3871="NEW"),"",INDEX(B3870:B$2,-1+SUMPRODUCT(MAX(ROW(E3870:E$2)*(E3871=E3870:E$2)))))</f>
        <v> </v>
      </c>
      <c r="J3871" s="26" t="str">
        <f>IF(OR(E3871="",E3871="!!!",F3871="NEW"),"",COUNTBLANK(OFFSET(A$1,,,SUMPRODUCT(MAX(ROW(E$2:E3871)*(E3871=E$2:E3871)))))-COUNTBLANK(OFFSET(A$1,,,SUMPRODUCT(MAX(ROW(E$1:E3870)*(E2=E$1:E3870))))))</f>
        <v> </v>
      </c>
      <c r="K3871" s="26" t="str">
        <f>IF(OR(E3871="",E3871="!!!",F3871="NEW"),"",INDEX(J$1:J3870,SUMPRODUCT(MAX(ROW(E$1:E3870)*(E3871=E$1:E3870)))))</f>
        <v> </v>
      </c>
      <c r="L3871" s="27"/>
    </row>
    <row r="3872" spans="1:12">
      <c r="A3872" s="20" t="s">
        <v>2473</v>
      </c>
      <c r="E3872" s="22">
        <f>IF(D3872="?OLD","!!!","")</f>
        <v/>
      </c>
      <c r="F3872" s="23" t="str">
        <f>IF(OR(E3872="",E3872="!!!"),"",IF(NOT(ISNA(VLOOKUP(E3872,E$1:E3871,1,FALSE()))),"OLD",IF(AND(E3872&lt;&gt;"",E3872&lt;&gt;"!!!"),"NEW","")))</f>
        <v> </v>
      </c>
      <c r="G3872" s="24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5" t="str">
        <f>IF(J3872&lt;&gt;1,"",IF(I3872="SBJ","CB","?"))</f>
        <v> </v>
      </c>
      <c r="I3872" s="26" t="str">
        <f>IF(OR(E3872="",E3872="!!!",F3872="NEW"),"",INDEX(B3871:B$2,-1+SUMPRODUCT(MAX(ROW(E3871:E$2)*(E3872=E3871:E$2)))))</f>
        <v> </v>
      </c>
      <c r="J3872" s="26" t="str">
        <f>IF(OR(E3872="",E3872="!!!",F3872="NEW"),"",COUNTBLANK(OFFSET(A$1,,,SUMPRODUCT(MAX(ROW(E$2:E3872)*(E3872=E$2:E3872)))))-COUNTBLANK(OFFSET(A$1,,,SUMPRODUCT(MAX(ROW(E$1:E3871)*(E2=E$1:E3871))))))</f>
        <v> </v>
      </c>
      <c r="K3872" s="26" t="str">
        <f>IF(OR(E3872="",E3872="!!!",F3872="NEW"),"",INDEX(J$1:J3871,SUMPRODUCT(MAX(ROW(E$1:E3871)*(E3872=E$1:E3871)))))</f>
        <v> </v>
      </c>
      <c r="L3872" s="27"/>
    </row>
    <row r="3873" spans="1:12">
      <c r="A3873" s="20" t="s">
        <v>1864</v>
      </c>
      <c r="E3873" s="22">
        <f>IF(D3873="?OLD","!!!","")</f>
        <v/>
      </c>
      <c r="F3873" s="23" t="str">
        <f>IF(OR(E3873="",E3873="!!!"),"",IF(NOT(ISNA(VLOOKUP(E3873,E$1:E3872,1,FALSE()))),"OLD",IF(AND(E3873&lt;&gt;"",E3873&lt;&gt;"!!!"),"NEW","")))</f>
        <v> </v>
      </c>
      <c r="G3873" s="24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5" t="str">
        <f>IF(J3873&lt;&gt;1,"",IF(I3873="SBJ","CB","?"))</f>
        <v> </v>
      </c>
      <c r="I3873" s="26" t="str">
        <f>IF(OR(E3873="",E3873="!!!",F3873="NEW"),"",INDEX(B3872:B$2,-1+SUMPRODUCT(MAX(ROW(E3872:E$2)*(E3873=E3872:E$2)))))</f>
        <v> </v>
      </c>
      <c r="J3873" s="26" t="str">
        <f>IF(OR(E3873="",E3873="!!!",F3873="NEW"),"",COUNTBLANK(OFFSET(A$1,,,SUMPRODUCT(MAX(ROW(E$2:E3873)*(E3873=E$2:E3873)))))-COUNTBLANK(OFFSET(A$1,,,SUMPRODUCT(MAX(ROW(E$1:E3872)*(E2=E$1:E3872))))))</f>
        <v> </v>
      </c>
      <c r="K3873" s="26" t="str">
        <f>IF(OR(E3873="",E3873="!!!",F3873="NEW"),"",INDEX(J$1:J3872,SUMPRODUCT(MAX(ROW(E$1:E3872)*(E3873=E$1:E3872)))))</f>
        <v> </v>
      </c>
      <c r="L3873" s="27"/>
    </row>
    <row r="3874" spans="1:12">
      <c r="A3874" s="20" t="s">
        <v>2474</v>
      </c>
      <c r="E3874" s="22">
        <f>IF(D3874="?OLD","!!!","")</f>
        <v/>
      </c>
      <c r="F3874" s="23" t="str">
        <f>IF(OR(E3874="",E3874="!!!"),"",IF(NOT(ISNA(VLOOKUP(E3874,E$1:E3873,1,FALSE()))),"OLD",IF(AND(E3874&lt;&gt;"",E3874&lt;&gt;"!!!"),"NEW","")))</f>
        <v> </v>
      </c>
      <c r="G3874" s="24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5" t="str">
        <f>IF(J3874&lt;&gt;1,"",IF(I3874="SBJ","CB","?"))</f>
        <v> </v>
      </c>
      <c r="I3874" s="26" t="str">
        <f>IF(OR(E3874="",E3874="!!!",F3874="NEW"),"",INDEX(B3873:B$2,-1+SUMPRODUCT(MAX(ROW(E3873:E$2)*(E3874=E3873:E$2)))))</f>
        <v> </v>
      </c>
      <c r="J3874" s="26" t="str">
        <f>IF(OR(E3874="",E3874="!!!",F3874="NEW"),"",COUNTBLANK(OFFSET(A$1,,,SUMPRODUCT(MAX(ROW(E$2:E3874)*(E3874=E$2:E3874)))))-COUNTBLANK(OFFSET(A$1,,,SUMPRODUCT(MAX(ROW(E$1:E3873)*(E2=E$1:E3873))))))</f>
        <v> </v>
      </c>
      <c r="K3874" s="26" t="str">
        <f>IF(OR(E3874="",E3874="!!!",F3874="NEW"),"",INDEX(J$1:J3873,SUMPRODUCT(MAX(ROW(E$1:E3873)*(E3874=E$1:E3873)))))</f>
        <v> </v>
      </c>
      <c r="L3874" s="27"/>
    </row>
    <row r="3875" spans="1:12">
      <c r="A3875" s="20" t="s">
        <v>979</v>
      </c>
      <c r="E3875" s="22">
        <f>IF(D3875="?OLD","!!!","")</f>
        <v/>
      </c>
      <c r="F3875" s="23" t="str">
        <f>IF(OR(E3875="",E3875="!!!"),"",IF(NOT(ISNA(VLOOKUP(E3875,E$1:E3874,1,FALSE()))),"OLD",IF(AND(E3875&lt;&gt;"",E3875&lt;&gt;"!!!"),"NEW","")))</f>
        <v> </v>
      </c>
      <c r="G3875" s="24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5" t="str">
        <f>IF(J3875&lt;&gt;1,"",IF(I3875="SBJ","CB","?"))</f>
        <v> </v>
      </c>
      <c r="I3875" s="26" t="str">
        <f>IF(OR(E3875="",E3875="!!!",F3875="NEW"),"",INDEX(B3874:B$2,-1+SUMPRODUCT(MAX(ROW(E3874:E$2)*(E3875=E3874:E$2)))))</f>
        <v> </v>
      </c>
      <c r="J3875" s="26" t="str">
        <f>IF(OR(E3875="",E3875="!!!",F3875="NEW"),"",COUNTBLANK(OFFSET(A$1,,,SUMPRODUCT(MAX(ROW(E$2:E3875)*(E3875=E$2:E3875)))))-COUNTBLANK(OFFSET(A$1,,,SUMPRODUCT(MAX(ROW(E$1:E3874)*(E2=E$1:E3874))))))</f>
        <v> </v>
      </c>
      <c r="K3875" s="26" t="str">
        <f>IF(OR(E3875="",E3875="!!!",F3875="NEW"),"",INDEX(J$1:J3874,SUMPRODUCT(MAX(ROW(E$1:E3874)*(E3875=E$1:E3874)))))</f>
        <v> </v>
      </c>
      <c r="L3875" s="27"/>
    </row>
    <row r="3876" spans="1:12">
      <c r="A3876" s="20"/>
    </row>
    <row r="3877" spans="1:12">
      <c r="A3877" s="20" t="s">
        <v>2475</v>
      </c>
    </row>
    <row r="3878" spans="1:12">
      <c r="A3878" s="20" t="s">
        <v>39</v>
      </c>
      <c r="E3878" s="22">
        <f>IF(D3878="?OLD","!!!","")</f>
        <v/>
      </c>
      <c r="F3878" s="23" t="str">
        <f>IF(OR(E3878="",E3878="!!!"),"",IF(NOT(ISNA(VLOOKUP(E3878,E$1:E3877,1,FALSE()))),"OLD",IF(AND(E3878&lt;&gt;"",E3878&lt;&gt;"!!!"),"NEW","")))</f>
        <v> </v>
      </c>
      <c r="G3878" s="24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5" t="str">
        <f>IF(J3878&lt;&gt;1,"",IF(I3878="SBJ","CB","?"))</f>
        <v> </v>
      </c>
      <c r="I3878" s="26" t="str">
        <f>IF(OR(E3878="",E3878="!!!",F3878="NEW"),"",INDEX(B3877:B$2,-1+SUMPRODUCT(MAX(ROW(E3877:E$2)*(E3878=E3877:E$2)))))</f>
        <v> </v>
      </c>
      <c r="J3878" s="26" t="str">
        <f>IF(OR(E3878="",E3878="!!!",F3878="NEW"),"",COUNTBLANK(OFFSET(A$1,,,SUMPRODUCT(MAX(ROW(E$2:E3878)*(E3878=E$2:E3878)))))-COUNTBLANK(OFFSET(A$1,,,SUMPRODUCT(MAX(ROW(E$1:E3877)*(E2=E$1:E3877))))))</f>
        <v> </v>
      </c>
      <c r="K3878" s="26" t="str">
        <f>IF(OR(E3878="",E3878="!!!",F3878="NEW"),"",INDEX(J$1:J3877,SUMPRODUCT(MAX(ROW(E$1:E3877)*(E3878=E$1:E3877)))))</f>
        <v> </v>
      </c>
      <c r="L3878" s="27"/>
    </row>
    <row r="3879" spans="1:12">
      <c r="A3879" s="20" t="s">
        <v>1533</v>
      </c>
      <c r="B3879" s="21" t="s">
        <v>975</v>
      </c>
      <c r="C3879" s="21" t="s">
        <v>991</v>
      </c>
      <c r="E3879" s="22">
        <f>IF(D3879="?OLD","!!!","")</f>
        <v/>
      </c>
      <c r="F3879" s="23" t="str">
        <f>IF(OR(E3879="",E3879="!!!"),"",IF(NOT(ISNA(VLOOKUP(E3879,E$1:E3878,1,FALSE()))),"OLD",IF(AND(E3879&lt;&gt;"",E3879&lt;&gt;"!!!"),"NEW","")))</f>
        <v> </v>
      </c>
      <c r="G3879" s="24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5" t="str">
        <f>IF(J3879&lt;&gt;1,"",IF(I3879="SBJ","CB","?"))</f>
        <v> </v>
      </c>
      <c r="I3879" s="26" t="str">
        <f>IF(OR(E3879="",E3879="!!!",F3879="NEW"),"",INDEX(B3878:B$2,-1+SUMPRODUCT(MAX(ROW(E3878:E$2)*(E3879=E3878:E$2)))))</f>
        <v> </v>
      </c>
      <c r="J3879" s="26" t="str">
        <f>IF(OR(E3879="",E3879="!!!",F3879="NEW"),"",COUNTBLANK(OFFSET(A$1,,,SUMPRODUCT(MAX(ROW(E$2:E3879)*(E3879=E$2:E3879)))))-COUNTBLANK(OFFSET(A$1,,,SUMPRODUCT(MAX(ROW(E$1:E3878)*(E2=E$1:E3878))))))</f>
        <v> </v>
      </c>
      <c r="K3879" s="26" t="str">
        <f>IF(OR(E3879="",E3879="!!!",F3879="NEW"),"",INDEX(J$1:J3878,SUMPRODUCT(MAX(ROW(E$1:E3878)*(E3879=E$1:E3878)))))</f>
        <v> </v>
      </c>
      <c r="L3879" s="27"/>
    </row>
    <row r="3880" spans="1:12">
      <c r="A3880" s="20" t="s">
        <v>1027</v>
      </c>
      <c r="E3880" s="22">
        <f>IF(D3880="?OLD","!!!","")</f>
        <v/>
      </c>
      <c r="F3880" s="23" t="str">
        <f>IF(OR(E3880="",E3880="!!!"),"",IF(NOT(ISNA(VLOOKUP(E3880,E$1:E3879,1,FALSE()))),"OLD",IF(AND(E3880&lt;&gt;"",E3880&lt;&gt;"!!!"),"NEW","")))</f>
        <v> </v>
      </c>
      <c r="G3880" s="24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5" t="str">
        <f>IF(J3880&lt;&gt;1,"",IF(I3880="SBJ","CB","?"))</f>
        <v> </v>
      </c>
      <c r="I3880" s="26" t="str">
        <f>IF(OR(E3880="",E3880="!!!",F3880="NEW"),"",INDEX(B3879:B$2,-1+SUMPRODUCT(MAX(ROW(E3879:E$2)*(E3880=E3879:E$2)))))</f>
        <v> </v>
      </c>
      <c r="J3880" s="26" t="str">
        <f>IF(OR(E3880="",E3880="!!!",F3880="NEW"),"",COUNTBLANK(OFFSET(A$1,,,SUMPRODUCT(MAX(ROW(E$2:E3880)*(E3880=E$2:E3880)))))-COUNTBLANK(OFFSET(A$1,,,SUMPRODUCT(MAX(ROW(E$1:E3879)*(E2=E$1:E3879))))))</f>
        <v> </v>
      </c>
      <c r="K3880" s="26" t="str">
        <f>IF(OR(E3880="",E3880="!!!",F3880="NEW"),"",INDEX(J$1:J3879,SUMPRODUCT(MAX(ROW(E$1:E3879)*(E3880=E$1:E3879)))))</f>
        <v> </v>
      </c>
      <c r="L3880" s="27"/>
    </row>
    <row r="3881" spans="1:12">
      <c r="A3881" s="20" t="s">
        <v>2476</v>
      </c>
      <c r="E3881" s="22">
        <f>IF(D3881="?OLD","!!!","")</f>
        <v/>
      </c>
      <c r="F3881" s="23" t="str">
        <f>IF(OR(E3881="",E3881="!!!"),"",IF(NOT(ISNA(VLOOKUP(E3881,E$1:E3880,1,FALSE()))),"OLD",IF(AND(E3881&lt;&gt;"",E3881&lt;&gt;"!!!"),"NEW","")))</f>
        <v> </v>
      </c>
      <c r="G3881" s="24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5" t="str">
        <f>IF(J3881&lt;&gt;1,"",IF(I3881="SBJ","CB","?"))</f>
        <v> </v>
      </c>
      <c r="I3881" s="26" t="str">
        <f>IF(OR(E3881="",E3881="!!!",F3881="NEW"),"",INDEX(B3880:B$2,-1+SUMPRODUCT(MAX(ROW(E3880:E$2)*(E3881=E3880:E$2)))))</f>
        <v> </v>
      </c>
      <c r="J3881" s="26" t="str">
        <f>IF(OR(E3881="",E3881="!!!",F3881="NEW"),"",COUNTBLANK(OFFSET(A$1,,,SUMPRODUCT(MAX(ROW(E$2:E3881)*(E3881=E$2:E3881)))))-COUNTBLANK(OFFSET(A$1,,,SUMPRODUCT(MAX(ROW(E$1:E3880)*(E2=E$1:E3880))))))</f>
        <v> </v>
      </c>
      <c r="K3881" s="26" t="str">
        <f>IF(OR(E3881="",E3881="!!!",F3881="NEW"),"",INDEX(J$1:J3880,SUMPRODUCT(MAX(ROW(E$1:E3880)*(E3881=E$1:E3880)))))</f>
        <v> </v>
      </c>
      <c r="L3881" s="27"/>
    </row>
    <row r="3882" spans="1:12">
      <c r="A3882" s="20" t="s">
        <v>1005</v>
      </c>
      <c r="E3882" s="22">
        <f>IF(D3882="?OLD","!!!","")</f>
        <v/>
      </c>
      <c r="F3882" s="23" t="str">
        <f>IF(OR(E3882="",E3882="!!!"),"",IF(NOT(ISNA(VLOOKUP(E3882,E$1:E3881,1,FALSE()))),"OLD",IF(AND(E3882&lt;&gt;"",E3882&lt;&gt;"!!!"),"NEW","")))</f>
        <v> </v>
      </c>
      <c r="G3882" s="24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5" t="str">
        <f>IF(J3882&lt;&gt;1,"",IF(I3882="SBJ","CB","?"))</f>
        <v> </v>
      </c>
      <c r="I3882" s="26" t="str">
        <f>IF(OR(E3882="",E3882="!!!",F3882="NEW"),"",INDEX(B3881:B$2,-1+SUMPRODUCT(MAX(ROW(E3881:E$2)*(E3882=E3881:E$2)))))</f>
        <v> </v>
      </c>
      <c r="J3882" s="26" t="str">
        <f>IF(OR(E3882="",E3882="!!!",F3882="NEW"),"",COUNTBLANK(OFFSET(A$1,,,SUMPRODUCT(MAX(ROW(E$2:E3882)*(E3882=E$2:E3882)))))-COUNTBLANK(OFFSET(A$1,,,SUMPRODUCT(MAX(ROW(E$1:E3881)*(E2=E$1:E3881))))))</f>
        <v> </v>
      </c>
      <c r="K3882" s="26" t="str">
        <f>IF(OR(E3882="",E3882="!!!",F3882="NEW"),"",INDEX(J$1:J3881,SUMPRODUCT(MAX(ROW(E$1:E3881)*(E3882=E$1:E3881)))))</f>
        <v> </v>
      </c>
      <c r="L3882" s="27"/>
    </row>
    <row r="3883" spans="1:12">
      <c r="A3883" s="20" t="s">
        <v>1015</v>
      </c>
      <c r="E3883" s="22">
        <f>IF(D3883="?OLD","!!!","")</f>
        <v/>
      </c>
      <c r="F3883" s="23" t="str">
        <f>IF(OR(E3883="",E3883="!!!"),"",IF(NOT(ISNA(VLOOKUP(E3883,E$1:E3882,1,FALSE()))),"OLD",IF(AND(E3883&lt;&gt;"",E3883&lt;&gt;"!!!"),"NEW","")))</f>
        <v> </v>
      </c>
      <c r="G3883" s="24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5" t="str">
        <f>IF(J3883&lt;&gt;1,"",IF(I3883="SBJ","CB","?"))</f>
        <v> </v>
      </c>
      <c r="I3883" s="26" t="str">
        <f>IF(OR(E3883="",E3883="!!!",F3883="NEW"),"",INDEX(B3882:B$2,-1+SUMPRODUCT(MAX(ROW(E3882:E$2)*(E3883=E3882:E$2)))))</f>
        <v> </v>
      </c>
      <c r="J3883" s="26" t="str">
        <f>IF(OR(E3883="",E3883="!!!",F3883="NEW"),"",COUNTBLANK(OFFSET(A$1,,,SUMPRODUCT(MAX(ROW(E$2:E3883)*(E3883=E$2:E3883)))))-COUNTBLANK(OFFSET(A$1,,,SUMPRODUCT(MAX(ROW(E$1:E3882)*(E2=E$1:E3882))))))</f>
        <v> </v>
      </c>
      <c r="K3883" s="26" t="str">
        <f>IF(OR(E3883="",E3883="!!!",F3883="NEW"),"",INDEX(J$1:J3882,SUMPRODUCT(MAX(ROW(E$1:E3882)*(E3883=E$1:E3882)))))</f>
        <v> </v>
      </c>
      <c r="L3883" s="27"/>
    </row>
    <row r="3884" spans="1:12">
      <c r="A3884" s="20" t="s">
        <v>39</v>
      </c>
      <c r="E3884" s="22">
        <f>IF(D3884="?OLD","!!!","")</f>
        <v/>
      </c>
      <c r="F3884" s="23" t="str">
        <f>IF(OR(E3884="",E3884="!!!"),"",IF(NOT(ISNA(VLOOKUP(E3884,E$1:E3883,1,FALSE()))),"OLD",IF(AND(E3884&lt;&gt;"",E3884&lt;&gt;"!!!"),"NEW","")))</f>
        <v> </v>
      </c>
      <c r="G3884" s="24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5" t="str">
        <f>IF(J3884&lt;&gt;1,"",IF(I3884="SBJ","CB","?"))</f>
        <v> </v>
      </c>
      <c r="I3884" s="26" t="str">
        <f>IF(OR(E3884="",E3884="!!!",F3884="NEW"),"",INDEX(B3883:B$2,-1+SUMPRODUCT(MAX(ROW(E3883:E$2)*(E3884=E3883:E$2)))))</f>
        <v> </v>
      </c>
      <c r="J3884" s="26" t="str">
        <f>IF(OR(E3884="",E3884="!!!",F3884="NEW"),"",COUNTBLANK(OFFSET(A$1,,,SUMPRODUCT(MAX(ROW(E$2:E3884)*(E3884=E$2:E3884)))))-COUNTBLANK(OFFSET(A$1,,,SUMPRODUCT(MAX(ROW(E$1:E3883)*(E2=E$1:E3883))))))</f>
        <v> </v>
      </c>
      <c r="K3884" s="26" t="str">
        <f>IF(OR(E3884="",E3884="!!!",F3884="NEW"),"",INDEX(J$1:J3883,SUMPRODUCT(MAX(ROW(E$1:E3883)*(E3884=E$1:E3883)))))</f>
        <v> </v>
      </c>
      <c r="L3884" s="27"/>
    </row>
    <row r="3885" spans="1:12">
      <c r="A3885" s="20" t="s">
        <v>2477</v>
      </c>
      <c r="B3885" s="21" t="s">
        <v>978</v>
      </c>
      <c r="C3885" s="21" t="s">
        <v>991</v>
      </c>
      <c r="E3885" s="22">
        <f>IF(D3885="?OLD","!!!","")</f>
        <v/>
      </c>
      <c r="F3885" s="23" t="str">
        <f>IF(OR(E3885="",E3885="!!!"),"",IF(NOT(ISNA(VLOOKUP(E3885,E$1:E3884,1,FALSE()))),"OLD",IF(AND(E3885&lt;&gt;"",E3885&lt;&gt;"!!!"),"NEW","")))</f>
        <v> </v>
      </c>
      <c r="G3885" s="24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5" t="str">
        <f>IF(J3885&lt;&gt;1,"",IF(I3885="SBJ","CB","?"))</f>
        <v> </v>
      </c>
      <c r="I3885" s="26" t="str">
        <f>IF(OR(E3885="",E3885="!!!",F3885="NEW"),"",INDEX(B3884:B$2,-1+SUMPRODUCT(MAX(ROW(E3884:E$2)*(E3885=E3884:E$2)))))</f>
        <v> </v>
      </c>
      <c r="J3885" s="26" t="str">
        <f>IF(OR(E3885="",E3885="!!!",F3885="NEW"),"",COUNTBLANK(OFFSET(A$1,,,SUMPRODUCT(MAX(ROW(E$2:E3885)*(E3885=E$2:E3885)))))-COUNTBLANK(OFFSET(A$1,,,SUMPRODUCT(MAX(ROW(E$1:E3884)*(E2=E$1:E3884))))))</f>
        <v> </v>
      </c>
      <c r="K3885" s="26" t="str">
        <f>IF(OR(E3885="",E3885="!!!",F3885="NEW"),"",INDEX(J$1:J3884,SUMPRODUCT(MAX(ROW(E$1:E3884)*(E3885=E$1:E3884)))))</f>
        <v> </v>
      </c>
      <c r="L3885" s="27"/>
    </row>
    <row r="3886" spans="1:12">
      <c r="A3886" s="20" t="s">
        <v>979</v>
      </c>
      <c r="E3886" s="22">
        <f>IF(D3886="?OLD","!!!","")</f>
        <v/>
      </c>
      <c r="F3886" s="23" t="str">
        <f>IF(OR(E3886="",E3886="!!!"),"",IF(NOT(ISNA(VLOOKUP(E3886,E$1:E3885,1,FALSE()))),"OLD",IF(AND(E3886&lt;&gt;"",E3886&lt;&gt;"!!!"),"NEW","")))</f>
        <v> </v>
      </c>
      <c r="G3886" s="24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5" t="str">
        <f>IF(J3886&lt;&gt;1,"",IF(I3886="SBJ","CB","?"))</f>
        <v> </v>
      </c>
      <c r="I3886" s="26" t="str">
        <f>IF(OR(E3886="",E3886="!!!",F3886="NEW"),"",INDEX(B3885:B$2,-1+SUMPRODUCT(MAX(ROW(E3885:E$2)*(E3886=E3885:E$2)))))</f>
        <v> </v>
      </c>
      <c r="J3886" s="26" t="str">
        <f>IF(OR(E3886="",E3886="!!!",F3886="NEW"),"",COUNTBLANK(OFFSET(A$1,,,SUMPRODUCT(MAX(ROW(E$2:E3886)*(E3886=E$2:E3886)))))-COUNTBLANK(OFFSET(A$1,,,SUMPRODUCT(MAX(ROW(E$1:E3885)*(E2=E$1:E3885))))))</f>
        <v> </v>
      </c>
      <c r="K3886" s="26" t="str">
        <f>IF(OR(E3886="",E3886="!!!",F3886="NEW"),"",INDEX(J$1:J3885,SUMPRODUCT(MAX(ROW(E$1:E3885)*(E3886=E$1:E3885)))))</f>
        <v> </v>
      </c>
      <c r="L3886" s="27"/>
    </row>
    <row r="3887" spans="1:12">
      <c r="A3887" s="20"/>
    </row>
    <row r="3888" spans="1:12">
      <c r="A3888" s="20" t="s">
        <v>2478</v>
      </c>
    </row>
    <row r="3889" spans="1:12">
      <c r="A3889" s="20" t="s">
        <v>1502</v>
      </c>
      <c r="B3889" s="21" t="s">
        <v>975</v>
      </c>
      <c r="C3889" s="21" t="s">
        <v>971</v>
      </c>
      <c r="D3889" s="21" t="s">
        <v>972</v>
      </c>
      <c r="E3889" s="22">
        <f>IF(D3889="?OLD","!!!","")</f>
        <v/>
      </c>
      <c r="F3889" s="23" t="str">
        <f>IF(OR(E3889="",E3889="!!!"),"",IF(NOT(ISNA(VLOOKUP(E3889,E$1:E3888,1,FALSE()))),"OLD",IF(AND(E3889&lt;&gt;"",E3889&lt;&gt;"!!!"),"NEW","")))</f>
        <v> </v>
      </c>
      <c r="G3889" s="24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5" t="str">
        <f>IF(J3889&lt;&gt;1,"",IF(I3889="SBJ","CB","?"))</f>
        <v> </v>
      </c>
      <c r="I3889" s="26" t="str">
        <f>IF(OR(E3889="",E3889="!!!",F3889="NEW"),"",INDEX(B3888:B$2,-1+SUMPRODUCT(MAX(ROW(E3888:E$2)*(E3889=E3888:E$2)))))</f>
        <v> </v>
      </c>
      <c r="J3889" s="26" t="str">
        <f>IF(OR(E3889="",E3889="!!!",F3889="NEW"),"",COUNTBLANK(OFFSET(A$1,,,SUMPRODUCT(MAX(ROW(E$2:E3889)*(E3889=E$2:E3889)))))-COUNTBLANK(OFFSET(A$1,,,SUMPRODUCT(MAX(ROW(E$1:E3888)*(E2=E$1:E3888))))))</f>
        <v> </v>
      </c>
      <c r="K3889" s="26" t="str">
        <f>IF(OR(E3889="",E3889="!!!",F3889="NEW"),"",INDEX(J$1:J3888,SUMPRODUCT(MAX(ROW(E$1:E3888)*(E3889=E$1:E3888)))))</f>
        <v> </v>
      </c>
      <c r="L3889" s="27"/>
    </row>
    <row r="3890" spans="1:12">
      <c r="A3890" s="20" t="s">
        <v>2479</v>
      </c>
      <c r="E3890" s="22">
        <f>IF(D3890="?OLD","!!!","")</f>
        <v/>
      </c>
      <c r="F3890" s="23" t="str">
        <f>IF(OR(E3890="",E3890="!!!"),"",IF(NOT(ISNA(VLOOKUP(E3890,E$1:E3889,1,FALSE()))),"OLD",IF(AND(E3890&lt;&gt;"",E3890&lt;&gt;"!!!"),"NEW","")))</f>
        <v> </v>
      </c>
      <c r="G3890" s="24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5" t="str">
        <f>IF(J3890&lt;&gt;1,"",IF(I3890="SBJ","CB","?"))</f>
        <v> </v>
      </c>
      <c r="I3890" s="26" t="str">
        <f>IF(OR(E3890="",E3890="!!!",F3890="NEW"),"",INDEX(B3889:B$2,-1+SUMPRODUCT(MAX(ROW(E3889:E$2)*(E3890=E3889:E$2)))))</f>
        <v> </v>
      </c>
      <c r="J3890" s="26" t="str">
        <f>IF(OR(E3890="",E3890="!!!",F3890="NEW"),"",COUNTBLANK(OFFSET(A$1,,,SUMPRODUCT(MAX(ROW(E$2:E3890)*(E3890=E$2:E3890)))))-COUNTBLANK(OFFSET(A$1,,,SUMPRODUCT(MAX(ROW(E$1:E3889)*(E2=E$1:E3889))))))</f>
        <v> </v>
      </c>
      <c r="K3890" s="26" t="str">
        <f>IF(OR(E3890="",E3890="!!!",F3890="NEW"),"",INDEX(J$1:J3889,SUMPRODUCT(MAX(ROW(E$1:E3889)*(E3890=E$1:E3889)))))</f>
        <v> </v>
      </c>
      <c r="L3890" s="27"/>
    </row>
    <row r="3891" spans="1:12">
      <c r="A3891" s="20" t="s">
        <v>1783</v>
      </c>
      <c r="E3891" s="22">
        <f>IF(D3891="?OLD","!!!","")</f>
        <v/>
      </c>
      <c r="F3891" s="23" t="str">
        <f>IF(OR(E3891="",E3891="!!!"),"",IF(NOT(ISNA(VLOOKUP(E3891,E$1:E3890,1,FALSE()))),"OLD",IF(AND(E3891&lt;&gt;"",E3891&lt;&gt;"!!!"),"NEW","")))</f>
        <v> </v>
      </c>
      <c r="G3891" s="24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5" t="str">
        <f>IF(J3891&lt;&gt;1,"",IF(I3891="SBJ","CB","?"))</f>
        <v> </v>
      </c>
      <c r="I3891" s="26" t="str">
        <f>IF(OR(E3891="",E3891="!!!",F3891="NEW"),"",INDEX(B3890:B$2,-1+SUMPRODUCT(MAX(ROW(E3890:E$2)*(E3891=E3890:E$2)))))</f>
        <v> </v>
      </c>
      <c r="J3891" s="26" t="str">
        <f>IF(OR(E3891="",E3891="!!!",F3891="NEW"),"",COUNTBLANK(OFFSET(A$1,,,SUMPRODUCT(MAX(ROW(E$2:E3891)*(E3891=E$2:E3891)))))-COUNTBLANK(OFFSET(A$1,,,SUMPRODUCT(MAX(ROW(E$1:E3890)*(E2=E$1:E3890))))))</f>
        <v> </v>
      </c>
      <c r="K3891" s="26" t="str">
        <f>IF(OR(E3891="",E3891="!!!",F3891="NEW"),"",INDEX(J$1:J3890,SUMPRODUCT(MAX(ROW(E$1:E3890)*(E3891=E$1:E3890)))))</f>
        <v> </v>
      </c>
      <c r="L3891" s="27"/>
    </row>
    <row r="3892" spans="1:12">
      <c r="A3892" s="20" t="s">
        <v>1253</v>
      </c>
      <c r="E3892" s="22">
        <f>IF(D3892="?OLD","!!!","")</f>
        <v/>
      </c>
      <c r="F3892" s="23" t="str">
        <f>IF(OR(E3892="",E3892="!!!"),"",IF(NOT(ISNA(VLOOKUP(E3892,E$1:E3891,1,FALSE()))),"OLD",IF(AND(E3892&lt;&gt;"",E3892&lt;&gt;"!!!"),"NEW","")))</f>
        <v> </v>
      </c>
      <c r="G3892" s="24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5" t="str">
        <f>IF(J3892&lt;&gt;1,"",IF(I3892="SBJ","CB","?"))</f>
        <v> </v>
      </c>
      <c r="I3892" s="26" t="str">
        <f>IF(OR(E3892="",E3892="!!!",F3892="NEW"),"",INDEX(B3891:B$2,-1+SUMPRODUCT(MAX(ROW(E3891:E$2)*(E3892=E3891:E$2)))))</f>
        <v> </v>
      </c>
      <c r="J3892" s="26" t="str">
        <f>IF(OR(E3892="",E3892="!!!",F3892="NEW"),"",COUNTBLANK(OFFSET(A$1,,,SUMPRODUCT(MAX(ROW(E$2:E3892)*(E3892=E$2:E3892)))))-COUNTBLANK(OFFSET(A$1,,,SUMPRODUCT(MAX(ROW(E$1:E3891)*(E2=E$1:E3891))))))</f>
        <v> </v>
      </c>
      <c r="K3892" s="26" t="str">
        <f>IF(OR(E3892="",E3892="!!!",F3892="NEW"),"",INDEX(J$1:J3891,SUMPRODUCT(MAX(ROW(E$1:E3891)*(E3892=E$1:E3891)))))</f>
        <v> </v>
      </c>
      <c r="L3892" s="27"/>
    </row>
    <row r="3893" spans="1:12">
      <c r="A3893" s="20" t="s">
        <v>2480</v>
      </c>
      <c r="E3893" s="22">
        <f>IF(D3893="?OLD","!!!","")</f>
        <v/>
      </c>
      <c r="F3893" s="23" t="str">
        <f>IF(OR(E3893="",E3893="!!!"),"",IF(NOT(ISNA(VLOOKUP(E3893,E$1:E3892,1,FALSE()))),"OLD",IF(AND(E3893&lt;&gt;"",E3893&lt;&gt;"!!!"),"NEW","")))</f>
        <v> </v>
      </c>
      <c r="G3893" s="24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5" t="str">
        <f>IF(J3893&lt;&gt;1,"",IF(I3893="SBJ","CB","?"))</f>
        <v> </v>
      </c>
      <c r="I3893" s="26" t="str">
        <f>IF(OR(E3893="",E3893="!!!",F3893="NEW"),"",INDEX(B3892:B$2,-1+SUMPRODUCT(MAX(ROW(E3892:E$2)*(E3893=E3892:E$2)))))</f>
        <v> </v>
      </c>
      <c r="J3893" s="26" t="str">
        <f>IF(OR(E3893="",E3893="!!!",F3893="NEW"),"",COUNTBLANK(OFFSET(A$1,,,SUMPRODUCT(MAX(ROW(E$2:E3893)*(E3893=E$2:E3893)))))-COUNTBLANK(OFFSET(A$1,,,SUMPRODUCT(MAX(ROW(E$1:E3892)*(E2=E$1:E3892))))))</f>
        <v> </v>
      </c>
      <c r="K3893" s="26" t="str">
        <f>IF(OR(E3893="",E3893="!!!",F3893="NEW"),"",INDEX(J$1:J3892,SUMPRODUCT(MAX(ROW(E$1:E3892)*(E3893=E$1:E3892)))))</f>
        <v> </v>
      </c>
      <c r="L3893" s="27"/>
    </row>
    <row r="3894" spans="1:12">
      <c r="A3894" s="20" t="s">
        <v>2481</v>
      </c>
      <c r="E3894" s="22">
        <f>IF(D3894="?OLD","!!!","")</f>
        <v/>
      </c>
      <c r="F3894" s="23" t="str">
        <f>IF(OR(E3894="",E3894="!!!"),"",IF(NOT(ISNA(VLOOKUP(E3894,E$1:E3893,1,FALSE()))),"OLD",IF(AND(E3894&lt;&gt;"",E3894&lt;&gt;"!!!"),"NEW","")))</f>
        <v> </v>
      </c>
      <c r="G3894" s="24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5" t="str">
        <f>IF(J3894&lt;&gt;1,"",IF(I3894="SBJ","CB","?"))</f>
        <v> </v>
      </c>
      <c r="I3894" s="26" t="str">
        <f>IF(OR(E3894="",E3894="!!!",F3894="NEW"),"",INDEX(B3893:B$2,-1+SUMPRODUCT(MAX(ROW(E3893:E$2)*(E3894=E3893:E$2)))))</f>
        <v> </v>
      </c>
      <c r="J3894" s="26" t="str">
        <f>IF(OR(E3894="",E3894="!!!",F3894="NEW"),"",COUNTBLANK(OFFSET(A$1,,,SUMPRODUCT(MAX(ROW(E$2:E3894)*(E3894=E$2:E3894)))))-COUNTBLANK(OFFSET(A$1,,,SUMPRODUCT(MAX(ROW(E$1:E3893)*(E2=E$1:E3893))))))</f>
        <v> </v>
      </c>
      <c r="K3894" s="26" t="str">
        <f>IF(OR(E3894="",E3894="!!!",F3894="NEW"),"",INDEX(J$1:J3893,SUMPRODUCT(MAX(ROW(E$1:E3893)*(E3894=E$1:E3893)))))</f>
        <v> </v>
      </c>
      <c r="L3894" s="27"/>
    </row>
    <row r="3895" spans="1:12">
      <c r="A3895" s="20" t="s">
        <v>1013</v>
      </c>
      <c r="E3895" s="22">
        <f>IF(D3895="?OLD","!!!","")</f>
        <v/>
      </c>
      <c r="F3895" s="23" t="str">
        <f>IF(OR(E3895="",E3895="!!!"),"",IF(NOT(ISNA(VLOOKUP(E3895,E$1:E3894,1,FALSE()))),"OLD",IF(AND(E3895&lt;&gt;"",E3895&lt;&gt;"!!!"),"NEW","")))</f>
        <v> </v>
      </c>
      <c r="G3895" s="24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5" t="str">
        <f>IF(J3895&lt;&gt;1,"",IF(I3895="SBJ","CB","?"))</f>
        <v> </v>
      </c>
      <c r="I3895" s="26" t="str">
        <f>IF(OR(E3895="",E3895="!!!",F3895="NEW"),"",INDEX(B3894:B$2,-1+SUMPRODUCT(MAX(ROW(E3894:E$2)*(E3895=E3894:E$2)))))</f>
        <v> </v>
      </c>
      <c r="J3895" s="26" t="str">
        <f>IF(OR(E3895="",E3895="!!!",F3895="NEW"),"",COUNTBLANK(OFFSET(A$1,,,SUMPRODUCT(MAX(ROW(E$2:E3895)*(E3895=E$2:E3895)))))-COUNTBLANK(OFFSET(A$1,,,SUMPRODUCT(MAX(ROW(E$1:E3894)*(E2=E$1:E3894))))))</f>
        <v> </v>
      </c>
      <c r="K3895" s="26" t="str">
        <f>IF(OR(E3895="",E3895="!!!",F3895="NEW"),"",INDEX(J$1:J3894,SUMPRODUCT(MAX(ROW(E$1:E3894)*(E3895=E$1:E3894)))))</f>
        <v> </v>
      </c>
      <c r="L3895" s="27"/>
    </row>
    <row r="3896" spans="1:12">
      <c r="A3896" s="20" t="s">
        <v>257</v>
      </c>
      <c r="E3896" s="22">
        <f>IF(D3896="?OLD","!!!","")</f>
        <v/>
      </c>
      <c r="F3896" s="23" t="str">
        <f>IF(OR(E3896="",E3896="!!!"),"",IF(NOT(ISNA(VLOOKUP(E3896,E$1:E3895,1,FALSE()))),"OLD",IF(AND(E3896&lt;&gt;"",E3896&lt;&gt;"!!!"),"NEW","")))</f>
        <v> </v>
      </c>
      <c r="G3896" s="24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5" t="str">
        <f>IF(J3896&lt;&gt;1,"",IF(I3896="SBJ","CB","?"))</f>
        <v> </v>
      </c>
      <c r="I3896" s="26" t="str">
        <f>IF(OR(E3896="",E3896="!!!",F3896="NEW"),"",INDEX(B3895:B$2,-1+SUMPRODUCT(MAX(ROW(E3895:E$2)*(E3896=E3895:E$2)))))</f>
        <v> </v>
      </c>
      <c r="J3896" s="26" t="str">
        <f>IF(OR(E3896="",E3896="!!!",F3896="NEW"),"",COUNTBLANK(OFFSET(A$1,,,SUMPRODUCT(MAX(ROW(E$2:E3896)*(E3896=E$2:E3896)))))-COUNTBLANK(OFFSET(A$1,,,SUMPRODUCT(MAX(ROW(E$1:E3895)*(E2=E$1:E3895))))))</f>
        <v> </v>
      </c>
      <c r="K3896" s="26" t="str">
        <f>IF(OR(E3896="",E3896="!!!",F3896="NEW"),"",INDEX(J$1:J3895,SUMPRODUCT(MAX(ROW(E$1:E3895)*(E3896=E$1:E3895)))))</f>
        <v> </v>
      </c>
      <c r="L3896" s="27"/>
    </row>
    <row r="3897" spans="1:12">
      <c r="A3897" s="20" t="s">
        <v>149</v>
      </c>
      <c r="E3897" s="22">
        <f>IF(D3897="?OLD","!!!","")</f>
        <v/>
      </c>
      <c r="F3897" s="23" t="str">
        <f>IF(OR(E3897="",E3897="!!!"),"",IF(NOT(ISNA(VLOOKUP(E3897,E$1:E3896,1,FALSE()))),"OLD",IF(AND(E3897&lt;&gt;"",E3897&lt;&gt;"!!!"),"NEW","")))</f>
        <v> </v>
      </c>
      <c r="G3897" s="24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5" t="str">
        <f>IF(J3897&lt;&gt;1,"",IF(I3897="SBJ","CB","?"))</f>
        <v> </v>
      </c>
      <c r="I3897" s="26" t="str">
        <f>IF(OR(E3897="",E3897="!!!",F3897="NEW"),"",INDEX(B3896:B$2,-1+SUMPRODUCT(MAX(ROW(E3896:E$2)*(E3897=E3896:E$2)))))</f>
        <v> </v>
      </c>
      <c r="J3897" s="26" t="str">
        <f>IF(OR(E3897="",E3897="!!!",F3897="NEW"),"",COUNTBLANK(OFFSET(A$1,,,SUMPRODUCT(MAX(ROW(E$2:E3897)*(E3897=E$2:E3897)))))-COUNTBLANK(OFFSET(A$1,,,SUMPRODUCT(MAX(ROW(E$1:E3896)*(E2=E$1:E3896))))))</f>
        <v> </v>
      </c>
      <c r="K3897" s="26" t="str">
        <f>IF(OR(E3897="",E3897="!!!",F3897="NEW"),"",INDEX(J$1:J3896,SUMPRODUCT(MAX(ROW(E$1:E3896)*(E3897=E$1:E3896)))))</f>
        <v> </v>
      </c>
      <c r="L3897" s="27"/>
    </row>
    <row r="3898" spans="1:12">
      <c r="A3898" s="20" t="s">
        <v>1196</v>
      </c>
      <c r="E3898" s="22">
        <f>IF(D3898="?OLD","!!!","")</f>
        <v/>
      </c>
      <c r="F3898" s="23" t="str">
        <f>IF(OR(E3898="",E3898="!!!"),"",IF(NOT(ISNA(VLOOKUP(E3898,E$1:E3897,1,FALSE()))),"OLD",IF(AND(E3898&lt;&gt;"",E3898&lt;&gt;"!!!"),"NEW","")))</f>
        <v> </v>
      </c>
      <c r="G3898" s="24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5" t="str">
        <f>IF(J3898&lt;&gt;1,"",IF(I3898="SBJ","CB","?"))</f>
        <v> </v>
      </c>
      <c r="I3898" s="26" t="str">
        <f>IF(OR(E3898="",E3898="!!!",F3898="NEW"),"",INDEX(B3897:B$2,-1+SUMPRODUCT(MAX(ROW(E3897:E$2)*(E3898=E3897:E$2)))))</f>
        <v> </v>
      </c>
      <c r="J3898" s="26" t="str">
        <f>IF(OR(E3898="",E3898="!!!",F3898="NEW"),"",COUNTBLANK(OFFSET(A$1,,,SUMPRODUCT(MAX(ROW(E$2:E3898)*(E3898=E$2:E3898)))))-COUNTBLANK(OFFSET(A$1,,,SUMPRODUCT(MAX(ROW(E$1:E3897)*(E2=E$1:E3897))))))</f>
        <v> </v>
      </c>
      <c r="K3898" s="26" t="str">
        <f>IF(OR(E3898="",E3898="!!!",F3898="NEW"),"",INDEX(J$1:J3897,SUMPRODUCT(MAX(ROW(E$1:E3897)*(E3898=E$1:E3897)))))</f>
        <v> </v>
      </c>
      <c r="L3898" s="27"/>
    </row>
    <row r="3899" spans="1:12">
      <c r="A3899" s="20" t="s">
        <v>2482</v>
      </c>
      <c r="E3899" s="22">
        <f>IF(D3899="?OLD","!!!","")</f>
        <v/>
      </c>
      <c r="F3899" s="23" t="str">
        <f>IF(OR(E3899="",E3899="!!!"),"",IF(NOT(ISNA(VLOOKUP(E3899,E$1:E3898,1,FALSE()))),"OLD",IF(AND(E3899&lt;&gt;"",E3899&lt;&gt;"!!!"),"NEW","")))</f>
        <v> </v>
      </c>
      <c r="G3899" s="24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5" t="str">
        <f>IF(J3899&lt;&gt;1,"",IF(I3899="SBJ","CB","?"))</f>
        <v> </v>
      </c>
      <c r="I3899" s="26" t="str">
        <f>IF(OR(E3899="",E3899="!!!",F3899="NEW"),"",INDEX(B3898:B$2,-1+SUMPRODUCT(MAX(ROW(E3898:E$2)*(E3899=E3898:E$2)))))</f>
        <v> </v>
      </c>
      <c r="J3899" s="26" t="str">
        <f>IF(OR(E3899="",E3899="!!!",F3899="NEW"),"",COUNTBLANK(OFFSET(A$1,,,SUMPRODUCT(MAX(ROW(E$2:E3899)*(E3899=E$2:E3899)))))-COUNTBLANK(OFFSET(A$1,,,SUMPRODUCT(MAX(ROW(E$1:E3898)*(E2=E$1:E3898))))))</f>
        <v> </v>
      </c>
      <c r="K3899" s="26" t="str">
        <f>IF(OR(E3899="",E3899="!!!",F3899="NEW"),"",INDEX(J$1:J3898,SUMPRODUCT(MAX(ROW(E$1:E3898)*(E3899=E$1:E3898)))))</f>
        <v> </v>
      </c>
      <c r="L3899" s="27"/>
    </row>
    <row r="3900" spans="1:12">
      <c r="A3900" s="20" t="s">
        <v>1005</v>
      </c>
      <c r="E3900" s="22">
        <f>IF(D3900="?OLD","!!!","")</f>
        <v/>
      </c>
      <c r="F3900" s="23" t="str">
        <f>IF(OR(E3900="",E3900="!!!"),"",IF(NOT(ISNA(VLOOKUP(E3900,E$1:E3899,1,FALSE()))),"OLD",IF(AND(E3900&lt;&gt;"",E3900&lt;&gt;"!!!"),"NEW","")))</f>
        <v> </v>
      </c>
      <c r="G3900" s="24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5" t="str">
        <f>IF(J3900&lt;&gt;1,"",IF(I3900="SBJ","CB","?"))</f>
        <v> </v>
      </c>
      <c r="I3900" s="26" t="str">
        <f>IF(OR(E3900="",E3900="!!!",F3900="NEW"),"",INDEX(B3899:B$2,-1+SUMPRODUCT(MAX(ROW(E3899:E$2)*(E3900=E3899:E$2)))))</f>
        <v> </v>
      </c>
      <c r="J3900" s="26" t="str">
        <f>IF(OR(E3900="",E3900="!!!",F3900="NEW"),"",COUNTBLANK(OFFSET(A$1,,,SUMPRODUCT(MAX(ROW(E$2:E3900)*(E3900=E$2:E3900)))))-COUNTBLANK(OFFSET(A$1,,,SUMPRODUCT(MAX(ROW(E$1:E3899)*(E2=E$1:E3899))))))</f>
        <v> </v>
      </c>
      <c r="K3900" s="26" t="str">
        <f>IF(OR(E3900="",E3900="!!!",F3900="NEW"),"",INDEX(J$1:J3899,SUMPRODUCT(MAX(ROW(E$1:E3899)*(E3900=E$1:E3899)))))</f>
        <v> </v>
      </c>
      <c r="L3900" s="27"/>
    </row>
    <row r="3901" spans="1:12">
      <c r="A3901" s="20" t="s">
        <v>2483</v>
      </c>
      <c r="B3901" s="21" t="s">
        <v>1011</v>
      </c>
      <c r="C3901" s="21" t="s">
        <v>976</v>
      </c>
      <c r="D3901" s="21" t="s">
        <v>972</v>
      </c>
      <c r="E3901" s="22">
        <f>IF(D3901="?OLD","!!!","")</f>
        <v/>
      </c>
      <c r="F3901" s="23" t="str">
        <f>IF(OR(E3901="",E3901="!!!"),"",IF(NOT(ISNA(VLOOKUP(E3901,E$1:E3900,1,FALSE()))),"OLD",IF(AND(E3901&lt;&gt;"",E3901&lt;&gt;"!!!"),"NEW","")))</f>
        <v> </v>
      </c>
      <c r="G3901" s="24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5" t="str">
        <f>IF(J3901&lt;&gt;1,"",IF(I3901="SBJ","CB","?"))</f>
        <v> </v>
      </c>
      <c r="I3901" s="26" t="str">
        <f>IF(OR(E3901="",E3901="!!!",F3901="NEW"),"",INDEX(B3900:B$2,-1+SUMPRODUCT(MAX(ROW(E3900:E$2)*(E3901=E3900:E$2)))))</f>
        <v> </v>
      </c>
      <c r="J3901" s="26" t="str">
        <f>IF(OR(E3901="",E3901="!!!",F3901="NEW"),"",COUNTBLANK(OFFSET(A$1,,,SUMPRODUCT(MAX(ROW(E$2:E3901)*(E3901=E$2:E3901)))))-COUNTBLANK(OFFSET(A$1,,,SUMPRODUCT(MAX(ROW(E$1:E3900)*(E2=E$1:E3900))))))</f>
        <v> </v>
      </c>
      <c r="K3901" s="26" t="str">
        <f>IF(OR(E3901="",E3901="!!!",F3901="NEW"),"",INDEX(J$1:J3900,SUMPRODUCT(MAX(ROW(E$1:E3900)*(E3901=E$1:E3900)))))</f>
        <v> </v>
      </c>
      <c r="L3901" s="27"/>
    </row>
    <row r="3902" spans="1:12">
      <c r="A3902" s="20" t="s">
        <v>2484</v>
      </c>
      <c r="E3902" s="22">
        <f>IF(D3902="?OLD","!!!","")</f>
        <v/>
      </c>
      <c r="F3902" s="23" t="str">
        <f>IF(OR(E3902="",E3902="!!!"),"",IF(NOT(ISNA(VLOOKUP(E3902,E$1:E3901,1,FALSE()))),"OLD",IF(AND(E3902&lt;&gt;"",E3902&lt;&gt;"!!!"),"NEW","")))</f>
        <v> </v>
      </c>
      <c r="G3902" s="24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5" t="str">
        <f>IF(J3902&lt;&gt;1,"",IF(I3902="SBJ","CB","?"))</f>
        <v> </v>
      </c>
      <c r="I3902" s="26" t="str">
        <f>IF(OR(E3902="",E3902="!!!",F3902="NEW"),"",INDEX(B3901:B$2,-1+SUMPRODUCT(MAX(ROW(E3901:E$2)*(E3902=E3901:E$2)))))</f>
        <v> </v>
      </c>
      <c r="J3902" s="26" t="str">
        <f>IF(OR(E3902="",E3902="!!!",F3902="NEW"),"",COUNTBLANK(OFFSET(A$1,,,SUMPRODUCT(MAX(ROW(E$2:E3902)*(E3902=E$2:E3902)))))-COUNTBLANK(OFFSET(A$1,,,SUMPRODUCT(MAX(ROW(E$1:E3901)*(E2=E$1:E3901))))))</f>
        <v> </v>
      </c>
      <c r="K3902" s="26" t="str">
        <f>IF(OR(E3902="",E3902="!!!",F3902="NEW"),"",INDEX(J$1:J3901,SUMPRODUCT(MAX(ROW(E$1:E3901)*(E3902=E$1:E3901)))))</f>
        <v> </v>
      </c>
      <c r="L3902" s="27"/>
    </row>
    <row r="3903" spans="1:12">
      <c r="A3903" s="20" t="s">
        <v>1013</v>
      </c>
      <c r="E3903" s="22">
        <f>IF(D3903="?OLD","!!!","")</f>
        <v/>
      </c>
      <c r="F3903" s="23" t="str">
        <f>IF(OR(E3903="",E3903="!!!"),"",IF(NOT(ISNA(VLOOKUP(E3903,E$1:E3902,1,FALSE()))),"OLD",IF(AND(E3903&lt;&gt;"",E3903&lt;&gt;"!!!"),"NEW","")))</f>
        <v> </v>
      </c>
      <c r="G3903" s="24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5" t="str">
        <f>IF(J3903&lt;&gt;1,"",IF(I3903="SBJ","CB","?"))</f>
        <v> </v>
      </c>
      <c r="I3903" s="26" t="str">
        <f>IF(OR(E3903="",E3903="!!!",F3903="NEW"),"",INDEX(B3902:B$2,-1+SUMPRODUCT(MAX(ROW(E3902:E$2)*(E3903=E3902:E$2)))))</f>
        <v> </v>
      </c>
      <c r="J3903" s="26" t="str">
        <f>IF(OR(E3903="",E3903="!!!",F3903="NEW"),"",COUNTBLANK(OFFSET(A$1,,,SUMPRODUCT(MAX(ROW(E$2:E3903)*(E3903=E$2:E3903)))))-COUNTBLANK(OFFSET(A$1,,,SUMPRODUCT(MAX(ROW(E$1:E3902)*(E2=E$1:E3902))))))</f>
        <v> </v>
      </c>
      <c r="K3903" s="26" t="str">
        <f>IF(OR(E3903="",E3903="!!!",F3903="NEW"),"",INDEX(J$1:J3902,SUMPRODUCT(MAX(ROW(E$1:E3902)*(E3903=E$1:E3902)))))</f>
        <v> </v>
      </c>
      <c r="L3903" s="27"/>
    </row>
    <row r="3904" spans="1:12">
      <c r="A3904" s="20" t="s">
        <v>2485</v>
      </c>
      <c r="E3904" s="22">
        <f>IF(D3904="?OLD","!!!","")</f>
        <v/>
      </c>
      <c r="F3904" s="23" t="str">
        <f>IF(OR(E3904="",E3904="!!!"),"",IF(NOT(ISNA(VLOOKUP(E3904,E$1:E3903,1,FALSE()))),"OLD",IF(AND(E3904&lt;&gt;"",E3904&lt;&gt;"!!!"),"NEW","")))</f>
        <v> </v>
      </c>
      <c r="G3904" s="24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5" t="str">
        <f>IF(J3904&lt;&gt;1,"",IF(I3904="SBJ","CB","?"))</f>
        <v> </v>
      </c>
      <c r="I3904" s="26" t="str">
        <f>IF(OR(E3904="",E3904="!!!",F3904="NEW"),"",INDEX(B3903:B$2,-1+SUMPRODUCT(MAX(ROW(E3903:E$2)*(E3904=E3903:E$2)))))</f>
        <v> </v>
      </c>
      <c r="J3904" s="26" t="str">
        <f>IF(OR(E3904="",E3904="!!!",F3904="NEW"),"",COUNTBLANK(OFFSET(A$1,,,SUMPRODUCT(MAX(ROW(E$2:E3904)*(E3904=E$2:E3904)))))-COUNTBLANK(OFFSET(A$1,,,SUMPRODUCT(MAX(ROW(E$1:E3903)*(E2=E$1:E3903))))))</f>
        <v> </v>
      </c>
      <c r="K3904" s="26" t="str">
        <f>IF(OR(E3904="",E3904="!!!",F3904="NEW"),"",INDEX(J$1:J3903,SUMPRODUCT(MAX(ROW(E$1:E3903)*(E3904=E$1:E3903)))))</f>
        <v> </v>
      </c>
      <c r="L3904" s="27"/>
    </row>
    <row r="3905" spans="1:12">
      <c r="A3905" s="20" t="s">
        <v>2486</v>
      </c>
      <c r="E3905" s="22">
        <f>IF(D3905="?OLD","!!!","")</f>
        <v/>
      </c>
      <c r="F3905" s="23" t="str">
        <f>IF(OR(E3905="",E3905="!!!"),"",IF(NOT(ISNA(VLOOKUP(E3905,E$1:E3904,1,FALSE()))),"OLD",IF(AND(E3905&lt;&gt;"",E3905&lt;&gt;"!!!"),"NEW","")))</f>
        <v> </v>
      </c>
      <c r="G3905" s="24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5" t="str">
        <f>IF(J3905&lt;&gt;1,"",IF(I3905="SBJ","CB","?"))</f>
        <v> </v>
      </c>
      <c r="I3905" s="26" t="str">
        <f>IF(OR(E3905="",E3905="!!!",F3905="NEW"),"",INDEX(B3904:B$2,-1+SUMPRODUCT(MAX(ROW(E3904:E$2)*(E3905=E3904:E$2)))))</f>
        <v> </v>
      </c>
      <c r="J3905" s="26" t="str">
        <f>IF(OR(E3905="",E3905="!!!",F3905="NEW"),"",COUNTBLANK(OFFSET(A$1,,,SUMPRODUCT(MAX(ROW(E$2:E3905)*(E3905=E$2:E3905)))))-COUNTBLANK(OFFSET(A$1,,,SUMPRODUCT(MAX(ROW(E$1:E3904)*(E2=E$1:E3904))))))</f>
        <v> </v>
      </c>
      <c r="K3905" s="26" t="str">
        <f>IF(OR(E3905="",E3905="!!!",F3905="NEW"),"",INDEX(J$1:J3904,SUMPRODUCT(MAX(ROW(E$1:E3904)*(E3905=E$1:E3904)))))</f>
        <v> </v>
      </c>
      <c r="L3905" s="27"/>
    </row>
    <row r="3906" spans="1:12">
      <c r="A3906" s="20" t="s">
        <v>979</v>
      </c>
      <c r="E3906" s="22">
        <f>IF(D3906="?OLD","!!!","")</f>
        <v/>
      </c>
      <c r="F3906" s="23" t="str">
        <f>IF(OR(E3906="",E3906="!!!"),"",IF(NOT(ISNA(VLOOKUP(E3906,E$1:E3905,1,FALSE()))),"OLD",IF(AND(E3906&lt;&gt;"",E3906&lt;&gt;"!!!"),"NEW","")))</f>
        <v> </v>
      </c>
      <c r="G3906" s="24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5" t="str">
        <f>IF(J3906&lt;&gt;1,"",IF(I3906="SBJ","CB","?"))</f>
        <v> </v>
      </c>
      <c r="I3906" s="26" t="str">
        <f>IF(OR(E3906="",E3906="!!!",F3906="NEW"),"",INDEX(B3905:B$2,-1+SUMPRODUCT(MAX(ROW(E3905:E$2)*(E3906=E3905:E$2)))))</f>
        <v> </v>
      </c>
      <c r="J3906" s="26" t="str">
        <f>IF(OR(E3906="",E3906="!!!",F3906="NEW"),"",COUNTBLANK(OFFSET(A$1,,,SUMPRODUCT(MAX(ROW(E$2:E3906)*(E3906=E$2:E3906)))))-COUNTBLANK(OFFSET(A$1,,,SUMPRODUCT(MAX(ROW(E$1:E3905)*(E2=E$1:E3905))))))</f>
        <v> </v>
      </c>
      <c r="K3906" s="26" t="str">
        <f>IF(OR(E3906="",E3906="!!!",F3906="NEW"),"",INDEX(J$1:J3905,SUMPRODUCT(MAX(ROW(E$1:E3905)*(E3906=E$1:E3905)))))</f>
        <v> </v>
      </c>
      <c r="L3906" s="27"/>
    </row>
    <row r="3907" spans="1:12">
      <c r="A3907" s="20"/>
    </row>
    <row r="3908" spans="1:12">
      <c r="A3908" s="20" t="s">
        <v>2487</v>
      </c>
    </row>
    <row r="3909" spans="1:12">
      <c r="A3909" s="20" t="s">
        <v>993</v>
      </c>
      <c r="E3909" s="22">
        <f>IF(D3909="?OLD","!!!","")</f>
        <v/>
      </c>
      <c r="F3909" s="23" t="str">
        <f>IF(OR(E3909="",E3909="!!!"),"",IF(NOT(ISNA(VLOOKUP(E3909,E$1:E3908,1,FALSE()))),"OLD",IF(AND(E3909&lt;&gt;"",E3909&lt;&gt;"!!!"),"NEW","")))</f>
        <v> </v>
      </c>
      <c r="G3909" s="24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5" t="str">
        <f>IF(J3909&lt;&gt;1,"",IF(I3909="SBJ","CB","?"))</f>
        <v> </v>
      </c>
      <c r="I3909" s="26" t="str">
        <f>IF(OR(E3909="",E3909="!!!",F3909="NEW"),"",INDEX(B3908:B$2,-1+SUMPRODUCT(MAX(ROW(E3908:E$2)*(E3909=E3908:E$2)))))</f>
        <v> </v>
      </c>
      <c r="J3909" s="26" t="str">
        <f>IF(OR(E3909="",E3909="!!!",F3909="NEW"),"",COUNTBLANK(OFFSET(A$1,,,SUMPRODUCT(MAX(ROW(E$2:E3909)*(E3909=E$2:E3909)))))-COUNTBLANK(OFFSET(A$1,,,SUMPRODUCT(MAX(ROW(E$1:E3908)*(E2=E$1:E3908))))))</f>
        <v> </v>
      </c>
      <c r="K3909" s="26" t="str">
        <f>IF(OR(E3909="",E3909="!!!",F3909="NEW"),"",INDEX(J$1:J3908,SUMPRODUCT(MAX(ROW(E$1:E3908)*(E3909=E$1:E3908)))))</f>
        <v> </v>
      </c>
      <c r="L3909" s="27"/>
    </row>
    <row r="3910" spans="1:12">
      <c r="A3910" s="20" t="s">
        <v>1556</v>
      </c>
      <c r="E3910" s="22">
        <f>IF(D3910="?OLD","!!!","")</f>
        <v/>
      </c>
      <c r="F3910" s="23" t="str">
        <f>IF(OR(E3910="",E3910="!!!"),"",IF(NOT(ISNA(VLOOKUP(E3910,E$1:E3909,1,FALSE()))),"OLD",IF(AND(E3910&lt;&gt;"",E3910&lt;&gt;"!!!"),"NEW","")))</f>
        <v> </v>
      </c>
      <c r="G3910" s="24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5" t="str">
        <f>IF(J3910&lt;&gt;1,"",IF(I3910="SBJ","CB","?"))</f>
        <v> </v>
      </c>
      <c r="I3910" s="26" t="str">
        <f>IF(OR(E3910="",E3910="!!!",F3910="NEW"),"",INDEX(B3909:B$2,-1+SUMPRODUCT(MAX(ROW(E3909:E$2)*(E3910=E3909:E$2)))))</f>
        <v> </v>
      </c>
      <c r="J3910" s="26" t="str">
        <f>IF(OR(E3910="",E3910="!!!",F3910="NEW"),"",COUNTBLANK(OFFSET(A$1,,,SUMPRODUCT(MAX(ROW(E$2:E3910)*(E3910=E$2:E3910)))))-COUNTBLANK(OFFSET(A$1,,,SUMPRODUCT(MAX(ROW(E$1:E3909)*(E2=E$1:E3909))))))</f>
        <v> </v>
      </c>
      <c r="K3910" s="26" t="str">
        <f>IF(OR(E3910="",E3910="!!!",F3910="NEW"),"",INDEX(J$1:J3909,SUMPRODUCT(MAX(ROW(E$1:E3909)*(E3910=E$1:E3909)))))</f>
        <v> </v>
      </c>
      <c r="L3910" s="27"/>
    </row>
    <row r="3911" spans="1:12">
      <c r="A3911" s="20" t="s">
        <v>1013</v>
      </c>
      <c r="E3911" s="22">
        <f>IF(D3911="?OLD","!!!","")</f>
        <v/>
      </c>
      <c r="F3911" s="23" t="str">
        <f>IF(OR(E3911="",E3911="!!!"),"",IF(NOT(ISNA(VLOOKUP(E3911,E$1:E3910,1,FALSE()))),"OLD",IF(AND(E3911&lt;&gt;"",E3911&lt;&gt;"!!!"),"NEW","")))</f>
        <v> </v>
      </c>
      <c r="G3911" s="24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5" t="str">
        <f>IF(J3911&lt;&gt;1,"",IF(I3911="SBJ","CB","?"))</f>
        <v> </v>
      </c>
      <c r="I3911" s="26" t="str">
        <f>IF(OR(E3911="",E3911="!!!",F3911="NEW"),"",INDEX(B3910:B$2,-1+SUMPRODUCT(MAX(ROW(E3910:E$2)*(E3911=E3910:E$2)))))</f>
        <v> </v>
      </c>
      <c r="J3911" s="26" t="str">
        <f>IF(OR(E3911="",E3911="!!!",F3911="NEW"),"",COUNTBLANK(OFFSET(A$1,,,SUMPRODUCT(MAX(ROW(E$2:E3911)*(E3911=E$2:E3911)))))-COUNTBLANK(OFFSET(A$1,,,SUMPRODUCT(MAX(ROW(E$1:E3910)*(E2=E$1:E3910))))))</f>
        <v> </v>
      </c>
      <c r="K3911" s="26" t="str">
        <f>IF(OR(E3911="",E3911="!!!",F3911="NEW"),"",INDEX(J$1:J3910,SUMPRODUCT(MAX(ROW(E$1:E3910)*(E3911=E$1:E3910)))))</f>
        <v> </v>
      </c>
      <c r="L3911" s="27"/>
    </row>
    <row r="3912" spans="1:12">
      <c r="A3912" s="20" t="s">
        <v>2488</v>
      </c>
      <c r="E3912" s="22">
        <f>IF(D3912="?OLD","!!!","")</f>
        <v/>
      </c>
      <c r="F3912" s="23" t="str">
        <f>IF(OR(E3912="",E3912="!!!"),"",IF(NOT(ISNA(VLOOKUP(E3912,E$1:E3911,1,FALSE()))),"OLD",IF(AND(E3912&lt;&gt;"",E3912&lt;&gt;"!!!"),"NEW","")))</f>
        <v> </v>
      </c>
      <c r="G3912" s="24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5" t="str">
        <f>IF(J3912&lt;&gt;1,"",IF(I3912="SBJ","CB","?"))</f>
        <v> </v>
      </c>
      <c r="I3912" s="26" t="str">
        <f>IF(OR(E3912="",E3912="!!!",F3912="NEW"),"",INDEX(B3911:B$2,-1+SUMPRODUCT(MAX(ROW(E3911:E$2)*(E3912=E3911:E$2)))))</f>
        <v> </v>
      </c>
      <c r="J3912" s="26" t="str">
        <f>IF(OR(E3912="",E3912="!!!",F3912="NEW"),"",COUNTBLANK(OFFSET(A$1,,,SUMPRODUCT(MAX(ROW(E$2:E3912)*(E3912=E$2:E3912)))))-COUNTBLANK(OFFSET(A$1,,,SUMPRODUCT(MAX(ROW(E$1:E3911)*(E2=E$1:E3911))))))</f>
        <v> </v>
      </c>
      <c r="K3912" s="26" t="str">
        <f>IF(OR(E3912="",E3912="!!!",F3912="NEW"),"",INDEX(J$1:J3911,SUMPRODUCT(MAX(ROW(E$1:E3911)*(E3912=E$1:E3911)))))</f>
        <v> </v>
      </c>
      <c r="L3912" s="27"/>
    </row>
    <row r="3913" spans="1:12">
      <c r="A3913" s="20" t="s">
        <v>233</v>
      </c>
      <c r="E3913" s="22">
        <f>IF(D3913="?OLD","!!!","")</f>
        <v/>
      </c>
      <c r="F3913" s="23" t="str">
        <f>IF(OR(E3913="",E3913="!!!"),"",IF(NOT(ISNA(VLOOKUP(E3913,E$1:E3912,1,FALSE()))),"OLD",IF(AND(E3913&lt;&gt;"",E3913&lt;&gt;"!!!"),"NEW","")))</f>
        <v> </v>
      </c>
      <c r="G3913" s="24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5" t="str">
        <f>IF(J3913&lt;&gt;1,"",IF(I3913="SBJ","CB","?"))</f>
        <v> </v>
      </c>
      <c r="I3913" s="26" t="str">
        <f>IF(OR(E3913="",E3913="!!!",F3913="NEW"),"",INDEX(B3912:B$2,-1+SUMPRODUCT(MAX(ROW(E3912:E$2)*(E3913=E3912:E$2)))))</f>
        <v> </v>
      </c>
      <c r="J3913" s="26" t="str">
        <f>IF(OR(E3913="",E3913="!!!",F3913="NEW"),"",COUNTBLANK(OFFSET(A$1,,,SUMPRODUCT(MAX(ROW(E$2:E3913)*(E3913=E$2:E3913)))))-COUNTBLANK(OFFSET(A$1,,,SUMPRODUCT(MAX(ROW(E$1:E3912)*(E2=E$1:E3912))))))</f>
        <v> </v>
      </c>
      <c r="K3913" s="26" t="str">
        <f>IF(OR(E3913="",E3913="!!!",F3913="NEW"),"",INDEX(J$1:J3912,SUMPRODUCT(MAX(ROW(E$1:E3912)*(E3913=E$1:E3912)))))</f>
        <v> </v>
      </c>
      <c r="L3913" s="27"/>
    </row>
    <row r="3914" spans="1:12">
      <c r="A3914" s="20" t="s">
        <v>979</v>
      </c>
      <c r="E3914" s="22">
        <f>IF(D3914="?OLD","!!!","")</f>
        <v/>
      </c>
      <c r="F3914" s="23" t="str">
        <f>IF(OR(E3914="",E3914="!!!"),"",IF(NOT(ISNA(VLOOKUP(E3914,E$1:E3913,1,FALSE()))),"OLD",IF(AND(E3914&lt;&gt;"",E3914&lt;&gt;"!!!"),"NEW","")))</f>
        <v> </v>
      </c>
      <c r="G3914" s="24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5" t="str">
        <f>IF(J3914&lt;&gt;1,"",IF(I3914="SBJ","CB","?"))</f>
        <v> </v>
      </c>
      <c r="I3914" s="26" t="str">
        <f>IF(OR(E3914="",E3914="!!!",F3914="NEW"),"",INDEX(B3913:B$2,-1+SUMPRODUCT(MAX(ROW(E3913:E$2)*(E3914=E3913:E$2)))))</f>
        <v> </v>
      </c>
      <c r="J3914" s="26" t="str">
        <f>IF(OR(E3914="",E3914="!!!",F3914="NEW"),"",COUNTBLANK(OFFSET(A$1,,,SUMPRODUCT(MAX(ROW(E$2:E3914)*(E3914=E$2:E3914)))))-COUNTBLANK(OFFSET(A$1,,,SUMPRODUCT(MAX(ROW(E$1:E3913)*(E2=E$1:E3913))))))</f>
        <v> </v>
      </c>
      <c r="K3914" s="26" t="str">
        <f>IF(OR(E3914="",E3914="!!!",F3914="NEW"),"",INDEX(J$1:J3913,SUMPRODUCT(MAX(ROW(E$1:E3913)*(E3914=E$1:E3913)))))</f>
        <v> </v>
      </c>
      <c r="L3914" s="27"/>
    </row>
    <row r="3915" spans="1:12">
      <c r="A3915" s="20"/>
    </row>
    <row r="3916" spans="1:12">
      <c r="A3916" s="20" t="s">
        <v>2489</v>
      </c>
    </row>
    <row r="3917" spans="1:12">
      <c r="A3917" s="20" t="s">
        <v>1348</v>
      </c>
      <c r="B3917" s="21" t="s">
        <v>975</v>
      </c>
      <c r="C3917" s="21" t="s">
        <v>971</v>
      </c>
      <c r="D3917" s="21" t="s">
        <v>972</v>
      </c>
      <c r="E3917" s="22">
        <f>IF(D3917="?OLD","!!!","")</f>
        <v/>
      </c>
      <c r="F3917" s="23" t="str">
        <f>IF(OR(E3917="",E3917="!!!"),"",IF(NOT(ISNA(VLOOKUP(E3917,E$1:E3916,1,FALSE()))),"OLD",IF(AND(E3917&lt;&gt;"",E3917&lt;&gt;"!!!"),"NEW","")))</f>
        <v> </v>
      </c>
      <c r="G3917" s="24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5" t="str">
        <f>IF(J3917&lt;&gt;1,"",IF(I3917="SBJ","CB","?"))</f>
        <v> </v>
      </c>
      <c r="I3917" s="26" t="str">
        <f>IF(OR(E3917="",E3917="!!!",F3917="NEW"),"",INDEX(B3916:B$2,-1+SUMPRODUCT(MAX(ROW(E3916:E$2)*(E3917=E3916:E$2)))))</f>
        <v> </v>
      </c>
      <c r="J3917" s="26" t="str">
        <f>IF(OR(E3917="",E3917="!!!",F3917="NEW"),"",COUNTBLANK(OFFSET(A$1,,,SUMPRODUCT(MAX(ROW(E$2:E3917)*(E3917=E$2:E3917)))))-COUNTBLANK(OFFSET(A$1,,,SUMPRODUCT(MAX(ROW(E$1:E3916)*(E2=E$1:E3916))))))</f>
        <v> </v>
      </c>
      <c r="K3917" s="26" t="str">
        <f>IF(OR(E3917="",E3917="!!!",F3917="NEW"),"",INDEX(J$1:J3916,SUMPRODUCT(MAX(ROW(E$1:E3916)*(E3917=E$1:E3916)))))</f>
        <v> </v>
      </c>
      <c r="L3917" s="27"/>
    </row>
    <row r="3918" spans="1:12">
      <c r="A3918" s="20" t="s">
        <v>2490</v>
      </c>
      <c r="E3918" s="22">
        <f>IF(D3918="?OLD","!!!","")</f>
        <v/>
      </c>
      <c r="F3918" s="23" t="str">
        <f>IF(OR(E3918="",E3918="!!!"),"",IF(NOT(ISNA(VLOOKUP(E3918,E$1:E3917,1,FALSE()))),"OLD",IF(AND(E3918&lt;&gt;"",E3918&lt;&gt;"!!!"),"NEW","")))</f>
        <v> </v>
      </c>
      <c r="G3918" s="24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5" t="str">
        <f>IF(J3918&lt;&gt;1,"",IF(I3918="SBJ","CB","?"))</f>
        <v> </v>
      </c>
      <c r="I3918" s="26" t="str">
        <f>IF(OR(E3918="",E3918="!!!",F3918="NEW"),"",INDEX(B3917:B$2,-1+SUMPRODUCT(MAX(ROW(E3917:E$2)*(E3918=E3917:E$2)))))</f>
        <v> </v>
      </c>
      <c r="J3918" s="26" t="str">
        <f>IF(OR(E3918="",E3918="!!!",F3918="NEW"),"",COUNTBLANK(OFFSET(A$1,,,SUMPRODUCT(MAX(ROW(E$2:E3918)*(E3918=E$2:E3918)))))-COUNTBLANK(OFFSET(A$1,,,SUMPRODUCT(MAX(ROW(E$1:E3917)*(E2=E$1:E3917))))))</f>
        <v> </v>
      </c>
      <c r="K3918" s="26" t="str">
        <f>IF(OR(E3918="",E3918="!!!",F3918="NEW"),"",INDEX(J$1:J3917,SUMPRODUCT(MAX(ROW(E$1:E3917)*(E3918=E$1:E3917)))))</f>
        <v> </v>
      </c>
      <c r="L3918" s="27"/>
    </row>
    <row r="3919" spans="1:12">
      <c r="A3919" s="20" t="s">
        <v>2491</v>
      </c>
      <c r="E3919" s="22">
        <f>IF(D3919="?OLD","!!!","")</f>
        <v/>
      </c>
      <c r="F3919" s="23" t="str">
        <f>IF(OR(E3919="",E3919="!!!"),"",IF(NOT(ISNA(VLOOKUP(E3919,E$1:E3918,1,FALSE()))),"OLD",IF(AND(E3919&lt;&gt;"",E3919&lt;&gt;"!!!"),"NEW","")))</f>
        <v> </v>
      </c>
      <c r="G3919" s="24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5" t="str">
        <f>IF(J3919&lt;&gt;1,"",IF(I3919="SBJ","CB","?"))</f>
        <v> </v>
      </c>
      <c r="I3919" s="26" t="str">
        <f>IF(OR(E3919="",E3919="!!!",F3919="NEW"),"",INDEX(B3918:B$2,-1+SUMPRODUCT(MAX(ROW(E3918:E$2)*(E3919=E3918:E$2)))))</f>
        <v> </v>
      </c>
      <c r="J3919" s="26" t="str">
        <f>IF(OR(E3919="",E3919="!!!",F3919="NEW"),"",COUNTBLANK(OFFSET(A$1,,,SUMPRODUCT(MAX(ROW(E$2:E3919)*(E3919=E$2:E3919)))))-COUNTBLANK(OFFSET(A$1,,,SUMPRODUCT(MAX(ROW(E$1:E3918)*(E2=E$1:E3918))))))</f>
        <v> </v>
      </c>
      <c r="K3919" s="26" t="str">
        <f>IF(OR(E3919="",E3919="!!!",F3919="NEW"),"",INDEX(J$1:J3918,SUMPRODUCT(MAX(ROW(E$1:E3918)*(E3919=E$1:E3918)))))</f>
        <v> </v>
      </c>
      <c r="L3919" s="27"/>
    </row>
    <row r="3920" spans="1:12">
      <c r="A3920" s="20" t="s">
        <v>2492</v>
      </c>
      <c r="E3920" s="22">
        <f>IF(D3920="?OLD","!!!","")</f>
        <v/>
      </c>
      <c r="F3920" s="23" t="str">
        <f>IF(OR(E3920="",E3920="!!!"),"",IF(NOT(ISNA(VLOOKUP(E3920,E$1:E3919,1,FALSE()))),"OLD",IF(AND(E3920&lt;&gt;"",E3920&lt;&gt;"!!!"),"NEW","")))</f>
        <v> </v>
      </c>
      <c r="G3920" s="24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5" t="str">
        <f>IF(J3920&lt;&gt;1,"",IF(I3920="SBJ","CB","?"))</f>
        <v> </v>
      </c>
      <c r="I3920" s="26" t="str">
        <f>IF(OR(E3920="",E3920="!!!",F3920="NEW"),"",INDEX(B3919:B$2,-1+SUMPRODUCT(MAX(ROW(E3919:E$2)*(E3920=E3919:E$2)))))</f>
        <v> </v>
      </c>
      <c r="J3920" s="26" t="str">
        <f>IF(OR(E3920="",E3920="!!!",F3920="NEW"),"",COUNTBLANK(OFFSET(A$1,,,SUMPRODUCT(MAX(ROW(E$2:E3920)*(E3920=E$2:E3920)))))-COUNTBLANK(OFFSET(A$1,,,SUMPRODUCT(MAX(ROW(E$1:E3919)*(E2=E$1:E3919))))))</f>
        <v> </v>
      </c>
      <c r="K3920" s="26" t="str">
        <f>IF(OR(E3920="",E3920="!!!",F3920="NEW"),"",INDEX(J$1:J3919,SUMPRODUCT(MAX(ROW(E$1:E3919)*(E3920=E$1:E3919)))))</f>
        <v> </v>
      </c>
      <c r="L3920" s="27"/>
    </row>
    <row r="3921" spans="1:12">
      <c r="A3921" s="20" t="s">
        <v>979</v>
      </c>
      <c r="E3921" s="22">
        <f>IF(D3921="?OLD","!!!","")</f>
        <v/>
      </c>
      <c r="F3921" s="23" t="str">
        <f>IF(OR(E3921="",E3921="!!!"),"",IF(NOT(ISNA(VLOOKUP(E3921,E$1:E3920,1,FALSE()))),"OLD",IF(AND(E3921&lt;&gt;"",E3921&lt;&gt;"!!!"),"NEW","")))</f>
        <v> </v>
      </c>
      <c r="G3921" s="24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5" t="str">
        <f>IF(J3921&lt;&gt;1,"",IF(I3921="SBJ","CB","?"))</f>
        <v> </v>
      </c>
      <c r="I3921" s="26" t="str">
        <f>IF(OR(E3921="",E3921="!!!",F3921="NEW"),"",INDEX(B3920:B$2,-1+SUMPRODUCT(MAX(ROW(E3920:E$2)*(E3921=E3920:E$2)))))</f>
        <v> </v>
      </c>
      <c r="J3921" s="26" t="str">
        <f>IF(OR(E3921="",E3921="!!!",F3921="NEW"),"",COUNTBLANK(OFFSET(A$1,,,SUMPRODUCT(MAX(ROW(E$2:E3921)*(E3921=E$2:E3921)))))-COUNTBLANK(OFFSET(A$1,,,SUMPRODUCT(MAX(ROW(E$1:E3920)*(E2=E$1:E3920))))))</f>
        <v> </v>
      </c>
      <c r="K3921" s="26" t="str">
        <f>IF(OR(E3921="",E3921="!!!",F3921="NEW"),"",INDEX(J$1:J3920,SUMPRODUCT(MAX(ROW(E$1:E3920)*(E3921=E$1:E3920)))))</f>
        <v> </v>
      </c>
      <c r="L3921" s="27"/>
    </row>
    <row r="3922" spans="1:12">
      <c r="A3922" s="20"/>
    </row>
    <row r="3923" spans="1:12">
      <c r="A3923" s="20" t="s">
        <v>2493</v>
      </c>
    </row>
    <row r="3924" spans="1:12">
      <c r="A3924" s="20" t="s">
        <v>2494</v>
      </c>
      <c r="E3924" s="22">
        <f>IF(D3924="?OLD","!!!","")</f>
        <v/>
      </c>
      <c r="F3924" s="23" t="str">
        <f>IF(OR(E3924="",E3924="!!!"),"",IF(NOT(ISNA(VLOOKUP(E3924,E$1:E3923,1,FALSE()))),"OLD",IF(AND(E3924&lt;&gt;"",E3924&lt;&gt;"!!!"),"NEW","")))</f>
        <v> </v>
      </c>
      <c r="G3924" s="24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5" t="str">
        <f>IF(J3924&lt;&gt;1,"",IF(I3924="SBJ","CB","?"))</f>
        <v> </v>
      </c>
      <c r="I3924" s="26" t="str">
        <f>IF(OR(E3924="",E3924="!!!",F3924="NEW"),"",INDEX(B3923:B$2,-1+SUMPRODUCT(MAX(ROW(E3923:E$2)*(E3924=E3923:E$2)))))</f>
        <v> </v>
      </c>
      <c r="J3924" s="26" t="str">
        <f>IF(OR(E3924="",E3924="!!!",F3924="NEW"),"",COUNTBLANK(OFFSET(A$1,,,SUMPRODUCT(MAX(ROW(E$2:E3924)*(E3924=E$2:E3924)))))-COUNTBLANK(OFFSET(A$1,,,SUMPRODUCT(MAX(ROW(E$1:E3923)*(E2=E$1:E3923))))))</f>
        <v> </v>
      </c>
      <c r="K3924" s="26" t="str">
        <f>IF(OR(E3924="",E3924="!!!",F3924="NEW"),"",INDEX(J$1:J3923,SUMPRODUCT(MAX(ROW(E$1:E3923)*(E3924=E$1:E3923)))))</f>
        <v> </v>
      </c>
      <c r="L3924" s="27"/>
    </row>
    <row r="3925" spans="1:12">
      <c r="A3925" s="20" t="s">
        <v>233</v>
      </c>
      <c r="B3925" s="21" t="s">
        <v>975</v>
      </c>
      <c r="C3925" s="21" t="s">
        <v>1100</v>
      </c>
      <c r="D3925" s="21" t="s">
        <v>972</v>
      </c>
      <c r="E3925" s="22">
        <f>IF(D3925="?OLD","!!!","")</f>
        <v/>
      </c>
      <c r="F3925" s="23" t="str">
        <f>IF(OR(E3925="",E3925="!!!"),"",IF(NOT(ISNA(VLOOKUP(E3925,E$1:E3924,1,FALSE()))),"OLD",IF(AND(E3925&lt;&gt;"",E3925&lt;&gt;"!!!"),"NEW","")))</f>
        <v> </v>
      </c>
      <c r="G3925" s="24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5" t="str">
        <f>IF(J3925&lt;&gt;1,"",IF(I3925="SBJ","CB","?"))</f>
        <v> </v>
      </c>
      <c r="I3925" s="26" t="str">
        <f>IF(OR(E3925="",E3925="!!!",F3925="NEW"),"",INDEX(B3924:B$2,-1+SUMPRODUCT(MAX(ROW(E3924:E$2)*(E3925=E3924:E$2)))))</f>
        <v> </v>
      </c>
      <c r="J3925" s="26" t="str">
        <f>IF(OR(E3925="",E3925="!!!",F3925="NEW"),"",COUNTBLANK(OFFSET(A$1,,,SUMPRODUCT(MAX(ROW(E$2:E3925)*(E3925=E$2:E3925)))))-COUNTBLANK(OFFSET(A$1,,,SUMPRODUCT(MAX(ROW(E$1:E3924)*(E2=E$1:E3924))))))</f>
        <v> </v>
      </c>
      <c r="K3925" s="26" t="str">
        <f>IF(OR(E3925="",E3925="!!!",F3925="NEW"),"",INDEX(J$1:J3924,SUMPRODUCT(MAX(ROW(E$1:E3924)*(E3925=E$1:E3924)))))</f>
        <v> </v>
      </c>
      <c r="L3925" s="27"/>
    </row>
    <row r="3926" spans="1:12">
      <c r="A3926" s="20" t="s">
        <v>2495</v>
      </c>
      <c r="E3926" s="22">
        <f>IF(D3926="?OLD","!!!","")</f>
        <v/>
      </c>
      <c r="F3926" s="23" t="str">
        <f>IF(OR(E3926="",E3926="!!!"),"",IF(NOT(ISNA(VLOOKUP(E3926,E$1:E3925,1,FALSE()))),"OLD",IF(AND(E3926&lt;&gt;"",E3926&lt;&gt;"!!!"),"NEW","")))</f>
        <v> </v>
      </c>
      <c r="G3926" s="24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5" t="str">
        <f>IF(J3926&lt;&gt;1,"",IF(I3926="SBJ","CB","?"))</f>
        <v> </v>
      </c>
      <c r="I3926" s="26" t="str">
        <f>IF(OR(E3926="",E3926="!!!",F3926="NEW"),"",INDEX(B3925:B$2,-1+SUMPRODUCT(MAX(ROW(E3925:E$2)*(E3926=E3925:E$2)))))</f>
        <v> </v>
      </c>
      <c r="J3926" s="26" t="str">
        <f>IF(OR(E3926="",E3926="!!!",F3926="NEW"),"",COUNTBLANK(OFFSET(A$1,,,SUMPRODUCT(MAX(ROW(E$2:E3926)*(E3926=E$2:E3926)))))-COUNTBLANK(OFFSET(A$1,,,SUMPRODUCT(MAX(ROW(E$1:E3925)*(E2=E$1:E3925))))))</f>
        <v> </v>
      </c>
      <c r="K3926" s="26" t="str">
        <f>IF(OR(E3926="",E3926="!!!",F3926="NEW"),"",INDEX(J$1:J3925,SUMPRODUCT(MAX(ROW(E$1:E3925)*(E3926=E$1:E3925)))))</f>
        <v> </v>
      </c>
      <c r="L3926" s="27"/>
    </row>
    <row r="3927" spans="1:12">
      <c r="A3927" s="20" t="s">
        <v>2496</v>
      </c>
      <c r="B3927" s="21" t="s">
        <v>995</v>
      </c>
      <c r="C3927" s="21" t="s">
        <v>976</v>
      </c>
      <c r="D3927" s="21" t="s">
        <v>972</v>
      </c>
      <c r="E3927" s="22">
        <f>IF(D3927="?OLD","!!!","")</f>
        <v/>
      </c>
      <c r="F3927" s="23" t="str">
        <f>IF(OR(E3927="",E3927="!!!"),"",IF(NOT(ISNA(VLOOKUP(E3927,E$1:E3926,1,FALSE()))),"OLD",IF(AND(E3927&lt;&gt;"",E3927&lt;&gt;"!!!"),"NEW","")))</f>
        <v> </v>
      </c>
      <c r="G3927" s="24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5" t="str">
        <f>IF(J3927&lt;&gt;1,"",IF(I3927="SBJ","CB","?"))</f>
        <v> </v>
      </c>
      <c r="I3927" s="26" t="str">
        <f>IF(OR(E3927="",E3927="!!!",F3927="NEW"),"",INDEX(B3926:B$2,-1+SUMPRODUCT(MAX(ROW(E3926:E$2)*(E3927=E3926:E$2)))))</f>
        <v> </v>
      </c>
      <c r="J3927" s="26" t="str">
        <f>IF(OR(E3927="",E3927="!!!",F3927="NEW"),"",COUNTBLANK(OFFSET(A$1,,,SUMPRODUCT(MAX(ROW(E$2:E3927)*(E3927=E$2:E3927)))))-COUNTBLANK(OFFSET(A$1,,,SUMPRODUCT(MAX(ROW(E$1:E3926)*(E2=E$1:E3926))))))</f>
        <v> </v>
      </c>
      <c r="K3927" s="26" t="str">
        <f>IF(OR(E3927="",E3927="!!!",F3927="NEW"),"",INDEX(J$1:J3926,SUMPRODUCT(MAX(ROW(E$1:E3926)*(E3927=E$1:E3926)))))</f>
        <v> </v>
      </c>
      <c r="L3927" s="27"/>
    </row>
    <row r="3928" spans="1:12">
      <c r="A3928" s="20" t="s">
        <v>2497</v>
      </c>
      <c r="E3928" s="22">
        <f>IF(D3928="?OLD","!!!","")</f>
        <v/>
      </c>
      <c r="F3928" s="23" t="str">
        <f>IF(OR(E3928="",E3928="!!!"),"",IF(NOT(ISNA(VLOOKUP(E3928,E$1:E3927,1,FALSE()))),"OLD",IF(AND(E3928&lt;&gt;"",E3928&lt;&gt;"!!!"),"NEW","")))</f>
        <v> </v>
      </c>
      <c r="G3928" s="24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5" t="str">
        <f>IF(J3928&lt;&gt;1,"",IF(I3928="SBJ","CB","?"))</f>
        <v> </v>
      </c>
      <c r="I3928" s="26" t="str">
        <f>IF(OR(E3928="",E3928="!!!",F3928="NEW"),"",INDEX(B3927:B$2,-1+SUMPRODUCT(MAX(ROW(E3927:E$2)*(E3928=E3927:E$2)))))</f>
        <v> </v>
      </c>
      <c r="J3928" s="26" t="str">
        <f>IF(OR(E3928="",E3928="!!!",F3928="NEW"),"",COUNTBLANK(OFFSET(A$1,,,SUMPRODUCT(MAX(ROW(E$2:E3928)*(E3928=E$2:E3928)))))-COUNTBLANK(OFFSET(A$1,,,SUMPRODUCT(MAX(ROW(E$1:E3927)*(E2=E$1:E3927))))))</f>
        <v> </v>
      </c>
      <c r="K3928" s="26" t="str">
        <f>IF(OR(E3928="",E3928="!!!",F3928="NEW"),"",INDEX(J$1:J3927,SUMPRODUCT(MAX(ROW(E$1:E3927)*(E3928=E$1:E3927)))))</f>
        <v> </v>
      </c>
      <c r="L3928" s="27"/>
    </row>
    <row r="3929" spans="1:12">
      <c r="A3929" s="20" t="s">
        <v>2498</v>
      </c>
      <c r="B3929" s="21" t="s">
        <v>978</v>
      </c>
      <c r="C3929" s="21" t="s">
        <v>976</v>
      </c>
      <c r="D3929" s="21" t="s">
        <v>972</v>
      </c>
      <c r="E3929" s="22">
        <f>IF(D3929="?OLD","!!!","")</f>
        <v/>
      </c>
      <c r="F3929" s="23" t="str">
        <f>IF(OR(E3929="",E3929="!!!"),"",IF(NOT(ISNA(VLOOKUP(E3929,E$1:E3928,1,FALSE()))),"OLD",IF(AND(E3929&lt;&gt;"",E3929&lt;&gt;"!!!"),"NEW","")))</f>
        <v> </v>
      </c>
      <c r="G3929" s="24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5" t="str">
        <f>IF(J3929&lt;&gt;1,"",IF(I3929="SBJ","CB","?"))</f>
        <v> </v>
      </c>
      <c r="I3929" s="26" t="str">
        <f>IF(OR(E3929="",E3929="!!!",F3929="NEW"),"",INDEX(B3928:B$2,-1+SUMPRODUCT(MAX(ROW(E3928:E$2)*(E3929=E3928:E$2)))))</f>
        <v> </v>
      </c>
      <c r="J3929" s="26" t="str">
        <f>IF(OR(E3929="",E3929="!!!",F3929="NEW"),"",COUNTBLANK(OFFSET(A$1,,,SUMPRODUCT(MAX(ROW(E$2:E3929)*(E3929=E$2:E3929)))))-COUNTBLANK(OFFSET(A$1,,,SUMPRODUCT(MAX(ROW(E$1:E3928)*(E2=E$1:E3928))))))</f>
        <v> </v>
      </c>
      <c r="K3929" s="26" t="str">
        <f>IF(OR(E3929="",E3929="!!!",F3929="NEW"),"",INDEX(J$1:J3928,SUMPRODUCT(MAX(ROW(E$1:E3928)*(E3929=E$1:E3928)))))</f>
        <v> </v>
      </c>
      <c r="L3929" s="27"/>
    </row>
    <row r="3930" spans="1:12">
      <c r="A3930" s="20" t="s">
        <v>979</v>
      </c>
      <c r="E3930" s="22">
        <f>IF(D3930="?OLD","!!!","")</f>
        <v/>
      </c>
      <c r="F3930" s="23" t="str">
        <f>IF(OR(E3930="",E3930="!!!"),"",IF(NOT(ISNA(VLOOKUP(E3930,E$1:E3929,1,FALSE()))),"OLD",IF(AND(E3930&lt;&gt;"",E3930&lt;&gt;"!!!"),"NEW","")))</f>
        <v> </v>
      </c>
      <c r="G3930" s="24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5" t="str">
        <f>IF(J3930&lt;&gt;1,"",IF(I3930="SBJ","CB","?"))</f>
        <v> </v>
      </c>
      <c r="I3930" s="26" t="str">
        <f>IF(OR(E3930="",E3930="!!!",F3930="NEW"),"",INDEX(B3929:B$2,-1+SUMPRODUCT(MAX(ROW(E3929:E$2)*(E3930=E3929:E$2)))))</f>
        <v> </v>
      </c>
      <c r="J3930" s="26" t="str">
        <f>IF(OR(E3930="",E3930="!!!",F3930="NEW"),"",COUNTBLANK(OFFSET(A$1,,,SUMPRODUCT(MAX(ROW(E$2:E3930)*(E3930=E$2:E3930)))))-COUNTBLANK(OFFSET(A$1,,,SUMPRODUCT(MAX(ROW(E$1:E3929)*(E2=E$1:E3929))))))</f>
        <v> </v>
      </c>
      <c r="K3930" s="26" t="str">
        <f>IF(OR(E3930="",E3930="!!!",F3930="NEW"),"",INDEX(J$1:J3929,SUMPRODUCT(MAX(ROW(E$1:E3929)*(E3930=E$1:E3929)))))</f>
        <v> </v>
      </c>
      <c r="L3930" s="27"/>
    </row>
    <row r="3931" spans="1:12">
      <c r="A3931" s="20"/>
    </row>
    <row r="3932" spans="1:12">
      <c r="A3932" s="20" t="s">
        <v>2499</v>
      </c>
    </row>
    <row r="3933" spans="1:12">
      <c r="A3933" s="20" t="s">
        <v>1122</v>
      </c>
      <c r="E3933" s="22">
        <f>IF(D3933="?OLD","!!!","")</f>
        <v/>
      </c>
      <c r="F3933" s="23" t="str">
        <f>IF(OR(E3933="",E3933="!!!"),"",IF(NOT(ISNA(VLOOKUP(E3933,E$1:E3932,1,FALSE()))),"OLD",IF(AND(E3933&lt;&gt;"",E3933&lt;&gt;"!!!"),"NEW","")))</f>
        <v> </v>
      </c>
      <c r="G3933" s="24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5" t="str">
        <f>IF(J3933&lt;&gt;1,"",IF(I3933="SBJ","CB","?"))</f>
        <v> </v>
      </c>
      <c r="I3933" s="26" t="str">
        <f>IF(OR(E3933="",E3933="!!!",F3933="NEW"),"",INDEX(B3932:B$2,-1+SUMPRODUCT(MAX(ROW(E3932:E$2)*(E3933=E3932:E$2)))))</f>
        <v> </v>
      </c>
      <c r="J3933" s="26" t="str">
        <f>IF(OR(E3933="",E3933="!!!",F3933="NEW"),"",COUNTBLANK(OFFSET(A$1,,,SUMPRODUCT(MAX(ROW(E$2:E3933)*(E3933=E$2:E3933)))))-COUNTBLANK(OFFSET(A$1,,,SUMPRODUCT(MAX(ROW(E$1:E3932)*(E2=E$1:E3932))))))</f>
        <v> </v>
      </c>
      <c r="K3933" s="26" t="str">
        <f>IF(OR(E3933="",E3933="!!!",F3933="NEW"),"",INDEX(J$1:J3932,SUMPRODUCT(MAX(ROW(E$1:E3932)*(E3933=E$1:E3932)))))</f>
        <v> </v>
      </c>
      <c r="L3933" s="27"/>
    </row>
    <row r="3934" spans="1:12">
      <c r="A3934" s="20" t="s">
        <v>145</v>
      </c>
      <c r="B3934" s="21" t="s">
        <v>1101</v>
      </c>
      <c r="C3934" s="21" t="s">
        <v>971</v>
      </c>
      <c r="D3934" s="21" t="s">
        <v>972</v>
      </c>
      <c r="E3934" s="22">
        <f>IF(D3934="?OLD","!!!","")</f>
        <v/>
      </c>
      <c r="F3934" s="23" t="str">
        <f>IF(OR(E3934="",E3934="!!!"),"",IF(NOT(ISNA(VLOOKUP(E3934,E$1:E3933,1,FALSE()))),"OLD",IF(AND(E3934&lt;&gt;"",E3934&lt;&gt;"!!!"),"NEW","")))</f>
        <v> </v>
      </c>
      <c r="G3934" s="24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5" t="str">
        <f>IF(J3934&lt;&gt;1,"",IF(I3934="SBJ","CB","?"))</f>
        <v> </v>
      </c>
      <c r="I3934" s="26" t="str">
        <f>IF(OR(E3934="",E3934="!!!",F3934="NEW"),"",INDEX(B3933:B$2,-1+SUMPRODUCT(MAX(ROW(E3933:E$2)*(E3934=E3933:E$2)))))</f>
        <v> </v>
      </c>
      <c r="J3934" s="26" t="str">
        <f>IF(OR(E3934="",E3934="!!!",F3934="NEW"),"",COUNTBLANK(OFFSET(A$1,,,SUMPRODUCT(MAX(ROW(E$2:E3934)*(E3934=E$2:E3934)))))-COUNTBLANK(OFFSET(A$1,,,SUMPRODUCT(MAX(ROW(E$1:E3933)*(E2=E$1:E3933))))))</f>
        <v> </v>
      </c>
      <c r="K3934" s="26" t="str">
        <f>IF(OR(E3934="",E3934="!!!",F3934="NEW"),"",INDEX(J$1:J3933,SUMPRODUCT(MAX(ROW(E$1:E3933)*(E3934=E$1:E3933)))))</f>
        <v> </v>
      </c>
      <c r="L3934" s="27"/>
    </row>
    <row r="3935" spans="1:12">
      <c r="A3935" s="20" t="s">
        <v>2500</v>
      </c>
      <c r="E3935" s="22">
        <f>IF(D3935="?OLD","!!!","")</f>
        <v/>
      </c>
      <c r="F3935" s="23" t="str">
        <f>IF(OR(E3935="",E3935="!!!"),"",IF(NOT(ISNA(VLOOKUP(E3935,E$1:E3934,1,FALSE()))),"OLD",IF(AND(E3935&lt;&gt;"",E3935&lt;&gt;"!!!"),"NEW","")))</f>
        <v> </v>
      </c>
      <c r="G3935" s="24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5" t="str">
        <f>IF(J3935&lt;&gt;1,"",IF(I3935="SBJ","CB","?"))</f>
        <v> </v>
      </c>
      <c r="I3935" s="26" t="str">
        <f>IF(OR(E3935="",E3935="!!!",F3935="NEW"),"",INDEX(B3934:B$2,-1+SUMPRODUCT(MAX(ROW(E3934:E$2)*(E3935=E3934:E$2)))))</f>
        <v> </v>
      </c>
      <c r="J3935" s="26" t="str">
        <f>IF(OR(E3935="",E3935="!!!",F3935="NEW"),"",COUNTBLANK(OFFSET(A$1,,,SUMPRODUCT(MAX(ROW(E$2:E3935)*(E3935=E$2:E3935)))))-COUNTBLANK(OFFSET(A$1,,,SUMPRODUCT(MAX(ROW(E$1:E3934)*(E2=E$1:E3934))))))</f>
        <v> </v>
      </c>
      <c r="K3935" s="26" t="str">
        <f>IF(OR(E3935="",E3935="!!!",F3935="NEW"),"",INDEX(J$1:J3934,SUMPRODUCT(MAX(ROW(E$1:E3934)*(E3935=E$1:E3934)))))</f>
        <v> </v>
      </c>
      <c r="L3935" s="27"/>
    </row>
    <row r="3936" spans="1:12">
      <c r="A3936" s="20" t="s">
        <v>1630</v>
      </c>
      <c r="B3936" s="21" t="s">
        <v>1087</v>
      </c>
      <c r="E3936" s="22">
        <f>IF(D3936="?OLD","!!!","")</f>
        <v/>
      </c>
      <c r="F3936" s="23" t="str">
        <f>IF(OR(E3936="",E3936="!!!"),"",IF(NOT(ISNA(VLOOKUP(E3936,E$1:E3935,1,FALSE()))),"OLD",IF(AND(E3936&lt;&gt;"",E3936&lt;&gt;"!!!"),"NEW","")))</f>
        <v> </v>
      </c>
      <c r="G3936" s="24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5" t="str">
        <f>IF(J3936&lt;&gt;1,"",IF(I3936="SBJ","CB","?"))</f>
        <v> </v>
      </c>
      <c r="I3936" s="26" t="str">
        <f>IF(OR(E3936="",E3936="!!!",F3936="NEW"),"",INDEX(B3935:B$2,-1+SUMPRODUCT(MAX(ROW(E3935:E$2)*(E3936=E3935:E$2)))))</f>
        <v> </v>
      </c>
      <c r="J3936" s="26" t="str">
        <f>IF(OR(E3936="",E3936="!!!",F3936="NEW"),"",COUNTBLANK(OFFSET(A$1,,,SUMPRODUCT(MAX(ROW(E$2:E3936)*(E3936=E$2:E3936)))))-COUNTBLANK(OFFSET(A$1,,,SUMPRODUCT(MAX(ROW(E$1:E3935)*(E2=E$1:E3935))))))</f>
        <v> </v>
      </c>
      <c r="K3936" s="26" t="str">
        <f>IF(OR(E3936="",E3936="!!!",F3936="NEW"),"",INDEX(J$1:J3935,SUMPRODUCT(MAX(ROW(E$1:E3935)*(E3936=E$1:E3935)))))</f>
        <v> </v>
      </c>
      <c r="L3936" s="27"/>
    </row>
    <row r="3937" spans="1:12">
      <c r="A3937" s="20" t="s">
        <v>1139</v>
      </c>
      <c r="E3937" s="22">
        <f>IF(D3937="?OLD","!!!","")</f>
        <v/>
      </c>
      <c r="F3937" s="23" t="str">
        <f>IF(OR(E3937="",E3937="!!!"),"",IF(NOT(ISNA(VLOOKUP(E3937,E$1:E3936,1,FALSE()))),"OLD",IF(AND(E3937&lt;&gt;"",E3937&lt;&gt;"!!!"),"NEW","")))</f>
        <v> </v>
      </c>
      <c r="G3937" s="24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5" t="str">
        <f>IF(J3937&lt;&gt;1,"",IF(I3937="SBJ","CB","?"))</f>
        <v> </v>
      </c>
      <c r="I3937" s="26" t="str">
        <f>IF(OR(E3937="",E3937="!!!",F3937="NEW"),"",INDEX(B3936:B$2,-1+SUMPRODUCT(MAX(ROW(E3936:E$2)*(E3937=E3936:E$2)))))</f>
        <v> </v>
      </c>
      <c r="J3937" s="26" t="str">
        <f>IF(OR(E3937="",E3937="!!!",F3937="NEW"),"",COUNTBLANK(OFFSET(A$1,,,SUMPRODUCT(MAX(ROW(E$2:E3937)*(E3937=E$2:E3937)))))-COUNTBLANK(OFFSET(A$1,,,SUMPRODUCT(MAX(ROW(E$1:E3936)*(E2=E$1:E3936))))))</f>
        <v> </v>
      </c>
      <c r="K3937" s="26" t="str">
        <f>IF(OR(E3937="",E3937="!!!",F3937="NEW"),"",INDEX(J$1:J3936,SUMPRODUCT(MAX(ROW(E$1:E3936)*(E3937=E$1:E3936)))))</f>
        <v> </v>
      </c>
      <c r="L3937" s="27"/>
    </row>
    <row r="3938" spans="1:12">
      <c r="A3938" s="20" t="s">
        <v>1140</v>
      </c>
      <c r="E3938" s="22">
        <f>IF(D3938="?OLD","!!!","")</f>
        <v/>
      </c>
      <c r="F3938" s="23" t="str">
        <f>IF(OR(E3938="",E3938="!!!"),"",IF(NOT(ISNA(VLOOKUP(E3938,E$1:E3937,1,FALSE()))),"OLD",IF(AND(E3938&lt;&gt;"",E3938&lt;&gt;"!!!"),"NEW","")))</f>
        <v> </v>
      </c>
      <c r="G3938" s="24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5" t="str">
        <f>IF(J3938&lt;&gt;1,"",IF(I3938="SBJ","CB","?"))</f>
        <v> </v>
      </c>
      <c r="I3938" s="26" t="str">
        <f>IF(OR(E3938="",E3938="!!!",F3938="NEW"),"",INDEX(B3937:B$2,-1+SUMPRODUCT(MAX(ROW(E3937:E$2)*(E3938=E3937:E$2)))))</f>
        <v> </v>
      </c>
      <c r="J3938" s="26" t="str">
        <f>IF(OR(E3938="",E3938="!!!",F3938="NEW"),"",COUNTBLANK(OFFSET(A$1,,,SUMPRODUCT(MAX(ROW(E$2:E3938)*(E3938=E$2:E3938)))))-COUNTBLANK(OFFSET(A$1,,,SUMPRODUCT(MAX(ROW(E$1:E3937)*(E2=E$1:E3937))))))</f>
        <v> </v>
      </c>
      <c r="K3938" s="26" t="str">
        <f>IF(OR(E3938="",E3938="!!!",F3938="NEW"),"",INDEX(J$1:J3937,SUMPRODUCT(MAX(ROW(E$1:E3937)*(E3938=E$1:E3937)))))</f>
        <v> </v>
      </c>
      <c r="L3938" s="27"/>
    </row>
    <row r="3939" spans="1:12">
      <c r="A3939" s="20" t="s">
        <v>1013</v>
      </c>
      <c r="E3939" s="22">
        <f>IF(D3939="?OLD","!!!","")</f>
        <v/>
      </c>
      <c r="F3939" s="23" t="str">
        <f>IF(OR(E3939="",E3939="!!!"),"",IF(NOT(ISNA(VLOOKUP(E3939,E$1:E3938,1,FALSE()))),"OLD",IF(AND(E3939&lt;&gt;"",E3939&lt;&gt;"!!!"),"NEW","")))</f>
        <v> </v>
      </c>
      <c r="G3939" s="24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5" t="str">
        <f>IF(J3939&lt;&gt;1,"",IF(I3939="SBJ","CB","?"))</f>
        <v> </v>
      </c>
      <c r="I3939" s="26" t="str">
        <f>IF(OR(E3939="",E3939="!!!",F3939="NEW"),"",INDEX(B3938:B$2,-1+SUMPRODUCT(MAX(ROW(E3938:E$2)*(E3939=E3938:E$2)))))</f>
        <v> </v>
      </c>
      <c r="J3939" s="26" t="str">
        <f>IF(OR(E3939="",E3939="!!!",F3939="NEW"),"",COUNTBLANK(OFFSET(A$1,,,SUMPRODUCT(MAX(ROW(E$2:E3939)*(E3939=E$2:E3939)))))-COUNTBLANK(OFFSET(A$1,,,SUMPRODUCT(MAX(ROW(E$1:E3938)*(E2=E$1:E3938))))))</f>
        <v> </v>
      </c>
      <c r="K3939" s="26" t="str">
        <f>IF(OR(E3939="",E3939="!!!",F3939="NEW"),"",INDEX(J$1:J3938,SUMPRODUCT(MAX(ROW(E$1:E3938)*(E3939=E$1:E3938)))))</f>
        <v> </v>
      </c>
      <c r="L3939" s="27"/>
    </row>
    <row r="3940" spans="1:12">
      <c r="A3940" s="20" t="s">
        <v>293</v>
      </c>
      <c r="E3940" s="22">
        <f>IF(D3940="?OLD","!!!","")</f>
        <v/>
      </c>
      <c r="F3940" s="23" t="str">
        <f>IF(OR(E3940="",E3940="!!!"),"",IF(NOT(ISNA(VLOOKUP(E3940,E$1:E3939,1,FALSE()))),"OLD",IF(AND(E3940&lt;&gt;"",E3940&lt;&gt;"!!!"),"NEW","")))</f>
        <v> </v>
      </c>
      <c r="G3940" s="24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5" t="str">
        <f>IF(J3940&lt;&gt;1,"",IF(I3940="SBJ","CB","?"))</f>
        <v> </v>
      </c>
      <c r="I3940" s="26" t="str">
        <f>IF(OR(E3940="",E3940="!!!",F3940="NEW"),"",INDEX(B3939:B$2,-1+SUMPRODUCT(MAX(ROW(E3939:E$2)*(E3940=E3939:E$2)))))</f>
        <v> </v>
      </c>
      <c r="J3940" s="26" t="str">
        <f>IF(OR(E3940="",E3940="!!!",F3940="NEW"),"",COUNTBLANK(OFFSET(A$1,,,SUMPRODUCT(MAX(ROW(E$2:E3940)*(E3940=E$2:E3940)))))-COUNTBLANK(OFFSET(A$1,,,SUMPRODUCT(MAX(ROW(E$1:E3939)*(E2=E$1:E3939))))))</f>
        <v> </v>
      </c>
      <c r="K3940" s="26" t="str">
        <f>IF(OR(E3940="",E3940="!!!",F3940="NEW"),"",INDEX(J$1:J3939,SUMPRODUCT(MAX(ROW(E$1:E3939)*(E3940=E$1:E3939)))))</f>
        <v> </v>
      </c>
      <c r="L3940" s="27"/>
    </row>
    <row r="3941" spans="1:12">
      <c r="A3941" s="20" t="s">
        <v>2501</v>
      </c>
      <c r="E3941" s="22">
        <f>IF(D3941="?OLD","!!!","")</f>
        <v/>
      </c>
      <c r="F3941" s="23" t="str">
        <f>IF(OR(E3941="",E3941="!!!"),"",IF(NOT(ISNA(VLOOKUP(E3941,E$1:E3940,1,FALSE()))),"OLD",IF(AND(E3941&lt;&gt;"",E3941&lt;&gt;"!!!"),"NEW","")))</f>
        <v> </v>
      </c>
      <c r="G3941" s="24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5" t="str">
        <f>IF(J3941&lt;&gt;1,"",IF(I3941="SBJ","CB","?"))</f>
        <v> </v>
      </c>
      <c r="I3941" s="26" t="str">
        <f>IF(OR(E3941="",E3941="!!!",F3941="NEW"),"",INDEX(B3940:B$2,-1+SUMPRODUCT(MAX(ROW(E3940:E$2)*(E3941=E3940:E$2)))))</f>
        <v> </v>
      </c>
      <c r="J3941" s="26" t="str">
        <f>IF(OR(E3941="",E3941="!!!",F3941="NEW"),"",COUNTBLANK(OFFSET(A$1,,,SUMPRODUCT(MAX(ROW(E$2:E3941)*(E3941=E$2:E3941)))))-COUNTBLANK(OFFSET(A$1,,,SUMPRODUCT(MAX(ROW(E$1:E3940)*(E2=E$1:E3940))))))</f>
        <v> </v>
      </c>
      <c r="K3941" s="26" t="str">
        <f>IF(OR(E3941="",E3941="!!!",F3941="NEW"),"",INDEX(J$1:J3940,SUMPRODUCT(MAX(ROW(E$1:E3940)*(E3941=E$1:E3940)))))</f>
        <v> </v>
      </c>
      <c r="L3941" s="27"/>
    </row>
    <row r="3942" spans="1:12">
      <c r="A3942" s="20" t="s">
        <v>2502</v>
      </c>
      <c r="B3942" s="21" t="s">
        <v>970</v>
      </c>
      <c r="C3942" s="21" t="s">
        <v>1200</v>
      </c>
      <c r="D3942" s="21" t="s">
        <v>972</v>
      </c>
      <c r="E3942" s="22">
        <f>IF(D3942="?OLD","!!!","")</f>
        <v/>
      </c>
      <c r="F3942" s="23" t="str">
        <f>IF(OR(E3942="",E3942="!!!"),"",IF(NOT(ISNA(VLOOKUP(E3942,E$1:E3941,1,FALSE()))),"OLD",IF(AND(E3942&lt;&gt;"",E3942&lt;&gt;"!!!"),"NEW","")))</f>
        <v> </v>
      </c>
      <c r="G3942" s="24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5" t="str">
        <f>IF(J3942&lt;&gt;1,"",IF(I3942="SBJ","CB","?"))</f>
        <v> </v>
      </c>
      <c r="I3942" s="26" t="str">
        <f>IF(OR(E3942="",E3942="!!!",F3942="NEW"),"",INDEX(B3941:B$2,-1+SUMPRODUCT(MAX(ROW(E3941:E$2)*(E3942=E3941:E$2)))))</f>
        <v> </v>
      </c>
      <c r="J3942" s="26" t="str">
        <f>IF(OR(E3942="",E3942="!!!",F3942="NEW"),"",COUNTBLANK(OFFSET(A$1,,,SUMPRODUCT(MAX(ROW(E$2:E3942)*(E3942=E$2:E3942)))))-COUNTBLANK(OFFSET(A$1,,,SUMPRODUCT(MAX(ROW(E$1:E3941)*(E2=E$1:E3941))))))</f>
        <v> </v>
      </c>
      <c r="K3942" s="26" t="str">
        <f>IF(OR(E3942="",E3942="!!!",F3942="NEW"),"",INDEX(J$1:J3941,SUMPRODUCT(MAX(ROW(E$1:E3941)*(E3942=E$1:E3941)))))</f>
        <v> </v>
      </c>
      <c r="L3942" s="27"/>
    </row>
    <row r="3943" spans="1:12">
      <c r="A3943" s="20" t="s">
        <v>1269</v>
      </c>
      <c r="E3943" s="22">
        <f>IF(D3943="?OLD","!!!","")</f>
        <v/>
      </c>
      <c r="F3943" s="23" t="str">
        <f>IF(OR(E3943="",E3943="!!!"),"",IF(NOT(ISNA(VLOOKUP(E3943,E$1:E3942,1,FALSE()))),"OLD",IF(AND(E3943&lt;&gt;"",E3943&lt;&gt;"!!!"),"NEW","")))</f>
        <v> </v>
      </c>
      <c r="G3943" s="24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5" t="str">
        <f>IF(J3943&lt;&gt;1,"",IF(I3943="SBJ","CB","?"))</f>
        <v> </v>
      </c>
      <c r="I3943" s="26" t="str">
        <f>IF(OR(E3943="",E3943="!!!",F3943="NEW"),"",INDEX(B3942:B$2,-1+SUMPRODUCT(MAX(ROW(E3942:E$2)*(E3943=E3942:E$2)))))</f>
        <v> </v>
      </c>
      <c r="J3943" s="26" t="str">
        <f>IF(OR(E3943="",E3943="!!!",F3943="NEW"),"",COUNTBLANK(OFFSET(A$1,,,SUMPRODUCT(MAX(ROW(E$2:E3943)*(E3943=E$2:E3943)))))-COUNTBLANK(OFFSET(A$1,,,SUMPRODUCT(MAX(ROW(E$1:E3942)*(E2=E$1:E3942))))))</f>
        <v> </v>
      </c>
      <c r="K3943" s="26" t="str">
        <f>IF(OR(E3943="",E3943="!!!",F3943="NEW"),"",INDEX(J$1:J3942,SUMPRODUCT(MAX(ROW(E$1:E3942)*(E3943=E$1:E3942)))))</f>
        <v> </v>
      </c>
      <c r="L3943" s="27"/>
    </row>
    <row r="3944" spans="1:12">
      <c r="A3944" s="20" t="s">
        <v>2503</v>
      </c>
      <c r="B3944" s="21" t="s">
        <v>978</v>
      </c>
      <c r="C3944" s="21" t="s">
        <v>976</v>
      </c>
      <c r="D3944" s="21" t="s">
        <v>972</v>
      </c>
      <c r="E3944" s="22">
        <f>IF(D3944="?OLD","!!!","")</f>
        <v/>
      </c>
      <c r="F3944" s="23" t="str">
        <f>IF(OR(E3944="",E3944="!!!"),"",IF(NOT(ISNA(VLOOKUP(E3944,E$1:E3943,1,FALSE()))),"OLD",IF(AND(E3944&lt;&gt;"",E3944&lt;&gt;"!!!"),"NEW","")))</f>
        <v> </v>
      </c>
      <c r="G3944" s="24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5" t="str">
        <f>IF(J3944&lt;&gt;1,"",IF(I3944="SBJ","CB","?"))</f>
        <v> </v>
      </c>
      <c r="I3944" s="26" t="str">
        <f>IF(OR(E3944="",E3944="!!!",F3944="NEW"),"",INDEX(B3943:B$2,-1+SUMPRODUCT(MAX(ROW(E3943:E$2)*(E3944=E3943:E$2)))))</f>
        <v> </v>
      </c>
      <c r="J3944" s="26" t="str">
        <f>IF(OR(E3944="",E3944="!!!",F3944="NEW"),"",COUNTBLANK(OFFSET(A$1,,,SUMPRODUCT(MAX(ROW(E$2:E3944)*(E3944=E$2:E3944)))))-COUNTBLANK(OFFSET(A$1,,,SUMPRODUCT(MAX(ROW(E$1:E3943)*(E2=E$1:E3943))))))</f>
        <v> </v>
      </c>
      <c r="K3944" s="26" t="str">
        <f>IF(OR(E3944="",E3944="!!!",F3944="NEW"),"",INDEX(J$1:J3943,SUMPRODUCT(MAX(ROW(E$1:E3943)*(E3944=E$1:E3943)))))</f>
        <v> </v>
      </c>
      <c r="L3944" s="27"/>
    </row>
    <row r="3945" spans="1:12">
      <c r="A3945" s="20" t="s">
        <v>2497</v>
      </c>
      <c r="E3945" s="22">
        <f>IF(D3945="?OLD","!!!","")</f>
        <v/>
      </c>
      <c r="F3945" s="23" t="str">
        <f>IF(OR(E3945="",E3945="!!!"),"",IF(NOT(ISNA(VLOOKUP(E3945,E$1:E3944,1,FALSE()))),"OLD",IF(AND(E3945&lt;&gt;"",E3945&lt;&gt;"!!!"),"NEW","")))</f>
        <v> </v>
      </c>
      <c r="G3945" s="24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5" t="str">
        <f>IF(J3945&lt;&gt;1,"",IF(I3945="SBJ","CB","?"))</f>
        <v> </v>
      </c>
      <c r="I3945" s="26" t="str">
        <f>IF(OR(E3945="",E3945="!!!",F3945="NEW"),"",INDEX(B3944:B$2,-1+SUMPRODUCT(MAX(ROW(E3944:E$2)*(E3945=E3944:E$2)))))</f>
        <v> </v>
      </c>
      <c r="J3945" s="26" t="str">
        <f>IF(OR(E3945="",E3945="!!!",F3945="NEW"),"",COUNTBLANK(OFFSET(A$1,,,SUMPRODUCT(MAX(ROW(E$2:E3945)*(E3945=E$2:E3945)))))-COUNTBLANK(OFFSET(A$1,,,SUMPRODUCT(MAX(ROW(E$1:E3944)*(E2=E$1:E3944))))))</f>
        <v> </v>
      </c>
      <c r="K3945" s="26" t="str">
        <f>IF(OR(E3945="",E3945="!!!",F3945="NEW"),"",INDEX(J$1:J3944,SUMPRODUCT(MAX(ROW(E$1:E3944)*(E3945=E$1:E3944)))))</f>
        <v> </v>
      </c>
      <c r="L3945" s="27"/>
    </row>
    <row r="3946" spans="1:12">
      <c r="A3946" s="20" t="s">
        <v>2498</v>
      </c>
      <c r="B3946" s="21" t="s">
        <v>1011</v>
      </c>
      <c r="C3946" s="21" t="s">
        <v>976</v>
      </c>
      <c r="D3946" s="21" t="s">
        <v>972</v>
      </c>
      <c r="E3946" s="22">
        <f>IF(D3946="?OLD","!!!","")</f>
        <v/>
      </c>
      <c r="F3946" s="23" t="str">
        <f>IF(OR(E3946="",E3946="!!!"),"",IF(NOT(ISNA(VLOOKUP(E3946,E$1:E3945,1,FALSE()))),"OLD",IF(AND(E3946&lt;&gt;"",E3946&lt;&gt;"!!!"),"NEW","")))</f>
        <v> </v>
      </c>
      <c r="G3946" s="24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5" t="str">
        <f>IF(J3946&lt;&gt;1,"",IF(I3946="SBJ","CB","?"))</f>
        <v> </v>
      </c>
      <c r="I3946" s="26" t="str">
        <f>IF(OR(E3946="",E3946="!!!",F3946="NEW"),"",INDEX(B3945:B$2,-1+SUMPRODUCT(MAX(ROW(E3945:E$2)*(E3946=E3945:E$2)))))</f>
        <v> </v>
      </c>
      <c r="J3946" s="26" t="str">
        <f>IF(OR(E3946="",E3946="!!!",F3946="NEW"),"",COUNTBLANK(OFFSET(A$1,,,SUMPRODUCT(MAX(ROW(E$2:E3946)*(E3946=E$2:E3946)))))-COUNTBLANK(OFFSET(A$1,,,SUMPRODUCT(MAX(ROW(E$1:E3945)*(E2=E$1:E3945))))))</f>
        <v> </v>
      </c>
      <c r="K3946" s="26" t="str">
        <f>IF(OR(E3946="",E3946="!!!",F3946="NEW"),"",INDEX(J$1:J3945,SUMPRODUCT(MAX(ROW(E$1:E3945)*(E3946=E$1:E3945)))))</f>
        <v> </v>
      </c>
      <c r="L3946" s="27"/>
    </row>
    <row r="3947" spans="1:12">
      <c r="A3947" s="20" t="s">
        <v>1013</v>
      </c>
      <c r="E3947" s="22">
        <f>IF(D3947="?OLD","!!!","")</f>
        <v/>
      </c>
      <c r="F3947" s="23" t="str">
        <f>IF(OR(E3947="",E3947="!!!"),"",IF(NOT(ISNA(VLOOKUP(E3947,E$1:E3946,1,FALSE()))),"OLD",IF(AND(E3947&lt;&gt;"",E3947&lt;&gt;"!!!"),"NEW","")))</f>
        <v> </v>
      </c>
      <c r="G3947" s="24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5" t="str">
        <f>IF(J3947&lt;&gt;1,"",IF(I3947="SBJ","CB","?"))</f>
        <v> </v>
      </c>
      <c r="I3947" s="26" t="str">
        <f>IF(OR(E3947="",E3947="!!!",F3947="NEW"),"",INDEX(B3946:B$2,-1+SUMPRODUCT(MAX(ROW(E3946:E$2)*(E3947=E3946:E$2)))))</f>
        <v> </v>
      </c>
      <c r="J3947" s="26" t="str">
        <f>IF(OR(E3947="",E3947="!!!",F3947="NEW"),"",COUNTBLANK(OFFSET(A$1,,,SUMPRODUCT(MAX(ROW(E$2:E3947)*(E3947=E$2:E3947)))))-COUNTBLANK(OFFSET(A$1,,,SUMPRODUCT(MAX(ROW(E$1:E3946)*(E2=E$1:E3946))))))</f>
        <v> </v>
      </c>
      <c r="K3947" s="26" t="str">
        <f>IF(OR(E3947="",E3947="!!!",F3947="NEW"),"",INDEX(J$1:J3946,SUMPRODUCT(MAX(ROW(E$1:E3946)*(E3947=E$1:E3946)))))</f>
        <v> </v>
      </c>
      <c r="L3947" s="27"/>
    </row>
    <row r="3948" spans="1:12">
      <c r="A3948" s="20" t="s">
        <v>1014</v>
      </c>
      <c r="E3948" s="22">
        <f>IF(D3948="?OLD","!!!","")</f>
        <v/>
      </c>
      <c r="F3948" s="23" t="str">
        <f>IF(OR(E3948="",E3948="!!!"),"",IF(NOT(ISNA(VLOOKUP(E3948,E$1:E3947,1,FALSE()))),"OLD",IF(AND(E3948&lt;&gt;"",E3948&lt;&gt;"!!!"),"NEW","")))</f>
        <v> </v>
      </c>
      <c r="G3948" s="24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5" t="str">
        <f>IF(J3948&lt;&gt;1,"",IF(I3948="SBJ","CB","?"))</f>
        <v> </v>
      </c>
      <c r="I3948" s="26" t="str">
        <f>IF(OR(E3948="",E3948="!!!",F3948="NEW"),"",INDEX(B3947:B$2,-1+SUMPRODUCT(MAX(ROW(E3947:E$2)*(E3948=E3947:E$2)))))</f>
        <v> </v>
      </c>
      <c r="J3948" s="26" t="str">
        <f>IF(OR(E3948="",E3948="!!!",F3948="NEW"),"",COUNTBLANK(OFFSET(A$1,,,SUMPRODUCT(MAX(ROW(E$2:E3948)*(E3948=E$2:E3948)))))-COUNTBLANK(OFFSET(A$1,,,SUMPRODUCT(MAX(ROW(E$1:E3947)*(E2=E$1:E3947))))))</f>
        <v> </v>
      </c>
      <c r="K3948" s="26" t="str">
        <f>IF(OR(E3948="",E3948="!!!",F3948="NEW"),"",INDEX(J$1:J3947,SUMPRODUCT(MAX(ROW(E$1:E3947)*(E3948=E$1:E3947)))))</f>
        <v> </v>
      </c>
      <c r="L3948" s="27"/>
    </row>
    <row r="3949" spans="1:12">
      <c r="A3949" s="20" t="s">
        <v>2504</v>
      </c>
      <c r="E3949" s="22">
        <f>IF(D3949="?OLD","!!!","")</f>
        <v/>
      </c>
      <c r="F3949" s="23" t="str">
        <f>IF(OR(E3949="",E3949="!!!"),"",IF(NOT(ISNA(VLOOKUP(E3949,E$1:E3948,1,FALSE()))),"OLD",IF(AND(E3949&lt;&gt;"",E3949&lt;&gt;"!!!"),"NEW","")))</f>
        <v> </v>
      </c>
      <c r="G3949" s="24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5" t="str">
        <f>IF(J3949&lt;&gt;1,"",IF(I3949="SBJ","CB","?"))</f>
        <v> </v>
      </c>
      <c r="I3949" s="26" t="str">
        <f>IF(OR(E3949="",E3949="!!!",F3949="NEW"),"",INDEX(B3948:B$2,-1+SUMPRODUCT(MAX(ROW(E3948:E$2)*(E3949=E3948:E$2)))))</f>
        <v> </v>
      </c>
      <c r="J3949" s="26" t="str">
        <f>IF(OR(E3949="",E3949="!!!",F3949="NEW"),"",COUNTBLANK(OFFSET(A$1,,,SUMPRODUCT(MAX(ROW(E$2:E3949)*(E3949=E$2:E3949)))))-COUNTBLANK(OFFSET(A$1,,,SUMPRODUCT(MAX(ROW(E$1:E3948)*(E2=E$1:E3948))))))</f>
        <v> </v>
      </c>
      <c r="K3949" s="26" t="str">
        <f>IF(OR(E3949="",E3949="!!!",F3949="NEW"),"",INDEX(J$1:J3948,SUMPRODUCT(MAX(ROW(E$1:E3948)*(E3949=E$1:E3948)))))</f>
        <v> </v>
      </c>
      <c r="L3949" s="27"/>
    </row>
    <row r="3950" spans="1:12">
      <c r="A3950" s="20" t="s">
        <v>2505</v>
      </c>
      <c r="B3950" s="21" t="s">
        <v>995</v>
      </c>
      <c r="C3950" s="21" t="s">
        <v>976</v>
      </c>
      <c r="D3950" s="21" t="s">
        <v>972</v>
      </c>
      <c r="E3950" s="22">
        <f>IF(D3950="?OLD","!!!","")</f>
        <v/>
      </c>
      <c r="F3950" s="23" t="str">
        <f>IF(OR(E3950="",E3950="!!!"),"",IF(NOT(ISNA(VLOOKUP(E3950,E$1:E3949,1,FALSE()))),"OLD",IF(AND(E3950&lt;&gt;"",E3950&lt;&gt;"!!!"),"NEW","")))</f>
        <v> </v>
      </c>
      <c r="G3950" s="24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5" t="str">
        <f>IF(J3950&lt;&gt;1,"",IF(I3950="SBJ","CB","?"))</f>
        <v> </v>
      </c>
      <c r="I3950" s="26" t="str">
        <f>IF(OR(E3950="",E3950="!!!",F3950="NEW"),"",INDEX(B3949:B$2,-1+SUMPRODUCT(MAX(ROW(E3949:E$2)*(E3950=E3949:E$2)))))</f>
        <v> </v>
      </c>
      <c r="J3950" s="26" t="str">
        <f>IF(OR(E3950="",E3950="!!!",F3950="NEW"),"",COUNTBLANK(OFFSET(A$1,,,SUMPRODUCT(MAX(ROW(E$2:E3950)*(E3950=E$2:E3950)))))-COUNTBLANK(OFFSET(A$1,,,SUMPRODUCT(MAX(ROW(E$1:E3949)*(E2=E$1:E3949))))))</f>
        <v> </v>
      </c>
      <c r="K3950" s="26" t="str">
        <f>IF(OR(E3950="",E3950="!!!",F3950="NEW"),"",INDEX(J$1:J3949,SUMPRODUCT(MAX(ROW(E$1:E3949)*(E3950=E$1:E3949)))))</f>
        <v> </v>
      </c>
      <c r="L3950" s="27"/>
    </row>
    <row r="3951" spans="1:12">
      <c r="A3951" s="20" t="s">
        <v>2506</v>
      </c>
      <c r="E3951" s="22">
        <f>IF(D3951="?OLD","!!!","")</f>
        <v/>
      </c>
      <c r="F3951" s="23" t="str">
        <f>IF(OR(E3951="",E3951="!!!"),"",IF(NOT(ISNA(VLOOKUP(E3951,E$1:E3950,1,FALSE()))),"OLD",IF(AND(E3951&lt;&gt;"",E3951&lt;&gt;"!!!"),"NEW","")))</f>
        <v> </v>
      </c>
      <c r="G3951" s="24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5" t="str">
        <f>IF(J3951&lt;&gt;1,"",IF(I3951="SBJ","CB","?"))</f>
        <v> </v>
      </c>
      <c r="I3951" s="26" t="str">
        <f>IF(OR(E3951="",E3951="!!!",F3951="NEW"),"",INDEX(B3950:B$2,-1+SUMPRODUCT(MAX(ROW(E3950:E$2)*(E3951=E3950:E$2)))))</f>
        <v> </v>
      </c>
      <c r="J3951" s="26" t="str">
        <f>IF(OR(E3951="",E3951="!!!",F3951="NEW"),"",COUNTBLANK(OFFSET(A$1,,,SUMPRODUCT(MAX(ROW(E$2:E3951)*(E3951=E$2:E3951)))))-COUNTBLANK(OFFSET(A$1,,,SUMPRODUCT(MAX(ROW(E$1:E3950)*(E2=E$1:E3950))))))</f>
        <v> </v>
      </c>
      <c r="K3951" s="26" t="str">
        <f>IF(OR(E3951="",E3951="!!!",F3951="NEW"),"",INDEX(J$1:J3950,SUMPRODUCT(MAX(ROW(E$1:E3950)*(E3951=E$1:E3950)))))</f>
        <v> </v>
      </c>
      <c r="L3951" s="27"/>
    </row>
    <row r="3952" spans="1:12">
      <c r="A3952" s="20" t="s">
        <v>2507</v>
      </c>
      <c r="E3952" s="22">
        <f>IF(D3952="?OLD","!!!","")</f>
        <v/>
      </c>
      <c r="F3952" s="23" t="str">
        <f>IF(OR(E3952="",E3952="!!!"),"",IF(NOT(ISNA(VLOOKUP(E3952,E$1:E3951,1,FALSE()))),"OLD",IF(AND(E3952&lt;&gt;"",E3952&lt;&gt;"!!!"),"NEW","")))</f>
        <v> </v>
      </c>
      <c r="G3952" s="24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5" t="str">
        <f>IF(J3952&lt;&gt;1,"",IF(I3952="SBJ","CB","?"))</f>
        <v> </v>
      </c>
      <c r="I3952" s="26" t="str">
        <f>IF(OR(E3952="",E3952="!!!",F3952="NEW"),"",INDEX(B3951:B$2,-1+SUMPRODUCT(MAX(ROW(E3951:E$2)*(E3952=E3951:E$2)))))</f>
        <v> </v>
      </c>
      <c r="J3952" s="26" t="str">
        <f>IF(OR(E3952="",E3952="!!!",F3952="NEW"),"",COUNTBLANK(OFFSET(A$1,,,SUMPRODUCT(MAX(ROW(E$2:E3952)*(E3952=E$2:E3952)))))-COUNTBLANK(OFFSET(A$1,,,SUMPRODUCT(MAX(ROW(E$1:E3951)*(E2=E$1:E3951))))))</f>
        <v> </v>
      </c>
      <c r="K3952" s="26" t="str">
        <f>IF(OR(E3952="",E3952="!!!",F3952="NEW"),"",INDEX(J$1:J3951,SUMPRODUCT(MAX(ROW(E$1:E3951)*(E3952=E$1:E3951)))))</f>
        <v> </v>
      </c>
      <c r="L3952" s="27"/>
    </row>
    <row r="3953" spans="1:12">
      <c r="A3953" s="20" t="s">
        <v>1678</v>
      </c>
      <c r="B3953" s="21" t="s">
        <v>1011</v>
      </c>
      <c r="C3953" s="21" t="s">
        <v>991</v>
      </c>
      <c r="E3953" s="22">
        <f>IF(D3953="?OLD","!!!","")</f>
        <v/>
      </c>
      <c r="F3953" s="23" t="str">
        <f>IF(OR(E3953="",E3953="!!!"),"",IF(NOT(ISNA(VLOOKUP(E3953,E$1:E3952,1,FALSE()))),"OLD",IF(AND(E3953&lt;&gt;"",E3953&lt;&gt;"!!!"),"NEW","")))</f>
        <v> </v>
      </c>
      <c r="G3953" s="24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5" t="str">
        <f>IF(J3953&lt;&gt;1,"",IF(I3953="SBJ","CB","?"))</f>
        <v> </v>
      </c>
      <c r="I3953" s="26" t="str">
        <f>IF(OR(E3953="",E3953="!!!",F3953="NEW"),"",INDEX(B3952:B$2,-1+SUMPRODUCT(MAX(ROW(E3952:E$2)*(E3953=E3952:E$2)))))</f>
        <v> </v>
      </c>
      <c r="J3953" s="26" t="str">
        <f>IF(OR(E3953="",E3953="!!!",F3953="NEW"),"",COUNTBLANK(OFFSET(A$1,,,SUMPRODUCT(MAX(ROW(E$2:E3953)*(E3953=E$2:E3953)))))-COUNTBLANK(OFFSET(A$1,,,SUMPRODUCT(MAX(ROW(E$1:E3952)*(E2=E$1:E3952))))))</f>
        <v> </v>
      </c>
      <c r="K3953" s="26" t="str">
        <f>IF(OR(E3953="",E3953="!!!",F3953="NEW"),"",INDEX(J$1:J3952,SUMPRODUCT(MAX(ROW(E$1:E3952)*(E3953=E$1:E3952)))))</f>
        <v> </v>
      </c>
      <c r="L3953" s="27"/>
    </row>
    <row r="3954" spans="1:12">
      <c r="A3954" s="20" t="s">
        <v>979</v>
      </c>
      <c r="E3954" s="22">
        <f>IF(D3954="?OLD","!!!","")</f>
        <v/>
      </c>
      <c r="F3954" s="23" t="str">
        <f>IF(OR(E3954="",E3954="!!!"),"",IF(NOT(ISNA(VLOOKUP(E3954,E$1:E3953,1,FALSE()))),"OLD",IF(AND(E3954&lt;&gt;"",E3954&lt;&gt;"!!!"),"NEW","")))</f>
        <v> </v>
      </c>
      <c r="G3954" s="24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5" t="str">
        <f>IF(J3954&lt;&gt;1,"",IF(I3954="SBJ","CB","?"))</f>
        <v> </v>
      </c>
      <c r="I3954" s="26" t="str">
        <f>IF(OR(E3954="",E3954="!!!",F3954="NEW"),"",INDEX(B3953:B$2,-1+SUMPRODUCT(MAX(ROW(E3953:E$2)*(E3954=E3953:E$2)))))</f>
        <v> </v>
      </c>
      <c r="J3954" s="26" t="str">
        <f>IF(OR(E3954="",E3954="!!!",F3954="NEW"),"",COUNTBLANK(OFFSET(A$1,,,SUMPRODUCT(MAX(ROW(E$2:E3954)*(E3954=E$2:E3954)))))-COUNTBLANK(OFFSET(A$1,,,SUMPRODUCT(MAX(ROW(E$1:E3953)*(E2=E$1:E3953))))))</f>
        <v> </v>
      </c>
      <c r="K3954" s="26" t="str">
        <f>IF(OR(E3954="",E3954="!!!",F3954="NEW"),"",INDEX(J$1:J3953,SUMPRODUCT(MAX(ROW(E$1:E3953)*(E3954=E$1:E3953)))))</f>
        <v> </v>
      </c>
      <c r="L3954" s="27"/>
    </row>
    <row r="3955" spans="1:12">
      <c r="A3955" s="20"/>
    </row>
    <row r="3956" spans="1:12">
      <c r="A3956" s="20" t="s">
        <v>2508</v>
      </c>
    </row>
    <row r="3957" spans="1:12">
      <c r="A3957" s="20" t="s">
        <v>2509</v>
      </c>
      <c r="E3957" s="22">
        <f>IF(D3957="?OLD","!!!","")</f>
        <v/>
      </c>
      <c r="F3957" s="23" t="str">
        <f>IF(OR(E3957="",E3957="!!!"),"",IF(NOT(ISNA(VLOOKUP(E3957,E$1:E3956,1,FALSE()))),"OLD",IF(AND(E3957&lt;&gt;"",E3957&lt;&gt;"!!!"),"NEW","")))</f>
        <v> </v>
      </c>
      <c r="G3957" s="24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5" t="str">
        <f>IF(J3957&lt;&gt;1,"",IF(I3957="SBJ","CB","?"))</f>
        <v> </v>
      </c>
      <c r="I3957" s="26" t="str">
        <f>IF(OR(E3957="",E3957="!!!",F3957="NEW"),"",INDEX(B3956:B$2,-1+SUMPRODUCT(MAX(ROW(E3956:E$2)*(E3957=E3956:E$2)))))</f>
        <v> </v>
      </c>
      <c r="J3957" s="26" t="str">
        <f>IF(OR(E3957="",E3957="!!!",F3957="NEW"),"",COUNTBLANK(OFFSET(A$1,,,SUMPRODUCT(MAX(ROW(E$2:E3957)*(E3957=E$2:E3957)))))-COUNTBLANK(OFFSET(A$1,,,SUMPRODUCT(MAX(ROW(E$1:E3956)*(E2=E$1:E3956))))))</f>
        <v> </v>
      </c>
      <c r="K3957" s="26" t="str">
        <f>IF(OR(E3957="",E3957="!!!",F3957="NEW"),"",INDEX(J$1:J3956,SUMPRODUCT(MAX(ROW(E$1:E3956)*(E3957=E$1:E3956)))))</f>
        <v> </v>
      </c>
      <c r="L3957" s="27"/>
    </row>
    <row r="3958" spans="1:12">
      <c r="A3958" s="20" t="s">
        <v>1334</v>
      </c>
      <c r="E3958" s="22">
        <f>IF(D3958="?OLD","!!!","")</f>
        <v/>
      </c>
      <c r="F3958" s="23" t="str">
        <f>IF(OR(E3958="",E3958="!!!"),"",IF(NOT(ISNA(VLOOKUP(E3958,E$1:E3957,1,FALSE()))),"OLD",IF(AND(E3958&lt;&gt;"",E3958&lt;&gt;"!!!"),"NEW","")))</f>
        <v> </v>
      </c>
      <c r="G3958" s="24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5" t="str">
        <f>IF(J3958&lt;&gt;1,"",IF(I3958="SBJ","CB","?"))</f>
        <v> </v>
      </c>
      <c r="I3958" s="26" t="str">
        <f>IF(OR(E3958="",E3958="!!!",F3958="NEW"),"",INDEX(B3957:B$2,-1+SUMPRODUCT(MAX(ROW(E3957:E$2)*(E3958=E3957:E$2)))))</f>
        <v> </v>
      </c>
      <c r="J3958" s="26" t="str">
        <f>IF(OR(E3958="",E3958="!!!",F3958="NEW"),"",COUNTBLANK(OFFSET(A$1,,,SUMPRODUCT(MAX(ROW(E$2:E3958)*(E3958=E$2:E3958)))))-COUNTBLANK(OFFSET(A$1,,,SUMPRODUCT(MAX(ROW(E$1:E3957)*(E2=E$1:E3957))))))</f>
        <v> </v>
      </c>
      <c r="K3958" s="26" t="str">
        <f>IF(OR(E3958="",E3958="!!!",F3958="NEW"),"",INDEX(J$1:J3957,SUMPRODUCT(MAX(ROW(E$1:E3957)*(E3958=E$1:E3957)))))</f>
        <v> </v>
      </c>
      <c r="L3958" s="27"/>
    </row>
    <row r="3959" spans="1:12">
      <c r="A3959" s="20" t="s">
        <v>2510</v>
      </c>
      <c r="E3959" s="22">
        <f>IF(D3959="?OLD","!!!","")</f>
        <v/>
      </c>
      <c r="F3959" s="23" t="str">
        <f>IF(OR(E3959="",E3959="!!!"),"",IF(NOT(ISNA(VLOOKUP(E3959,E$1:E3958,1,FALSE()))),"OLD",IF(AND(E3959&lt;&gt;"",E3959&lt;&gt;"!!!"),"NEW","")))</f>
        <v> </v>
      </c>
      <c r="G3959" s="24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5" t="str">
        <f>IF(J3959&lt;&gt;1,"",IF(I3959="SBJ","CB","?"))</f>
        <v> </v>
      </c>
      <c r="I3959" s="26" t="str">
        <f>IF(OR(E3959="",E3959="!!!",F3959="NEW"),"",INDEX(B3958:B$2,-1+SUMPRODUCT(MAX(ROW(E3958:E$2)*(E3959=E3958:E$2)))))</f>
        <v> </v>
      </c>
      <c r="J3959" s="26" t="str">
        <f>IF(OR(E3959="",E3959="!!!",F3959="NEW"),"",COUNTBLANK(OFFSET(A$1,,,SUMPRODUCT(MAX(ROW(E$2:E3959)*(E3959=E$2:E3959)))))-COUNTBLANK(OFFSET(A$1,,,SUMPRODUCT(MAX(ROW(E$1:E3958)*(E2=E$1:E3958))))))</f>
        <v> </v>
      </c>
      <c r="K3959" s="26" t="str">
        <f>IF(OR(E3959="",E3959="!!!",F3959="NEW"),"",INDEX(J$1:J3958,SUMPRODUCT(MAX(ROW(E$1:E3958)*(E3959=E$1:E3958)))))</f>
        <v> </v>
      </c>
      <c r="L3959" s="27"/>
    </row>
    <row r="3960" spans="1:12">
      <c r="A3960" s="20" t="s">
        <v>2511</v>
      </c>
      <c r="E3960" s="22">
        <f>IF(D3960="?OLD","!!!","")</f>
        <v/>
      </c>
      <c r="F3960" s="23" t="str">
        <f>IF(OR(E3960="",E3960="!!!"),"",IF(NOT(ISNA(VLOOKUP(E3960,E$1:E3959,1,FALSE()))),"OLD",IF(AND(E3960&lt;&gt;"",E3960&lt;&gt;"!!!"),"NEW","")))</f>
        <v> </v>
      </c>
      <c r="G3960" s="24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5" t="str">
        <f>IF(J3960&lt;&gt;1,"",IF(I3960="SBJ","CB","?"))</f>
        <v> </v>
      </c>
      <c r="I3960" s="26" t="str">
        <f>IF(OR(E3960="",E3960="!!!",F3960="NEW"),"",INDEX(B3959:B$2,-1+SUMPRODUCT(MAX(ROW(E3959:E$2)*(E3960=E3959:E$2)))))</f>
        <v> </v>
      </c>
      <c r="J3960" s="26" t="str">
        <f>IF(OR(E3960="",E3960="!!!",F3960="NEW"),"",COUNTBLANK(OFFSET(A$1,,,SUMPRODUCT(MAX(ROW(E$2:E3960)*(E3960=E$2:E3960)))))-COUNTBLANK(OFFSET(A$1,,,SUMPRODUCT(MAX(ROW(E$1:E3959)*(E2=E$1:E3959))))))</f>
        <v> </v>
      </c>
      <c r="K3960" s="26" t="str">
        <f>IF(OR(E3960="",E3960="!!!",F3960="NEW"),"",INDEX(J$1:J3959,SUMPRODUCT(MAX(ROW(E$1:E3959)*(E3960=E$1:E3959)))))</f>
        <v> </v>
      </c>
      <c r="L3960" s="27"/>
    </row>
    <row r="3961" spans="1:12">
      <c r="A3961" s="20" t="s">
        <v>2512</v>
      </c>
      <c r="E3961" s="22">
        <f>IF(D3961="?OLD","!!!","")</f>
        <v/>
      </c>
      <c r="F3961" s="23" t="str">
        <f>IF(OR(E3961="",E3961="!!!"),"",IF(NOT(ISNA(VLOOKUP(E3961,E$1:E3960,1,FALSE()))),"OLD",IF(AND(E3961&lt;&gt;"",E3961&lt;&gt;"!!!"),"NEW","")))</f>
        <v> </v>
      </c>
      <c r="G3961" s="24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5" t="str">
        <f>IF(J3961&lt;&gt;1,"",IF(I3961="SBJ","CB","?"))</f>
        <v> </v>
      </c>
      <c r="I3961" s="26" t="str">
        <f>IF(OR(E3961="",E3961="!!!",F3961="NEW"),"",INDEX(B3960:B$2,-1+SUMPRODUCT(MAX(ROW(E3960:E$2)*(E3961=E3960:E$2)))))</f>
        <v> </v>
      </c>
      <c r="J3961" s="26" t="str">
        <f>IF(OR(E3961="",E3961="!!!",F3961="NEW"),"",COUNTBLANK(OFFSET(A$1,,,SUMPRODUCT(MAX(ROW(E$2:E3961)*(E3961=E$2:E3961)))))-COUNTBLANK(OFFSET(A$1,,,SUMPRODUCT(MAX(ROW(E$1:E3960)*(E2=E$1:E3960))))))</f>
        <v> </v>
      </c>
      <c r="K3961" s="26" t="str">
        <f>IF(OR(E3961="",E3961="!!!",F3961="NEW"),"",INDEX(J$1:J3960,SUMPRODUCT(MAX(ROW(E$1:E3960)*(E3961=E$1:E3960)))))</f>
        <v> </v>
      </c>
      <c r="L3961" s="27"/>
    </row>
    <row r="3962" spans="1:12">
      <c r="A3962" s="20" t="s">
        <v>1013</v>
      </c>
      <c r="E3962" s="22">
        <f>IF(D3962="?OLD","!!!","")</f>
        <v/>
      </c>
      <c r="F3962" s="23" t="str">
        <f>IF(OR(E3962="",E3962="!!!"),"",IF(NOT(ISNA(VLOOKUP(E3962,E$1:E3961,1,FALSE()))),"OLD",IF(AND(E3962&lt;&gt;"",E3962&lt;&gt;"!!!"),"NEW","")))</f>
        <v> </v>
      </c>
      <c r="G3962" s="24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5" t="str">
        <f>IF(J3962&lt;&gt;1,"",IF(I3962="SBJ","CB","?"))</f>
        <v> </v>
      </c>
      <c r="I3962" s="26" t="str">
        <f>IF(OR(E3962="",E3962="!!!",F3962="NEW"),"",INDEX(B3961:B$2,-1+SUMPRODUCT(MAX(ROW(E3961:E$2)*(E3962=E3961:E$2)))))</f>
        <v> </v>
      </c>
      <c r="J3962" s="26" t="str">
        <f>IF(OR(E3962="",E3962="!!!",F3962="NEW"),"",COUNTBLANK(OFFSET(A$1,,,SUMPRODUCT(MAX(ROW(E$2:E3962)*(E3962=E$2:E3962)))))-COUNTBLANK(OFFSET(A$1,,,SUMPRODUCT(MAX(ROW(E$1:E3961)*(E2=E$1:E3961))))))</f>
        <v> </v>
      </c>
      <c r="K3962" s="26" t="str">
        <f>IF(OR(E3962="",E3962="!!!",F3962="NEW"),"",INDEX(J$1:J3961,SUMPRODUCT(MAX(ROW(E$1:E3961)*(E3962=E$1:E3961)))))</f>
        <v> </v>
      </c>
      <c r="L3962" s="27"/>
    </row>
    <row r="3963" spans="1:12">
      <c r="A3963" s="20" t="s">
        <v>400</v>
      </c>
      <c r="B3963" s="21" t="s">
        <v>975</v>
      </c>
      <c r="C3963" s="21" t="s">
        <v>971</v>
      </c>
      <c r="D3963" s="21" t="s">
        <v>972</v>
      </c>
      <c r="E3963" s="22">
        <f>IF(D3963="?OLD","!!!","")</f>
        <v/>
      </c>
      <c r="F3963" s="23" t="str">
        <f>IF(OR(E3963="",E3963="!!!"),"",IF(NOT(ISNA(VLOOKUP(E3963,E$1:E3962,1,FALSE()))),"OLD",IF(AND(E3963&lt;&gt;"",E3963&lt;&gt;"!!!"),"NEW","")))</f>
        <v> </v>
      </c>
      <c r="G3963" s="24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5" t="str">
        <f>IF(J3963&lt;&gt;1,"",IF(I3963="SBJ","CB","?"))</f>
        <v> </v>
      </c>
      <c r="I3963" s="26" t="str">
        <f>IF(OR(E3963="",E3963="!!!",F3963="NEW"),"",INDEX(B3962:B$2,-1+SUMPRODUCT(MAX(ROW(E3962:E$2)*(E3963=E3962:E$2)))))</f>
        <v> </v>
      </c>
      <c r="J3963" s="26" t="str">
        <f>IF(OR(E3963="",E3963="!!!",F3963="NEW"),"",COUNTBLANK(OFFSET(A$1,,,SUMPRODUCT(MAX(ROW(E$2:E3963)*(E3963=E$2:E3963)))))-COUNTBLANK(OFFSET(A$1,,,SUMPRODUCT(MAX(ROW(E$1:E3962)*(E2=E$1:E3962))))))</f>
        <v> </v>
      </c>
      <c r="K3963" s="26" t="str">
        <f>IF(OR(E3963="",E3963="!!!",F3963="NEW"),"",INDEX(J$1:J3962,SUMPRODUCT(MAX(ROW(E$1:E3962)*(E3963=E$1:E3962)))))</f>
        <v> </v>
      </c>
      <c r="L3963" s="27"/>
    </row>
    <row r="3964" spans="1:12">
      <c r="A3964" s="20" t="s">
        <v>2513</v>
      </c>
      <c r="E3964" s="22">
        <f>IF(D3964="?OLD","!!!","")</f>
        <v/>
      </c>
      <c r="F3964" s="23" t="str">
        <f>IF(OR(E3964="",E3964="!!!"),"",IF(NOT(ISNA(VLOOKUP(E3964,E$1:E3963,1,FALSE()))),"OLD",IF(AND(E3964&lt;&gt;"",E3964&lt;&gt;"!!!"),"NEW","")))</f>
        <v> </v>
      </c>
      <c r="G3964" s="24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5" t="str">
        <f>IF(J3964&lt;&gt;1,"",IF(I3964="SBJ","CB","?"))</f>
        <v> </v>
      </c>
      <c r="I3964" s="26" t="str">
        <f>IF(OR(E3964="",E3964="!!!",F3964="NEW"),"",INDEX(B3963:B$2,-1+SUMPRODUCT(MAX(ROW(E3963:E$2)*(E3964=E3963:E$2)))))</f>
        <v> </v>
      </c>
      <c r="J3964" s="26" t="str">
        <f>IF(OR(E3964="",E3964="!!!",F3964="NEW"),"",COUNTBLANK(OFFSET(A$1,,,SUMPRODUCT(MAX(ROW(E$2:E3964)*(E3964=E$2:E3964)))))-COUNTBLANK(OFFSET(A$1,,,SUMPRODUCT(MAX(ROW(E$1:E3963)*(E2=E$1:E3963))))))</f>
        <v> </v>
      </c>
      <c r="K3964" s="26" t="str">
        <f>IF(OR(E3964="",E3964="!!!",F3964="NEW"),"",INDEX(J$1:J3963,SUMPRODUCT(MAX(ROW(E$1:E3963)*(E3964=E$1:E3963)))))</f>
        <v> </v>
      </c>
      <c r="L3964" s="27"/>
    </row>
    <row r="3965" spans="1:12">
      <c r="A3965" s="20" t="s">
        <v>1447</v>
      </c>
      <c r="B3965" s="21" t="s">
        <v>970</v>
      </c>
      <c r="C3965" s="21" t="s">
        <v>971</v>
      </c>
      <c r="D3965" s="21" t="s">
        <v>972</v>
      </c>
      <c r="E3965" s="22">
        <f>IF(D3965="?OLD","!!!","")</f>
        <v/>
      </c>
      <c r="F3965" s="23" t="str">
        <f>IF(OR(E3965="",E3965="!!!"),"",IF(NOT(ISNA(VLOOKUP(E3965,E$1:E3964,1,FALSE()))),"OLD",IF(AND(E3965&lt;&gt;"",E3965&lt;&gt;"!!!"),"NEW","")))</f>
        <v> </v>
      </c>
      <c r="G3965" s="24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5" t="str">
        <f>IF(J3965&lt;&gt;1,"",IF(I3965="SBJ","CB","?"))</f>
        <v> </v>
      </c>
      <c r="I3965" s="26" t="str">
        <f>IF(OR(E3965="",E3965="!!!",F3965="NEW"),"",INDEX(B3964:B$2,-1+SUMPRODUCT(MAX(ROW(E3964:E$2)*(E3965=E3964:E$2)))))</f>
        <v> </v>
      </c>
      <c r="J3965" s="26" t="str">
        <f>IF(OR(E3965="",E3965="!!!",F3965="NEW"),"",COUNTBLANK(OFFSET(A$1,,,SUMPRODUCT(MAX(ROW(E$2:E3965)*(E3965=E$2:E3965)))))-COUNTBLANK(OFFSET(A$1,,,SUMPRODUCT(MAX(ROW(E$1:E3964)*(E2=E$1:E3964))))))</f>
        <v> </v>
      </c>
      <c r="K3965" s="26" t="str">
        <f>IF(OR(E3965="",E3965="!!!",F3965="NEW"),"",INDEX(J$1:J3964,SUMPRODUCT(MAX(ROW(E$1:E3964)*(E3965=E$1:E3964)))))</f>
        <v> </v>
      </c>
      <c r="L3965" s="27"/>
    </row>
    <row r="3966" spans="1:12">
      <c r="A3966" s="20" t="s">
        <v>2514</v>
      </c>
      <c r="E3966" s="22">
        <f>IF(D3966="?OLD","!!!","")</f>
        <v/>
      </c>
      <c r="F3966" s="23" t="str">
        <f>IF(OR(E3966="",E3966="!!!"),"",IF(NOT(ISNA(VLOOKUP(E3966,E$1:E3965,1,FALSE()))),"OLD",IF(AND(E3966&lt;&gt;"",E3966&lt;&gt;"!!!"),"NEW","")))</f>
        <v> </v>
      </c>
      <c r="G3966" s="24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5" t="str">
        <f>IF(J3966&lt;&gt;1,"",IF(I3966="SBJ","CB","?"))</f>
        <v> </v>
      </c>
      <c r="I3966" s="26" t="str">
        <f>IF(OR(E3966="",E3966="!!!",F3966="NEW"),"",INDEX(B3965:B$2,-1+SUMPRODUCT(MAX(ROW(E3965:E$2)*(E3966=E3965:E$2)))))</f>
        <v> </v>
      </c>
      <c r="J3966" s="26" t="str">
        <f>IF(OR(E3966="",E3966="!!!",F3966="NEW"),"",COUNTBLANK(OFFSET(A$1,,,SUMPRODUCT(MAX(ROW(E$2:E3966)*(E3966=E$2:E3966)))))-COUNTBLANK(OFFSET(A$1,,,SUMPRODUCT(MAX(ROW(E$1:E3965)*(E2=E$1:E3965))))))</f>
        <v> </v>
      </c>
      <c r="K3966" s="26" t="str">
        <f>IF(OR(E3966="",E3966="!!!",F3966="NEW"),"",INDEX(J$1:J3965,SUMPRODUCT(MAX(ROW(E$1:E3965)*(E3966=E$1:E3965)))))</f>
        <v> </v>
      </c>
      <c r="L3966" s="27"/>
    </row>
    <row r="3967" spans="1:12">
      <c r="A3967" s="20" t="s">
        <v>1902</v>
      </c>
      <c r="E3967" s="22">
        <f>IF(D3967="?OLD","!!!","")</f>
        <v/>
      </c>
      <c r="F3967" s="23" t="str">
        <f>IF(OR(E3967="",E3967="!!!"),"",IF(NOT(ISNA(VLOOKUP(E3967,E$1:E3966,1,FALSE()))),"OLD",IF(AND(E3967&lt;&gt;"",E3967&lt;&gt;"!!!"),"NEW","")))</f>
        <v> </v>
      </c>
      <c r="G3967" s="24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5" t="str">
        <f>IF(J3967&lt;&gt;1,"",IF(I3967="SBJ","CB","?"))</f>
        <v> </v>
      </c>
      <c r="I3967" s="26" t="str">
        <f>IF(OR(E3967="",E3967="!!!",F3967="NEW"),"",INDEX(B3966:B$2,-1+SUMPRODUCT(MAX(ROW(E3966:E$2)*(E3967=E3966:E$2)))))</f>
        <v> </v>
      </c>
      <c r="J3967" s="26" t="str">
        <f>IF(OR(E3967="",E3967="!!!",F3967="NEW"),"",COUNTBLANK(OFFSET(A$1,,,SUMPRODUCT(MAX(ROW(E$2:E3967)*(E3967=E$2:E3967)))))-COUNTBLANK(OFFSET(A$1,,,SUMPRODUCT(MAX(ROW(E$1:E3966)*(E2=E$1:E3966))))))</f>
        <v> </v>
      </c>
      <c r="K3967" s="26" t="str">
        <f>IF(OR(E3967="",E3967="!!!",F3967="NEW"),"",INDEX(J$1:J3966,SUMPRODUCT(MAX(ROW(E$1:E3966)*(E3967=E$1:E3966)))))</f>
        <v> </v>
      </c>
      <c r="L3967" s="27"/>
    </row>
    <row r="3968" spans="1:12">
      <c r="A3968" s="20" t="s">
        <v>2515</v>
      </c>
      <c r="E3968" s="22">
        <f>IF(D3968="?OLD","!!!","")</f>
        <v/>
      </c>
      <c r="F3968" s="23" t="str">
        <f>IF(OR(E3968="",E3968="!!!"),"",IF(NOT(ISNA(VLOOKUP(E3968,E$1:E3967,1,FALSE()))),"OLD",IF(AND(E3968&lt;&gt;"",E3968&lt;&gt;"!!!"),"NEW","")))</f>
        <v> </v>
      </c>
      <c r="G3968" s="24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5" t="str">
        <f>IF(J3968&lt;&gt;1,"",IF(I3968="SBJ","CB","?"))</f>
        <v> </v>
      </c>
      <c r="I3968" s="26" t="str">
        <f>IF(OR(E3968="",E3968="!!!",F3968="NEW"),"",INDEX(B3967:B$2,-1+SUMPRODUCT(MAX(ROW(E3967:E$2)*(E3968=E3967:E$2)))))</f>
        <v> </v>
      </c>
      <c r="J3968" s="26" t="str">
        <f>IF(OR(E3968="",E3968="!!!",F3968="NEW"),"",COUNTBLANK(OFFSET(A$1,,,SUMPRODUCT(MAX(ROW(E$2:E3968)*(E3968=E$2:E3968)))))-COUNTBLANK(OFFSET(A$1,,,SUMPRODUCT(MAX(ROW(E$1:E3967)*(E2=E$1:E3967))))))</f>
        <v> </v>
      </c>
      <c r="K3968" s="26" t="str">
        <f>IF(OR(E3968="",E3968="!!!",F3968="NEW"),"",INDEX(J$1:J3967,SUMPRODUCT(MAX(ROW(E$1:E3967)*(E3968=E$1:E3967)))))</f>
        <v> </v>
      </c>
      <c r="L3968" s="27"/>
    </row>
    <row r="3969" spans="1:12">
      <c r="A3969" s="20" t="s">
        <v>2516</v>
      </c>
      <c r="B3969" s="21" t="s">
        <v>1087</v>
      </c>
      <c r="E3969" s="22">
        <f>IF(D3969="?OLD","!!!","")</f>
        <v/>
      </c>
      <c r="F3969" s="23" t="str">
        <f>IF(OR(E3969="",E3969="!!!"),"",IF(NOT(ISNA(VLOOKUP(E3969,E$1:E3968,1,FALSE()))),"OLD",IF(AND(E3969&lt;&gt;"",E3969&lt;&gt;"!!!"),"NEW","")))</f>
        <v> </v>
      </c>
      <c r="G3969" s="24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5" t="str">
        <f>IF(J3969&lt;&gt;1,"",IF(I3969="SBJ","CB","?"))</f>
        <v> </v>
      </c>
      <c r="I3969" s="26" t="str">
        <f>IF(OR(E3969="",E3969="!!!",F3969="NEW"),"",INDEX(B3968:B$2,-1+SUMPRODUCT(MAX(ROW(E3968:E$2)*(E3969=E3968:E$2)))))</f>
        <v> </v>
      </c>
      <c r="J3969" s="26" t="str">
        <f>IF(OR(E3969="",E3969="!!!",F3969="NEW"),"",COUNTBLANK(OFFSET(A$1,,,SUMPRODUCT(MAX(ROW(E$2:E3969)*(E3969=E$2:E3969)))))-COUNTBLANK(OFFSET(A$1,,,SUMPRODUCT(MAX(ROW(E$1:E3968)*(E2=E$1:E3968))))))</f>
        <v> </v>
      </c>
      <c r="K3969" s="26" t="str">
        <f>IF(OR(E3969="",E3969="!!!",F3969="NEW"),"",INDEX(J$1:J3968,SUMPRODUCT(MAX(ROW(E$1:E3968)*(E3969=E$1:E3968)))))</f>
        <v> </v>
      </c>
      <c r="L3969" s="27"/>
    </row>
    <row r="3970" spans="1:12">
      <c r="A3970" s="20" t="s">
        <v>1013</v>
      </c>
      <c r="E3970" s="22">
        <f>IF(D3970="?OLD","!!!","")</f>
        <v/>
      </c>
      <c r="F3970" s="23" t="str">
        <f>IF(OR(E3970="",E3970="!!!"),"",IF(NOT(ISNA(VLOOKUP(E3970,E$1:E3969,1,FALSE()))),"OLD",IF(AND(E3970&lt;&gt;"",E3970&lt;&gt;"!!!"),"NEW","")))</f>
        <v> </v>
      </c>
      <c r="G3970" s="24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5" t="str">
        <f>IF(J3970&lt;&gt;1,"",IF(I3970="SBJ","CB","?"))</f>
        <v> </v>
      </c>
      <c r="I3970" s="26" t="str">
        <f>IF(OR(E3970="",E3970="!!!",F3970="NEW"),"",INDEX(B3969:B$2,-1+SUMPRODUCT(MAX(ROW(E3969:E$2)*(E3970=E3969:E$2)))))</f>
        <v> </v>
      </c>
      <c r="J3970" s="26" t="str">
        <f>IF(OR(E3970="",E3970="!!!",F3970="NEW"),"",COUNTBLANK(OFFSET(A$1,,,SUMPRODUCT(MAX(ROW(E$2:E3970)*(E3970=E$2:E3970)))))-COUNTBLANK(OFFSET(A$1,,,SUMPRODUCT(MAX(ROW(E$1:E3969)*(E2=E$1:E3969))))))</f>
        <v> </v>
      </c>
      <c r="K3970" s="26" t="str">
        <f>IF(OR(E3970="",E3970="!!!",F3970="NEW"),"",INDEX(J$1:J3969,SUMPRODUCT(MAX(ROW(E$1:E3969)*(E3970=E$1:E3969)))))</f>
        <v> </v>
      </c>
      <c r="L3970" s="27"/>
    </row>
    <row r="3971" spans="1:12">
      <c r="A3971" s="20" t="s">
        <v>1348</v>
      </c>
      <c r="B3971" s="21" t="s">
        <v>1101</v>
      </c>
      <c r="C3971" s="21" t="s">
        <v>971</v>
      </c>
      <c r="D3971" s="21" t="s">
        <v>972</v>
      </c>
      <c r="E3971" s="22">
        <f>IF(D3971="?OLD","!!!","")</f>
        <v/>
      </c>
      <c r="F3971" s="23" t="str">
        <f>IF(OR(E3971="",E3971="!!!"),"",IF(NOT(ISNA(VLOOKUP(E3971,E$1:E3970,1,FALSE()))),"OLD",IF(AND(E3971&lt;&gt;"",E3971&lt;&gt;"!!!"),"NEW","")))</f>
        <v> </v>
      </c>
      <c r="G3971" s="24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5" t="str">
        <f>IF(J3971&lt;&gt;1,"",IF(I3971="SBJ","CB","?"))</f>
        <v> </v>
      </c>
      <c r="I3971" s="26" t="str">
        <f>IF(OR(E3971="",E3971="!!!",F3971="NEW"),"",INDEX(B3970:B$2,-1+SUMPRODUCT(MAX(ROW(E3970:E$2)*(E3971=E3970:E$2)))))</f>
        <v> </v>
      </c>
      <c r="J3971" s="26" t="str">
        <f>IF(OR(E3971="",E3971="!!!",F3971="NEW"),"",COUNTBLANK(OFFSET(A$1,,,SUMPRODUCT(MAX(ROW(E$2:E3971)*(E3971=E$2:E3971)))))-COUNTBLANK(OFFSET(A$1,,,SUMPRODUCT(MAX(ROW(E$1:E3970)*(E2=E$1:E3970))))))</f>
        <v> </v>
      </c>
      <c r="K3971" s="26" t="str">
        <f>IF(OR(E3971="",E3971="!!!",F3971="NEW"),"",INDEX(J$1:J3970,SUMPRODUCT(MAX(ROW(E$1:E3970)*(E3971=E$1:E3970)))))</f>
        <v> </v>
      </c>
      <c r="L3971" s="27"/>
    </row>
    <row r="3972" spans="1:12">
      <c r="A3972" s="20" t="s">
        <v>2517</v>
      </c>
      <c r="E3972" s="22">
        <f>IF(D3972="?OLD","!!!","")</f>
        <v/>
      </c>
      <c r="F3972" s="23" t="str">
        <f>IF(OR(E3972="",E3972="!!!"),"",IF(NOT(ISNA(VLOOKUP(E3972,E$1:E3971,1,FALSE()))),"OLD",IF(AND(E3972&lt;&gt;"",E3972&lt;&gt;"!!!"),"NEW","")))</f>
        <v> </v>
      </c>
      <c r="G3972" s="24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5" t="str">
        <f>IF(J3972&lt;&gt;1,"",IF(I3972="SBJ","CB","?"))</f>
        <v> </v>
      </c>
      <c r="I3972" s="26" t="str">
        <f>IF(OR(E3972="",E3972="!!!",F3972="NEW"),"",INDEX(B3971:B$2,-1+SUMPRODUCT(MAX(ROW(E3971:E$2)*(E3972=E3971:E$2)))))</f>
        <v> </v>
      </c>
      <c r="J3972" s="26" t="str">
        <f>IF(OR(E3972="",E3972="!!!",F3972="NEW"),"",COUNTBLANK(OFFSET(A$1,,,SUMPRODUCT(MAX(ROW(E$2:E3972)*(E3972=E$2:E3972)))))-COUNTBLANK(OFFSET(A$1,,,SUMPRODUCT(MAX(ROW(E$1:E3971)*(E2=E$1:E3971))))))</f>
        <v> </v>
      </c>
      <c r="K3972" s="26" t="str">
        <f>IF(OR(E3972="",E3972="!!!",F3972="NEW"),"",INDEX(J$1:J3971,SUMPRODUCT(MAX(ROW(E$1:E3971)*(E3972=E$1:E3971)))))</f>
        <v> </v>
      </c>
      <c r="L3972" s="27"/>
    </row>
    <row r="3973" spans="1:12">
      <c r="A3973" s="20" t="s">
        <v>2518</v>
      </c>
      <c r="B3973" s="21" t="s">
        <v>1087</v>
      </c>
      <c r="E3973" s="22">
        <f>IF(D3973="?OLD","!!!","")</f>
        <v/>
      </c>
      <c r="F3973" s="23" t="str">
        <f>IF(OR(E3973="",E3973="!!!"),"",IF(NOT(ISNA(VLOOKUP(E3973,E$1:E3972,1,FALSE()))),"OLD",IF(AND(E3973&lt;&gt;"",E3973&lt;&gt;"!!!"),"NEW","")))</f>
        <v> </v>
      </c>
      <c r="G3973" s="24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5" t="str">
        <f>IF(J3973&lt;&gt;1,"",IF(I3973="SBJ","CB","?"))</f>
        <v> </v>
      </c>
      <c r="I3973" s="26" t="str">
        <f>IF(OR(E3973="",E3973="!!!",F3973="NEW"),"",INDEX(B3972:B$2,-1+SUMPRODUCT(MAX(ROW(E3972:E$2)*(E3973=E3972:E$2)))))</f>
        <v> </v>
      </c>
      <c r="J3973" s="26" t="str">
        <f>IF(OR(E3973="",E3973="!!!",F3973="NEW"),"",COUNTBLANK(OFFSET(A$1,,,SUMPRODUCT(MAX(ROW(E$2:E3973)*(E3973=E$2:E3973)))))-COUNTBLANK(OFFSET(A$1,,,SUMPRODUCT(MAX(ROW(E$1:E3972)*(E2=E$1:E3972))))))</f>
        <v> </v>
      </c>
      <c r="K3973" s="26" t="str">
        <f>IF(OR(E3973="",E3973="!!!",F3973="NEW"),"",INDEX(J$1:J3972,SUMPRODUCT(MAX(ROW(E$1:E3972)*(E3973=E$1:E3972)))))</f>
        <v> </v>
      </c>
      <c r="L3973" s="27"/>
    </row>
    <row r="3974" spans="1:12">
      <c r="A3974" s="20" t="s">
        <v>979</v>
      </c>
      <c r="E3974" s="22">
        <f>IF(D3974="?OLD","!!!","")</f>
        <v/>
      </c>
      <c r="F3974" s="23" t="str">
        <f>IF(OR(E3974="",E3974="!!!"),"",IF(NOT(ISNA(VLOOKUP(E3974,E$1:E3973,1,FALSE()))),"OLD",IF(AND(E3974&lt;&gt;"",E3974&lt;&gt;"!!!"),"NEW","")))</f>
        <v> </v>
      </c>
      <c r="G3974" s="24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5" t="str">
        <f>IF(J3974&lt;&gt;1,"",IF(I3974="SBJ","CB","?"))</f>
        <v> </v>
      </c>
      <c r="I3974" s="26" t="str">
        <f>IF(OR(E3974="",E3974="!!!",F3974="NEW"),"",INDEX(B3973:B$2,-1+SUMPRODUCT(MAX(ROW(E3973:E$2)*(E3974=E3973:E$2)))))</f>
        <v> </v>
      </c>
      <c r="J3974" s="26" t="str">
        <f>IF(OR(E3974="",E3974="!!!",F3974="NEW"),"",COUNTBLANK(OFFSET(A$1,,,SUMPRODUCT(MAX(ROW(E$2:E3974)*(E3974=E$2:E3974)))))-COUNTBLANK(OFFSET(A$1,,,SUMPRODUCT(MAX(ROW(E$1:E3973)*(E2=E$1:E3973))))))</f>
        <v> </v>
      </c>
      <c r="K3974" s="26" t="str">
        <f>IF(OR(E3974="",E3974="!!!",F3974="NEW"),"",INDEX(J$1:J3973,SUMPRODUCT(MAX(ROW(E$1:E3973)*(E3974=E$1:E3973)))))</f>
        <v> </v>
      </c>
      <c r="L3974" s="27"/>
    </row>
    <row r="3975" spans="1:12">
      <c r="A3975" s="20"/>
    </row>
    <row r="3976" spans="1:12">
      <c r="A3976" s="20" t="s">
        <v>2519</v>
      </c>
    </row>
    <row r="3977" spans="1:12">
      <c r="A3977" s="20" t="s">
        <v>1348</v>
      </c>
      <c r="B3977" s="21" t="s">
        <v>975</v>
      </c>
      <c r="C3977" s="21" t="s">
        <v>971</v>
      </c>
      <c r="D3977" s="21" t="s">
        <v>972</v>
      </c>
      <c r="E3977" s="22">
        <f>IF(D3977="?OLD","!!!","")</f>
        <v/>
      </c>
      <c r="F3977" s="23" t="str">
        <f>IF(OR(E3977="",E3977="!!!"),"",IF(NOT(ISNA(VLOOKUP(E3977,E$1:E3976,1,FALSE()))),"OLD",IF(AND(E3977&lt;&gt;"",E3977&lt;&gt;"!!!"),"NEW","")))</f>
        <v> </v>
      </c>
      <c r="G3977" s="24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5" t="str">
        <f>IF(J3977&lt;&gt;1,"",IF(I3977="SBJ","CB","?"))</f>
        <v> </v>
      </c>
      <c r="I3977" s="26" t="str">
        <f>IF(OR(E3977="",E3977="!!!",F3977="NEW"),"",INDEX(B3976:B$2,-1+SUMPRODUCT(MAX(ROW(E3976:E$2)*(E3977=E3976:E$2)))))</f>
        <v> </v>
      </c>
      <c r="J3977" s="26" t="str">
        <f>IF(OR(E3977="",E3977="!!!",F3977="NEW"),"",COUNTBLANK(OFFSET(A$1,,,SUMPRODUCT(MAX(ROW(E$2:E3977)*(E3977=E$2:E3977)))))-COUNTBLANK(OFFSET(A$1,,,SUMPRODUCT(MAX(ROW(E$1:E3976)*(E2=E$1:E3976))))))</f>
        <v> </v>
      </c>
      <c r="K3977" s="26" t="str">
        <f>IF(OR(E3977="",E3977="!!!",F3977="NEW"),"",INDEX(J$1:J3976,SUMPRODUCT(MAX(ROW(E$1:E3976)*(E3977=E$1:E3976)))))</f>
        <v> </v>
      </c>
      <c r="L3977" s="27"/>
    </row>
    <row r="3978" spans="1:12">
      <c r="A3978" s="20" t="s">
        <v>2520</v>
      </c>
      <c r="E3978" s="22">
        <f>IF(D3978="?OLD","!!!","")</f>
        <v/>
      </c>
      <c r="F3978" s="23" t="str">
        <f>IF(OR(E3978="",E3978="!!!"),"",IF(NOT(ISNA(VLOOKUP(E3978,E$1:E3977,1,FALSE()))),"OLD",IF(AND(E3978&lt;&gt;"",E3978&lt;&gt;"!!!"),"NEW","")))</f>
        <v> </v>
      </c>
      <c r="G3978" s="24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5" t="str">
        <f>IF(J3978&lt;&gt;1,"",IF(I3978="SBJ","CB","?"))</f>
        <v> </v>
      </c>
      <c r="I3978" s="26" t="str">
        <f>IF(OR(E3978="",E3978="!!!",F3978="NEW"),"",INDEX(B3977:B$2,-1+SUMPRODUCT(MAX(ROW(E3977:E$2)*(E3978=E3977:E$2)))))</f>
        <v> </v>
      </c>
      <c r="J3978" s="26" t="str">
        <f>IF(OR(E3978="",E3978="!!!",F3978="NEW"),"",COUNTBLANK(OFFSET(A$1,,,SUMPRODUCT(MAX(ROW(E$2:E3978)*(E3978=E$2:E3978)))))-COUNTBLANK(OFFSET(A$1,,,SUMPRODUCT(MAX(ROW(E$1:E3977)*(E2=E$1:E3977))))))</f>
        <v> </v>
      </c>
      <c r="K3978" s="26" t="str">
        <f>IF(OR(E3978="",E3978="!!!",F3978="NEW"),"",INDEX(J$1:J3977,SUMPRODUCT(MAX(ROW(E$1:E3977)*(E3978=E$1:E3977)))))</f>
        <v> </v>
      </c>
      <c r="L3978" s="27"/>
    </row>
    <row r="3979" spans="1:12">
      <c r="A3979" s="20" t="s">
        <v>2521</v>
      </c>
      <c r="E3979" s="22">
        <f>IF(D3979="?OLD","!!!","")</f>
        <v/>
      </c>
      <c r="F3979" s="23" t="str">
        <f>IF(OR(E3979="",E3979="!!!"),"",IF(NOT(ISNA(VLOOKUP(E3979,E$1:E3978,1,FALSE()))),"OLD",IF(AND(E3979&lt;&gt;"",E3979&lt;&gt;"!!!"),"NEW","")))</f>
        <v> </v>
      </c>
      <c r="G3979" s="24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5" t="str">
        <f>IF(J3979&lt;&gt;1,"",IF(I3979="SBJ","CB","?"))</f>
        <v> </v>
      </c>
      <c r="I3979" s="26" t="str">
        <f>IF(OR(E3979="",E3979="!!!",F3979="NEW"),"",INDEX(B3978:B$2,-1+SUMPRODUCT(MAX(ROW(E3978:E$2)*(E3979=E3978:E$2)))))</f>
        <v> </v>
      </c>
      <c r="J3979" s="26" t="str">
        <f>IF(OR(E3979="",E3979="!!!",F3979="NEW"),"",COUNTBLANK(OFFSET(A$1,,,SUMPRODUCT(MAX(ROW(E$2:E3979)*(E3979=E$2:E3979)))))-COUNTBLANK(OFFSET(A$1,,,SUMPRODUCT(MAX(ROW(E$1:E3978)*(E2=E$1:E3978))))))</f>
        <v> </v>
      </c>
      <c r="K3979" s="26" t="str">
        <f>IF(OR(E3979="",E3979="!!!",F3979="NEW"),"",INDEX(J$1:J3978,SUMPRODUCT(MAX(ROW(E$1:E3978)*(E3979=E$1:E3978)))))</f>
        <v> </v>
      </c>
      <c r="L3979" s="27"/>
    </row>
    <row r="3980" spans="1:12">
      <c r="A3980" s="20" t="s">
        <v>2522</v>
      </c>
      <c r="B3980" s="21" t="s">
        <v>970</v>
      </c>
      <c r="E3980" s="22">
        <f>IF(D3980="?OLD","!!!","")</f>
        <v/>
      </c>
      <c r="F3980" s="23" t="str">
        <f>IF(OR(E3980="",E3980="!!!"),"",IF(NOT(ISNA(VLOOKUP(E3980,E$1:E3979,1,FALSE()))),"OLD",IF(AND(E3980&lt;&gt;"",E3980&lt;&gt;"!!!"),"NEW","")))</f>
        <v> </v>
      </c>
      <c r="G3980" s="24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5" t="str">
        <f>IF(J3980&lt;&gt;1,"",IF(I3980="SBJ","CB","?"))</f>
        <v> </v>
      </c>
      <c r="I3980" s="26" t="str">
        <f>IF(OR(E3980="",E3980="!!!",F3980="NEW"),"",INDEX(B3979:B$2,-1+SUMPRODUCT(MAX(ROW(E3979:E$2)*(E3980=E3979:E$2)))))</f>
        <v> </v>
      </c>
      <c r="J3980" s="26" t="str">
        <f>IF(OR(E3980="",E3980="!!!",F3980="NEW"),"",COUNTBLANK(OFFSET(A$1,,,SUMPRODUCT(MAX(ROW(E$2:E3980)*(E3980=E$2:E3980)))))-COUNTBLANK(OFFSET(A$1,,,SUMPRODUCT(MAX(ROW(E$1:E3979)*(E2=E$1:E3979))))))</f>
        <v> </v>
      </c>
      <c r="K3980" s="26" t="str">
        <f>IF(OR(E3980="",E3980="!!!",F3980="NEW"),"",INDEX(J$1:J3979,SUMPRODUCT(MAX(ROW(E$1:E3979)*(E3980=E$1:E3979)))))</f>
        <v> </v>
      </c>
      <c r="L3980" s="27"/>
    </row>
    <row r="3981" spans="1:12">
      <c r="A3981" s="20" t="s">
        <v>1005</v>
      </c>
      <c r="E3981" s="22">
        <f>IF(D3981="?OLD","!!!","")</f>
        <v/>
      </c>
      <c r="F3981" s="23" t="str">
        <f>IF(OR(E3981="",E3981="!!!"),"",IF(NOT(ISNA(VLOOKUP(E3981,E$1:E3980,1,FALSE()))),"OLD",IF(AND(E3981&lt;&gt;"",E3981&lt;&gt;"!!!"),"NEW","")))</f>
        <v> </v>
      </c>
      <c r="G3981" s="24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5" t="str">
        <f>IF(J3981&lt;&gt;1,"",IF(I3981="SBJ","CB","?"))</f>
        <v> </v>
      </c>
      <c r="I3981" s="26" t="str">
        <f>IF(OR(E3981="",E3981="!!!",F3981="NEW"),"",INDEX(B3980:B$2,-1+SUMPRODUCT(MAX(ROW(E3980:E$2)*(E3981=E3980:E$2)))))</f>
        <v> </v>
      </c>
      <c r="J3981" s="26" t="str">
        <f>IF(OR(E3981="",E3981="!!!",F3981="NEW"),"",COUNTBLANK(OFFSET(A$1,,,SUMPRODUCT(MAX(ROW(E$2:E3981)*(E3981=E$2:E3981)))))-COUNTBLANK(OFFSET(A$1,,,SUMPRODUCT(MAX(ROW(E$1:E3980)*(E2=E$1:E3980))))))</f>
        <v> </v>
      </c>
      <c r="K3981" s="26" t="str">
        <f>IF(OR(E3981="",E3981="!!!",F3981="NEW"),"",INDEX(J$1:J3980,SUMPRODUCT(MAX(ROW(E$1:E3980)*(E3981=E$1:E3980)))))</f>
        <v> </v>
      </c>
      <c r="L3981" s="27"/>
    </row>
    <row r="3982" spans="1:12">
      <c r="A3982" s="20" t="s">
        <v>2523</v>
      </c>
      <c r="E3982" s="22">
        <f>IF(D3982="?OLD","!!!","")</f>
        <v/>
      </c>
      <c r="F3982" s="23" t="str">
        <f>IF(OR(E3982="",E3982="!!!"),"",IF(NOT(ISNA(VLOOKUP(E3982,E$1:E3981,1,FALSE()))),"OLD",IF(AND(E3982&lt;&gt;"",E3982&lt;&gt;"!!!"),"NEW","")))</f>
        <v> </v>
      </c>
      <c r="G3982" s="24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5" t="str">
        <f>IF(J3982&lt;&gt;1,"",IF(I3982="SBJ","CB","?"))</f>
        <v> </v>
      </c>
      <c r="I3982" s="26" t="str">
        <f>IF(OR(E3982="",E3982="!!!",F3982="NEW"),"",INDEX(B3981:B$2,-1+SUMPRODUCT(MAX(ROW(E3981:E$2)*(E3982=E3981:E$2)))))</f>
        <v> </v>
      </c>
      <c r="J3982" s="26" t="str">
        <f>IF(OR(E3982="",E3982="!!!",F3982="NEW"),"",COUNTBLANK(OFFSET(A$1,,,SUMPRODUCT(MAX(ROW(E$2:E3982)*(E3982=E$2:E3982)))))-COUNTBLANK(OFFSET(A$1,,,SUMPRODUCT(MAX(ROW(E$1:E3981)*(E2=E$1:E3981))))))</f>
        <v> </v>
      </c>
      <c r="K3982" s="26" t="str">
        <f>IF(OR(E3982="",E3982="!!!",F3982="NEW"),"",INDEX(J$1:J3981,SUMPRODUCT(MAX(ROW(E$1:E3981)*(E3982=E$1:E3981)))))</f>
        <v> </v>
      </c>
      <c r="L3982" s="27"/>
    </row>
    <row r="3983" spans="1:12">
      <c r="A3983" s="20" t="s">
        <v>1304</v>
      </c>
      <c r="E3983" s="22">
        <f>IF(D3983="?OLD","!!!","")</f>
        <v/>
      </c>
      <c r="F3983" s="23" t="str">
        <f>IF(OR(E3983="",E3983="!!!"),"",IF(NOT(ISNA(VLOOKUP(E3983,E$1:E3982,1,FALSE()))),"OLD",IF(AND(E3983&lt;&gt;"",E3983&lt;&gt;"!!!"),"NEW","")))</f>
        <v> </v>
      </c>
      <c r="G3983" s="24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5" t="str">
        <f>IF(J3983&lt;&gt;1,"",IF(I3983="SBJ","CB","?"))</f>
        <v> </v>
      </c>
      <c r="I3983" s="26" t="str">
        <f>IF(OR(E3983="",E3983="!!!",F3983="NEW"),"",INDEX(B3982:B$2,-1+SUMPRODUCT(MAX(ROW(E3982:E$2)*(E3983=E3982:E$2)))))</f>
        <v> </v>
      </c>
      <c r="J3983" s="26" t="str">
        <f>IF(OR(E3983="",E3983="!!!",F3983="NEW"),"",COUNTBLANK(OFFSET(A$1,,,SUMPRODUCT(MAX(ROW(E$2:E3983)*(E3983=E$2:E3983)))))-COUNTBLANK(OFFSET(A$1,,,SUMPRODUCT(MAX(ROW(E$1:E3982)*(E2=E$1:E3982))))))</f>
        <v> </v>
      </c>
      <c r="K3983" s="26" t="str">
        <f>IF(OR(E3983="",E3983="!!!",F3983="NEW"),"",INDEX(J$1:J3982,SUMPRODUCT(MAX(ROW(E$1:E3982)*(E3983=E$1:E3982)))))</f>
        <v> </v>
      </c>
      <c r="L3983" s="27"/>
    </row>
    <row r="3984" spans="1:12">
      <c r="A3984" s="20" t="s">
        <v>2524</v>
      </c>
      <c r="B3984" s="21" t="s">
        <v>1011</v>
      </c>
      <c r="C3984" s="21" t="s">
        <v>1012</v>
      </c>
      <c r="E3984" s="22">
        <f>IF(D3984="?OLD","!!!","")</f>
        <v/>
      </c>
      <c r="F3984" s="23" t="str">
        <f>IF(OR(E3984="",E3984="!!!"),"",IF(NOT(ISNA(VLOOKUP(E3984,E$1:E3983,1,FALSE()))),"OLD",IF(AND(E3984&lt;&gt;"",E3984&lt;&gt;"!!!"),"NEW","")))</f>
        <v> </v>
      </c>
      <c r="G3984" s="24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5" t="str">
        <f>IF(J3984&lt;&gt;1,"",IF(I3984="SBJ","CB","?"))</f>
        <v> </v>
      </c>
      <c r="I3984" s="26" t="str">
        <f>IF(OR(E3984="",E3984="!!!",F3984="NEW"),"",INDEX(B3983:B$2,-1+SUMPRODUCT(MAX(ROW(E3983:E$2)*(E3984=E3983:E$2)))))</f>
        <v> </v>
      </c>
      <c r="J3984" s="26" t="str">
        <f>IF(OR(E3984="",E3984="!!!",F3984="NEW"),"",COUNTBLANK(OFFSET(A$1,,,SUMPRODUCT(MAX(ROW(E$2:E3984)*(E3984=E$2:E3984)))))-COUNTBLANK(OFFSET(A$1,,,SUMPRODUCT(MAX(ROW(E$1:E3983)*(E2=E$1:E3983))))))</f>
        <v> </v>
      </c>
      <c r="K3984" s="26" t="str">
        <f>IF(OR(E3984="",E3984="!!!",F3984="NEW"),"",INDEX(J$1:J3983,SUMPRODUCT(MAX(ROW(E$1:E3983)*(E3984=E$1:E3983)))))</f>
        <v> </v>
      </c>
      <c r="L3984" s="27"/>
    </row>
    <row r="3985" spans="1:12">
      <c r="A3985" s="20" t="s">
        <v>1013</v>
      </c>
      <c r="E3985" s="22">
        <f>IF(D3985="?OLD","!!!","")</f>
        <v/>
      </c>
      <c r="F3985" s="23" t="str">
        <f>IF(OR(E3985="",E3985="!!!"),"",IF(NOT(ISNA(VLOOKUP(E3985,E$1:E3984,1,FALSE()))),"OLD",IF(AND(E3985&lt;&gt;"",E3985&lt;&gt;"!!!"),"NEW","")))</f>
        <v> </v>
      </c>
      <c r="G3985" s="24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5" t="str">
        <f>IF(J3985&lt;&gt;1,"",IF(I3985="SBJ","CB","?"))</f>
        <v> </v>
      </c>
      <c r="I3985" s="26" t="str">
        <f>IF(OR(E3985="",E3985="!!!",F3985="NEW"),"",INDEX(B3984:B$2,-1+SUMPRODUCT(MAX(ROW(E3984:E$2)*(E3985=E3984:E$2)))))</f>
        <v> </v>
      </c>
      <c r="J3985" s="26" t="str">
        <f>IF(OR(E3985="",E3985="!!!",F3985="NEW"),"",COUNTBLANK(OFFSET(A$1,,,SUMPRODUCT(MAX(ROW(E$2:E3985)*(E3985=E$2:E3985)))))-COUNTBLANK(OFFSET(A$1,,,SUMPRODUCT(MAX(ROW(E$1:E3984)*(E2=E$1:E3984))))))</f>
        <v> </v>
      </c>
      <c r="K3985" s="26" t="str">
        <f>IF(OR(E3985="",E3985="!!!",F3985="NEW"),"",INDEX(J$1:J3984,SUMPRODUCT(MAX(ROW(E$1:E3984)*(E3985=E$1:E3984)))))</f>
        <v> </v>
      </c>
      <c r="L3985" s="27"/>
    </row>
    <row r="3986" spans="1:12">
      <c r="A3986" s="20" t="s">
        <v>1014</v>
      </c>
      <c r="E3986" s="22">
        <f>IF(D3986="?OLD","!!!","")</f>
        <v/>
      </c>
      <c r="F3986" s="23" t="str">
        <f>IF(OR(E3986="",E3986="!!!"),"",IF(NOT(ISNA(VLOOKUP(E3986,E$1:E3985,1,FALSE()))),"OLD",IF(AND(E3986&lt;&gt;"",E3986&lt;&gt;"!!!"),"NEW","")))</f>
        <v> </v>
      </c>
      <c r="G3986" s="24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5" t="str">
        <f>IF(J3986&lt;&gt;1,"",IF(I3986="SBJ","CB","?"))</f>
        <v> </v>
      </c>
      <c r="I3986" s="26" t="str">
        <f>IF(OR(E3986="",E3986="!!!",F3986="NEW"),"",INDEX(B3985:B$2,-1+SUMPRODUCT(MAX(ROW(E3985:E$2)*(E3986=E3985:E$2)))))</f>
        <v> </v>
      </c>
      <c r="J3986" s="26" t="str">
        <f>IF(OR(E3986="",E3986="!!!",F3986="NEW"),"",COUNTBLANK(OFFSET(A$1,,,SUMPRODUCT(MAX(ROW(E$2:E3986)*(E3986=E$2:E3986)))))-COUNTBLANK(OFFSET(A$1,,,SUMPRODUCT(MAX(ROW(E$1:E3985)*(E2=E$1:E3985))))))</f>
        <v> </v>
      </c>
      <c r="K3986" s="26" t="str">
        <f>IF(OR(E3986="",E3986="!!!",F3986="NEW"),"",INDEX(J$1:J3985,SUMPRODUCT(MAX(ROW(E$1:E3985)*(E3986=E$1:E3985)))))</f>
        <v> </v>
      </c>
      <c r="L3986" s="27"/>
    </row>
    <row r="3987" spans="1:12">
      <c r="A3987" s="20" t="s">
        <v>2525</v>
      </c>
      <c r="E3987" s="22">
        <f>IF(D3987="?OLD","!!!","")</f>
        <v/>
      </c>
      <c r="F3987" s="23" t="str">
        <f>IF(OR(E3987="",E3987="!!!"),"",IF(NOT(ISNA(VLOOKUP(E3987,E$1:E3986,1,FALSE()))),"OLD",IF(AND(E3987&lt;&gt;"",E3987&lt;&gt;"!!!"),"NEW","")))</f>
        <v> </v>
      </c>
      <c r="G3987" s="24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5" t="str">
        <f>IF(J3987&lt;&gt;1,"",IF(I3987="SBJ","CB","?"))</f>
        <v> </v>
      </c>
      <c r="I3987" s="26" t="str">
        <f>IF(OR(E3987="",E3987="!!!",F3987="NEW"),"",INDEX(B3986:B$2,-1+SUMPRODUCT(MAX(ROW(E3986:E$2)*(E3987=E3986:E$2)))))</f>
        <v> </v>
      </c>
      <c r="J3987" s="26" t="str">
        <f>IF(OR(E3987="",E3987="!!!",F3987="NEW"),"",COUNTBLANK(OFFSET(A$1,,,SUMPRODUCT(MAX(ROW(E$2:E3987)*(E3987=E$2:E3987)))))-COUNTBLANK(OFFSET(A$1,,,SUMPRODUCT(MAX(ROW(E$1:E3986)*(E2=E$1:E3986))))))</f>
        <v> </v>
      </c>
      <c r="K3987" s="26" t="str">
        <f>IF(OR(E3987="",E3987="!!!",F3987="NEW"),"",INDEX(J$1:J3986,SUMPRODUCT(MAX(ROW(E$1:E3986)*(E3987=E$1:E3986)))))</f>
        <v> </v>
      </c>
      <c r="L3987" s="27"/>
    </row>
    <row r="3988" spans="1:12">
      <c r="A3988" s="20" t="s">
        <v>2526</v>
      </c>
      <c r="E3988" s="22">
        <f>IF(D3988="?OLD","!!!","")</f>
        <v/>
      </c>
      <c r="F3988" s="23" t="str">
        <f>IF(OR(E3988="",E3988="!!!"),"",IF(NOT(ISNA(VLOOKUP(E3988,E$1:E3987,1,FALSE()))),"OLD",IF(AND(E3988&lt;&gt;"",E3988&lt;&gt;"!!!"),"NEW","")))</f>
        <v> </v>
      </c>
      <c r="G3988" s="24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5" t="str">
        <f>IF(J3988&lt;&gt;1,"",IF(I3988="SBJ","CB","?"))</f>
        <v> </v>
      </c>
      <c r="I3988" s="26" t="str">
        <f>IF(OR(E3988="",E3988="!!!",F3988="NEW"),"",INDEX(B3987:B$2,-1+SUMPRODUCT(MAX(ROW(E3987:E$2)*(E3988=E3987:E$2)))))</f>
        <v> </v>
      </c>
      <c r="J3988" s="26" t="str">
        <f>IF(OR(E3988="",E3988="!!!",F3988="NEW"),"",COUNTBLANK(OFFSET(A$1,,,SUMPRODUCT(MAX(ROW(E$2:E3988)*(E3988=E$2:E3988)))))-COUNTBLANK(OFFSET(A$1,,,SUMPRODUCT(MAX(ROW(E$1:E3987)*(E2=E$1:E3987))))))</f>
        <v> </v>
      </c>
      <c r="K3988" s="26" t="str">
        <f>IF(OR(E3988="",E3988="!!!",F3988="NEW"),"",INDEX(J$1:J3987,SUMPRODUCT(MAX(ROW(E$1:E3987)*(E3988=E$1:E3987)))))</f>
        <v> </v>
      </c>
      <c r="L3988" s="27"/>
    </row>
    <row r="3989" spans="1:12">
      <c r="A3989" s="20" t="s">
        <v>1013</v>
      </c>
      <c r="E3989" s="22">
        <f>IF(D3989="?OLD","!!!","")</f>
        <v/>
      </c>
      <c r="F3989" s="23" t="str">
        <f>IF(OR(E3989="",E3989="!!!"),"",IF(NOT(ISNA(VLOOKUP(E3989,E$1:E3988,1,FALSE()))),"OLD",IF(AND(E3989&lt;&gt;"",E3989&lt;&gt;"!!!"),"NEW","")))</f>
        <v> </v>
      </c>
      <c r="G3989" s="24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5" t="str">
        <f>IF(J3989&lt;&gt;1,"",IF(I3989="SBJ","CB","?"))</f>
        <v> </v>
      </c>
      <c r="I3989" s="26" t="str">
        <f>IF(OR(E3989="",E3989="!!!",F3989="NEW"),"",INDEX(B3988:B$2,-1+SUMPRODUCT(MAX(ROW(E3988:E$2)*(E3989=E3988:E$2)))))</f>
        <v> </v>
      </c>
      <c r="J3989" s="26" t="str">
        <f>IF(OR(E3989="",E3989="!!!",F3989="NEW"),"",COUNTBLANK(OFFSET(A$1,,,SUMPRODUCT(MAX(ROW(E$2:E3989)*(E3989=E$2:E3989)))))-COUNTBLANK(OFFSET(A$1,,,SUMPRODUCT(MAX(ROW(E$1:E3988)*(E2=E$1:E3988))))))</f>
        <v> </v>
      </c>
      <c r="K3989" s="26" t="str">
        <f>IF(OR(E3989="",E3989="!!!",F3989="NEW"),"",INDEX(J$1:J3988,SUMPRODUCT(MAX(ROW(E$1:E3988)*(E3989=E$1:E3988)))))</f>
        <v> </v>
      </c>
      <c r="L3989" s="27"/>
    </row>
    <row r="3990" spans="1:12">
      <c r="A3990" s="20" t="s">
        <v>2527</v>
      </c>
      <c r="E3990" s="22">
        <f>IF(D3990="?OLD","!!!","")</f>
        <v/>
      </c>
      <c r="F3990" s="23" t="str">
        <f>IF(OR(E3990="",E3990="!!!"),"",IF(NOT(ISNA(VLOOKUP(E3990,E$1:E3989,1,FALSE()))),"OLD",IF(AND(E3990&lt;&gt;"",E3990&lt;&gt;"!!!"),"NEW","")))</f>
        <v> </v>
      </c>
      <c r="G3990" s="24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5" t="str">
        <f>IF(J3990&lt;&gt;1,"",IF(I3990="SBJ","CB","?"))</f>
        <v> </v>
      </c>
      <c r="I3990" s="26" t="str">
        <f>IF(OR(E3990="",E3990="!!!",F3990="NEW"),"",INDEX(B3989:B$2,-1+SUMPRODUCT(MAX(ROW(E3989:E$2)*(E3990=E3989:E$2)))))</f>
        <v> </v>
      </c>
      <c r="J3990" s="26" t="str">
        <f>IF(OR(E3990="",E3990="!!!",F3990="NEW"),"",COUNTBLANK(OFFSET(A$1,,,SUMPRODUCT(MAX(ROW(E$2:E3990)*(E3990=E$2:E3990)))))-COUNTBLANK(OFFSET(A$1,,,SUMPRODUCT(MAX(ROW(E$1:E3989)*(E2=E$1:E3989))))))</f>
        <v> </v>
      </c>
      <c r="K3990" s="26" t="str">
        <f>IF(OR(E3990="",E3990="!!!",F3990="NEW"),"",INDEX(J$1:J3989,SUMPRODUCT(MAX(ROW(E$1:E3989)*(E3990=E$1:E3989)))))</f>
        <v> </v>
      </c>
      <c r="L3990" s="27"/>
    </row>
    <row r="3991" spans="1:12">
      <c r="A3991" s="20" t="s">
        <v>2528</v>
      </c>
      <c r="E3991" s="22">
        <f>IF(D3991="?OLD","!!!","")</f>
        <v/>
      </c>
      <c r="F3991" s="23" t="str">
        <f>IF(OR(E3991="",E3991="!!!"),"",IF(NOT(ISNA(VLOOKUP(E3991,E$1:E3990,1,FALSE()))),"OLD",IF(AND(E3991&lt;&gt;"",E3991&lt;&gt;"!!!"),"NEW","")))</f>
        <v> </v>
      </c>
      <c r="G3991" s="24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5" t="str">
        <f>IF(J3991&lt;&gt;1,"",IF(I3991="SBJ","CB","?"))</f>
        <v> </v>
      </c>
      <c r="I3991" s="26" t="str">
        <f>IF(OR(E3991="",E3991="!!!",F3991="NEW"),"",INDEX(B3990:B$2,-1+SUMPRODUCT(MAX(ROW(E3990:E$2)*(E3991=E3990:E$2)))))</f>
        <v> </v>
      </c>
      <c r="J3991" s="26" t="str">
        <f>IF(OR(E3991="",E3991="!!!",F3991="NEW"),"",COUNTBLANK(OFFSET(A$1,,,SUMPRODUCT(MAX(ROW(E$2:E3991)*(E3991=E$2:E3991)))))-COUNTBLANK(OFFSET(A$1,,,SUMPRODUCT(MAX(ROW(E$1:E3990)*(E2=E$1:E3990))))))</f>
        <v> </v>
      </c>
      <c r="K3991" s="26" t="str">
        <f>IF(OR(E3991="",E3991="!!!",F3991="NEW"),"",INDEX(J$1:J3990,SUMPRODUCT(MAX(ROW(E$1:E3990)*(E3991=E$1:E3990)))))</f>
        <v> </v>
      </c>
      <c r="L3991" s="27"/>
    </row>
    <row r="3992" spans="1:12">
      <c r="A3992" s="20" t="s">
        <v>1013</v>
      </c>
      <c r="E3992" s="22">
        <f>IF(D3992="?OLD","!!!","")</f>
        <v/>
      </c>
      <c r="F3992" s="23" t="str">
        <f>IF(OR(E3992="",E3992="!!!"),"",IF(NOT(ISNA(VLOOKUP(E3992,E$1:E3991,1,FALSE()))),"OLD",IF(AND(E3992&lt;&gt;"",E3992&lt;&gt;"!!!"),"NEW","")))</f>
        <v> </v>
      </c>
      <c r="G3992" s="24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5" t="str">
        <f>IF(J3992&lt;&gt;1,"",IF(I3992="SBJ","CB","?"))</f>
        <v> </v>
      </c>
      <c r="I3992" s="26" t="str">
        <f>IF(OR(E3992="",E3992="!!!",F3992="NEW"),"",INDEX(B3991:B$2,-1+SUMPRODUCT(MAX(ROW(E3991:E$2)*(E3992=E3991:E$2)))))</f>
        <v> </v>
      </c>
      <c r="J3992" s="26" t="str">
        <f>IF(OR(E3992="",E3992="!!!",F3992="NEW"),"",COUNTBLANK(OFFSET(A$1,,,SUMPRODUCT(MAX(ROW(E$2:E3992)*(E3992=E$2:E3992)))))-COUNTBLANK(OFFSET(A$1,,,SUMPRODUCT(MAX(ROW(E$1:E3991)*(E2=E$1:E3991))))))</f>
        <v> </v>
      </c>
      <c r="K3992" s="26" t="str">
        <f>IF(OR(E3992="",E3992="!!!",F3992="NEW"),"",INDEX(J$1:J3991,SUMPRODUCT(MAX(ROW(E$1:E3991)*(E3992=E$1:E3991)))))</f>
        <v> </v>
      </c>
      <c r="L3992" s="27"/>
    </row>
    <row r="3993" spans="1:12">
      <c r="A3993" s="20" t="s">
        <v>2529</v>
      </c>
      <c r="E3993" s="22">
        <f>IF(D3993="?OLD","!!!","")</f>
        <v/>
      </c>
      <c r="F3993" s="23" t="str">
        <f>IF(OR(E3993="",E3993="!!!"),"",IF(NOT(ISNA(VLOOKUP(E3993,E$1:E3992,1,FALSE()))),"OLD",IF(AND(E3993&lt;&gt;"",E3993&lt;&gt;"!!!"),"NEW","")))</f>
        <v> </v>
      </c>
      <c r="G3993" s="24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5" t="str">
        <f>IF(J3993&lt;&gt;1,"",IF(I3993="SBJ","CB","?"))</f>
        <v> </v>
      </c>
      <c r="I3993" s="26" t="str">
        <f>IF(OR(E3993="",E3993="!!!",F3993="NEW"),"",INDEX(B3992:B$2,-1+SUMPRODUCT(MAX(ROW(E3992:E$2)*(E3993=E3992:E$2)))))</f>
        <v> </v>
      </c>
      <c r="J3993" s="26" t="str">
        <f>IF(OR(E3993="",E3993="!!!",F3993="NEW"),"",COUNTBLANK(OFFSET(A$1,,,SUMPRODUCT(MAX(ROW(E$2:E3993)*(E3993=E$2:E3993)))))-COUNTBLANK(OFFSET(A$1,,,SUMPRODUCT(MAX(ROW(E$1:E3992)*(E2=E$1:E3992))))))</f>
        <v> </v>
      </c>
      <c r="K3993" s="26" t="str">
        <f>IF(OR(E3993="",E3993="!!!",F3993="NEW"),"",INDEX(J$1:J3992,SUMPRODUCT(MAX(ROW(E$1:E3992)*(E3993=E$1:E3992)))))</f>
        <v> </v>
      </c>
      <c r="L3993" s="27"/>
    </row>
    <row r="3994" spans="1:12">
      <c r="A3994" s="20" t="s">
        <v>2530</v>
      </c>
      <c r="E3994" s="22">
        <f>IF(D3994="?OLD","!!!","")</f>
        <v/>
      </c>
      <c r="F3994" s="23" t="str">
        <f>IF(OR(E3994="",E3994="!!!"),"",IF(NOT(ISNA(VLOOKUP(E3994,E$1:E3993,1,FALSE()))),"OLD",IF(AND(E3994&lt;&gt;"",E3994&lt;&gt;"!!!"),"NEW","")))</f>
        <v> </v>
      </c>
      <c r="G3994" s="24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5" t="str">
        <f>IF(J3994&lt;&gt;1,"",IF(I3994="SBJ","CB","?"))</f>
        <v> </v>
      </c>
      <c r="I3994" s="26" t="str">
        <f>IF(OR(E3994="",E3994="!!!",F3994="NEW"),"",INDEX(B3993:B$2,-1+SUMPRODUCT(MAX(ROW(E3993:E$2)*(E3994=E3993:E$2)))))</f>
        <v> </v>
      </c>
      <c r="J3994" s="26" t="str">
        <f>IF(OR(E3994="",E3994="!!!",F3994="NEW"),"",COUNTBLANK(OFFSET(A$1,,,SUMPRODUCT(MAX(ROW(E$2:E3994)*(E3994=E$2:E3994)))))-COUNTBLANK(OFFSET(A$1,,,SUMPRODUCT(MAX(ROW(E$1:E3993)*(E2=E$1:E3993))))))</f>
        <v> </v>
      </c>
      <c r="K3994" s="26" t="str">
        <f>IF(OR(E3994="",E3994="!!!",F3994="NEW"),"",INDEX(J$1:J3993,SUMPRODUCT(MAX(ROW(E$1:E3993)*(E3994=E$1:E3993)))))</f>
        <v> </v>
      </c>
      <c r="L3994" s="27"/>
    </row>
    <row r="3995" spans="1:12">
      <c r="A3995" s="20" t="s">
        <v>1013</v>
      </c>
      <c r="E3995" s="22">
        <f>IF(D3995="?OLD","!!!","")</f>
        <v/>
      </c>
      <c r="F3995" s="23" t="str">
        <f>IF(OR(E3995="",E3995="!!!"),"",IF(NOT(ISNA(VLOOKUP(E3995,E$1:E3994,1,FALSE()))),"OLD",IF(AND(E3995&lt;&gt;"",E3995&lt;&gt;"!!!"),"NEW","")))</f>
        <v> </v>
      </c>
      <c r="G3995" s="24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5" t="str">
        <f>IF(J3995&lt;&gt;1,"",IF(I3995="SBJ","CB","?"))</f>
        <v> </v>
      </c>
      <c r="I3995" s="26" t="str">
        <f>IF(OR(E3995="",E3995="!!!",F3995="NEW"),"",INDEX(B3994:B$2,-1+SUMPRODUCT(MAX(ROW(E3994:E$2)*(E3995=E3994:E$2)))))</f>
        <v> </v>
      </c>
      <c r="J3995" s="26" t="str">
        <f>IF(OR(E3995="",E3995="!!!",F3995="NEW"),"",COUNTBLANK(OFFSET(A$1,,,SUMPRODUCT(MAX(ROW(E$2:E3995)*(E3995=E$2:E3995)))))-COUNTBLANK(OFFSET(A$1,,,SUMPRODUCT(MAX(ROW(E$1:E3994)*(E2=E$1:E3994))))))</f>
        <v> </v>
      </c>
      <c r="K3995" s="26" t="str">
        <f>IF(OR(E3995="",E3995="!!!",F3995="NEW"),"",INDEX(J$1:J3994,SUMPRODUCT(MAX(ROW(E$1:E3994)*(E3995=E$1:E3994)))))</f>
        <v> </v>
      </c>
      <c r="L3995" s="27"/>
    </row>
    <row r="3996" spans="1:12">
      <c r="A3996" s="20" t="s">
        <v>2531</v>
      </c>
      <c r="E3996" s="22">
        <f>IF(D3996="?OLD","!!!","")</f>
        <v/>
      </c>
      <c r="F3996" s="23" t="str">
        <f>IF(OR(E3996="",E3996="!!!"),"",IF(NOT(ISNA(VLOOKUP(E3996,E$1:E3995,1,FALSE()))),"OLD",IF(AND(E3996&lt;&gt;"",E3996&lt;&gt;"!!!"),"NEW","")))</f>
        <v> </v>
      </c>
      <c r="G3996" s="24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5" t="str">
        <f>IF(J3996&lt;&gt;1,"",IF(I3996="SBJ","CB","?"))</f>
        <v> </v>
      </c>
      <c r="I3996" s="26" t="str">
        <f>IF(OR(E3996="",E3996="!!!",F3996="NEW"),"",INDEX(B3995:B$2,-1+SUMPRODUCT(MAX(ROW(E3995:E$2)*(E3996=E3995:E$2)))))</f>
        <v> </v>
      </c>
      <c r="J3996" s="26" t="str">
        <f>IF(OR(E3996="",E3996="!!!",F3996="NEW"),"",COUNTBLANK(OFFSET(A$1,,,SUMPRODUCT(MAX(ROW(E$2:E3996)*(E3996=E$2:E3996)))))-COUNTBLANK(OFFSET(A$1,,,SUMPRODUCT(MAX(ROW(E$1:E3995)*(E2=E$1:E3995))))))</f>
        <v> </v>
      </c>
      <c r="K3996" s="26" t="str">
        <f>IF(OR(E3996="",E3996="!!!",F3996="NEW"),"",INDEX(J$1:J3995,SUMPRODUCT(MAX(ROW(E$1:E3995)*(E3996=E$1:E3995)))))</f>
        <v> </v>
      </c>
      <c r="L3996" s="27"/>
    </row>
    <row r="3997" spans="1:12">
      <c r="A3997" s="20" t="s">
        <v>1222</v>
      </c>
      <c r="E3997" s="22">
        <f>IF(D3997="?OLD","!!!","")</f>
        <v/>
      </c>
      <c r="F3997" s="23" t="str">
        <f>IF(OR(E3997="",E3997="!!!"),"",IF(NOT(ISNA(VLOOKUP(E3997,E$1:E3996,1,FALSE()))),"OLD",IF(AND(E3997&lt;&gt;"",E3997&lt;&gt;"!!!"),"NEW","")))</f>
        <v> </v>
      </c>
      <c r="G3997" s="24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5" t="str">
        <f>IF(J3997&lt;&gt;1,"",IF(I3997="SBJ","CB","?"))</f>
        <v> </v>
      </c>
      <c r="I3997" s="26" t="str">
        <f>IF(OR(E3997="",E3997="!!!",F3997="NEW"),"",INDEX(B3996:B$2,-1+SUMPRODUCT(MAX(ROW(E3996:E$2)*(E3997=E3996:E$2)))))</f>
        <v> </v>
      </c>
      <c r="J3997" s="26" t="str">
        <f>IF(OR(E3997="",E3997="!!!",F3997="NEW"),"",COUNTBLANK(OFFSET(A$1,,,SUMPRODUCT(MAX(ROW(E$2:E3997)*(E3997=E$2:E3997)))))-COUNTBLANK(OFFSET(A$1,,,SUMPRODUCT(MAX(ROW(E$1:E3996)*(E2=E$1:E3996))))))</f>
        <v> </v>
      </c>
      <c r="K3997" s="26" t="str">
        <f>IF(OR(E3997="",E3997="!!!",F3997="NEW"),"",INDEX(J$1:J3996,SUMPRODUCT(MAX(ROW(E$1:E3996)*(E3997=E$1:E3996)))))</f>
        <v> </v>
      </c>
      <c r="L3997" s="27"/>
    </row>
    <row r="3998" spans="1:12">
      <c r="A3998" s="20" t="s">
        <v>2532</v>
      </c>
      <c r="E3998" s="22">
        <f>IF(D3998="?OLD","!!!","")</f>
        <v/>
      </c>
      <c r="F3998" s="23" t="str">
        <f>IF(OR(E3998="",E3998="!!!"),"",IF(NOT(ISNA(VLOOKUP(E3998,E$1:E3997,1,FALSE()))),"OLD",IF(AND(E3998&lt;&gt;"",E3998&lt;&gt;"!!!"),"NEW","")))</f>
        <v> </v>
      </c>
      <c r="G3998" s="24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5" t="str">
        <f>IF(J3998&lt;&gt;1,"",IF(I3998="SBJ","CB","?"))</f>
        <v> </v>
      </c>
      <c r="I3998" s="26" t="str">
        <f>IF(OR(E3998="",E3998="!!!",F3998="NEW"),"",INDEX(B3997:B$2,-1+SUMPRODUCT(MAX(ROW(E3997:E$2)*(E3998=E3997:E$2)))))</f>
        <v> </v>
      </c>
      <c r="J3998" s="26" t="str">
        <f>IF(OR(E3998="",E3998="!!!",F3998="NEW"),"",COUNTBLANK(OFFSET(A$1,,,SUMPRODUCT(MAX(ROW(E$2:E3998)*(E3998=E$2:E3998)))))-COUNTBLANK(OFFSET(A$1,,,SUMPRODUCT(MAX(ROW(E$1:E3997)*(E2=E$1:E3997))))))</f>
        <v> </v>
      </c>
      <c r="K3998" s="26" t="str">
        <f>IF(OR(E3998="",E3998="!!!",F3998="NEW"),"",INDEX(J$1:J3997,SUMPRODUCT(MAX(ROW(E$1:E3997)*(E3998=E$1:E3997)))))</f>
        <v> </v>
      </c>
      <c r="L3998" s="27"/>
    </row>
    <row r="3999" spans="1:12">
      <c r="A3999" s="20" t="s">
        <v>979</v>
      </c>
      <c r="E3999" s="22">
        <f>IF(D3999="?OLD","!!!","")</f>
        <v/>
      </c>
      <c r="F3999" s="23" t="str">
        <f>IF(OR(E3999="",E3999="!!!"),"",IF(NOT(ISNA(VLOOKUP(E3999,E$1:E3998,1,FALSE()))),"OLD",IF(AND(E3999&lt;&gt;"",E3999&lt;&gt;"!!!"),"NEW","")))</f>
        <v> </v>
      </c>
      <c r="G3999" s="24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5" t="str">
        <f>IF(J3999&lt;&gt;1,"",IF(I3999="SBJ","CB","?"))</f>
        <v> </v>
      </c>
      <c r="I3999" s="26" t="str">
        <f>IF(OR(E3999="",E3999="!!!",F3999="NEW"),"",INDEX(B3998:B$2,-1+SUMPRODUCT(MAX(ROW(E3998:E$2)*(E3999=E3998:E$2)))))</f>
        <v> </v>
      </c>
      <c r="J3999" s="26" t="str">
        <f>IF(OR(E3999="",E3999="!!!",F3999="NEW"),"",COUNTBLANK(OFFSET(A$1,,,SUMPRODUCT(MAX(ROW(E$2:E3999)*(E3999=E$2:E3999)))))-COUNTBLANK(OFFSET(A$1,,,SUMPRODUCT(MAX(ROW(E$1:E3998)*(E2=E$1:E3998))))))</f>
        <v> </v>
      </c>
      <c r="K3999" s="26" t="str">
        <f>IF(OR(E3999="",E3999="!!!",F3999="NEW"),"",INDEX(J$1:J3998,SUMPRODUCT(MAX(ROW(E$1:E3998)*(E3999=E$1:E3998)))))</f>
        <v> </v>
      </c>
      <c r="L3999" s="27"/>
    </row>
    <row r="4000" spans="1:12">
      <c r="A4000" s="20"/>
    </row>
    <row r="4001" spans="1:12">
      <c r="A4001" s="20" t="s">
        <v>2533</v>
      </c>
    </row>
    <row r="4002" spans="1:12">
      <c r="A4002" s="20" t="s">
        <v>981</v>
      </c>
      <c r="B4002" s="21" t="s">
        <v>975</v>
      </c>
      <c r="C4002" s="21" t="s">
        <v>971</v>
      </c>
      <c r="D4002" s="21" t="s">
        <v>972</v>
      </c>
      <c r="E4002" s="22">
        <f>IF(D4002="?OLD","!!!","")</f>
        <v/>
      </c>
      <c r="F4002" s="23" t="str">
        <f>IF(OR(E4002="",E4002="!!!"),"",IF(NOT(ISNA(VLOOKUP(E4002,E$1:E4001,1,FALSE()))),"OLD",IF(AND(E4002&lt;&gt;"",E4002&lt;&gt;"!!!"),"NEW","")))</f>
        <v> </v>
      </c>
      <c r="G4002" s="24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5" t="str">
        <f>IF(J4002&lt;&gt;1,"",IF(I4002="SBJ","CB","?"))</f>
        <v> </v>
      </c>
      <c r="I4002" s="26" t="str">
        <f>IF(OR(E4002="",E4002="!!!",F4002="NEW"),"",INDEX(B4001:B$2,-1+SUMPRODUCT(MAX(ROW(E4001:E$2)*(E4002=E4001:E$2)))))</f>
        <v> </v>
      </c>
      <c r="J4002" s="26" t="str">
        <f>IF(OR(E4002="",E4002="!!!",F4002="NEW"),"",COUNTBLANK(OFFSET(A$1,,,SUMPRODUCT(MAX(ROW(E$2:E4002)*(E4002=E$2:E4002)))))-COUNTBLANK(OFFSET(A$1,,,SUMPRODUCT(MAX(ROW(E$1:E4001)*(E2=E$1:E4001))))))</f>
        <v> </v>
      </c>
      <c r="K4002" s="26" t="str">
        <f>IF(OR(E4002="",E4002="!!!",F4002="NEW"),"",INDEX(J$1:J4001,SUMPRODUCT(MAX(ROW(E$1:E4001)*(E4002=E$1:E4001)))))</f>
        <v> </v>
      </c>
      <c r="L4002" s="27"/>
    </row>
    <row r="4003" spans="1:12">
      <c r="A4003" s="20" t="s">
        <v>2317</v>
      </c>
      <c r="E4003" s="22">
        <f>IF(D4003="?OLD","!!!","")</f>
        <v/>
      </c>
      <c r="F4003" s="23" t="str">
        <f>IF(OR(E4003="",E4003="!!!"),"",IF(NOT(ISNA(VLOOKUP(E4003,E$1:E4002,1,FALSE()))),"OLD",IF(AND(E4003&lt;&gt;"",E4003&lt;&gt;"!!!"),"NEW","")))</f>
        <v> </v>
      </c>
      <c r="G4003" s="24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5" t="str">
        <f>IF(J4003&lt;&gt;1,"",IF(I4003="SBJ","CB","?"))</f>
        <v> </v>
      </c>
      <c r="I4003" s="26" t="str">
        <f>IF(OR(E4003="",E4003="!!!",F4003="NEW"),"",INDEX(B4002:B$2,-1+SUMPRODUCT(MAX(ROW(E4002:E$2)*(E4003=E4002:E$2)))))</f>
        <v> </v>
      </c>
      <c r="J4003" s="26" t="str">
        <f>IF(OR(E4003="",E4003="!!!",F4003="NEW"),"",COUNTBLANK(OFFSET(A$1,,,SUMPRODUCT(MAX(ROW(E$2:E4003)*(E4003=E$2:E4003)))))-COUNTBLANK(OFFSET(A$1,,,SUMPRODUCT(MAX(ROW(E$1:E4002)*(E2=E$1:E4002))))))</f>
        <v> </v>
      </c>
      <c r="K4003" s="26" t="str">
        <f>IF(OR(E4003="",E4003="!!!",F4003="NEW"),"",INDEX(J$1:J4002,SUMPRODUCT(MAX(ROW(E$1:E4002)*(E4003=E$1:E4002)))))</f>
        <v> </v>
      </c>
      <c r="L4003" s="27"/>
    </row>
    <row r="4004" spans="1:12">
      <c r="A4004" s="20" t="s">
        <v>2534</v>
      </c>
      <c r="E4004" s="22">
        <f>IF(D4004="?OLD","!!!","")</f>
        <v/>
      </c>
      <c r="F4004" s="23" t="str">
        <f>IF(OR(E4004="",E4004="!!!"),"",IF(NOT(ISNA(VLOOKUP(E4004,E$1:E4003,1,FALSE()))),"OLD",IF(AND(E4004&lt;&gt;"",E4004&lt;&gt;"!!!"),"NEW","")))</f>
        <v> </v>
      </c>
      <c r="G4004" s="24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5" t="str">
        <f>IF(J4004&lt;&gt;1,"",IF(I4004="SBJ","CB","?"))</f>
        <v> </v>
      </c>
      <c r="I4004" s="26" t="str">
        <f>IF(OR(E4004="",E4004="!!!",F4004="NEW"),"",INDEX(B4003:B$2,-1+SUMPRODUCT(MAX(ROW(E4003:E$2)*(E4004=E4003:E$2)))))</f>
        <v> </v>
      </c>
      <c r="J4004" s="26" t="str">
        <f>IF(OR(E4004="",E4004="!!!",F4004="NEW"),"",COUNTBLANK(OFFSET(A$1,,,SUMPRODUCT(MAX(ROW(E$2:E4004)*(E4004=E$2:E4004)))))-COUNTBLANK(OFFSET(A$1,,,SUMPRODUCT(MAX(ROW(E$1:E4003)*(E2=E$1:E4003))))))</f>
        <v> </v>
      </c>
      <c r="K4004" s="26" t="str">
        <f>IF(OR(E4004="",E4004="!!!",F4004="NEW"),"",INDEX(J$1:J4003,SUMPRODUCT(MAX(ROW(E$1:E4003)*(E4004=E$1:E4003)))))</f>
        <v> </v>
      </c>
      <c r="L4004" s="27"/>
    </row>
    <row r="4005" spans="1:12">
      <c r="A4005" s="20" t="s">
        <v>1029</v>
      </c>
      <c r="E4005" s="22">
        <f>IF(D4005="?OLD","!!!","")</f>
        <v/>
      </c>
      <c r="F4005" s="23" t="str">
        <f>IF(OR(E4005="",E4005="!!!"),"",IF(NOT(ISNA(VLOOKUP(E4005,E$1:E4004,1,FALSE()))),"OLD",IF(AND(E4005&lt;&gt;"",E4005&lt;&gt;"!!!"),"NEW","")))</f>
        <v> </v>
      </c>
      <c r="G4005" s="24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5" t="str">
        <f>IF(J4005&lt;&gt;1,"",IF(I4005="SBJ","CB","?"))</f>
        <v> </v>
      </c>
      <c r="I4005" s="26" t="str">
        <f>IF(OR(E4005="",E4005="!!!",F4005="NEW"),"",INDEX(B4004:B$2,-1+SUMPRODUCT(MAX(ROW(E4004:E$2)*(E4005=E4004:E$2)))))</f>
        <v> </v>
      </c>
      <c r="J4005" s="26" t="str">
        <f>IF(OR(E4005="",E4005="!!!",F4005="NEW"),"",COUNTBLANK(OFFSET(A$1,,,SUMPRODUCT(MAX(ROW(E$2:E4005)*(E4005=E$2:E4005)))))-COUNTBLANK(OFFSET(A$1,,,SUMPRODUCT(MAX(ROW(E$1:E4004)*(E2=E$1:E4004))))))</f>
        <v> </v>
      </c>
      <c r="K4005" s="26" t="str">
        <f>IF(OR(E4005="",E4005="!!!",F4005="NEW"),"",INDEX(J$1:J4004,SUMPRODUCT(MAX(ROW(E$1:E4004)*(E4005=E$1:E4004)))))</f>
        <v> </v>
      </c>
      <c r="L4005" s="27"/>
    </row>
    <row r="4006" spans="1:12">
      <c r="A4006" s="20" t="s">
        <v>1031</v>
      </c>
      <c r="B4006" s="21" t="s">
        <v>1087</v>
      </c>
      <c r="C4006" s="21" t="s">
        <v>971</v>
      </c>
      <c r="D4006" s="21" t="s">
        <v>972</v>
      </c>
      <c r="E4006" s="22">
        <f>IF(D4006="?OLD","!!!","")</f>
        <v/>
      </c>
      <c r="F4006" s="23" t="str">
        <f>IF(OR(E4006="",E4006="!!!"),"",IF(NOT(ISNA(VLOOKUP(E4006,E$1:E4005,1,FALSE()))),"OLD",IF(AND(E4006&lt;&gt;"",E4006&lt;&gt;"!!!"),"NEW","")))</f>
        <v> </v>
      </c>
      <c r="G4006" s="24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5" t="str">
        <f>IF(J4006&lt;&gt;1,"",IF(I4006="SBJ","CB","?"))</f>
        <v> </v>
      </c>
      <c r="I4006" s="26" t="str">
        <f>IF(OR(E4006="",E4006="!!!",F4006="NEW"),"",INDEX(B4005:B$2,-1+SUMPRODUCT(MAX(ROW(E4005:E$2)*(E4006=E4005:E$2)))))</f>
        <v> </v>
      </c>
      <c r="J4006" s="26" t="str">
        <f>IF(OR(E4006="",E4006="!!!",F4006="NEW"),"",COUNTBLANK(OFFSET(A$1,,,SUMPRODUCT(MAX(ROW(E$2:E4006)*(E4006=E$2:E4006)))))-COUNTBLANK(OFFSET(A$1,,,SUMPRODUCT(MAX(ROW(E$1:E4005)*(E2=E$1:E4005))))))</f>
        <v> </v>
      </c>
      <c r="K4006" s="26" t="str">
        <f>IF(OR(E4006="",E4006="!!!",F4006="NEW"),"",INDEX(J$1:J4005,SUMPRODUCT(MAX(ROW(E$1:E4005)*(E4006=E$1:E4005)))))</f>
        <v> </v>
      </c>
      <c r="L4006" s="27"/>
    </row>
    <row r="4007" spans="1:12">
      <c r="A4007" s="20" t="s">
        <v>1013</v>
      </c>
      <c r="E4007" s="22">
        <f>IF(D4007="?OLD","!!!","")</f>
        <v/>
      </c>
      <c r="F4007" s="23" t="str">
        <f>IF(OR(E4007="",E4007="!!!"),"",IF(NOT(ISNA(VLOOKUP(E4007,E$1:E4006,1,FALSE()))),"OLD",IF(AND(E4007&lt;&gt;"",E4007&lt;&gt;"!!!"),"NEW","")))</f>
        <v> </v>
      </c>
      <c r="G4007" s="24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5" t="str">
        <f>IF(J4007&lt;&gt;1,"",IF(I4007="SBJ","CB","?"))</f>
        <v> </v>
      </c>
      <c r="I4007" s="26" t="str">
        <f>IF(OR(E4007="",E4007="!!!",F4007="NEW"),"",INDEX(B4006:B$2,-1+SUMPRODUCT(MAX(ROW(E4006:E$2)*(E4007=E4006:E$2)))))</f>
        <v> </v>
      </c>
      <c r="J4007" s="26" t="str">
        <f>IF(OR(E4007="",E4007="!!!",F4007="NEW"),"",COUNTBLANK(OFFSET(A$1,,,SUMPRODUCT(MAX(ROW(E$2:E4007)*(E4007=E$2:E4007)))))-COUNTBLANK(OFFSET(A$1,,,SUMPRODUCT(MAX(ROW(E$1:E4006)*(E2=E$1:E4006))))))</f>
        <v> </v>
      </c>
      <c r="K4007" s="26" t="str">
        <f>IF(OR(E4007="",E4007="!!!",F4007="NEW"),"",INDEX(J$1:J4006,SUMPRODUCT(MAX(ROW(E$1:E4006)*(E4007=E$1:E4006)))))</f>
        <v> </v>
      </c>
      <c r="L4007" s="27"/>
    </row>
    <row r="4008" spans="1:12">
      <c r="A4008" s="20" t="s">
        <v>2535</v>
      </c>
      <c r="E4008" s="22">
        <f>IF(D4008="?OLD","!!!","")</f>
        <v/>
      </c>
      <c r="F4008" s="23" t="str">
        <f>IF(OR(E4008="",E4008="!!!"),"",IF(NOT(ISNA(VLOOKUP(E4008,E$1:E4007,1,FALSE()))),"OLD",IF(AND(E4008&lt;&gt;"",E4008&lt;&gt;"!!!"),"NEW","")))</f>
        <v> </v>
      </c>
      <c r="G4008" s="24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5" t="str">
        <f>IF(J4008&lt;&gt;1,"",IF(I4008="SBJ","CB","?"))</f>
        <v> </v>
      </c>
      <c r="I4008" s="26" t="str">
        <f>IF(OR(E4008="",E4008="!!!",F4008="NEW"),"",INDEX(B4007:B$2,-1+SUMPRODUCT(MAX(ROW(E4007:E$2)*(E4008=E4007:E$2)))))</f>
        <v> </v>
      </c>
      <c r="J4008" s="26" t="str">
        <f>IF(OR(E4008="",E4008="!!!",F4008="NEW"),"",COUNTBLANK(OFFSET(A$1,,,SUMPRODUCT(MAX(ROW(E$2:E4008)*(E4008=E$2:E4008)))))-COUNTBLANK(OFFSET(A$1,,,SUMPRODUCT(MAX(ROW(E$1:E4007)*(E2=E$1:E4007))))))</f>
        <v> </v>
      </c>
      <c r="K4008" s="26" t="str">
        <f>IF(OR(E4008="",E4008="!!!",F4008="NEW"),"",INDEX(J$1:J4007,SUMPRODUCT(MAX(ROW(E$1:E4007)*(E4008=E$1:E4007)))))</f>
        <v> </v>
      </c>
      <c r="L4008" s="27"/>
    </row>
    <row r="4009" spans="1:12">
      <c r="A4009" s="20" t="s">
        <v>1013</v>
      </c>
      <c r="E4009" s="22">
        <f>IF(D4009="?OLD","!!!","")</f>
        <v/>
      </c>
      <c r="F4009" s="23" t="str">
        <f>IF(OR(E4009="",E4009="!!!"),"",IF(NOT(ISNA(VLOOKUP(E4009,E$1:E4008,1,FALSE()))),"OLD",IF(AND(E4009&lt;&gt;"",E4009&lt;&gt;"!!!"),"NEW","")))</f>
        <v> </v>
      </c>
      <c r="G4009" s="24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5" t="str">
        <f>IF(J4009&lt;&gt;1,"",IF(I4009="SBJ","CB","?"))</f>
        <v> </v>
      </c>
      <c r="I4009" s="26" t="str">
        <f>IF(OR(E4009="",E4009="!!!",F4009="NEW"),"",INDEX(B4008:B$2,-1+SUMPRODUCT(MAX(ROW(E4008:E$2)*(E4009=E4008:E$2)))))</f>
        <v> </v>
      </c>
      <c r="J4009" s="26" t="str">
        <f>IF(OR(E4009="",E4009="!!!",F4009="NEW"),"",COUNTBLANK(OFFSET(A$1,,,SUMPRODUCT(MAX(ROW(E$2:E4009)*(E4009=E$2:E4009)))))-COUNTBLANK(OFFSET(A$1,,,SUMPRODUCT(MAX(ROW(E$1:E4008)*(E2=E$1:E4008))))))</f>
        <v> </v>
      </c>
      <c r="K4009" s="26" t="str">
        <f>IF(OR(E4009="",E4009="!!!",F4009="NEW"),"",INDEX(J$1:J4008,SUMPRODUCT(MAX(ROW(E$1:E4008)*(E4009=E$1:E4008)))))</f>
        <v> </v>
      </c>
      <c r="L4009" s="27"/>
    </row>
    <row r="4010" spans="1:12">
      <c r="A4010" s="20" t="s">
        <v>2536</v>
      </c>
      <c r="E4010" s="22">
        <f>IF(D4010="?OLD","!!!","")</f>
        <v/>
      </c>
      <c r="F4010" s="23" t="str">
        <f>IF(OR(E4010="",E4010="!!!"),"",IF(NOT(ISNA(VLOOKUP(E4010,E$1:E4009,1,FALSE()))),"OLD",IF(AND(E4010&lt;&gt;"",E4010&lt;&gt;"!!!"),"NEW","")))</f>
        <v> </v>
      </c>
      <c r="G4010" s="24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5" t="str">
        <f>IF(J4010&lt;&gt;1,"",IF(I4010="SBJ","CB","?"))</f>
        <v> </v>
      </c>
      <c r="I4010" s="26" t="str">
        <f>IF(OR(E4010="",E4010="!!!",F4010="NEW"),"",INDEX(B4009:B$2,-1+SUMPRODUCT(MAX(ROW(E4009:E$2)*(E4010=E4009:E$2)))))</f>
        <v> </v>
      </c>
      <c r="J4010" s="26" t="str">
        <f>IF(OR(E4010="",E4010="!!!",F4010="NEW"),"",COUNTBLANK(OFFSET(A$1,,,SUMPRODUCT(MAX(ROW(E$2:E4010)*(E4010=E$2:E4010)))))-COUNTBLANK(OFFSET(A$1,,,SUMPRODUCT(MAX(ROW(E$1:E4009)*(E2=E$1:E4009))))))</f>
        <v> </v>
      </c>
      <c r="K4010" s="26" t="str">
        <f>IF(OR(E4010="",E4010="!!!",F4010="NEW"),"",INDEX(J$1:J4009,SUMPRODUCT(MAX(ROW(E$1:E4009)*(E4010=E$1:E4009)))))</f>
        <v> </v>
      </c>
      <c r="L4010" s="27"/>
    </row>
    <row r="4011" spans="1:12">
      <c r="A4011" s="20" t="s">
        <v>2537</v>
      </c>
      <c r="E4011" s="22">
        <f>IF(D4011="?OLD","!!!","")</f>
        <v/>
      </c>
      <c r="F4011" s="23" t="str">
        <f>IF(OR(E4011="",E4011="!!!"),"",IF(NOT(ISNA(VLOOKUP(E4011,E$1:E4010,1,FALSE()))),"OLD",IF(AND(E4011&lt;&gt;"",E4011&lt;&gt;"!!!"),"NEW","")))</f>
        <v> </v>
      </c>
      <c r="G4011" s="24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5" t="str">
        <f>IF(J4011&lt;&gt;1,"",IF(I4011="SBJ","CB","?"))</f>
        <v> </v>
      </c>
      <c r="I4011" s="26" t="str">
        <f>IF(OR(E4011="",E4011="!!!",F4011="NEW"),"",INDEX(B4010:B$2,-1+SUMPRODUCT(MAX(ROW(E4010:E$2)*(E4011=E4010:E$2)))))</f>
        <v> </v>
      </c>
      <c r="J4011" s="26" t="str">
        <f>IF(OR(E4011="",E4011="!!!",F4011="NEW"),"",COUNTBLANK(OFFSET(A$1,,,SUMPRODUCT(MAX(ROW(E$2:E4011)*(E4011=E$2:E4011)))))-COUNTBLANK(OFFSET(A$1,,,SUMPRODUCT(MAX(ROW(E$1:E4010)*(E2=E$1:E4010))))))</f>
        <v> </v>
      </c>
      <c r="K4011" s="26" t="str">
        <f>IF(OR(E4011="",E4011="!!!",F4011="NEW"),"",INDEX(J$1:J4010,SUMPRODUCT(MAX(ROW(E$1:E4010)*(E4011=E$1:E4010)))))</f>
        <v> </v>
      </c>
      <c r="L4011" s="27"/>
    </row>
    <row r="4012" spans="1:12">
      <c r="A4012" s="20" t="s">
        <v>2310</v>
      </c>
      <c r="B4012" s="21" t="s">
        <v>1087</v>
      </c>
      <c r="E4012" s="22">
        <f>IF(D4012="?OLD","!!!","")</f>
        <v/>
      </c>
      <c r="F4012" s="23" t="str">
        <f>IF(OR(E4012="",E4012="!!!"),"",IF(NOT(ISNA(VLOOKUP(E4012,E$1:E4011,1,FALSE()))),"OLD",IF(AND(E4012&lt;&gt;"",E4012&lt;&gt;"!!!"),"NEW","")))</f>
        <v> </v>
      </c>
      <c r="G4012" s="24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5" t="str">
        <f>IF(J4012&lt;&gt;1,"",IF(I4012="SBJ","CB","?"))</f>
        <v> </v>
      </c>
      <c r="I4012" s="26" t="str">
        <f>IF(OR(E4012="",E4012="!!!",F4012="NEW"),"",INDEX(B4011:B$2,-1+SUMPRODUCT(MAX(ROW(E4011:E$2)*(E4012=E4011:E$2)))))</f>
        <v> </v>
      </c>
      <c r="J4012" s="26" t="str">
        <f>IF(OR(E4012="",E4012="!!!",F4012="NEW"),"",COUNTBLANK(OFFSET(A$1,,,SUMPRODUCT(MAX(ROW(E$2:E4012)*(E4012=E$2:E4012)))))-COUNTBLANK(OFFSET(A$1,,,SUMPRODUCT(MAX(ROW(E$1:E4011)*(E2=E$1:E4011))))))</f>
        <v> </v>
      </c>
      <c r="K4012" s="26" t="str">
        <f>IF(OR(E4012="",E4012="!!!",F4012="NEW"),"",INDEX(J$1:J4011,SUMPRODUCT(MAX(ROW(E$1:E4011)*(E4012=E$1:E4011)))))</f>
        <v> </v>
      </c>
      <c r="L4012" s="27"/>
    </row>
    <row r="4013" spans="1:12">
      <c r="A4013" s="20" t="s">
        <v>1241</v>
      </c>
      <c r="E4013" s="22">
        <f>IF(D4013="?OLD","!!!","")</f>
        <v/>
      </c>
      <c r="F4013" s="23" t="str">
        <f>IF(OR(E4013="",E4013="!!!"),"",IF(NOT(ISNA(VLOOKUP(E4013,E$1:E4012,1,FALSE()))),"OLD",IF(AND(E4013&lt;&gt;"",E4013&lt;&gt;"!!!"),"NEW","")))</f>
        <v> </v>
      </c>
      <c r="G4013" s="24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5" t="str">
        <f>IF(J4013&lt;&gt;1,"",IF(I4013="SBJ","CB","?"))</f>
        <v> </v>
      </c>
      <c r="I4013" s="26" t="str">
        <f>IF(OR(E4013="",E4013="!!!",F4013="NEW"),"",INDEX(B4012:B$2,-1+SUMPRODUCT(MAX(ROW(E4012:E$2)*(E4013=E4012:E$2)))))</f>
        <v> </v>
      </c>
      <c r="J4013" s="26" t="str">
        <f>IF(OR(E4013="",E4013="!!!",F4013="NEW"),"",COUNTBLANK(OFFSET(A$1,,,SUMPRODUCT(MAX(ROW(E$2:E4013)*(E4013=E$2:E4013)))))-COUNTBLANK(OFFSET(A$1,,,SUMPRODUCT(MAX(ROW(E$1:E4012)*(E2=E$1:E4012))))))</f>
        <v> </v>
      </c>
      <c r="K4013" s="26" t="str">
        <f>IF(OR(E4013="",E4013="!!!",F4013="NEW"),"",INDEX(J$1:J4012,SUMPRODUCT(MAX(ROW(E$1:E4012)*(E4013=E$1:E4012)))))</f>
        <v> </v>
      </c>
      <c r="L4013" s="27"/>
    </row>
    <row r="4014" spans="1:12">
      <c r="A4014" s="20" t="s">
        <v>1097</v>
      </c>
      <c r="E4014" s="22">
        <f>IF(D4014="?OLD","!!!","")</f>
        <v/>
      </c>
      <c r="F4014" s="23" t="str">
        <f>IF(OR(E4014="",E4014="!!!"),"",IF(NOT(ISNA(VLOOKUP(E4014,E$1:E4013,1,FALSE()))),"OLD",IF(AND(E4014&lt;&gt;"",E4014&lt;&gt;"!!!"),"NEW","")))</f>
        <v> </v>
      </c>
      <c r="G4014" s="24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5" t="str">
        <f>IF(J4014&lt;&gt;1,"",IF(I4014="SBJ","CB","?"))</f>
        <v> </v>
      </c>
      <c r="I4014" s="26" t="str">
        <f>IF(OR(E4014="",E4014="!!!",F4014="NEW"),"",INDEX(B4013:B$2,-1+SUMPRODUCT(MAX(ROW(E4013:E$2)*(E4014=E4013:E$2)))))</f>
        <v> </v>
      </c>
      <c r="J4014" s="26" t="str">
        <f>IF(OR(E4014="",E4014="!!!",F4014="NEW"),"",COUNTBLANK(OFFSET(A$1,,,SUMPRODUCT(MAX(ROW(E$2:E4014)*(E4014=E$2:E4014)))))-COUNTBLANK(OFFSET(A$1,,,SUMPRODUCT(MAX(ROW(E$1:E4013)*(E2=E$1:E4013))))))</f>
        <v> </v>
      </c>
      <c r="K4014" s="26" t="str">
        <f>IF(OR(E4014="",E4014="!!!",F4014="NEW"),"",INDEX(J$1:J4013,SUMPRODUCT(MAX(ROW(E$1:E4013)*(E4014=E$1:E4013)))))</f>
        <v> </v>
      </c>
      <c r="L4014" s="27"/>
    </row>
    <row r="4015" spans="1:12">
      <c r="A4015" s="20" t="s">
        <v>1015</v>
      </c>
      <c r="B4015" s="21" t="s">
        <v>978</v>
      </c>
      <c r="C4015" s="21" t="s">
        <v>1100</v>
      </c>
      <c r="D4015" s="21" t="s">
        <v>972</v>
      </c>
      <c r="E4015" s="22">
        <f>IF(D4015="?OLD","!!!","")</f>
        <v/>
      </c>
      <c r="F4015" s="23" t="str">
        <f>IF(OR(E4015="",E4015="!!!"),"",IF(NOT(ISNA(VLOOKUP(E4015,E$1:E4014,1,FALSE()))),"OLD",IF(AND(E4015&lt;&gt;"",E4015&lt;&gt;"!!!"),"NEW","")))</f>
        <v> </v>
      </c>
      <c r="G4015" s="24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5" t="str">
        <f>IF(J4015&lt;&gt;1,"",IF(I4015="SBJ","CB","?"))</f>
        <v> </v>
      </c>
      <c r="I4015" s="26" t="str">
        <f>IF(OR(E4015="",E4015="!!!",F4015="NEW"),"",INDEX(B4014:B$2,-1+SUMPRODUCT(MAX(ROW(E4014:E$2)*(E4015=E4014:E$2)))))</f>
        <v> </v>
      </c>
      <c r="J4015" s="26" t="str">
        <f>IF(OR(E4015="",E4015="!!!",F4015="NEW"),"",COUNTBLANK(OFFSET(A$1,,,SUMPRODUCT(MAX(ROW(E$2:E4015)*(E4015=E$2:E4015)))))-COUNTBLANK(OFFSET(A$1,,,SUMPRODUCT(MAX(ROW(E$1:E4014)*(E2=E$1:E4014))))))</f>
        <v> </v>
      </c>
      <c r="K4015" s="26" t="str">
        <f>IF(OR(E4015="",E4015="!!!",F4015="NEW"),"",INDEX(J$1:J4014,SUMPRODUCT(MAX(ROW(E$1:E4014)*(E4015=E$1:E4014)))))</f>
        <v> </v>
      </c>
      <c r="L4015" s="27"/>
    </row>
    <row r="4016" spans="1:12">
      <c r="A4016" s="20" t="s">
        <v>1013</v>
      </c>
      <c r="E4016" s="22">
        <f>IF(D4016="?OLD","!!!","")</f>
        <v/>
      </c>
      <c r="F4016" s="23" t="str">
        <f>IF(OR(E4016="",E4016="!!!"),"",IF(NOT(ISNA(VLOOKUP(E4016,E$1:E4015,1,FALSE()))),"OLD",IF(AND(E4016&lt;&gt;"",E4016&lt;&gt;"!!!"),"NEW","")))</f>
        <v> </v>
      </c>
      <c r="G4016" s="24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5" t="str">
        <f>IF(J4016&lt;&gt;1,"",IF(I4016="SBJ","CB","?"))</f>
        <v> </v>
      </c>
      <c r="I4016" s="26" t="str">
        <f>IF(OR(E4016="",E4016="!!!",F4016="NEW"),"",INDEX(B4015:B$2,-1+SUMPRODUCT(MAX(ROW(E4015:E$2)*(E4016=E4015:E$2)))))</f>
        <v> </v>
      </c>
      <c r="J4016" s="26" t="str">
        <f>IF(OR(E4016="",E4016="!!!",F4016="NEW"),"",COUNTBLANK(OFFSET(A$1,,,SUMPRODUCT(MAX(ROW(E$2:E4016)*(E4016=E$2:E4016)))))-COUNTBLANK(OFFSET(A$1,,,SUMPRODUCT(MAX(ROW(E$1:E4015)*(E2=E$1:E4015))))))</f>
        <v> </v>
      </c>
      <c r="K4016" s="26" t="str">
        <f>IF(OR(E4016="",E4016="!!!",F4016="NEW"),"",INDEX(J$1:J4015,SUMPRODUCT(MAX(ROW(E$1:E4015)*(E4016=E$1:E4015)))))</f>
        <v> </v>
      </c>
      <c r="L4016" s="27"/>
    </row>
    <row r="4017" spans="1:12">
      <c r="A4017" s="20" t="s">
        <v>1330</v>
      </c>
      <c r="E4017" s="22">
        <f>IF(D4017="?OLD","!!!","")</f>
        <v/>
      </c>
      <c r="F4017" s="23" t="str">
        <f>IF(OR(E4017="",E4017="!!!"),"",IF(NOT(ISNA(VLOOKUP(E4017,E$1:E4016,1,FALSE()))),"OLD",IF(AND(E4017&lt;&gt;"",E4017&lt;&gt;"!!!"),"NEW","")))</f>
        <v> </v>
      </c>
      <c r="G4017" s="24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5" t="str">
        <f>IF(J4017&lt;&gt;1,"",IF(I4017="SBJ","CB","?"))</f>
        <v> </v>
      </c>
      <c r="I4017" s="26" t="str">
        <f>IF(OR(E4017="",E4017="!!!",F4017="NEW"),"",INDEX(B4016:B$2,-1+SUMPRODUCT(MAX(ROW(E4016:E$2)*(E4017=E4016:E$2)))))</f>
        <v> </v>
      </c>
      <c r="J4017" s="26" t="str">
        <f>IF(OR(E4017="",E4017="!!!",F4017="NEW"),"",COUNTBLANK(OFFSET(A$1,,,SUMPRODUCT(MAX(ROW(E$2:E4017)*(E4017=E$2:E4017)))))-COUNTBLANK(OFFSET(A$1,,,SUMPRODUCT(MAX(ROW(E$1:E4016)*(E2=E$1:E4016))))))</f>
        <v> </v>
      </c>
      <c r="K4017" s="26" t="str">
        <f>IF(OR(E4017="",E4017="!!!",F4017="NEW"),"",INDEX(J$1:J4016,SUMPRODUCT(MAX(ROW(E$1:E4016)*(E4017=E$1:E4016)))))</f>
        <v> </v>
      </c>
      <c r="L4017" s="27"/>
    </row>
    <row r="4018" spans="1:12">
      <c r="A4018" s="20" t="s">
        <v>2538</v>
      </c>
      <c r="E4018" s="22">
        <f>IF(D4018="?OLD","!!!","")</f>
        <v/>
      </c>
      <c r="F4018" s="23" t="str">
        <f>IF(OR(E4018="",E4018="!!!"),"",IF(NOT(ISNA(VLOOKUP(E4018,E$1:E4017,1,FALSE()))),"OLD",IF(AND(E4018&lt;&gt;"",E4018&lt;&gt;"!!!"),"NEW","")))</f>
        <v> </v>
      </c>
      <c r="G4018" s="24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5" t="str">
        <f>IF(J4018&lt;&gt;1,"",IF(I4018="SBJ","CB","?"))</f>
        <v> </v>
      </c>
      <c r="I4018" s="26" t="str">
        <f>IF(OR(E4018="",E4018="!!!",F4018="NEW"),"",INDEX(B4017:B$2,-1+SUMPRODUCT(MAX(ROW(E4017:E$2)*(E4018=E4017:E$2)))))</f>
        <v> </v>
      </c>
      <c r="J4018" s="26" t="str">
        <f>IF(OR(E4018="",E4018="!!!",F4018="NEW"),"",COUNTBLANK(OFFSET(A$1,,,SUMPRODUCT(MAX(ROW(E$2:E4018)*(E4018=E$2:E4018)))))-COUNTBLANK(OFFSET(A$1,,,SUMPRODUCT(MAX(ROW(E$1:E4017)*(E2=E$1:E4017))))))</f>
        <v> </v>
      </c>
      <c r="K4018" s="26" t="str">
        <f>IF(OR(E4018="",E4018="!!!",F4018="NEW"),"",INDEX(J$1:J4017,SUMPRODUCT(MAX(ROW(E$1:E4017)*(E4018=E$1:E4017)))))</f>
        <v> </v>
      </c>
      <c r="L4018" s="27"/>
    </row>
    <row r="4019" spans="1:12">
      <c r="A4019" s="20" t="s">
        <v>1005</v>
      </c>
      <c r="E4019" s="22">
        <f>IF(D4019="?OLD","!!!","")</f>
        <v/>
      </c>
      <c r="F4019" s="23" t="str">
        <f>IF(OR(E4019="",E4019="!!!"),"",IF(NOT(ISNA(VLOOKUP(E4019,E$1:E4018,1,FALSE()))),"OLD",IF(AND(E4019&lt;&gt;"",E4019&lt;&gt;"!!!"),"NEW","")))</f>
        <v> </v>
      </c>
      <c r="G4019" s="24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5" t="str">
        <f>IF(J4019&lt;&gt;1,"",IF(I4019="SBJ","CB","?"))</f>
        <v> </v>
      </c>
      <c r="I4019" s="26" t="str">
        <f>IF(OR(E4019="",E4019="!!!",F4019="NEW"),"",INDEX(B4018:B$2,-1+SUMPRODUCT(MAX(ROW(E4018:E$2)*(E4019=E4018:E$2)))))</f>
        <v> </v>
      </c>
      <c r="J4019" s="26" t="str">
        <f>IF(OR(E4019="",E4019="!!!",F4019="NEW"),"",COUNTBLANK(OFFSET(A$1,,,SUMPRODUCT(MAX(ROW(E$2:E4019)*(E4019=E$2:E4019)))))-COUNTBLANK(OFFSET(A$1,,,SUMPRODUCT(MAX(ROW(E$1:E4018)*(E2=E$1:E4018))))))</f>
        <v> </v>
      </c>
      <c r="K4019" s="26" t="str">
        <f>IF(OR(E4019="",E4019="!!!",F4019="NEW"),"",INDEX(J$1:J4018,SUMPRODUCT(MAX(ROW(E$1:E4018)*(E4019=E$1:E4018)))))</f>
        <v> </v>
      </c>
      <c r="L4019" s="27"/>
    </row>
    <row r="4020" spans="1:12">
      <c r="A4020" s="20" t="s">
        <v>1068</v>
      </c>
      <c r="B4020" s="21" t="s">
        <v>1175</v>
      </c>
      <c r="C4020" s="21" t="s">
        <v>1100</v>
      </c>
      <c r="D4020" s="21" t="s">
        <v>972</v>
      </c>
      <c r="E4020" s="22">
        <f>IF(D4020="?OLD","!!!","")</f>
        <v/>
      </c>
      <c r="F4020" s="23" t="str">
        <f>IF(OR(E4020="",E4020="!!!"),"",IF(NOT(ISNA(VLOOKUP(E4020,E$1:E4019,1,FALSE()))),"OLD",IF(AND(E4020&lt;&gt;"",E4020&lt;&gt;"!!!"),"NEW","")))</f>
        <v> </v>
      </c>
      <c r="G4020" s="24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5" t="str">
        <f>IF(J4020&lt;&gt;1,"",IF(I4020="SBJ","CB","?"))</f>
        <v> </v>
      </c>
      <c r="I4020" s="26" t="str">
        <f>IF(OR(E4020="",E4020="!!!",F4020="NEW"),"",INDEX(B4019:B$2,-1+SUMPRODUCT(MAX(ROW(E4019:E$2)*(E4020=E4019:E$2)))))</f>
        <v> </v>
      </c>
      <c r="J4020" s="26" t="str">
        <f>IF(OR(E4020="",E4020="!!!",F4020="NEW"),"",COUNTBLANK(OFFSET(A$1,,,SUMPRODUCT(MAX(ROW(E$2:E4020)*(E4020=E$2:E4020)))))-COUNTBLANK(OFFSET(A$1,,,SUMPRODUCT(MAX(ROW(E$1:E4019)*(E2=E$1:E4019))))))</f>
        <v> </v>
      </c>
      <c r="K4020" s="26" t="str">
        <f>IF(OR(E4020="",E4020="!!!",F4020="NEW"),"",INDEX(J$1:J4019,SUMPRODUCT(MAX(ROW(E$1:E4019)*(E4020=E$1:E4019)))))</f>
        <v> </v>
      </c>
      <c r="L4020" s="27"/>
    </row>
    <row r="4021" spans="1:12">
      <c r="A4021" s="20" t="s">
        <v>1013</v>
      </c>
      <c r="E4021" s="22">
        <f>IF(D4021="?OLD","!!!","")</f>
        <v/>
      </c>
      <c r="F4021" s="23" t="str">
        <f>IF(OR(E4021="",E4021="!!!"),"",IF(NOT(ISNA(VLOOKUP(E4021,E$1:E4020,1,FALSE()))),"OLD",IF(AND(E4021&lt;&gt;"",E4021&lt;&gt;"!!!"),"NEW","")))</f>
        <v> </v>
      </c>
      <c r="G4021" s="24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5" t="str">
        <f>IF(J4021&lt;&gt;1,"",IF(I4021="SBJ","CB","?"))</f>
        <v> </v>
      </c>
      <c r="I4021" s="26" t="str">
        <f>IF(OR(E4021="",E4021="!!!",F4021="NEW"),"",INDEX(B4020:B$2,-1+SUMPRODUCT(MAX(ROW(E4020:E$2)*(E4021=E4020:E$2)))))</f>
        <v> </v>
      </c>
      <c r="J4021" s="26" t="str">
        <f>IF(OR(E4021="",E4021="!!!",F4021="NEW"),"",COUNTBLANK(OFFSET(A$1,,,SUMPRODUCT(MAX(ROW(E$2:E4021)*(E4021=E$2:E4021)))))-COUNTBLANK(OFFSET(A$1,,,SUMPRODUCT(MAX(ROW(E$1:E4020)*(E2=E$1:E4020))))))</f>
        <v> </v>
      </c>
      <c r="K4021" s="26" t="str">
        <f>IF(OR(E4021="",E4021="!!!",F4021="NEW"),"",INDEX(J$1:J4020,SUMPRODUCT(MAX(ROW(E$1:E4020)*(E4021=E$1:E4020)))))</f>
        <v> </v>
      </c>
      <c r="L4021" s="27"/>
    </row>
    <row r="4022" spans="1:12">
      <c r="A4022" s="20" t="s">
        <v>1475</v>
      </c>
      <c r="E4022" s="22">
        <f>IF(D4022="?OLD","!!!","")</f>
        <v/>
      </c>
      <c r="F4022" s="23" t="str">
        <f>IF(OR(E4022="",E4022="!!!"),"",IF(NOT(ISNA(VLOOKUP(E4022,E$1:E4021,1,FALSE()))),"OLD",IF(AND(E4022&lt;&gt;"",E4022&lt;&gt;"!!!"),"NEW","")))</f>
        <v> </v>
      </c>
      <c r="G4022" s="24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5" t="str">
        <f>IF(J4022&lt;&gt;1,"",IF(I4022="SBJ","CB","?"))</f>
        <v> </v>
      </c>
      <c r="I4022" s="26" t="str">
        <f>IF(OR(E4022="",E4022="!!!",F4022="NEW"),"",INDEX(B4021:B$2,-1+SUMPRODUCT(MAX(ROW(E4021:E$2)*(E4022=E4021:E$2)))))</f>
        <v> </v>
      </c>
      <c r="J4022" s="26" t="str">
        <f>IF(OR(E4022="",E4022="!!!",F4022="NEW"),"",COUNTBLANK(OFFSET(A$1,,,SUMPRODUCT(MAX(ROW(E$2:E4022)*(E4022=E$2:E4022)))))-COUNTBLANK(OFFSET(A$1,,,SUMPRODUCT(MAX(ROW(E$1:E4021)*(E2=E$1:E4021))))))</f>
        <v> </v>
      </c>
      <c r="K4022" s="26" t="str">
        <f>IF(OR(E4022="",E4022="!!!",F4022="NEW"),"",INDEX(J$1:J4021,SUMPRODUCT(MAX(ROW(E$1:E4021)*(E4022=E$1:E4021)))))</f>
        <v> </v>
      </c>
      <c r="L4022" s="27"/>
    </row>
    <row r="4023" spans="1:12">
      <c r="A4023" s="20" t="s">
        <v>1005</v>
      </c>
      <c r="E4023" s="22">
        <f>IF(D4023="?OLD","!!!","")</f>
        <v/>
      </c>
      <c r="F4023" s="23" t="str">
        <f>IF(OR(E4023="",E4023="!!!"),"",IF(NOT(ISNA(VLOOKUP(E4023,E$1:E4022,1,FALSE()))),"OLD",IF(AND(E4023&lt;&gt;"",E4023&lt;&gt;"!!!"),"NEW","")))</f>
        <v> </v>
      </c>
      <c r="G4023" s="24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5" t="str">
        <f>IF(J4023&lt;&gt;1,"",IF(I4023="SBJ","CB","?"))</f>
        <v> </v>
      </c>
      <c r="I4023" s="26" t="str">
        <f>IF(OR(E4023="",E4023="!!!",F4023="NEW"),"",INDEX(B4022:B$2,-1+SUMPRODUCT(MAX(ROW(E4022:E$2)*(E4023=E4022:E$2)))))</f>
        <v> </v>
      </c>
      <c r="J4023" s="26" t="str">
        <f>IF(OR(E4023="",E4023="!!!",F4023="NEW"),"",COUNTBLANK(OFFSET(A$1,,,SUMPRODUCT(MAX(ROW(E$2:E4023)*(E4023=E$2:E4023)))))-COUNTBLANK(OFFSET(A$1,,,SUMPRODUCT(MAX(ROW(E$1:E4022)*(E2=E$1:E4022))))))</f>
        <v> </v>
      </c>
      <c r="K4023" s="26" t="str">
        <f>IF(OR(E4023="",E4023="!!!",F4023="NEW"),"",INDEX(J$1:J4022,SUMPRODUCT(MAX(ROW(E$1:E4022)*(E4023=E$1:E4022)))))</f>
        <v> </v>
      </c>
      <c r="L4023" s="27"/>
    </row>
    <row r="4024" spans="1:12">
      <c r="A4024" s="20" t="s">
        <v>2539</v>
      </c>
      <c r="E4024" s="22">
        <f>IF(D4024="?OLD","!!!","")</f>
        <v/>
      </c>
      <c r="F4024" s="23" t="str">
        <f>IF(OR(E4024="",E4024="!!!"),"",IF(NOT(ISNA(VLOOKUP(E4024,E$1:E4023,1,FALSE()))),"OLD",IF(AND(E4024&lt;&gt;"",E4024&lt;&gt;"!!!"),"NEW","")))</f>
        <v> </v>
      </c>
      <c r="G4024" s="24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5" t="str">
        <f>IF(J4024&lt;&gt;1,"",IF(I4024="SBJ","CB","?"))</f>
        <v> </v>
      </c>
      <c r="I4024" s="26" t="str">
        <f>IF(OR(E4024="",E4024="!!!",F4024="NEW"),"",INDEX(B4023:B$2,-1+SUMPRODUCT(MAX(ROW(E4023:E$2)*(E4024=E4023:E$2)))))</f>
        <v> </v>
      </c>
      <c r="J4024" s="26" t="str">
        <f>IF(OR(E4024="",E4024="!!!",F4024="NEW"),"",COUNTBLANK(OFFSET(A$1,,,SUMPRODUCT(MAX(ROW(E$2:E4024)*(E4024=E$2:E4024)))))-COUNTBLANK(OFFSET(A$1,,,SUMPRODUCT(MAX(ROW(E$1:E4023)*(E2=E$1:E4023))))))</f>
        <v> </v>
      </c>
      <c r="K4024" s="26" t="str">
        <f>IF(OR(E4024="",E4024="!!!",F4024="NEW"),"",INDEX(J$1:J4023,SUMPRODUCT(MAX(ROW(E$1:E4023)*(E4024=E$1:E4023)))))</f>
        <v> </v>
      </c>
      <c r="L4024" s="27"/>
    </row>
    <row r="4025" spans="1:12">
      <c r="A4025" s="20" t="s">
        <v>2540</v>
      </c>
      <c r="E4025" s="22">
        <f>IF(D4025="?OLD","!!!","")</f>
        <v/>
      </c>
      <c r="F4025" s="23" t="str">
        <f>IF(OR(E4025="",E4025="!!!"),"",IF(NOT(ISNA(VLOOKUP(E4025,E$1:E4024,1,FALSE()))),"OLD",IF(AND(E4025&lt;&gt;"",E4025&lt;&gt;"!!!"),"NEW","")))</f>
        <v> </v>
      </c>
      <c r="G4025" s="24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5" t="str">
        <f>IF(J4025&lt;&gt;1,"",IF(I4025="SBJ","CB","?"))</f>
        <v> </v>
      </c>
      <c r="I4025" s="26" t="str">
        <f>IF(OR(E4025="",E4025="!!!",F4025="NEW"),"",INDEX(B4024:B$2,-1+SUMPRODUCT(MAX(ROW(E4024:E$2)*(E4025=E4024:E$2)))))</f>
        <v> </v>
      </c>
      <c r="J4025" s="26" t="str">
        <f>IF(OR(E4025="",E4025="!!!",F4025="NEW"),"",COUNTBLANK(OFFSET(A$1,,,SUMPRODUCT(MAX(ROW(E$2:E4025)*(E4025=E$2:E4025)))))-COUNTBLANK(OFFSET(A$1,,,SUMPRODUCT(MAX(ROW(E$1:E4024)*(E2=E$1:E4024))))))</f>
        <v> </v>
      </c>
      <c r="K4025" s="26" t="str">
        <f>IF(OR(E4025="",E4025="!!!",F4025="NEW"),"",INDEX(J$1:J4024,SUMPRODUCT(MAX(ROW(E$1:E4024)*(E4025=E$1:E4024)))))</f>
        <v> </v>
      </c>
      <c r="L4025" s="27"/>
    </row>
    <row r="4026" spans="1:12">
      <c r="A4026" s="20" t="s">
        <v>1013</v>
      </c>
      <c r="E4026" s="22">
        <f>IF(D4026="?OLD","!!!","")</f>
        <v/>
      </c>
      <c r="F4026" s="23" t="str">
        <f>IF(OR(E4026="",E4026="!!!"),"",IF(NOT(ISNA(VLOOKUP(E4026,E$1:E4025,1,FALSE()))),"OLD",IF(AND(E4026&lt;&gt;"",E4026&lt;&gt;"!!!"),"NEW","")))</f>
        <v> </v>
      </c>
      <c r="G4026" s="24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5" t="str">
        <f>IF(J4026&lt;&gt;1,"",IF(I4026="SBJ","CB","?"))</f>
        <v> </v>
      </c>
      <c r="I4026" s="26" t="str">
        <f>IF(OR(E4026="",E4026="!!!",F4026="NEW"),"",INDEX(B4025:B$2,-1+SUMPRODUCT(MAX(ROW(E4025:E$2)*(E4026=E4025:E$2)))))</f>
        <v> </v>
      </c>
      <c r="J4026" s="26" t="str">
        <f>IF(OR(E4026="",E4026="!!!",F4026="NEW"),"",COUNTBLANK(OFFSET(A$1,,,SUMPRODUCT(MAX(ROW(E$2:E4026)*(E4026=E$2:E4026)))))-COUNTBLANK(OFFSET(A$1,,,SUMPRODUCT(MAX(ROW(E$1:E4025)*(E2=E$1:E4025))))))</f>
        <v> </v>
      </c>
      <c r="K4026" s="26" t="str">
        <f>IF(OR(E4026="",E4026="!!!",F4026="NEW"),"",INDEX(J$1:J4025,SUMPRODUCT(MAX(ROW(E$1:E4025)*(E4026=E$1:E4025)))))</f>
        <v> </v>
      </c>
      <c r="L4026" s="27"/>
    </row>
    <row r="4027" spans="1:12">
      <c r="A4027" s="20" t="s">
        <v>1886</v>
      </c>
      <c r="E4027" s="22">
        <f>IF(D4027="?OLD","!!!","")</f>
        <v/>
      </c>
      <c r="F4027" s="23" t="str">
        <f>IF(OR(E4027="",E4027="!!!"),"",IF(NOT(ISNA(VLOOKUP(E4027,E$1:E4026,1,FALSE()))),"OLD",IF(AND(E4027&lt;&gt;"",E4027&lt;&gt;"!!!"),"NEW","")))</f>
        <v> </v>
      </c>
      <c r="G4027" s="24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5" t="str">
        <f>IF(J4027&lt;&gt;1,"",IF(I4027="SBJ","CB","?"))</f>
        <v> </v>
      </c>
      <c r="I4027" s="26" t="str">
        <f>IF(OR(E4027="",E4027="!!!",F4027="NEW"),"",INDEX(B4026:B$2,-1+SUMPRODUCT(MAX(ROW(E4026:E$2)*(E4027=E4026:E$2)))))</f>
        <v> </v>
      </c>
      <c r="J4027" s="26" t="str">
        <f>IF(OR(E4027="",E4027="!!!",F4027="NEW"),"",COUNTBLANK(OFFSET(A$1,,,SUMPRODUCT(MAX(ROW(E$2:E4027)*(E4027=E$2:E4027)))))-COUNTBLANK(OFFSET(A$1,,,SUMPRODUCT(MAX(ROW(E$1:E4026)*(E2=E$1:E4026))))))</f>
        <v> </v>
      </c>
      <c r="K4027" s="26" t="str">
        <f>IF(OR(E4027="",E4027="!!!",F4027="NEW"),"",INDEX(J$1:J4026,SUMPRODUCT(MAX(ROW(E$1:E4026)*(E4027=E$1:E4026)))))</f>
        <v> </v>
      </c>
      <c r="L4027" s="27"/>
    </row>
    <row r="4028" spans="1:12">
      <c r="A4028" s="20" t="s">
        <v>1013</v>
      </c>
      <c r="E4028" s="22">
        <f>IF(D4028="?OLD","!!!","")</f>
        <v/>
      </c>
      <c r="F4028" s="23" t="str">
        <f>IF(OR(E4028="",E4028="!!!"),"",IF(NOT(ISNA(VLOOKUP(E4028,E$1:E4027,1,FALSE()))),"OLD",IF(AND(E4028&lt;&gt;"",E4028&lt;&gt;"!!!"),"NEW","")))</f>
        <v> </v>
      </c>
      <c r="G4028" s="24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5" t="str">
        <f>IF(J4028&lt;&gt;1,"",IF(I4028="SBJ","CB","?"))</f>
        <v> </v>
      </c>
      <c r="I4028" s="26" t="str">
        <f>IF(OR(E4028="",E4028="!!!",F4028="NEW"),"",INDEX(B4027:B$2,-1+SUMPRODUCT(MAX(ROW(E4027:E$2)*(E4028=E4027:E$2)))))</f>
        <v> </v>
      </c>
      <c r="J4028" s="26" t="str">
        <f>IF(OR(E4028="",E4028="!!!",F4028="NEW"),"",COUNTBLANK(OFFSET(A$1,,,SUMPRODUCT(MAX(ROW(E$2:E4028)*(E4028=E$2:E4028)))))-COUNTBLANK(OFFSET(A$1,,,SUMPRODUCT(MAX(ROW(E$1:E4027)*(E2=E$1:E4027))))))</f>
        <v> </v>
      </c>
      <c r="K4028" s="26" t="str">
        <f>IF(OR(E4028="",E4028="!!!",F4028="NEW"),"",INDEX(J$1:J4027,SUMPRODUCT(MAX(ROW(E$1:E4027)*(E4028=E$1:E4027)))))</f>
        <v> </v>
      </c>
      <c r="L4028" s="27"/>
    </row>
    <row r="4029" spans="1:12">
      <c r="A4029" s="20" t="s">
        <v>2093</v>
      </c>
      <c r="B4029" s="21" t="s">
        <v>1387</v>
      </c>
      <c r="C4029" s="21" t="s">
        <v>1232</v>
      </c>
      <c r="E4029" s="22">
        <f>IF(D4029="?OLD","!!!","")</f>
        <v/>
      </c>
      <c r="F4029" s="23" t="str">
        <f>IF(OR(E4029="",E4029="!!!"),"",IF(NOT(ISNA(VLOOKUP(E4029,E$1:E4028,1,FALSE()))),"OLD",IF(AND(E4029&lt;&gt;"",E4029&lt;&gt;"!!!"),"NEW","")))</f>
        <v> </v>
      </c>
      <c r="G4029" s="24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5" t="str">
        <f>IF(J4029&lt;&gt;1,"",IF(I4029="SBJ","CB","?"))</f>
        <v> </v>
      </c>
      <c r="I4029" s="26" t="str">
        <f>IF(OR(E4029="",E4029="!!!",F4029="NEW"),"",INDEX(B4028:B$2,-1+SUMPRODUCT(MAX(ROW(E4028:E$2)*(E4029=E4028:E$2)))))</f>
        <v> </v>
      </c>
      <c r="J4029" s="26" t="str">
        <f>IF(OR(E4029="",E4029="!!!",F4029="NEW"),"",COUNTBLANK(OFFSET(A$1,,,SUMPRODUCT(MAX(ROW(E$2:E4029)*(E4029=E$2:E4029)))))-COUNTBLANK(OFFSET(A$1,,,SUMPRODUCT(MAX(ROW(E$1:E4028)*(E2=E$1:E4028))))))</f>
        <v> </v>
      </c>
      <c r="K4029" s="26" t="str">
        <f>IF(OR(E4029="",E4029="!!!",F4029="NEW"),"",INDEX(J$1:J4028,SUMPRODUCT(MAX(ROW(E$1:E4028)*(E4029=E$1:E4028)))))</f>
        <v> </v>
      </c>
      <c r="L4029" s="27"/>
    </row>
    <row r="4030" spans="1:12">
      <c r="A4030" s="20" t="s">
        <v>1416</v>
      </c>
      <c r="E4030" s="22">
        <f>IF(D4030="?OLD","!!!","")</f>
        <v/>
      </c>
      <c r="F4030" s="23" t="str">
        <f>IF(OR(E4030="",E4030="!!!"),"",IF(NOT(ISNA(VLOOKUP(E4030,E$1:E4029,1,FALSE()))),"OLD",IF(AND(E4030&lt;&gt;"",E4030&lt;&gt;"!!!"),"NEW","")))</f>
        <v> </v>
      </c>
      <c r="G4030" s="24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5" t="str">
        <f>IF(J4030&lt;&gt;1,"",IF(I4030="SBJ","CB","?"))</f>
        <v> </v>
      </c>
      <c r="I4030" s="26" t="str">
        <f>IF(OR(E4030="",E4030="!!!",F4030="NEW"),"",INDEX(B4029:B$2,-1+SUMPRODUCT(MAX(ROW(E4029:E$2)*(E4030=E4029:E$2)))))</f>
        <v> </v>
      </c>
      <c r="J4030" s="26" t="str">
        <f>IF(OR(E4030="",E4030="!!!",F4030="NEW"),"",COUNTBLANK(OFFSET(A$1,,,SUMPRODUCT(MAX(ROW(E$2:E4030)*(E4030=E$2:E4030)))))-COUNTBLANK(OFFSET(A$1,,,SUMPRODUCT(MAX(ROW(E$1:E4029)*(E2=E$1:E4029))))))</f>
        <v> </v>
      </c>
      <c r="K4030" s="26" t="str">
        <f>IF(OR(E4030="",E4030="!!!",F4030="NEW"),"",INDEX(J$1:J4029,SUMPRODUCT(MAX(ROW(E$1:E4029)*(E4030=E$1:E4029)))))</f>
        <v> </v>
      </c>
      <c r="L4030" s="27"/>
    </row>
    <row r="4031" spans="1:12">
      <c r="A4031" s="20" t="s">
        <v>408</v>
      </c>
      <c r="E4031" s="22">
        <f>IF(D4031="?OLD","!!!","")</f>
        <v/>
      </c>
      <c r="F4031" s="23" t="str">
        <f>IF(OR(E4031="",E4031="!!!"),"",IF(NOT(ISNA(VLOOKUP(E4031,E$1:E4030,1,FALSE()))),"OLD",IF(AND(E4031&lt;&gt;"",E4031&lt;&gt;"!!!"),"NEW","")))</f>
        <v> </v>
      </c>
      <c r="G4031" s="24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5" t="str">
        <f>IF(J4031&lt;&gt;1,"",IF(I4031="SBJ","CB","?"))</f>
        <v> </v>
      </c>
      <c r="I4031" s="26" t="str">
        <f>IF(OR(E4031="",E4031="!!!",F4031="NEW"),"",INDEX(B4030:B$2,-1+SUMPRODUCT(MAX(ROW(E4030:E$2)*(E4031=E4030:E$2)))))</f>
        <v> </v>
      </c>
      <c r="J4031" s="26" t="str">
        <f>IF(OR(E4031="",E4031="!!!",F4031="NEW"),"",COUNTBLANK(OFFSET(A$1,,,SUMPRODUCT(MAX(ROW(E$2:E4031)*(E4031=E$2:E4031)))))-COUNTBLANK(OFFSET(A$1,,,SUMPRODUCT(MAX(ROW(E$1:E4030)*(E2=E$1:E4030))))))</f>
        <v> </v>
      </c>
      <c r="K4031" s="26" t="str">
        <f>IF(OR(E4031="",E4031="!!!",F4031="NEW"),"",INDEX(J$1:J4030,SUMPRODUCT(MAX(ROW(E$1:E4030)*(E4031=E$1:E4030)))))</f>
        <v> </v>
      </c>
      <c r="L4031" s="27"/>
    </row>
    <row r="4032" spans="1:12">
      <c r="A4032" s="20" t="s">
        <v>2541</v>
      </c>
      <c r="B4032" s="21" t="s">
        <v>2542</v>
      </c>
      <c r="E4032" s="22">
        <f>IF(D4032="?OLD","!!!","")</f>
        <v/>
      </c>
      <c r="F4032" s="23" t="str">
        <f>IF(OR(E4032="",E4032="!!!"),"",IF(NOT(ISNA(VLOOKUP(E4032,E$1:E4031,1,FALSE()))),"OLD",IF(AND(E4032&lt;&gt;"",E4032&lt;&gt;"!!!"),"NEW","")))</f>
        <v> </v>
      </c>
      <c r="G4032" s="24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5" t="str">
        <f>IF(J4032&lt;&gt;1,"",IF(I4032="SBJ","CB","?"))</f>
        <v> </v>
      </c>
      <c r="I4032" s="26" t="str">
        <f>IF(OR(E4032="",E4032="!!!",F4032="NEW"),"",INDEX(B4031:B$2,-1+SUMPRODUCT(MAX(ROW(E4031:E$2)*(E4032=E4031:E$2)))))</f>
        <v> </v>
      </c>
      <c r="J4032" s="26" t="str">
        <f>IF(OR(E4032="",E4032="!!!",F4032="NEW"),"",COUNTBLANK(OFFSET(A$1,,,SUMPRODUCT(MAX(ROW(E$2:E4032)*(E4032=E$2:E4032)))))-COUNTBLANK(OFFSET(A$1,,,SUMPRODUCT(MAX(ROW(E$1:E4031)*(E2=E$1:E4031))))))</f>
        <v> </v>
      </c>
      <c r="K4032" s="26" t="str">
        <f>IF(OR(E4032="",E4032="!!!",F4032="NEW"),"",INDEX(J$1:J4031,SUMPRODUCT(MAX(ROW(E$1:E4031)*(E4032=E$1:E4031)))))</f>
        <v> </v>
      </c>
      <c r="L4032" s="27"/>
    </row>
    <row r="4033" spans="1:12">
      <c r="A4033" s="20" t="s">
        <v>1269</v>
      </c>
      <c r="E4033" s="22">
        <f>IF(D4033="?OLD","!!!","")</f>
        <v/>
      </c>
      <c r="F4033" s="23" t="str">
        <f>IF(OR(E4033="",E4033="!!!"),"",IF(NOT(ISNA(VLOOKUP(E4033,E$1:E4032,1,FALSE()))),"OLD",IF(AND(E4033&lt;&gt;"",E4033&lt;&gt;"!!!"),"NEW","")))</f>
        <v> </v>
      </c>
      <c r="G4033" s="24" t="str">
        <f>IF(OR(E4033="",E4033="!!!"),"",IF(OR(J4033=0,AND(J4033=1,K4033=1),AND(J4033=1,I4033="SBJ"),AND(J4033=1,I4033=0)),"?IN_FOCUS",IF(J4033&lt;=2,"?ACTIVATED",IF(J4033&lt;&gt;"","?FAMILIAR",IF(F4033="NEW",IF(ISNA(VLOOKUP(E4033,#REF!,1,FALSE())),"?TYPE_IDENTIFIABLE","?REFERENTIAL"),"_")))))</f>
        <v> </v>
      </c>
      <c r="H4033" s="25" t="str">
        <f>IF(J4033&lt;&gt;1,"",IF(I4033="SBJ","CB","?"))</f>
        <v> </v>
      </c>
      <c r="I4033" s="26" t="str">
        <f>IF(OR(E4033="",E4033="!!!",F4033="NEW"),"",INDEX(B4032:B$2,-1+SUMPRODUCT(MAX(ROW(E4032:E$2)*(E4033=E4032:E$2)))))</f>
        <v> </v>
      </c>
      <c r="J4033" s="26" t="str">
        <f>IF(OR(E4033="",E4033="!!!",F4033="NEW"),"",COUNTBLANK(OFFSET(A$1,,,SUMPRODUCT(MAX(ROW(E$2:E4033)*(E4033=E$2:E4033)))))-COUNTBLANK(OFFSET(A$1,,,SUMPRODUCT(MAX(ROW(E$1:E4032)*(E2=E$1:E4032))))))</f>
        <v> </v>
      </c>
      <c r="K4033" s="26" t="str">
        <f>IF(OR(E4033="",E4033="!!!",F4033="NEW"),"",INDEX(J$1:J4032,SUMPRODUCT(MAX(ROW(E$1:E4032)*(E4033=E$1:E4032)))))</f>
        <v> </v>
      </c>
      <c r="L4033" s="27"/>
    </row>
    <row r="4034" spans="1:12">
      <c r="A4034" s="20" t="s">
        <v>2543</v>
      </c>
      <c r="B4034" s="21" t="s">
        <v>1287</v>
      </c>
      <c r="C4034" s="21" t="s">
        <v>1200</v>
      </c>
      <c r="D4034" s="21" t="s">
        <v>972</v>
      </c>
      <c r="E4034" s="22">
        <f>IF(D4034="?OLD","!!!","")</f>
        <v/>
      </c>
      <c r="F4034" s="23" t="str">
        <f>IF(OR(E4034="",E4034="!!!"),"",IF(NOT(ISNA(VLOOKUP(E4034,E$1:E4033,1,FALSE()))),"OLD",IF(AND(E4034&lt;&gt;"",E4034&lt;&gt;"!!!"),"NEW","")))</f>
        <v> </v>
      </c>
      <c r="G4034" s="24" t="str">
        <f>IF(OR(E4034="",E4034="!!!"),"",IF(OR(J4034=0,AND(J4034=1,K4034=1),AND(J4034=1,I4034="SBJ"),AND(J4034=1,I4034=0)),"?IN_FOCUS",IF(J4034&lt;=2,"?ACTIVATED",IF(J4034&lt;&gt;"","?FAMILIAR",IF(F4034="NEW",IF(ISNA(VLOOKUP(E4034,#REF!,1,FALSE())),"?TYPE_IDENTIFIABLE","?REFERENTIAL"),"_")))))</f>
        <v> </v>
      </c>
      <c r="H4034" s="25" t="str">
        <f>IF(J4034&lt;&gt;1,"",IF(I4034="SBJ","CB","?"))</f>
        <v> </v>
      </c>
      <c r="I4034" s="26" t="str">
        <f>IF(OR(E4034="",E4034="!!!",F4034="NEW"),"",INDEX(B4033:B$2,-1+SUMPRODUCT(MAX(ROW(E4033:E$2)*(E4034=E4033:E$2)))))</f>
        <v> </v>
      </c>
      <c r="J4034" s="26" t="str">
        <f>IF(OR(E4034="",E4034="!!!",F4034="NEW"),"",COUNTBLANK(OFFSET(A$1,,,SUMPRODUCT(MAX(ROW(E$2:E4034)*(E4034=E$2:E4034)))))-COUNTBLANK(OFFSET(A$1,,,SUMPRODUCT(MAX(ROW(E$1:E4033)*(E2=E$1:E4033))))))</f>
        <v> </v>
      </c>
      <c r="K4034" s="26" t="str">
        <f>IF(OR(E4034="",E4034="!!!",F4034="NEW"),"",INDEX(J$1:J4033,SUMPRODUCT(MAX(ROW(E$1:E4033)*(E4034=E$1:E4033)))))</f>
        <v> </v>
      </c>
      <c r="L4034" s="27"/>
    </row>
    <row r="4035" spans="1:12">
      <c r="A4035" s="20" t="s">
        <v>1162</v>
      </c>
      <c r="E4035" s="22">
        <f>IF(D4035="?OLD","!!!","")</f>
        <v/>
      </c>
      <c r="F4035" s="23" t="str">
        <f>IF(OR(E4035="",E4035="!!!"),"",IF(NOT(ISNA(VLOOKUP(E4035,E$1:E4034,1,FALSE()))),"OLD",IF(AND(E4035&lt;&gt;"",E4035&lt;&gt;"!!!"),"NEW","")))</f>
        <v> </v>
      </c>
      <c r="G4035" s="24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5" t="str">
        <f>IF(J4035&lt;&gt;1,"",IF(I4035="SBJ","CB","?"))</f>
        <v> </v>
      </c>
      <c r="I4035" s="26" t="str">
        <f>IF(OR(E4035="",E4035="!!!",F4035="NEW"),"",INDEX(B4034:B$2,-1+SUMPRODUCT(MAX(ROW(E4034:E$2)*(E4035=E4034:E$2)))))</f>
        <v> </v>
      </c>
      <c r="J4035" s="26" t="str">
        <f>IF(OR(E4035="",E4035="!!!",F4035="NEW"),"",COUNTBLANK(OFFSET(A$1,,,SUMPRODUCT(MAX(ROW(E$2:E4035)*(E4035=E$2:E4035)))))-COUNTBLANK(OFFSET(A$1,,,SUMPRODUCT(MAX(ROW(E$1:E4034)*(E2=E$1:E4034))))))</f>
        <v> </v>
      </c>
      <c r="K4035" s="26" t="str">
        <f>IF(OR(E4035="",E4035="!!!",F4035="NEW"),"",INDEX(J$1:J4034,SUMPRODUCT(MAX(ROW(E$1:E4034)*(E4035=E$1:E4034)))))</f>
        <v> </v>
      </c>
      <c r="L4035" s="27"/>
    </row>
    <row r="4036" spans="1:12">
      <c r="A4036" s="20" t="s">
        <v>1234</v>
      </c>
      <c r="B4036" s="21" t="s">
        <v>2544</v>
      </c>
      <c r="C4036" s="21" t="s">
        <v>1012</v>
      </c>
      <c r="D4036" s="21" t="s">
        <v>972</v>
      </c>
      <c r="E4036" s="22">
        <f>IF(D4036="?OLD","!!!","")</f>
        <v/>
      </c>
      <c r="F4036" s="23" t="str">
        <f>IF(OR(E4036="",E4036="!!!"),"",IF(NOT(ISNA(VLOOKUP(E4036,E$1:E4035,1,FALSE()))),"OLD",IF(AND(E4036&lt;&gt;"",E4036&lt;&gt;"!!!"),"NEW","")))</f>
        <v> </v>
      </c>
      <c r="G4036" s="24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5" t="str">
        <f>IF(J4036&lt;&gt;1,"",IF(I4036="SBJ","CB","?"))</f>
        <v> </v>
      </c>
      <c r="I4036" s="26" t="str">
        <f>IF(OR(E4036="",E4036="!!!",F4036="NEW"),"",INDEX(B4035:B$2,-1+SUMPRODUCT(MAX(ROW(E4035:E$2)*(E4036=E4035:E$2)))))</f>
        <v> </v>
      </c>
      <c r="J4036" s="26" t="str">
        <f>IF(OR(E4036="",E4036="!!!",F4036="NEW"),"",COUNTBLANK(OFFSET(A$1,,,SUMPRODUCT(MAX(ROW(E$2:E4036)*(E4036=E$2:E4036)))))-COUNTBLANK(OFFSET(A$1,,,SUMPRODUCT(MAX(ROW(E$1:E4035)*(E2=E$1:E4035))))))</f>
        <v> </v>
      </c>
      <c r="K4036" s="26" t="str">
        <f>IF(OR(E4036="",E4036="!!!",F4036="NEW"),"",INDEX(J$1:J4035,SUMPRODUCT(MAX(ROW(E$1:E4035)*(E4036=E$1:E4035)))))</f>
        <v> </v>
      </c>
      <c r="L4036" s="27"/>
    </row>
    <row r="4037" spans="1:12">
      <c r="A4037" s="20" t="s">
        <v>1013</v>
      </c>
      <c r="E4037" s="22">
        <f>IF(D4037="?OLD","!!!","")</f>
        <v/>
      </c>
      <c r="F4037" s="23" t="str">
        <f>IF(OR(E4037="",E4037="!!!"),"",IF(NOT(ISNA(VLOOKUP(E4037,E$1:E4036,1,FALSE()))),"OLD",IF(AND(E4037&lt;&gt;"",E4037&lt;&gt;"!!!"),"NEW","")))</f>
        <v> </v>
      </c>
      <c r="G4037" s="24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5" t="str">
        <f>IF(J4037&lt;&gt;1,"",IF(I4037="SBJ","CB","?"))</f>
        <v> </v>
      </c>
      <c r="I4037" s="26" t="str">
        <f>IF(OR(E4037="",E4037="!!!",F4037="NEW"),"",INDEX(B4036:B$2,-1+SUMPRODUCT(MAX(ROW(E4036:E$2)*(E4037=E4036:E$2)))))</f>
        <v> </v>
      </c>
      <c r="J4037" s="26" t="str">
        <f>IF(OR(E4037="",E4037="!!!",F4037="NEW"),"",COUNTBLANK(OFFSET(A$1,,,SUMPRODUCT(MAX(ROW(E$2:E4037)*(E4037=E$2:E4037)))))-COUNTBLANK(OFFSET(A$1,,,SUMPRODUCT(MAX(ROW(E$1:E4036)*(E2=E$1:E4036))))))</f>
        <v> </v>
      </c>
      <c r="K4037" s="26" t="str">
        <f>IF(OR(E4037="",E4037="!!!",F4037="NEW"),"",INDEX(J$1:J4036,SUMPRODUCT(MAX(ROW(E$1:E4036)*(E4037=E$1:E4036)))))</f>
        <v> </v>
      </c>
      <c r="L4037" s="27"/>
    </row>
    <row r="4038" spans="1:12">
      <c r="A4038" s="20" t="s">
        <v>1053</v>
      </c>
      <c r="E4038" s="22">
        <f>IF(D4038="?OLD","!!!","")</f>
        <v/>
      </c>
      <c r="F4038" s="23" t="str">
        <f>IF(OR(E4038="",E4038="!!!"),"",IF(NOT(ISNA(VLOOKUP(E4038,E$1:E4037,1,FALSE()))),"OLD",IF(AND(E4038&lt;&gt;"",E4038&lt;&gt;"!!!"),"NEW","")))</f>
        <v> </v>
      </c>
      <c r="G4038" s="24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5" t="str">
        <f>IF(J4038&lt;&gt;1,"",IF(I4038="SBJ","CB","?"))</f>
        <v> </v>
      </c>
      <c r="I4038" s="26" t="str">
        <f>IF(OR(E4038="",E4038="!!!",F4038="NEW"),"",INDEX(B4037:B$2,-1+SUMPRODUCT(MAX(ROW(E4037:E$2)*(E4038=E4037:E$2)))))</f>
        <v> </v>
      </c>
      <c r="J4038" s="26" t="str">
        <f>IF(OR(E4038="",E4038="!!!",F4038="NEW"),"",COUNTBLANK(OFFSET(A$1,,,SUMPRODUCT(MAX(ROW(E$2:E4038)*(E4038=E$2:E4038)))))-COUNTBLANK(OFFSET(A$1,,,SUMPRODUCT(MAX(ROW(E$1:E4037)*(E2=E$1:E4037))))))</f>
        <v> </v>
      </c>
      <c r="K4038" s="26" t="str">
        <f>IF(OR(E4038="",E4038="!!!",F4038="NEW"),"",INDEX(J$1:J4037,SUMPRODUCT(MAX(ROW(E$1:E4037)*(E4038=E$1:E4037)))))</f>
        <v> </v>
      </c>
      <c r="L4038" s="27"/>
    </row>
    <row r="4039" spans="1:12">
      <c r="A4039" s="20" t="s">
        <v>446</v>
      </c>
      <c r="E4039" s="22">
        <f>IF(D4039="?OLD","!!!","")</f>
        <v/>
      </c>
      <c r="F4039" s="23" t="str">
        <f>IF(OR(E4039="",E4039="!!!"),"",IF(NOT(ISNA(VLOOKUP(E4039,E$1:E4038,1,FALSE()))),"OLD",IF(AND(E4039&lt;&gt;"",E4039&lt;&gt;"!!!"),"NEW","")))</f>
        <v> </v>
      </c>
      <c r="G4039" s="24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5" t="str">
        <f>IF(J4039&lt;&gt;1,"",IF(I4039="SBJ","CB","?"))</f>
        <v> </v>
      </c>
      <c r="I4039" s="26" t="str">
        <f>IF(OR(E4039="",E4039="!!!",F4039="NEW"),"",INDEX(B4038:B$2,-1+SUMPRODUCT(MAX(ROW(E4038:E$2)*(E4039=E4038:E$2)))))</f>
        <v> </v>
      </c>
      <c r="J4039" s="26" t="str">
        <f>IF(OR(E4039="",E4039="!!!",F4039="NEW"),"",COUNTBLANK(OFFSET(A$1,,,SUMPRODUCT(MAX(ROW(E$2:E4039)*(E4039=E$2:E4039)))))-COUNTBLANK(OFFSET(A$1,,,SUMPRODUCT(MAX(ROW(E$1:E4038)*(E2=E$1:E4038))))))</f>
        <v> </v>
      </c>
      <c r="K4039" s="26" t="str">
        <f>IF(OR(E4039="",E4039="!!!",F4039="NEW"),"",INDEX(J$1:J4038,SUMPRODUCT(MAX(ROW(E$1:E4038)*(E4039=E$1:E4038)))))</f>
        <v> </v>
      </c>
      <c r="L4039" s="27"/>
    </row>
    <row r="4040" spans="1:12">
      <c r="A4040" s="20" t="s">
        <v>633</v>
      </c>
      <c r="E4040" s="22">
        <f>IF(D4040="?OLD","!!!","")</f>
        <v/>
      </c>
      <c r="F4040" s="23" t="str">
        <f>IF(OR(E4040="",E4040="!!!"),"",IF(NOT(ISNA(VLOOKUP(E4040,E$1:E4039,1,FALSE()))),"OLD",IF(AND(E4040&lt;&gt;"",E4040&lt;&gt;"!!!"),"NEW","")))</f>
        <v> </v>
      </c>
      <c r="G4040" s="24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5" t="str">
        <f>IF(J4040&lt;&gt;1,"",IF(I4040="SBJ","CB","?"))</f>
        <v> </v>
      </c>
      <c r="I4040" s="26" t="str">
        <f>IF(OR(E4040="",E4040="!!!",F4040="NEW"),"",INDEX(B4039:B$2,-1+SUMPRODUCT(MAX(ROW(E4039:E$2)*(E4040=E4039:E$2)))))</f>
        <v> </v>
      </c>
      <c r="J4040" s="26" t="str">
        <f>IF(OR(E4040="",E4040="!!!",F4040="NEW"),"",COUNTBLANK(OFFSET(A$1,,,SUMPRODUCT(MAX(ROW(E$2:E4040)*(E4040=E$2:E4040)))))-COUNTBLANK(OFFSET(A$1,,,SUMPRODUCT(MAX(ROW(E$1:E4039)*(E2=E$1:E4039))))))</f>
        <v> </v>
      </c>
      <c r="K4040" s="26" t="str">
        <f>IF(OR(E4040="",E4040="!!!",F4040="NEW"),"",INDEX(J$1:J4039,SUMPRODUCT(MAX(ROW(E$1:E4039)*(E4040=E$1:E4039)))))</f>
        <v> </v>
      </c>
      <c r="L4040" s="27"/>
    </row>
    <row r="4041" spans="1:12">
      <c r="A4041" s="20" t="s">
        <v>2545</v>
      </c>
      <c r="E4041" s="22">
        <f>IF(D4041="?OLD","!!!","")</f>
        <v/>
      </c>
      <c r="F4041" s="23" t="str">
        <f>IF(OR(E4041="",E4041="!!!"),"",IF(NOT(ISNA(VLOOKUP(E4041,E$1:E4040,1,FALSE()))),"OLD",IF(AND(E4041&lt;&gt;"",E4041&lt;&gt;"!!!"),"NEW","")))</f>
        <v> </v>
      </c>
      <c r="G4041" s="24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5" t="str">
        <f>IF(J4041&lt;&gt;1,"",IF(I4041="SBJ","CB","?"))</f>
        <v> </v>
      </c>
      <c r="I4041" s="26" t="str">
        <f>IF(OR(E4041="",E4041="!!!",F4041="NEW"),"",INDEX(B4040:B$2,-1+SUMPRODUCT(MAX(ROW(E4040:E$2)*(E4041=E4040:E$2)))))</f>
        <v> </v>
      </c>
      <c r="J4041" s="26" t="str">
        <f>IF(OR(E4041="",E4041="!!!",F4041="NEW"),"",COUNTBLANK(OFFSET(A$1,,,SUMPRODUCT(MAX(ROW(E$2:E4041)*(E4041=E$2:E4041)))))-COUNTBLANK(OFFSET(A$1,,,SUMPRODUCT(MAX(ROW(E$1:E4040)*(E2=E$1:E4040))))))</f>
        <v> </v>
      </c>
      <c r="K4041" s="26" t="str">
        <f>IF(OR(E4041="",E4041="!!!",F4041="NEW"),"",INDEX(J$1:J4040,SUMPRODUCT(MAX(ROW(E$1:E4040)*(E4041=E$1:E4040)))))</f>
        <v> </v>
      </c>
      <c r="L4041" s="27"/>
    </row>
    <row r="4042" spans="1:12">
      <c r="A4042" s="20" t="s">
        <v>2546</v>
      </c>
      <c r="E4042" s="22">
        <f>IF(D4042="?OLD","!!!","")</f>
        <v/>
      </c>
      <c r="F4042" s="23" t="str">
        <f>IF(OR(E4042="",E4042="!!!"),"",IF(NOT(ISNA(VLOOKUP(E4042,E$1:E4041,1,FALSE()))),"OLD",IF(AND(E4042&lt;&gt;"",E4042&lt;&gt;"!!!"),"NEW","")))</f>
        <v> </v>
      </c>
      <c r="G4042" s="24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5" t="str">
        <f>IF(J4042&lt;&gt;1,"",IF(I4042="SBJ","CB","?"))</f>
        <v> </v>
      </c>
      <c r="I4042" s="26" t="str">
        <f>IF(OR(E4042="",E4042="!!!",F4042="NEW"),"",INDEX(B4041:B$2,-1+SUMPRODUCT(MAX(ROW(E4041:E$2)*(E4042=E4041:E$2)))))</f>
        <v> </v>
      </c>
      <c r="J4042" s="26" t="str">
        <f>IF(OR(E4042="",E4042="!!!",F4042="NEW"),"",COUNTBLANK(OFFSET(A$1,,,SUMPRODUCT(MAX(ROW(E$2:E4042)*(E4042=E$2:E4042)))))-COUNTBLANK(OFFSET(A$1,,,SUMPRODUCT(MAX(ROW(E$1:E4041)*(E2=E$1:E4041))))))</f>
        <v> </v>
      </c>
      <c r="K4042" s="26" t="str">
        <f>IF(OR(E4042="",E4042="!!!",F4042="NEW"),"",INDEX(J$1:J4041,SUMPRODUCT(MAX(ROW(E$1:E4041)*(E4042=E$1:E4041)))))</f>
        <v> </v>
      </c>
      <c r="L4042" s="27"/>
    </row>
    <row r="4043" spans="1:12">
      <c r="A4043" s="20" t="s">
        <v>1902</v>
      </c>
      <c r="E4043" s="22">
        <f>IF(D4043="?OLD","!!!","")</f>
        <v/>
      </c>
      <c r="F4043" s="23" t="str">
        <f>IF(OR(E4043="",E4043="!!!"),"",IF(NOT(ISNA(VLOOKUP(E4043,E$1:E4042,1,FALSE()))),"OLD",IF(AND(E4043&lt;&gt;"",E4043&lt;&gt;"!!!"),"NEW","")))</f>
        <v> </v>
      </c>
      <c r="G4043" s="24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5" t="str">
        <f>IF(J4043&lt;&gt;1,"",IF(I4043="SBJ","CB","?"))</f>
        <v> </v>
      </c>
      <c r="I4043" s="26" t="str">
        <f>IF(OR(E4043="",E4043="!!!",F4043="NEW"),"",INDEX(B4042:B$2,-1+SUMPRODUCT(MAX(ROW(E4042:E$2)*(E4043=E4042:E$2)))))</f>
        <v> </v>
      </c>
      <c r="J4043" s="26" t="str">
        <f>IF(OR(E4043="",E4043="!!!",F4043="NEW"),"",COUNTBLANK(OFFSET(A$1,,,SUMPRODUCT(MAX(ROW(E$2:E4043)*(E4043=E$2:E4043)))))-COUNTBLANK(OFFSET(A$1,,,SUMPRODUCT(MAX(ROW(E$1:E4042)*(E2=E$1:E4042))))))</f>
        <v> </v>
      </c>
      <c r="K4043" s="26" t="str">
        <f>IF(OR(E4043="",E4043="!!!",F4043="NEW"),"",INDEX(J$1:J4042,SUMPRODUCT(MAX(ROW(E$1:E4042)*(E4043=E$1:E4042)))))</f>
        <v> </v>
      </c>
      <c r="L4043" s="27"/>
    </row>
    <row r="4044" spans="1:12">
      <c r="A4044" s="20" t="s">
        <v>2547</v>
      </c>
      <c r="B4044" s="21" t="s">
        <v>2548</v>
      </c>
      <c r="E4044" s="22">
        <f>IF(D4044="?OLD","!!!","")</f>
        <v/>
      </c>
      <c r="F4044" s="23" t="str">
        <f>IF(OR(E4044="",E4044="!!!"),"",IF(NOT(ISNA(VLOOKUP(E4044,E$1:E4043,1,FALSE()))),"OLD",IF(AND(E4044&lt;&gt;"",E4044&lt;&gt;"!!!"),"NEW","")))</f>
        <v> </v>
      </c>
      <c r="G4044" s="24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5" t="str">
        <f>IF(J4044&lt;&gt;1,"",IF(I4044="SBJ","CB","?"))</f>
        <v> </v>
      </c>
      <c r="I4044" s="26" t="str">
        <f>IF(OR(E4044="",E4044="!!!",F4044="NEW"),"",INDEX(B4043:B$2,-1+SUMPRODUCT(MAX(ROW(E4043:E$2)*(E4044=E4043:E$2)))))</f>
        <v> </v>
      </c>
      <c r="J4044" s="26" t="str">
        <f>IF(OR(E4044="",E4044="!!!",F4044="NEW"),"",COUNTBLANK(OFFSET(A$1,,,SUMPRODUCT(MAX(ROW(E$2:E4044)*(E4044=E$2:E4044)))))-COUNTBLANK(OFFSET(A$1,,,SUMPRODUCT(MAX(ROW(E$1:E4043)*(E2=E$1:E4043))))))</f>
        <v> </v>
      </c>
      <c r="K4044" s="26" t="str">
        <f>IF(OR(E4044="",E4044="!!!",F4044="NEW"),"",INDEX(J$1:J4043,SUMPRODUCT(MAX(ROW(E$1:E4043)*(E4044=E$1:E4043)))))</f>
        <v> </v>
      </c>
      <c r="L4044" s="27"/>
    </row>
    <row r="4045" spans="1:12">
      <c r="A4045" s="20" t="s">
        <v>1162</v>
      </c>
      <c r="E4045" s="22">
        <f>IF(D4045="?OLD","!!!","")</f>
        <v/>
      </c>
      <c r="F4045" s="23" t="str">
        <f>IF(OR(E4045="",E4045="!!!"),"",IF(NOT(ISNA(VLOOKUP(E4045,E$1:E4044,1,FALSE()))),"OLD",IF(AND(E4045&lt;&gt;"",E4045&lt;&gt;"!!!"),"NEW","")))</f>
        <v> </v>
      </c>
      <c r="G4045" s="24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5" t="str">
        <f>IF(J4045&lt;&gt;1,"",IF(I4045="SBJ","CB","?"))</f>
        <v> </v>
      </c>
      <c r="I4045" s="26" t="str">
        <f>IF(OR(E4045="",E4045="!!!",F4045="NEW"),"",INDEX(B4044:B$2,-1+SUMPRODUCT(MAX(ROW(E4044:E$2)*(E4045=E4044:E$2)))))</f>
        <v> </v>
      </c>
      <c r="J4045" s="26" t="str">
        <f>IF(OR(E4045="",E4045="!!!",F4045="NEW"),"",COUNTBLANK(OFFSET(A$1,,,SUMPRODUCT(MAX(ROW(E$2:E4045)*(E4045=E$2:E4045)))))-COUNTBLANK(OFFSET(A$1,,,SUMPRODUCT(MAX(ROW(E$1:E4044)*(E2=E$1:E4044))))))</f>
        <v> </v>
      </c>
      <c r="K4045" s="26" t="str">
        <f>IF(OR(E4045="",E4045="!!!",F4045="NEW"),"",INDEX(J$1:J4044,SUMPRODUCT(MAX(ROW(E$1:E4044)*(E4045=E$1:E4044)))))</f>
        <v> </v>
      </c>
      <c r="L4045" s="27"/>
    </row>
    <row r="4046" spans="1:12">
      <c r="A4046" s="20" t="s">
        <v>2460</v>
      </c>
      <c r="E4046" s="22">
        <f>IF(D4046="?OLD","!!!","")</f>
        <v/>
      </c>
      <c r="F4046" s="23" t="str">
        <f>IF(OR(E4046="",E4046="!!!"),"",IF(NOT(ISNA(VLOOKUP(E4046,E$1:E4045,1,FALSE()))),"OLD",IF(AND(E4046&lt;&gt;"",E4046&lt;&gt;"!!!"),"NEW","")))</f>
        <v> </v>
      </c>
      <c r="G4046" s="24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5" t="str">
        <f>IF(J4046&lt;&gt;1,"",IF(I4046="SBJ","CB","?"))</f>
        <v> </v>
      </c>
      <c r="I4046" s="26" t="str">
        <f>IF(OR(E4046="",E4046="!!!",F4046="NEW"),"",INDEX(B4045:B$2,-1+SUMPRODUCT(MAX(ROW(E4045:E$2)*(E4046=E4045:E$2)))))</f>
        <v> </v>
      </c>
      <c r="J4046" s="26" t="str">
        <f>IF(OR(E4046="",E4046="!!!",F4046="NEW"),"",COUNTBLANK(OFFSET(A$1,,,SUMPRODUCT(MAX(ROW(E$2:E4046)*(E4046=E$2:E4046)))))-COUNTBLANK(OFFSET(A$1,,,SUMPRODUCT(MAX(ROW(E$1:E4045)*(E2=E$1:E4045))))))</f>
        <v> </v>
      </c>
      <c r="K4046" s="26" t="str">
        <f>IF(OR(E4046="",E4046="!!!",F4046="NEW"),"",INDEX(J$1:J4045,SUMPRODUCT(MAX(ROW(E$1:E4045)*(E4046=E$1:E4045)))))</f>
        <v> </v>
      </c>
      <c r="L4046" s="27"/>
    </row>
    <row r="4047" spans="1:12">
      <c r="A4047" s="20" t="s">
        <v>1004</v>
      </c>
      <c r="E4047" s="22">
        <f>IF(D4047="?OLD","!!!","")</f>
        <v/>
      </c>
      <c r="F4047" s="23" t="str">
        <f>IF(OR(E4047="",E4047="!!!"),"",IF(NOT(ISNA(VLOOKUP(E4047,E$1:E4046,1,FALSE()))),"OLD",IF(AND(E4047&lt;&gt;"",E4047&lt;&gt;"!!!"),"NEW","")))</f>
        <v> </v>
      </c>
      <c r="G4047" s="24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5" t="str">
        <f>IF(J4047&lt;&gt;1,"",IF(I4047="SBJ","CB","?"))</f>
        <v> </v>
      </c>
      <c r="I4047" s="26" t="str">
        <f>IF(OR(E4047="",E4047="!!!",F4047="NEW"),"",INDEX(B4046:B$2,-1+SUMPRODUCT(MAX(ROW(E4046:E$2)*(E4047=E4046:E$2)))))</f>
        <v> </v>
      </c>
      <c r="J4047" s="26" t="str">
        <f>IF(OR(E4047="",E4047="!!!",F4047="NEW"),"",COUNTBLANK(OFFSET(A$1,,,SUMPRODUCT(MAX(ROW(E$2:E4047)*(E4047=E$2:E4047)))))-COUNTBLANK(OFFSET(A$1,,,SUMPRODUCT(MAX(ROW(E$1:E4046)*(E2=E$1:E4046))))))</f>
        <v> </v>
      </c>
      <c r="K4047" s="26" t="str">
        <f>IF(OR(E4047="",E4047="!!!",F4047="NEW"),"",INDEX(J$1:J4046,SUMPRODUCT(MAX(ROW(E$1:E4046)*(E4047=E$1:E4046)))))</f>
        <v> </v>
      </c>
      <c r="L4047" s="27"/>
    </row>
    <row r="4048" spans="1:12">
      <c r="A4048" s="20" t="s">
        <v>979</v>
      </c>
      <c r="E4048" s="22">
        <f>IF(D4048="?OLD","!!!","")</f>
        <v/>
      </c>
      <c r="F4048" s="23" t="str">
        <f>IF(OR(E4048="",E4048="!!!"),"",IF(NOT(ISNA(VLOOKUP(E4048,E$1:E4047,1,FALSE()))),"OLD",IF(AND(E4048&lt;&gt;"",E4048&lt;&gt;"!!!"),"NEW","")))</f>
        <v> </v>
      </c>
      <c r="G4048" s="24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5" t="str">
        <f>IF(J4048&lt;&gt;1,"",IF(I4048="SBJ","CB","?"))</f>
        <v> </v>
      </c>
      <c r="I4048" s="26" t="str">
        <f>IF(OR(E4048="",E4048="!!!",F4048="NEW"),"",INDEX(B4047:B$2,-1+SUMPRODUCT(MAX(ROW(E4047:E$2)*(E4048=E4047:E$2)))))</f>
        <v> </v>
      </c>
      <c r="J4048" s="26" t="str">
        <f>IF(OR(E4048="",E4048="!!!",F4048="NEW"),"",COUNTBLANK(OFFSET(A$1,,,SUMPRODUCT(MAX(ROW(E$2:E4048)*(E4048=E$2:E4048)))))-COUNTBLANK(OFFSET(A$1,,,SUMPRODUCT(MAX(ROW(E$1:E4047)*(E2=E$1:E4047))))))</f>
        <v> </v>
      </c>
      <c r="K4048" s="26" t="str">
        <f>IF(OR(E4048="",E4048="!!!",F4048="NEW"),"",INDEX(J$1:J4047,SUMPRODUCT(MAX(ROW(E$1:E4047)*(E4048=E$1:E4047)))))</f>
        <v> </v>
      </c>
      <c r="L4048" s="27"/>
    </row>
    <row r="4049" spans="1:12">
      <c r="A4049" s="20"/>
    </row>
    <row r="4050" spans="1:12">
      <c r="A4050" s="20" t="s">
        <v>2549</v>
      </c>
    </row>
    <row r="4051" spans="1:12">
      <c r="A4051" s="20" t="s">
        <v>981</v>
      </c>
      <c r="B4051" s="21" t="s">
        <v>975</v>
      </c>
      <c r="C4051" s="21" t="s">
        <v>971</v>
      </c>
      <c r="D4051" s="21" t="s">
        <v>972</v>
      </c>
      <c r="E4051" s="22">
        <f>IF(D4051="?OLD","!!!","")</f>
        <v/>
      </c>
      <c r="F4051" s="23" t="str">
        <f>IF(OR(E4051="",E4051="!!!"),"",IF(NOT(ISNA(VLOOKUP(E4051,E$1:E4050,1,FALSE()))),"OLD",IF(AND(E4051&lt;&gt;"",E4051&lt;&gt;"!!!"),"NEW","")))</f>
        <v> </v>
      </c>
      <c r="G4051" s="24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5" t="str">
        <f>IF(J4051&lt;&gt;1,"",IF(I4051="SBJ","CB","?"))</f>
        <v> </v>
      </c>
      <c r="I4051" s="26" t="str">
        <f>IF(OR(E4051="",E4051="!!!",F4051="NEW"),"",INDEX(B4050:B$2,-1+SUMPRODUCT(MAX(ROW(E4050:E$2)*(E4051=E4050:E$2)))))</f>
        <v> </v>
      </c>
      <c r="J4051" s="26" t="str">
        <f>IF(OR(E4051="",E4051="!!!",F4051="NEW"),"",COUNTBLANK(OFFSET(A$1,,,SUMPRODUCT(MAX(ROW(E$2:E4051)*(E4051=E$2:E4051)))))-COUNTBLANK(OFFSET(A$1,,,SUMPRODUCT(MAX(ROW(E$1:E4050)*(E2=E$1:E4050))))))</f>
        <v> </v>
      </c>
      <c r="K4051" s="26" t="str">
        <f>IF(OR(E4051="",E4051="!!!",F4051="NEW"),"",INDEX(J$1:J4050,SUMPRODUCT(MAX(ROW(E$1:E4050)*(E4051=E$1:E4050)))))</f>
        <v> </v>
      </c>
      <c r="L4051" s="27"/>
    </row>
    <row r="4052" spans="1:12">
      <c r="A4052" s="20" t="s">
        <v>2550</v>
      </c>
      <c r="E4052" s="22">
        <f>IF(D4052="?OLD","!!!","")</f>
        <v/>
      </c>
      <c r="F4052" s="23" t="str">
        <f>IF(OR(E4052="",E4052="!!!"),"",IF(NOT(ISNA(VLOOKUP(E4052,E$1:E4051,1,FALSE()))),"OLD",IF(AND(E4052&lt;&gt;"",E4052&lt;&gt;"!!!"),"NEW","")))</f>
        <v> </v>
      </c>
      <c r="G4052" s="24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5" t="str">
        <f>IF(J4052&lt;&gt;1,"",IF(I4052="SBJ","CB","?"))</f>
        <v> </v>
      </c>
      <c r="I4052" s="26" t="str">
        <f>IF(OR(E4052="",E4052="!!!",F4052="NEW"),"",INDEX(B4051:B$2,-1+SUMPRODUCT(MAX(ROW(E4051:E$2)*(E4052=E4051:E$2)))))</f>
        <v> </v>
      </c>
      <c r="J4052" s="26" t="str">
        <f>IF(OR(E4052="",E4052="!!!",F4052="NEW"),"",COUNTBLANK(OFFSET(A$1,,,SUMPRODUCT(MAX(ROW(E$2:E4052)*(E4052=E$2:E4052)))))-COUNTBLANK(OFFSET(A$1,,,SUMPRODUCT(MAX(ROW(E$1:E4051)*(E2=E$1:E4051))))))</f>
        <v> </v>
      </c>
      <c r="K4052" s="26" t="str">
        <f>IF(OR(E4052="",E4052="!!!",F4052="NEW"),"",INDEX(J$1:J4051,SUMPRODUCT(MAX(ROW(E$1:E4051)*(E4052=E$1:E4051)))))</f>
        <v> </v>
      </c>
      <c r="L4052" s="27"/>
    </row>
    <row r="4053" spans="1:12">
      <c r="A4053" s="20" t="s">
        <v>2551</v>
      </c>
      <c r="E4053" s="22">
        <f>IF(D4053="?OLD","!!!","")</f>
        <v/>
      </c>
      <c r="F4053" s="23" t="str">
        <f>IF(OR(E4053="",E4053="!!!"),"",IF(NOT(ISNA(VLOOKUP(E4053,E$1:E4052,1,FALSE()))),"OLD",IF(AND(E4053&lt;&gt;"",E4053&lt;&gt;"!!!"),"NEW","")))</f>
        <v> </v>
      </c>
      <c r="G4053" s="24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5" t="str">
        <f>IF(J4053&lt;&gt;1,"",IF(I4053="SBJ","CB","?"))</f>
        <v> </v>
      </c>
      <c r="I4053" s="26" t="str">
        <f>IF(OR(E4053="",E4053="!!!",F4053="NEW"),"",INDEX(B4052:B$2,-1+SUMPRODUCT(MAX(ROW(E4052:E$2)*(E4053=E4052:E$2)))))</f>
        <v> </v>
      </c>
      <c r="J4053" s="26" t="str">
        <f>IF(OR(E4053="",E4053="!!!",F4053="NEW"),"",COUNTBLANK(OFFSET(A$1,,,SUMPRODUCT(MAX(ROW(E$2:E4053)*(E4053=E$2:E4053)))))-COUNTBLANK(OFFSET(A$1,,,SUMPRODUCT(MAX(ROW(E$1:E4052)*(E2=E$1:E4052))))))</f>
        <v> </v>
      </c>
      <c r="K4053" s="26" t="str">
        <f>IF(OR(E4053="",E4053="!!!",F4053="NEW"),"",INDEX(J$1:J4052,SUMPRODUCT(MAX(ROW(E$1:E4052)*(E4053=E$1:E4052)))))</f>
        <v> </v>
      </c>
      <c r="L4053" s="27"/>
    </row>
    <row r="4054" spans="1:12">
      <c r="A4054" s="20" t="s">
        <v>2552</v>
      </c>
      <c r="E4054" s="22">
        <f>IF(D4054="?OLD","!!!","")</f>
        <v/>
      </c>
      <c r="F4054" s="23" t="str">
        <f>IF(OR(E4054="",E4054="!!!"),"",IF(NOT(ISNA(VLOOKUP(E4054,E$1:E4053,1,FALSE()))),"OLD",IF(AND(E4054&lt;&gt;"",E4054&lt;&gt;"!!!"),"NEW","")))</f>
        <v> </v>
      </c>
      <c r="G4054" s="24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5" t="str">
        <f>IF(J4054&lt;&gt;1,"",IF(I4054="SBJ","CB","?"))</f>
        <v> </v>
      </c>
      <c r="I4054" s="26" t="str">
        <f>IF(OR(E4054="",E4054="!!!",F4054="NEW"),"",INDEX(B4053:B$2,-1+SUMPRODUCT(MAX(ROW(E4053:E$2)*(E4054=E4053:E$2)))))</f>
        <v> </v>
      </c>
      <c r="J4054" s="26" t="str">
        <f>IF(OR(E4054="",E4054="!!!",F4054="NEW"),"",COUNTBLANK(OFFSET(A$1,,,SUMPRODUCT(MAX(ROW(E$2:E4054)*(E4054=E$2:E4054)))))-COUNTBLANK(OFFSET(A$1,,,SUMPRODUCT(MAX(ROW(E$1:E4053)*(E2=E$1:E4053))))))</f>
        <v> </v>
      </c>
      <c r="K4054" s="26" t="str">
        <f>IF(OR(E4054="",E4054="!!!",F4054="NEW"),"",INDEX(J$1:J4053,SUMPRODUCT(MAX(ROW(E$1:E4053)*(E4054=E$1:E4053)))))</f>
        <v> </v>
      </c>
      <c r="L4054" s="27"/>
    </row>
    <row r="4055" spans="1:12">
      <c r="A4055" s="20" t="s">
        <v>1013</v>
      </c>
      <c r="E4055" s="22">
        <f>IF(D4055="?OLD","!!!","")</f>
        <v/>
      </c>
      <c r="F4055" s="23" t="str">
        <f>IF(OR(E4055="",E4055="!!!"),"",IF(NOT(ISNA(VLOOKUP(E4055,E$1:E4054,1,FALSE()))),"OLD",IF(AND(E4055&lt;&gt;"",E4055&lt;&gt;"!!!"),"NEW","")))</f>
        <v> </v>
      </c>
      <c r="G4055" s="24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5" t="str">
        <f>IF(J4055&lt;&gt;1,"",IF(I4055="SBJ","CB","?"))</f>
        <v> </v>
      </c>
      <c r="I4055" s="26" t="str">
        <f>IF(OR(E4055="",E4055="!!!",F4055="NEW"),"",INDEX(B4054:B$2,-1+SUMPRODUCT(MAX(ROW(E4054:E$2)*(E4055=E4054:E$2)))))</f>
        <v> </v>
      </c>
      <c r="J4055" s="26" t="str">
        <f>IF(OR(E4055="",E4055="!!!",F4055="NEW"),"",COUNTBLANK(OFFSET(A$1,,,SUMPRODUCT(MAX(ROW(E$2:E4055)*(E4055=E$2:E4055)))))-COUNTBLANK(OFFSET(A$1,,,SUMPRODUCT(MAX(ROW(E$1:E4054)*(E2=E$1:E4054))))))</f>
        <v> </v>
      </c>
      <c r="K4055" s="26" t="str">
        <f>IF(OR(E4055="",E4055="!!!",F4055="NEW"),"",INDEX(J$1:J4054,SUMPRODUCT(MAX(ROW(E$1:E4054)*(E4055=E$1:E4054)))))</f>
        <v> </v>
      </c>
      <c r="L4055" s="27"/>
    </row>
    <row r="4056" spans="1:12">
      <c r="A4056" s="20" t="s">
        <v>2317</v>
      </c>
      <c r="E4056" s="22">
        <f>IF(D4056="?OLD","!!!","")</f>
        <v/>
      </c>
      <c r="F4056" s="23" t="str">
        <f>IF(OR(E4056="",E4056="!!!"),"",IF(NOT(ISNA(VLOOKUP(E4056,E$1:E4055,1,FALSE()))),"OLD",IF(AND(E4056&lt;&gt;"",E4056&lt;&gt;"!!!"),"NEW","")))</f>
        <v> </v>
      </c>
      <c r="G4056" s="24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5" t="str">
        <f>IF(J4056&lt;&gt;1,"",IF(I4056="SBJ","CB","?"))</f>
        <v> </v>
      </c>
      <c r="I4056" s="26" t="str">
        <f>IF(OR(E4056="",E4056="!!!",F4056="NEW"),"",INDEX(B4055:B$2,-1+SUMPRODUCT(MAX(ROW(E4055:E$2)*(E4056=E4055:E$2)))))</f>
        <v> </v>
      </c>
      <c r="J4056" s="26" t="str">
        <f>IF(OR(E4056="",E4056="!!!",F4056="NEW"),"",COUNTBLANK(OFFSET(A$1,,,SUMPRODUCT(MAX(ROW(E$2:E4056)*(E4056=E$2:E4056)))))-COUNTBLANK(OFFSET(A$1,,,SUMPRODUCT(MAX(ROW(E$1:E4055)*(E2=E$1:E4055))))))</f>
        <v> </v>
      </c>
      <c r="K4056" s="26" t="str">
        <f>IF(OR(E4056="",E4056="!!!",F4056="NEW"),"",INDEX(J$1:J4055,SUMPRODUCT(MAX(ROW(E$1:E4055)*(E4056=E$1:E4055)))))</f>
        <v> </v>
      </c>
      <c r="L4056" s="27"/>
    </row>
    <row r="4057" spans="1:12">
      <c r="A4057" s="20" t="s">
        <v>2553</v>
      </c>
      <c r="E4057" s="22">
        <f>IF(D4057="?OLD","!!!","")</f>
        <v/>
      </c>
      <c r="F4057" s="23" t="str">
        <f>IF(OR(E4057="",E4057="!!!"),"",IF(NOT(ISNA(VLOOKUP(E4057,E$1:E4056,1,FALSE()))),"OLD",IF(AND(E4057&lt;&gt;"",E4057&lt;&gt;"!!!"),"NEW","")))</f>
        <v> </v>
      </c>
      <c r="G4057" s="24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5" t="str">
        <f>IF(J4057&lt;&gt;1,"",IF(I4057="SBJ","CB","?"))</f>
        <v> </v>
      </c>
      <c r="I4057" s="26" t="str">
        <f>IF(OR(E4057="",E4057="!!!",F4057="NEW"),"",INDEX(B4056:B$2,-1+SUMPRODUCT(MAX(ROW(E4056:E$2)*(E4057=E4056:E$2)))))</f>
        <v> </v>
      </c>
      <c r="J4057" s="26" t="str">
        <f>IF(OR(E4057="",E4057="!!!",F4057="NEW"),"",COUNTBLANK(OFFSET(A$1,,,SUMPRODUCT(MAX(ROW(E$2:E4057)*(E4057=E$2:E4057)))))-COUNTBLANK(OFFSET(A$1,,,SUMPRODUCT(MAX(ROW(E$1:E4056)*(E2=E$1:E4056))))))</f>
        <v> </v>
      </c>
      <c r="K4057" s="26" t="str">
        <f>IF(OR(E4057="",E4057="!!!",F4057="NEW"),"",INDEX(J$1:J4056,SUMPRODUCT(MAX(ROW(E$1:E4056)*(E4057=E$1:E4056)))))</f>
        <v> </v>
      </c>
      <c r="L4057" s="27"/>
    </row>
    <row r="4058" spans="1:12">
      <c r="A4058" s="20" t="s">
        <v>404</v>
      </c>
      <c r="B4058" s="21" t="s">
        <v>1003</v>
      </c>
      <c r="E4058" s="22">
        <f>IF(D4058="?OLD","!!!","")</f>
        <v/>
      </c>
      <c r="F4058" s="23" t="str">
        <f>IF(OR(E4058="",E4058="!!!"),"",IF(NOT(ISNA(VLOOKUP(E4058,E$1:E4057,1,FALSE()))),"OLD",IF(AND(E4058&lt;&gt;"",E4058&lt;&gt;"!!!"),"NEW","")))</f>
        <v> </v>
      </c>
      <c r="G4058" s="24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5" t="str">
        <f>IF(J4058&lt;&gt;1,"",IF(I4058="SBJ","CB","?"))</f>
        <v> </v>
      </c>
      <c r="I4058" s="26" t="str">
        <f>IF(OR(E4058="",E4058="!!!",F4058="NEW"),"",INDEX(B4057:B$2,-1+SUMPRODUCT(MAX(ROW(E4057:E$2)*(E4058=E4057:E$2)))))</f>
        <v> </v>
      </c>
      <c r="J4058" s="26" t="str">
        <f>IF(OR(E4058="",E4058="!!!",F4058="NEW"),"",COUNTBLANK(OFFSET(A$1,,,SUMPRODUCT(MAX(ROW(E$2:E4058)*(E4058=E$2:E4058)))))-COUNTBLANK(OFFSET(A$1,,,SUMPRODUCT(MAX(ROW(E$1:E4057)*(E2=E$1:E4057))))))</f>
        <v> </v>
      </c>
      <c r="K4058" s="26" t="str">
        <f>IF(OR(E4058="",E4058="!!!",F4058="NEW"),"",INDEX(J$1:J4057,SUMPRODUCT(MAX(ROW(E$1:E4057)*(E4058=E$1:E4057)))))</f>
        <v> </v>
      </c>
      <c r="L4058" s="27"/>
    </row>
    <row r="4059" spans="1:12">
      <c r="A4059" s="20" t="s">
        <v>1023</v>
      </c>
      <c r="E4059" s="22">
        <f>IF(D4059="?OLD","!!!","")</f>
        <v/>
      </c>
      <c r="F4059" s="23" t="str">
        <f>IF(OR(E4059="",E4059="!!!"),"",IF(NOT(ISNA(VLOOKUP(E4059,E$1:E4058,1,FALSE()))),"OLD",IF(AND(E4059&lt;&gt;"",E4059&lt;&gt;"!!!"),"NEW","")))</f>
        <v> </v>
      </c>
      <c r="G4059" s="24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5" t="str">
        <f>IF(J4059&lt;&gt;1,"",IF(I4059="SBJ","CB","?"))</f>
        <v> </v>
      </c>
      <c r="I4059" s="26" t="str">
        <f>IF(OR(E4059="",E4059="!!!",F4059="NEW"),"",INDEX(B4058:B$2,-1+SUMPRODUCT(MAX(ROW(E4058:E$2)*(E4059=E4058:E$2)))))</f>
        <v> </v>
      </c>
      <c r="J4059" s="26" t="str">
        <f>IF(OR(E4059="",E4059="!!!",F4059="NEW"),"",COUNTBLANK(OFFSET(A$1,,,SUMPRODUCT(MAX(ROW(E$2:E4059)*(E4059=E$2:E4059)))))-COUNTBLANK(OFFSET(A$1,,,SUMPRODUCT(MAX(ROW(E$1:E4058)*(E2=E$1:E4058))))))</f>
        <v> </v>
      </c>
      <c r="K4059" s="26" t="str">
        <f>IF(OR(E4059="",E4059="!!!",F4059="NEW"),"",INDEX(J$1:J4058,SUMPRODUCT(MAX(ROW(E$1:E4058)*(E4059=E$1:E4058)))))</f>
        <v> </v>
      </c>
      <c r="L4059" s="27"/>
    </row>
    <row r="4060" spans="1:12">
      <c r="A4060" s="20" t="s">
        <v>2281</v>
      </c>
      <c r="E4060" s="22">
        <f>IF(D4060="?OLD","!!!","")</f>
        <v/>
      </c>
      <c r="F4060" s="23" t="str">
        <f>IF(OR(E4060="",E4060="!!!"),"",IF(NOT(ISNA(VLOOKUP(E4060,E$1:E4059,1,FALSE()))),"OLD",IF(AND(E4060&lt;&gt;"",E4060&lt;&gt;"!!!"),"NEW","")))</f>
        <v> </v>
      </c>
      <c r="G4060" s="24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5" t="str">
        <f>IF(J4060&lt;&gt;1,"",IF(I4060="SBJ","CB","?"))</f>
        <v> </v>
      </c>
      <c r="I4060" s="26" t="str">
        <f>IF(OR(E4060="",E4060="!!!",F4060="NEW"),"",INDEX(B4059:B$2,-1+SUMPRODUCT(MAX(ROW(E4059:E$2)*(E4060=E4059:E$2)))))</f>
        <v> </v>
      </c>
      <c r="J4060" s="26" t="str">
        <f>IF(OR(E4060="",E4060="!!!",F4060="NEW"),"",COUNTBLANK(OFFSET(A$1,,,SUMPRODUCT(MAX(ROW(E$2:E4060)*(E4060=E$2:E4060)))))-COUNTBLANK(OFFSET(A$1,,,SUMPRODUCT(MAX(ROW(E$1:E4059)*(E2=E$1:E4059))))))</f>
        <v> </v>
      </c>
      <c r="K4060" s="26" t="str">
        <f>IF(OR(E4060="",E4060="!!!",F4060="NEW"),"",INDEX(J$1:J4059,SUMPRODUCT(MAX(ROW(E$1:E4059)*(E4060=E$1:E4059)))))</f>
        <v> </v>
      </c>
      <c r="L4060" s="27"/>
    </row>
    <row r="4061" spans="1:12">
      <c r="A4061" s="20" t="s">
        <v>145</v>
      </c>
      <c r="B4061" s="21" t="s">
        <v>1339</v>
      </c>
      <c r="C4061" s="21" t="s">
        <v>971</v>
      </c>
      <c r="D4061" s="21" t="s">
        <v>972</v>
      </c>
      <c r="E4061" s="22">
        <f>IF(D4061="?OLD","!!!","")</f>
        <v/>
      </c>
      <c r="F4061" s="23" t="str">
        <f>IF(OR(E4061="",E4061="!!!"),"",IF(NOT(ISNA(VLOOKUP(E4061,E$1:E4060,1,FALSE()))),"OLD",IF(AND(E4061&lt;&gt;"",E4061&lt;&gt;"!!!"),"NEW","")))</f>
        <v> </v>
      </c>
      <c r="G4061" s="24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5" t="str">
        <f>IF(J4061&lt;&gt;1,"",IF(I4061="SBJ","CB","?"))</f>
        <v> </v>
      </c>
      <c r="I4061" s="26" t="str">
        <f>IF(OR(E4061="",E4061="!!!",F4061="NEW"),"",INDEX(B4060:B$2,-1+SUMPRODUCT(MAX(ROW(E4060:E$2)*(E4061=E4060:E$2)))))</f>
        <v> </v>
      </c>
      <c r="J4061" s="26" t="str">
        <f>IF(OR(E4061="",E4061="!!!",F4061="NEW"),"",COUNTBLANK(OFFSET(A$1,,,SUMPRODUCT(MAX(ROW(E$2:E4061)*(E4061=E$2:E4061)))))-COUNTBLANK(OFFSET(A$1,,,SUMPRODUCT(MAX(ROW(E$1:E4060)*(E2=E$1:E4060))))))</f>
        <v> </v>
      </c>
      <c r="K4061" s="26" t="str">
        <f>IF(OR(E4061="",E4061="!!!",F4061="NEW"),"",INDEX(J$1:J4060,SUMPRODUCT(MAX(ROW(E$1:E4060)*(E4061=E$1:E4060)))))</f>
        <v> </v>
      </c>
      <c r="L4061" s="27"/>
    </row>
    <row r="4062" spans="1:12">
      <c r="A4062" s="20" t="s">
        <v>2554</v>
      </c>
      <c r="E4062" s="22">
        <f>IF(D4062="?OLD","!!!","")</f>
        <v/>
      </c>
      <c r="F4062" s="23" t="str">
        <f>IF(OR(E4062="",E4062="!!!"),"",IF(NOT(ISNA(VLOOKUP(E4062,E$1:E4061,1,FALSE()))),"OLD",IF(AND(E4062&lt;&gt;"",E4062&lt;&gt;"!!!"),"NEW","")))</f>
        <v> </v>
      </c>
      <c r="G4062" s="24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5" t="str">
        <f>IF(J4062&lt;&gt;1,"",IF(I4062="SBJ","CB","?"))</f>
        <v> </v>
      </c>
      <c r="I4062" s="26" t="str">
        <f>IF(OR(E4062="",E4062="!!!",F4062="NEW"),"",INDEX(B4061:B$2,-1+SUMPRODUCT(MAX(ROW(E4061:E$2)*(E4062=E4061:E$2)))))</f>
        <v> </v>
      </c>
      <c r="J4062" s="26" t="str">
        <f>IF(OR(E4062="",E4062="!!!",F4062="NEW"),"",COUNTBLANK(OFFSET(A$1,,,SUMPRODUCT(MAX(ROW(E$2:E4062)*(E4062=E$2:E4062)))))-COUNTBLANK(OFFSET(A$1,,,SUMPRODUCT(MAX(ROW(E$1:E4061)*(E2=E$1:E4061))))))</f>
        <v> </v>
      </c>
      <c r="K4062" s="26" t="str">
        <f>IF(OR(E4062="",E4062="!!!",F4062="NEW"),"",INDEX(J$1:J4061,SUMPRODUCT(MAX(ROW(E$1:E4061)*(E4062=E$1:E4061)))))</f>
        <v> </v>
      </c>
      <c r="L4062" s="27"/>
    </row>
    <row r="4063" spans="1:12">
      <c r="A4063" s="20" t="s">
        <v>1013</v>
      </c>
      <c r="E4063" s="22">
        <f>IF(D4063="?OLD","!!!","")</f>
        <v/>
      </c>
      <c r="F4063" s="23" t="str">
        <f>IF(OR(E4063="",E4063="!!!"),"",IF(NOT(ISNA(VLOOKUP(E4063,E$1:E4062,1,FALSE()))),"OLD",IF(AND(E4063&lt;&gt;"",E4063&lt;&gt;"!!!"),"NEW","")))</f>
        <v> </v>
      </c>
      <c r="G4063" s="24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5" t="str">
        <f>IF(J4063&lt;&gt;1,"",IF(I4063="SBJ","CB","?"))</f>
        <v> </v>
      </c>
      <c r="I4063" s="26" t="str">
        <f>IF(OR(E4063="",E4063="!!!",F4063="NEW"),"",INDEX(B4062:B$2,-1+SUMPRODUCT(MAX(ROW(E4062:E$2)*(E4063=E4062:E$2)))))</f>
        <v> </v>
      </c>
      <c r="J4063" s="26" t="str">
        <f>IF(OR(E4063="",E4063="!!!",F4063="NEW"),"",COUNTBLANK(OFFSET(A$1,,,SUMPRODUCT(MAX(ROW(E$2:E4063)*(E4063=E$2:E4063)))))-COUNTBLANK(OFFSET(A$1,,,SUMPRODUCT(MAX(ROW(E$1:E4062)*(E2=E$1:E4062))))))</f>
        <v> </v>
      </c>
      <c r="K4063" s="26" t="str">
        <f>IF(OR(E4063="",E4063="!!!",F4063="NEW"),"",INDEX(J$1:J4062,SUMPRODUCT(MAX(ROW(E$1:E4062)*(E4063=E$1:E4062)))))</f>
        <v> </v>
      </c>
      <c r="L4063" s="27"/>
    </row>
    <row r="4064" spans="1:12">
      <c r="A4064" s="20" t="s">
        <v>149</v>
      </c>
      <c r="E4064" s="22">
        <f>IF(D4064="?OLD","!!!","")</f>
        <v/>
      </c>
      <c r="F4064" s="23" t="str">
        <f>IF(OR(E4064="",E4064="!!!"),"",IF(NOT(ISNA(VLOOKUP(E4064,E$1:E4063,1,FALSE()))),"OLD",IF(AND(E4064&lt;&gt;"",E4064&lt;&gt;"!!!"),"NEW","")))</f>
        <v> </v>
      </c>
      <c r="G4064" s="24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5" t="str">
        <f>IF(J4064&lt;&gt;1,"",IF(I4064="SBJ","CB","?"))</f>
        <v> </v>
      </c>
      <c r="I4064" s="26" t="str">
        <f>IF(OR(E4064="",E4064="!!!",F4064="NEW"),"",INDEX(B4063:B$2,-1+SUMPRODUCT(MAX(ROW(E4063:E$2)*(E4064=E4063:E$2)))))</f>
        <v> </v>
      </c>
      <c r="J4064" s="26" t="str">
        <f>IF(OR(E4064="",E4064="!!!",F4064="NEW"),"",COUNTBLANK(OFFSET(A$1,,,SUMPRODUCT(MAX(ROW(E$2:E4064)*(E4064=E$2:E4064)))))-COUNTBLANK(OFFSET(A$1,,,SUMPRODUCT(MAX(ROW(E$1:E4063)*(E2=E$1:E4063))))))</f>
        <v> </v>
      </c>
      <c r="K4064" s="26" t="str">
        <f>IF(OR(E4064="",E4064="!!!",F4064="NEW"),"",INDEX(J$1:J4063,SUMPRODUCT(MAX(ROW(E$1:E4063)*(E4064=E$1:E4063)))))</f>
        <v> </v>
      </c>
      <c r="L4064" s="27"/>
    </row>
    <row r="4065" spans="1:12">
      <c r="A4065" s="20" t="s">
        <v>2555</v>
      </c>
      <c r="E4065" s="22">
        <f>IF(D4065="?OLD","!!!","")</f>
        <v/>
      </c>
      <c r="F4065" s="23" t="str">
        <f>IF(OR(E4065="",E4065="!!!"),"",IF(NOT(ISNA(VLOOKUP(E4065,E$1:E4064,1,FALSE()))),"OLD",IF(AND(E4065&lt;&gt;"",E4065&lt;&gt;"!!!"),"NEW","")))</f>
        <v> </v>
      </c>
      <c r="G4065" s="24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5" t="str">
        <f>IF(J4065&lt;&gt;1,"",IF(I4065="SBJ","CB","?"))</f>
        <v> </v>
      </c>
      <c r="I4065" s="26" t="str">
        <f>IF(OR(E4065="",E4065="!!!",F4065="NEW"),"",INDEX(B4064:B$2,-1+SUMPRODUCT(MAX(ROW(E4064:E$2)*(E4065=E4064:E$2)))))</f>
        <v> </v>
      </c>
      <c r="J4065" s="26" t="str">
        <f>IF(OR(E4065="",E4065="!!!",F4065="NEW"),"",COUNTBLANK(OFFSET(A$1,,,SUMPRODUCT(MAX(ROW(E$2:E4065)*(E4065=E$2:E4065)))))-COUNTBLANK(OFFSET(A$1,,,SUMPRODUCT(MAX(ROW(E$1:E4064)*(E2=E$1:E4064))))))</f>
        <v> </v>
      </c>
      <c r="K4065" s="26" t="str">
        <f>IF(OR(E4065="",E4065="!!!",F4065="NEW"),"",INDEX(J$1:J4064,SUMPRODUCT(MAX(ROW(E$1:E4064)*(E4065=E$1:E4064)))))</f>
        <v> </v>
      </c>
      <c r="L4065" s="27"/>
    </row>
    <row r="4066" spans="1:12">
      <c r="A4066" s="20" t="s">
        <v>2556</v>
      </c>
      <c r="E4066" s="22">
        <f>IF(D4066="?OLD","!!!","")</f>
        <v/>
      </c>
      <c r="F4066" s="23" t="str">
        <f>IF(OR(E4066="",E4066="!!!"),"",IF(NOT(ISNA(VLOOKUP(E4066,E$1:E4065,1,FALSE()))),"OLD",IF(AND(E4066&lt;&gt;"",E4066&lt;&gt;"!!!"),"NEW","")))</f>
        <v> </v>
      </c>
      <c r="G4066" s="24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5" t="str">
        <f>IF(J4066&lt;&gt;1,"",IF(I4066="SBJ","CB","?"))</f>
        <v> </v>
      </c>
      <c r="I4066" s="26" t="str">
        <f>IF(OR(E4066="",E4066="!!!",F4066="NEW"),"",INDEX(B4065:B$2,-1+SUMPRODUCT(MAX(ROW(E4065:E$2)*(E4066=E4065:E$2)))))</f>
        <v> </v>
      </c>
      <c r="J4066" s="26" t="str">
        <f>IF(OR(E4066="",E4066="!!!",F4066="NEW"),"",COUNTBLANK(OFFSET(A$1,,,SUMPRODUCT(MAX(ROW(E$2:E4066)*(E4066=E$2:E4066)))))-COUNTBLANK(OFFSET(A$1,,,SUMPRODUCT(MAX(ROW(E$1:E4065)*(E2=E$1:E4065))))))</f>
        <v> </v>
      </c>
      <c r="K4066" s="26" t="str">
        <f>IF(OR(E4066="",E4066="!!!",F4066="NEW"),"",INDEX(J$1:J4065,SUMPRODUCT(MAX(ROW(E$1:E4065)*(E4066=E$1:E4065)))))</f>
        <v> </v>
      </c>
      <c r="L4066" s="27"/>
    </row>
    <row r="4067" spans="1:12">
      <c r="A4067" s="20" t="s">
        <v>1319</v>
      </c>
      <c r="E4067" s="22">
        <f>IF(D4067="?OLD","!!!","")</f>
        <v/>
      </c>
      <c r="F4067" s="23" t="str">
        <f>IF(OR(E4067="",E4067="!!!"),"",IF(NOT(ISNA(VLOOKUP(E4067,E$1:E4066,1,FALSE()))),"OLD",IF(AND(E4067&lt;&gt;"",E4067&lt;&gt;"!!!"),"NEW","")))</f>
        <v> </v>
      </c>
      <c r="G4067" s="24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5" t="str">
        <f>IF(J4067&lt;&gt;1,"",IF(I4067="SBJ","CB","?"))</f>
        <v> </v>
      </c>
      <c r="I4067" s="26" t="str">
        <f>IF(OR(E4067="",E4067="!!!",F4067="NEW"),"",INDEX(B4066:B$2,-1+SUMPRODUCT(MAX(ROW(E4066:E$2)*(E4067=E4066:E$2)))))</f>
        <v> </v>
      </c>
      <c r="J4067" s="26" t="str">
        <f>IF(OR(E4067="",E4067="!!!",F4067="NEW"),"",COUNTBLANK(OFFSET(A$1,,,SUMPRODUCT(MAX(ROW(E$2:E4067)*(E4067=E$2:E4067)))))-COUNTBLANK(OFFSET(A$1,,,SUMPRODUCT(MAX(ROW(E$1:E4066)*(E2=E$1:E4066))))))</f>
        <v> </v>
      </c>
      <c r="K4067" s="26" t="str">
        <f>IF(OR(E4067="",E4067="!!!",F4067="NEW"),"",INDEX(J$1:J4066,SUMPRODUCT(MAX(ROW(E$1:E4066)*(E4067=E$1:E4066)))))</f>
        <v> </v>
      </c>
      <c r="L4067" s="27"/>
    </row>
    <row r="4068" spans="1:12">
      <c r="A4068" s="20" t="s">
        <v>2284</v>
      </c>
      <c r="E4068" s="22">
        <f>IF(D4068="?OLD","!!!","")</f>
        <v/>
      </c>
      <c r="F4068" s="23" t="str">
        <f>IF(OR(E4068="",E4068="!!!"),"",IF(NOT(ISNA(VLOOKUP(E4068,E$1:E4067,1,FALSE()))),"OLD",IF(AND(E4068&lt;&gt;"",E4068&lt;&gt;"!!!"),"NEW","")))</f>
        <v> </v>
      </c>
      <c r="G4068" s="24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5" t="str">
        <f>IF(J4068&lt;&gt;1,"",IF(I4068="SBJ","CB","?"))</f>
        <v> </v>
      </c>
      <c r="I4068" s="26" t="str">
        <f>IF(OR(E4068="",E4068="!!!",F4068="NEW"),"",INDEX(B4067:B$2,-1+SUMPRODUCT(MAX(ROW(E4067:E$2)*(E4068=E4067:E$2)))))</f>
        <v> </v>
      </c>
      <c r="J4068" s="26" t="str">
        <f>IF(OR(E4068="",E4068="!!!",F4068="NEW"),"",COUNTBLANK(OFFSET(A$1,,,SUMPRODUCT(MAX(ROW(E$2:E4068)*(E4068=E$2:E4068)))))-COUNTBLANK(OFFSET(A$1,,,SUMPRODUCT(MAX(ROW(E$1:E4067)*(E2=E$1:E4067))))))</f>
        <v> </v>
      </c>
      <c r="K4068" s="26" t="str">
        <f>IF(OR(E4068="",E4068="!!!",F4068="NEW"),"",INDEX(J$1:J4067,SUMPRODUCT(MAX(ROW(E$1:E4067)*(E4068=E$1:E4067)))))</f>
        <v> </v>
      </c>
      <c r="L4068" s="27"/>
    </row>
    <row r="4069" spans="1:12">
      <c r="A4069" s="20" t="s">
        <v>1586</v>
      </c>
      <c r="E4069" s="22">
        <f>IF(D4069="?OLD","!!!","")</f>
        <v/>
      </c>
      <c r="F4069" s="23" t="str">
        <f>IF(OR(E4069="",E4069="!!!"),"",IF(NOT(ISNA(VLOOKUP(E4069,E$1:E4068,1,FALSE()))),"OLD",IF(AND(E4069&lt;&gt;"",E4069&lt;&gt;"!!!"),"NEW","")))</f>
        <v> </v>
      </c>
      <c r="G4069" s="24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5" t="str">
        <f>IF(J4069&lt;&gt;1,"",IF(I4069="SBJ","CB","?"))</f>
        <v> </v>
      </c>
      <c r="I4069" s="26" t="str">
        <f>IF(OR(E4069="",E4069="!!!",F4069="NEW"),"",INDEX(B4068:B$2,-1+SUMPRODUCT(MAX(ROW(E4068:E$2)*(E4069=E4068:E$2)))))</f>
        <v> </v>
      </c>
      <c r="J4069" s="26" t="str">
        <f>IF(OR(E4069="",E4069="!!!",F4069="NEW"),"",COUNTBLANK(OFFSET(A$1,,,SUMPRODUCT(MAX(ROW(E$2:E4069)*(E4069=E$2:E4069)))))-COUNTBLANK(OFFSET(A$1,,,SUMPRODUCT(MAX(ROW(E$1:E4068)*(E2=E$1:E4068))))))</f>
        <v> </v>
      </c>
      <c r="K4069" s="26" t="str">
        <f>IF(OR(E4069="",E4069="!!!",F4069="NEW"),"",INDEX(J$1:J4068,SUMPRODUCT(MAX(ROW(E$1:E4068)*(E4069=E$1:E4068)))))</f>
        <v> </v>
      </c>
      <c r="L4069" s="27"/>
    </row>
    <row r="4070" spans="1:12">
      <c r="A4070" s="20" t="s">
        <v>1247</v>
      </c>
      <c r="B4070" s="21" t="s">
        <v>1287</v>
      </c>
      <c r="C4070" s="21" t="s">
        <v>971</v>
      </c>
      <c r="D4070" s="21" t="s">
        <v>972</v>
      </c>
      <c r="E4070" s="22">
        <f>IF(D4070="?OLD","!!!","")</f>
        <v/>
      </c>
      <c r="F4070" s="23" t="str">
        <f>IF(OR(E4070="",E4070="!!!"),"",IF(NOT(ISNA(VLOOKUP(E4070,E$1:E4069,1,FALSE()))),"OLD",IF(AND(E4070&lt;&gt;"",E4070&lt;&gt;"!!!"),"NEW","")))</f>
        <v> </v>
      </c>
      <c r="G4070" s="24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5" t="str">
        <f>IF(J4070&lt;&gt;1,"",IF(I4070="SBJ","CB","?"))</f>
        <v> </v>
      </c>
      <c r="I4070" s="26" t="str">
        <f>IF(OR(E4070="",E4070="!!!",F4070="NEW"),"",INDEX(B4069:B$2,-1+SUMPRODUCT(MAX(ROW(E4069:E$2)*(E4070=E4069:E$2)))))</f>
        <v> </v>
      </c>
      <c r="J4070" s="26" t="str">
        <f>IF(OR(E4070="",E4070="!!!",F4070="NEW"),"",COUNTBLANK(OFFSET(A$1,,,SUMPRODUCT(MAX(ROW(E$2:E4070)*(E4070=E$2:E4070)))))-COUNTBLANK(OFFSET(A$1,,,SUMPRODUCT(MAX(ROW(E$1:E4069)*(E2=E$1:E4069))))))</f>
        <v> </v>
      </c>
      <c r="K4070" s="26" t="str">
        <f>IF(OR(E4070="",E4070="!!!",F4070="NEW"),"",INDEX(J$1:J4069,SUMPRODUCT(MAX(ROW(E$1:E4069)*(E4070=E$1:E4069)))))</f>
        <v> </v>
      </c>
      <c r="L4070" s="27"/>
    </row>
    <row r="4071" spans="1:12">
      <c r="A4071" s="20" t="s">
        <v>668</v>
      </c>
      <c r="E4071" s="22">
        <f>IF(D4071="?OLD","!!!","")</f>
        <v/>
      </c>
      <c r="F4071" s="23" t="str">
        <f>IF(OR(E4071="",E4071="!!!"),"",IF(NOT(ISNA(VLOOKUP(E4071,E$1:E4070,1,FALSE()))),"OLD",IF(AND(E4071&lt;&gt;"",E4071&lt;&gt;"!!!"),"NEW","")))</f>
        <v> </v>
      </c>
      <c r="G4071" s="24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5" t="str">
        <f>IF(J4071&lt;&gt;1,"",IF(I4071="SBJ","CB","?"))</f>
        <v> </v>
      </c>
      <c r="I4071" s="26" t="str">
        <f>IF(OR(E4071="",E4071="!!!",F4071="NEW"),"",INDEX(B4070:B$2,-1+SUMPRODUCT(MAX(ROW(E4070:E$2)*(E4071=E4070:E$2)))))</f>
        <v> </v>
      </c>
      <c r="J4071" s="26" t="str">
        <f>IF(OR(E4071="",E4071="!!!",F4071="NEW"),"",COUNTBLANK(OFFSET(A$1,,,SUMPRODUCT(MAX(ROW(E$2:E4071)*(E4071=E$2:E4071)))))-COUNTBLANK(OFFSET(A$1,,,SUMPRODUCT(MAX(ROW(E$1:E4070)*(E2=E$1:E4070))))))</f>
        <v> </v>
      </c>
      <c r="K4071" s="26" t="str">
        <f>IF(OR(E4071="",E4071="!!!",F4071="NEW"),"",INDEX(J$1:J4070,SUMPRODUCT(MAX(ROW(E$1:E4070)*(E4071=E$1:E4070)))))</f>
        <v> </v>
      </c>
      <c r="L4071" s="27"/>
    </row>
    <row r="4072" spans="1:12">
      <c r="A4072" s="20" t="s">
        <v>1297</v>
      </c>
      <c r="E4072" s="22">
        <f>IF(D4072="?OLD","!!!","")</f>
        <v/>
      </c>
      <c r="F4072" s="23" t="str">
        <f>IF(OR(E4072="",E4072="!!!"),"",IF(NOT(ISNA(VLOOKUP(E4072,E$1:E4071,1,FALSE()))),"OLD",IF(AND(E4072&lt;&gt;"",E4072&lt;&gt;"!!!"),"NEW","")))</f>
        <v> </v>
      </c>
      <c r="G4072" s="24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5" t="str">
        <f>IF(J4072&lt;&gt;1,"",IF(I4072="SBJ","CB","?"))</f>
        <v> </v>
      </c>
      <c r="I4072" s="26" t="str">
        <f>IF(OR(E4072="",E4072="!!!",F4072="NEW"),"",INDEX(B4071:B$2,-1+SUMPRODUCT(MAX(ROW(E4071:E$2)*(E4072=E4071:E$2)))))</f>
        <v> </v>
      </c>
      <c r="J4072" s="26" t="str">
        <f>IF(OR(E4072="",E4072="!!!",F4072="NEW"),"",COUNTBLANK(OFFSET(A$1,,,SUMPRODUCT(MAX(ROW(E$2:E4072)*(E4072=E$2:E4072)))))-COUNTBLANK(OFFSET(A$1,,,SUMPRODUCT(MAX(ROW(E$1:E4071)*(E2=E$1:E4071))))))</f>
        <v> </v>
      </c>
      <c r="K4072" s="26" t="str">
        <f>IF(OR(E4072="",E4072="!!!",F4072="NEW"),"",INDEX(J$1:J4071,SUMPRODUCT(MAX(ROW(E$1:E4071)*(E4072=E$1:E4071)))))</f>
        <v> </v>
      </c>
      <c r="L4072" s="27"/>
    </row>
    <row r="4073" spans="1:12">
      <c r="A4073" s="20" t="s">
        <v>1444</v>
      </c>
      <c r="E4073" s="22">
        <f>IF(D4073="?OLD","!!!","")</f>
        <v/>
      </c>
      <c r="F4073" s="23" t="str">
        <f>IF(OR(E4073="",E4073="!!!"),"",IF(NOT(ISNA(VLOOKUP(E4073,E$1:E4072,1,FALSE()))),"OLD",IF(AND(E4073&lt;&gt;"",E4073&lt;&gt;"!!!"),"NEW","")))</f>
        <v> </v>
      </c>
      <c r="G4073" s="24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5" t="str">
        <f>IF(J4073&lt;&gt;1,"",IF(I4073="SBJ","CB","?"))</f>
        <v> </v>
      </c>
      <c r="I4073" s="26" t="str">
        <f>IF(OR(E4073="",E4073="!!!",F4073="NEW"),"",INDEX(B4072:B$2,-1+SUMPRODUCT(MAX(ROW(E4072:E$2)*(E4073=E4072:E$2)))))</f>
        <v> </v>
      </c>
      <c r="J4073" s="26" t="str">
        <f>IF(OR(E4073="",E4073="!!!",F4073="NEW"),"",COUNTBLANK(OFFSET(A$1,,,SUMPRODUCT(MAX(ROW(E$2:E4073)*(E4073=E$2:E4073)))))-COUNTBLANK(OFFSET(A$1,,,SUMPRODUCT(MAX(ROW(E$1:E4072)*(E2=E$1:E4072))))))</f>
        <v> </v>
      </c>
      <c r="K4073" s="26" t="str">
        <f>IF(OR(E4073="",E4073="!!!",F4073="NEW"),"",INDEX(J$1:J4072,SUMPRODUCT(MAX(ROW(E$1:E4072)*(E4073=E$1:E4072)))))</f>
        <v> </v>
      </c>
      <c r="L4073" s="27"/>
    </row>
    <row r="4074" spans="1:12">
      <c r="A4074" s="20" t="s">
        <v>2557</v>
      </c>
      <c r="E4074" s="22">
        <f>IF(D4074="?OLD","!!!","")</f>
        <v/>
      </c>
      <c r="F4074" s="23" t="str">
        <f>IF(OR(E4074="",E4074="!!!"),"",IF(NOT(ISNA(VLOOKUP(E4074,E$1:E4073,1,FALSE()))),"OLD",IF(AND(E4074&lt;&gt;"",E4074&lt;&gt;"!!!"),"NEW","")))</f>
        <v> </v>
      </c>
      <c r="G4074" s="24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5" t="str">
        <f>IF(J4074&lt;&gt;1,"",IF(I4074="SBJ","CB","?"))</f>
        <v> </v>
      </c>
      <c r="I4074" s="26" t="str">
        <f>IF(OR(E4074="",E4074="!!!",F4074="NEW"),"",INDEX(B4073:B$2,-1+SUMPRODUCT(MAX(ROW(E4073:E$2)*(E4074=E4073:E$2)))))</f>
        <v> </v>
      </c>
      <c r="J4074" s="26" t="str">
        <f>IF(OR(E4074="",E4074="!!!",F4074="NEW"),"",COUNTBLANK(OFFSET(A$1,,,SUMPRODUCT(MAX(ROW(E$2:E4074)*(E4074=E$2:E4074)))))-COUNTBLANK(OFFSET(A$1,,,SUMPRODUCT(MAX(ROW(E$1:E4073)*(E2=E$1:E4073))))))</f>
        <v> </v>
      </c>
      <c r="K4074" s="26" t="str">
        <f>IF(OR(E4074="",E4074="!!!",F4074="NEW"),"",INDEX(J$1:J4073,SUMPRODUCT(MAX(ROW(E$1:E4073)*(E4074=E$1:E4073)))))</f>
        <v> </v>
      </c>
      <c r="L4074" s="27"/>
    </row>
    <row r="4075" spans="1:12">
      <c r="A4075" s="20" t="s">
        <v>1248</v>
      </c>
      <c r="B4075" s="21" t="s">
        <v>2558</v>
      </c>
      <c r="C4075" s="21" t="s">
        <v>1100</v>
      </c>
      <c r="D4075" s="21" t="s">
        <v>972</v>
      </c>
      <c r="E4075" s="22">
        <f>IF(D4075="?OLD","!!!","")</f>
        <v/>
      </c>
      <c r="F4075" s="23" t="str">
        <f>IF(OR(E4075="",E4075="!!!"),"",IF(NOT(ISNA(VLOOKUP(E4075,E$1:E4074,1,FALSE()))),"OLD",IF(AND(E4075&lt;&gt;"",E4075&lt;&gt;"!!!"),"NEW","")))</f>
        <v> </v>
      </c>
      <c r="G4075" s="24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5" t="str">
        <f>IF(J4075&lt;&gt;1,"",IF(I4075="SBJ","CB","?"))</f>
        <v> </v>
      </c>
      <c r="I4075" s="26" t="str">
        <f>IF(OR(E4075="",E4075="!!!",F4075="NEW"),"",INDEX(B4074:B$2,-1+SUMPRODUCT(MAX(ROW(E4074:E$2)*(E4075=E4074:E$2)))))</f>
        <v> </v>
      </c>
      <c r="J4075" s="26" t="str">
        <f>IF(OR(E4075="",E4075="!!!",F4075="NEW"),"",COUNTBLANK(OFFSET(A$1,,,SUMPRODUCT(MAX(ROW(E$2:E4075)*(E4075=E$2:E4075)))))-COUNTBLANK(OFFSET(A$1,,,SUMPRODUCT(MAX(ROW(E$1:E4074)*(E2=E$1:E4074))))))</f>
        <v> </v>
      </c>
      <c r="K4075" s="26" t="str">
        <f>IF(OR(E4075="",E4075="!!!",F4075="NEW"),"",INDEX(J$1:J4074,SUMPRODUCT(MAX(ROW(E$1:E4074)*(E4075=E$1:E4074)))))</f>
        <v> </v>
      </c>
      <c r="L4075" s="27"/>
    </row>
    <row r="4076" spans="1:12">
      <c r="A4076" s="20" t="s">
        <v>1013</v>
      </c>
      <c r="E4076" s="22">
        <f>IF(D4076="?OLD","!!!","")</f>
        <v/>
      </c>
      <c r="F4076" s="23" t="str">
        <f>IF(OR(E4076="",E4076="!!!"),"",IF(NOT(ISNA(VLOOKUP(E4076,E$1:E4075,1,FALSE()))),"OLD",IF(AND(E4076&lt;&gt;"",E4076&lt;&gt;"!!!"),"NEW","")))</f>
        <v> </v>
      </c>
      <c r="G4076" s="24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5" t="str">
        <f>IF(J4076&lt;&gt;1,"",IF(I4076="SBJ","CB","?"))</f>
        <v> </v>
      </c>
      <c r="I4076" s="26" t="str">
        <f>IF(OR(E4076="",E4076="!!!",F4076="NEW"),"",INDEX(B4075:B$2,-1+SUMPRODUCT(MAX(ROW(E4075:E$2)*(E4076=E4075:E$2)))))</f>
        <v> </v>
      </c>
      <c r="J4076" s="26" t="str">
        <f>IF(OR(E4076="",E4076="!!!",F4076="NEW"),"",COUNTBLANK(OFFSET(A$1,,,SUMPRODUCT(MAX(ROW(E$2:E4076)*(E4076=E$2:E4076)))))-COUNTBLANK(OFFSET(A$1,,,SUMPRODUCT(MAX(ROW(E$1:E4075)*(E2=E$1:E4075))))))</f>
        <v> </v>
      </c>
      <c r="K4076" s="26" t="str">
        <f>IF(OR(E4076="",E4076="!!!",F4076="NEW"),"",INDEX(J$1:J4075,SUMPRODUCT(MAX(ROW(E$1:E4075)*(E4076=E$1:E4075)))))</f>
        <v> </v>
      </c>
      <c r="L4076" s="27"/>
    </row>
    <row r="4077" spans="1:12">
      <c r="A4077" s="20" t="s">
        <v>1020</v>
      </c>
      <c r="E4077" s="22">
        <f>IF(D4077="?OLD","!!!","")</f>
        <v/>
      </c>
      <c r="F4077" s="23" t="str">
        <f>IF(OR(E4077="",E4077="!!!"),"",IF(NOT(ISNA(VLOOKUP(E4077,E$1:E4076,1,FALSE()))),"OLD",IF(AND(E4077&lt;&gt;"",E4077&lt;&gt;"!!!"),"NEW","")))</f>
        <v> </v>
      </c>
      <c r="G4077" s="24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5" t="str">
        <f>IF(J4077&lt;&gt;1,"",IF(I4077="SBJ","CB","?"))</f>
        <v> </v>
      </c>
      <c r="I4077" s="26" t="str">
        <f>IF(OR(E4077="",E4077="!!!",F4077="NEW"),"",INDEX(B4076:B$2,-1+SUMPRODUCT(MAX(ROW(E4076:E$2)*(E4077=E4076:E$2)))))</f>
        <v> </v>
      </c>
      <c r="J4077" s="26" t="str">
        <f>IF(OR(E4077="",E4077="!!!",F4077="NEW"),"",COUNTBLANK(OFFSET(A$1,,,SUMPRODUCT(MAX(ROW(E$2:E4077)*(E4077=E$2:E4077)))))-COUNTBLANK(OFFSET(A$1,,,SUMPRODUCT(MAX(ROW(E$1:E4076)*(E2=E$1:E4076))))))</f>
        <v> </v>
      </c>
      <c r="K4077" s="26" t="str">
        <f>IF(OR(E4077="",E4077="!!!",F4077="NEW"),"",INDEX(J$1:J4076,SUMPRODUCT(MAX(ROW(E$1:E4076)*(E4077=E$1:E4076)))))</f>
        <v> </v>
      </c>
      <c r="L4077" s="27"/>
    </row>
    <row r="4078" spans="1:12">
      <c r="A4078" s="20" t="s">
        <v>1247</v>
      </c>
      <c r="B4078" s="21" t="s">
        <v>1716</v>
      </c>
      <c r="C4078" s="21" t="s">
        <v>971</v>
      </c>
      <c r="D4078" s="21" t="s">
        <v>972</v>
      </c>
      <c r="E4078" s="22">
        <f>IF(D4078="?OLD","!!!","")</f>
        <v/>
      </c>
      <c r="F4078" s="23" t="str">
        <f>IF(OR(E4078="",E4078="!!!"),"",IF(NOT(ISNA(VLOOKUP(E4078,E$1:E4077,1,FALSE()))),"OLD",IF(AND(E4078&lt;&gt;"",E4078&lt;&gt;"!!!"),"NEW","")))</f>
        <v> </v>
      </c>
      <c r="G4078" s="24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5" t="str">
        <f>IF(J4078&lt;&gt;1,"",IF(I4078="SBJ","CB","?"))</f>
        <v> </v>
      </c>
      <c r="I4078" s="26" t="str">
        <f>IF(OR(E4078="",E4078="!!!",F4078="NEW"),"",INDEX(B4077:B$2,-1+SUMPRODUCT(MAX(ROW(E4077:E$2)*(E4078=E4077:E$2)))))</f>
        <v> </v>
      </c>
      <c r="J4078" s="26" t="str">
        <f>IF(OR(E4078="",E4078="!!!",F4078="NEW"),"",COUNTBLANK(OFFSET(A$1,,,SUMPRODUCT(MAX(ROW(E$2:E4078)*(E4078=E$2:E4078)))))-COUNTBLANK(OFFSET(A$1,,,SUMPRODUCT(MAX(ROW(E$1:E4077)*(E2=E$1:E4077))))))</f>
        <v> </v>
      </c>
      <c r="K4078" s="26" t="str">
        <f>IF(OR(E4078="",E4078="!!!",F4078="NEW"),"",INDEX(J$1:J4077,SUMPRODUCT(MAX(ROW(E$1:E4077)*(E4078=E$1:E4077)))))</f>
        <v> </v>
      </c>
      <c r="L4078" s="27"/>
    </row>
    <row r="4079" spans="1:12">
      <c r="A4079" s="20" t="s">
        <v>668</v>
      </c>
      <c r="E4079" s="22">
        <f>IF(D4079="?OLD","!!!","")</f>
        <v/>
      </c>
      <c r="F4079" s="23" t="str">
        <f>IF(OR(E4079="",E4079="!!!"),"",IF(NOT(ISNA(VLOOKUP(E4079,E$1:E4078,1,FALSE()))),"OLD",IF(AND(E4079&lt;&gt;"",E4079&lt;&gt;"!!!"),"NEW","")))</f>
        <v> </v>
      </c>
      <c r="G4079" s="24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5" t="str">
        <f>IF(J4079&lt;&gt;1,"",IF(I4079="SBJ","CB","?"))</f>
        <v> </v>
      </c>
      <c r="I4079" s="26" t="str">
        <f>IF(OR(E4079="",E4079="!!!",F4079="NEW"),"",INDEX(B4078:B$2,-1+SUMPRODUCT(MAX(ROW(E4078:E$2)*(E4079=E4078:E$2)))))</f>
        <v> </v>
      </c>
      <c r="J4079" s="26" t="str">
        <f>IF(OR(E4079="",E4079="!!!",F4079="NEW"),"",COUNTBLANK(OFFSET(A$1,,,SUMPRODUCT(MAX(ROW(E$2:E4079)*(E4079=E$2:E4079)))))-COUNTBLANK(OFFSET(A$1,,,SUMPRODUCT(MAX(ROW(E$1:E4078)*(E2=E$1:E4078))))))</f>
        <v> </v>
      </c>
      <c r="K4079" s="26" t="str">
        <f>IF(OR(E4079="",E4079="!!!",F4079="NEW"),"",INDEX(J$1:J4078,SUMPRODUCT(MAX(ROW(E$1:E4078)*(E4079=E$1:E4078)))))</f>
        <v> </v>
      </c>
      <c r="L4079" s="27"/>
    </row>
    <row r="4080" spans="1:12">
      <c r="A4080" s="20" t="s">
        <v>1444</v>
      </c>
      <c r="E4080" s="22">
        <f>IF(D4080="?OLD","!!!","")</f>
        <v/>
      </c>
      <c r="F4080" s="23" t="str">
        <f>IF(OR(E4080="",E4080="!!!"),"",IF(NOT(ISNA(VLOOKUP(E4080,E$1:E4079,1,FALSE()))),"OLD",IF(AND(E4080&lt;&gt;"",E4080&lt;&gt;"!!!"),"NEW","")))</f>
        <v> </v>
      </c>
      <c r="G4080" s="24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5" t="str">
        <f>IF(J4080&lt;&gt;1,"",IF(I4080="SBJ","CB","?"))</f>
        <v> </v>
      </c>
      <c r="I4080" s="26" t="str">
        <f>IF(OR(E4080="",E4080="!!!",F4080="NEW"),"",INDEX(B4079:B$2,-1+SUMPRODUCT(MAX(ROW(E4079:E$2)*(E4080=E4079:E$2)))))</f>
        <v> </v>
      </c>
      <c r="J4080" s="26" t="str">
        <f>IF(OR(E4080="",E4080="!!!",F4080="NEW"),"",COUNTBLANK(OFFSET(A$1,,,SUMPRODUCT(MAX(ROW(E$2:E4080)*(E4080=E$2:E4080)))))-COUNTBLANK(OFFSET(A$1,,,SUMPRODUCT(MAX(ROW(E$1:E4079)*(E2=E$1:E4079))))))</f>
        <v> </v>
      </c>
      <c r="K4080" s="26" t="str">
        <f>IF(OR(E4080="",E4080="!!!",F4080="NEW"),"",INDEX(J$1:J4079,SUMPRODUCT(MAX(ROW(E$1:E4079)*(E4080=E$1:E4079)))))</f>
        <v> </v>
      </c>
      <c r="L4080" s="27"/>
    </row>
    <row r="4081" spans="1:12">
      <c r="A4081" s="20" t="s">
        <v>985</v>
      </c>
      <c r="B4081" s="21" t="s">
        <v>1387</v>
      </c>
      <c r="C4081" s="21" t="s">
        <v>1100</v>
      </c>
      <c r="D4081" s="21" t="s">
        <v>972</v>
      </c>
      <c r="E4081" s="22">
        <f>IF(D4081="?OLD","!!!","")</f>
        <v/>
      </c>
      <c r="F4081" s="23" t="str">
        <f>IF(OR(E4081="",E4081="!!!"),"",IF(NOT(ISNA(VLOOKUP(E4081,E$1:E4080,1,FALSE()))),"OLD",IF(AND(E4081&lt;&gt;"",E4081&lt;&gt;"!!!"),"NEW","")))</f>
        <v> </v>
      </c>
      <c r="G4081" s="24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5" t="str">
        <f>IF(J4081&lt;&gt;1,"",IF(I4081="SBJ","CB","?"))</f>
        <v> </v>
      </c>
      <c r="I4081" s="26" t="str">
        <f>IF(OR(E4081="",E4081="!!!",F4081="NEW"),"",INDEX(B4080:B$2,-1+SUMPRODUCT(MAX(ROW(E4080:E$2)*(E4081=E4080:E$2)))))</f>
        <v> </v>
      </c>
      <c r="J4081" s="26" t="str">
        <f>IF(OR(E4081="",E4081="!!!",F4081="NEW"),"",COUNTBLANK(OFFSET(A$1,,,SUMPRODUCT(MAX(ROW(E$2:E4081)*(E4081=E$2:E4081)))))-COUNTBLANK(OFFSET(A$1,,,SUMPRODUCT(MAX(ROW(E$1:E4080)*(E2=E$1:E4080))))))</f>
        <v> </v>
      </c>
      <c r="K4081" s="26" t="str">
        <f>IF(OR(E4081="",E4081="!!!",F4081="NEW"),"",INDEX(J$1:J4080,SUMPRODUCT(MAX(ROW(E$1:E4080)*(E4081=E$1:E4080)))))</f>
        <v> </v>
      </c>
      <c r="L4081" s="27"/>
    </row>
    <row r="4082" spans="1:12">
      <c r="A4082" s="20" t="s">
        <v>12</v>
      </c>
      <c r="E4082" s="22">
        <f>IF(D4082="?OLD","!!!","")</f>
        <v/>
      </c>
      <c r="F4082" s="23" t="str">
        <f>IF(OR(E4082="",E4082="!!!"),"",IF(NOT(ISNA(VLOOKUP(E4082,E$1:E4081,1,FALSE()))),"OLD",IF(AND(E4082&lt;&gt;"",E4082&lt;&gt;"!!!"),"NEW","")))</f>
        <v> </v>
      </c>
      <c r="G4082" s="24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5" t="str">
        <f>IF(J4082&lt;&gt;1,"",IF(I4082="SBJ","CB","?"))</f>
        <v> </v>
      </c>
      <c r="I4082" s="26" t="str">
        <f>IF(OR(E4082="",E4082="!!!",F4082="NEW"),"",INDEX(B4081:B$2,-1+SUMPRODUCT(MAX(ROW(E4081:E$2)*(E4082=E4081:E$2)))))</f>
        <v> </v>
      </c>
      <c r="J4082" s="26" t="str">
        <f>IF(OR(E4082="",E4082="!!!",F4082="NEW"),"",COUNTBLANK(OFFSET(A$1,,,SUMPRODUCT(MAX(ROW(E$2:E4082)*(E4082=E$2:E4082)))))-COUNTBLANK(OFFSET(A$1,,,SUMPRODUCT(MAX(ROW(E$1:E4081)*(E2=E$1:E4081))))))</f>
        <v> </v>
      </c>
      <c r="K4082" s="26" t="str">
        <f>IF(OR(E4082="",E4082="!!!",F4082="NEW"),"",INDEX(J$1:J4081,SUMPRODUCT(MAX(ROW(E$1:E4081)*(E4082=E$1:E4081)))))</f>
        <v> </v>
      </c>
      <c r="L4082" s="27"/>
    </row>
    <row r="4083" spans="1:12">
      <c r="A4083" s="20" t="s">
        <v>2559</v>
      </c>
      <c r="E4083" s="22">
        <f>IF(D4083="?OLD","!!!","")</f>
        <v/>
      </c>
      <c r="F4083" s="23" t="str">
        <f>IF(OR(E4083="",E4083="!!!"),"",IF(NOT(ISNA(VLOOKUP(E4083,E$1:E4082,1,FALSE()))),"OLD",IF(AND(E4083&lt;&gt;"",E4083&lt;&gt;"!!!"),"NEW","")))</f>
        <v> </v>
      </c>
      <c r="G4083" s="24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5" t="str">
        <f>IF(J4083&lt;&gt;1,"",IF(I4083="SBJ","CB","?"))</f>
        <v> </v>
      </c>
      <c r="I4083" s="26" t="str">
        <f>IF(OR(E4083="",E4083="!!!",F4083="NEW"),"",INDEX(B4082:B$2,-1+SUMPRODUCT(MAX(ROW(E4082:E$2)*(E4083=E4082:E$2)))))</f>
        <v> </v>
      </c>
      <c r="J4083" s="26" t="str">
        <f>IF(OR(E4083="",E4083="!!!",F4083="NEW"),"",COUNTBLANK(OFFSET(A$1,,,SUMPRODUCT(MAX(ROW(E$2:E4083)*(E4083=E$2:E4083)))))-COUNTBLANK(OFFSET(A$1,,,SUMPRODUCT(MAX(ROW(E$1:E4082)*(E2=E$1:E4082))))))</f>
        <v> </v>
      </c>
      <c r="K4083" s="26" t="str">
        <f>IF(OR(E4083="",E4083="!!!",F4083="NEW"),"",INDEX(J$1:J4082,SUMPRODUCT(MAX(ROW(E$1:E4082)*(E4083=E$1:E4082)))))</f>
        <v> </v>
      </c>
      <c r="L4083" s="27"/>
    </row>
    <row r="4084" spans="1:12">
      <c r="A4084" s="20" t="s">
        <v>2412</v>
      </c>
      <c r="B4084" s="21" t="s">
        <v>2560</v>
      </c>
      <c r="C4084" s="21" t="s">
        <v>996</v>
      </c>
      <c r="D4084" s="21" t="s">
        <v>972</v>
      </c>
      <c r="E4084" s="22">
        <f>IF(D4084="?OLD","!!!","")</f>
        <v/>
      </c>
      <c r="F4084" s="23" t="str">
        <f>IF(OR(E4084="",E4084="!!!"),"",IF(NOT(ISNA(VLOOKUP(E4084,E$1:E4083,1,FALSE()))),"OLD",IF(AND(E4084&lt;&gt;"",E4084&lt;&gt;"!!!"),"NEW","")))</f>
        <v> </v>
      </c>
      <c r="G4084" s="24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5" t="str">
        <f>IF(J4084&lt;&gt;1,"",IF(I4084="SBJ","CB","?"))</f>
        <v> </v>
      </c>
      <c r="I4084" s="26" t="str">
        <f>IF(OR(E4084="",E4084="!!!",F4084="NEW"),"",INDEX(B4083:B$2,-1+SUMPRODUCT(MAX(ROW(E4083:E$2)*(E4084=E4083:E$2)))))</f>
        <v> </v>
      </c>
      <c r="J4084" s="26" t="str">
        <f>IF(OR(E4084="",E4084="!!!",F4084="NEW"),"",COUNTBLANK(OFFSET(A$1,,,SUMPRODUCT(MAX(ROW(E$2:E4084)*(E4084=E$2:E4084)))))-COUNTBLANK(OFFSET(A$1,,,SUMPRODUCT(MAX(ROW(E$1:E4083)*(E2=E$1:E4083))))))</f>
        <v> </v>
      </c>
      <c r="K4084" s="26" t="str">
        <f>IF(OR(E4084="",E4084="!!!",F4084="NEW"),"",INDEX(J$1:J4083,SUMPRODUCT(MAX(ROW(E$1:E4083)*(E4084=E$1:E4083)))))</f>
        <v> </v>
      </c>
      <c r="L4084" s="27"/>
    </row>
    <row r="4085" spans="1:12">
      <c r="A4085" s="20" t="s">
        <v>2561</v>
      </c>
      <c r="E4085" s="22">
        <f>IF(D4085="?OLD","!!!","")</f>
        <v/>
      </c>
      <c r="F4085" s="23" t="str">
        <f>IF(OR(E4085="",E4085="!!!"),"",IF(NOT(ISNA(VLOOKUP(E4085,E$1:E4084,1,FALSE()))),"OLD",IF(AND(E4085&lt;&gt;"",E4085&lt;&gt;"!!!"),"NEW","")))</f>
        <v> </v>
      </c>
      <c r="G4085" s="24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5" t="str">
        <f>IF(J4085&lt;&gt;1,"",IF(I4085="SBJ","CB","?"))</f>
        <v> </v>
      </c>
      <c r="I4085" s="26" t="str">
        <f>IF(OR(E4085="",E4085="!!!",F4085="NEW"),"",INDEX(B4084:B$2,-1+SUMPRODUCT(MAX(ROW(E4084:E$2)*(E4085=E4084:E$2)))))</f>
        <v> </v>
      </c>
      <c r="J4085" s="26" t="str">
        <f>IF(OR(E4085="",E4085="!!!",F4085="NEW"),"",COUNTBLANK(OFFSET(A$1,,,SUMPRODUCT(MAX(ROW(E$2:E4085)*(E4085=E$2:E4085)))))-COUNTBLANK(OFFSET(A$1,,,SUMPRODUCT(MAX(ROW(E$1:E4084)*(E2=E$1:E4084))))))</f>
        <v> </v>
      </c>
      <c r="K4085" s="26" t="str">
        <f>IF(OR(E4085="",E4085="!!!",F4085="NEW"),"",INDEX(J$1:J4084,SUMPRODUCT(MAX(ROW(E$1:E4084)*(E4085=E$1:E4084)))))</f>
        <v> </v>
      </c>
      <c r="L4085" s="27"/>
    </row>
    <row r="4086" spans="1:12">
      <c r="A4086" s="20" t="s">
        <v>2562</v>
      </c>
      <c r="E4086" s="22">
        <f>IF(D4086="?OLD","!!!","")</f>
        <v/>
      </c>
      <c r="F4086" s="23" t="str">
        <f>IF(OR(E4086="",E4086="!!!"),"",IF(NOT(ISNA(VLOOKUP(E4086,E$1:E4085,1,FALSE()))),"OLD",IF(AND(E4086&lt;&gt;"",E4086&lt;&gt;"!!!"),"NEW","")))</f>
        <v> </v>
      </c>
      <c r="G4086" s="24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5" t="str">
        <f>IF(J4086&lt;&gt;1,"",IF(I4086="SBJ","CB","?"))</f>
        <v> </v>
      </c>
      <c r="I4086" s="26" t="str">
        <f>IF(OR(E4086="",E4086="!!!",F4086="NEW"),"",INDEX(B4085:B$2,-1+SUMPRODUCT(MAX(ROW(E4085:E$2)*(E4086=E4085:E$2)))))</f>
        <v> </v>
      </c>
      <c r="J4086" s="26" t="str">
        <f>IF(OR(E4086="",E4086="!!!",F4086="NEW"),"",COUNTBLANK(OFFSET(A$1,,,SUMPRODUCT(MAX(ROW(E$2:E4086)*(E4086=E$2:E4086)))))-COUNTBLANK(OFFSET(A$1,,,SUMPRODUCT(MAX(ROW(E$1:E4085)*(E2=E$1:E4085))))))</f>
        <v> </v>
      </c>
      <c r="K4086" s="26" t="str">
        <f>IF(OR(E4086="",E4086="!!!",F4086="NEW"),"",INDEX(J$1:J4085,SUMPRODUCT(MAX(ROW(E$1:E4085)*(E4086=E$1:E4085)))))</f>
        <v> </v>
      </c>
      <c r="L4086" s="27"/>
    </row>
    <row r="4087" spans="1:12">
      <c r="A4087" s="20" t="s">
        <v>1013</v>
      </c>
      <c r="E4087" s="22">
        <f>IF(D4087="?OLD","!!!","")</f>
        <v/>
      </c>
      <c r="F4087" s="23" t="str">
        <f>IF(OR(E4087="",E4087="!!!"),"",IF(NOT(ISNA(VLOOKUP(E4087,E$1:E4086,1,FALSE()))),"OLD",IF(AND(E4087&lt;&gt;"",E4087&lt;&gt;"!!!"),"NEW","")))</f>
        <v> </v>
      </c>
      <c r="G4087" s="24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5" t="str">
        <f>IF(J4087&lt;&gt;1,"",IF(I4087="SBJ","CB","?"))</f>
        <v> </v>
      </c>
      <c r="I4087" s="26" t="str">
        <f>IF(OR(E4087="",E4087="!!!",F4087="NEW"),"",INDEX(B4086:B$2,-1+SUMPRODUCT(MAX(ROW(E4086:E$2)*(E4087=E4086:E$2)))))</f>
        <v> </v>
      </c>
      <c r="J4087" s="26" t="str">
        <f>IF(OR(E4087="",E4087="!!!",F4087="NEW"),"",COUNTBLANK(OFFSET(A$1,,,SUMPRODUCT(MAX(ROW(E$2:E4087)*(E4087=E$2:E4087)))))-COUNTBLANK(OFFSET(A$1,,,SUMPRODUCT(MAX(ROW(E$1:E4086)*(E2=E$1:E4086))))))</f>
        <v> </v>
      </c>
      <c r="K4087" s="26" t="str">
        <f>IF(OR(E4087="",E4087="!!!",F4087="NEW"),"",INDEX(J$1:J4086,SUMPRODUCT(MAX(ROW(E$1:E4086)*(E4087=E$1:E4086)))))</f>
        <v> </v>
      </c>
      <c r="L4087" s="27"/>
    </row>
    <row r="4088" spans="1:12">
      <c r="A4088" s="20" t="s">
        <v>1205</v>
      </c>
      <c r="E4088" s="22">
        <f>IF(D4088="?OLD","!!!","")</f>
        <v/>
      </c>
      <c r="F4088" s="23" t="str">
        <f>IF(OR(E4088="",E4088="!!!"),"",IF(NOT(ISNA(VLOOKUP(E4088,E$1:E4087,1,FALSE()))),"OLD",IF(AND(E4088&lt;&gt;"",E4088&lt;&gt;"!!!"),"NEW","")))</f>
        <v> </v>
      </c>
      <c r="G4088" s="24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5" t="str">
        <f>IF(J4088&lt;&gt;1,"",IF(I4088="SBJ","CB","?"))</f>
        <v> </v>
      </c>
      <c r="I4088" s="26" t="str">
        <f>IF(OR(E4088="",E4088="!!!",F4088="NEW"),"",INDEX(B4087:B$2,-1+SUMPRODUCT(MAX(ROW(E4087:E$2)*(E4088=E4087:E$2)))))</f>
        <v> </v>
      </c>
      <c r="J4088" s="26" t="str">
        <f>IF(OR(E4088="",E4088="!!!",F4088="NEW"),"",COUNTBLANK(OFFSET(A$1,,,SUMPRODUCT(MAX(ROW(E$2:E4088)*(E4088=E$2:E4088)))))-COUNTBLANK(OFFSET(A$1,,,SUMPRODUCT(MAX(ROW(E$1:E4087)*(E2=E$1:E4087))))))</f>
        <v> </v>
      </c>
      <c r="K4088" s="26" t="str">
        <f>IF(OR(E4088="",E4088="!!!",F4088="NEW"),"",INDEX(J$1:J4087,SUMPRODUCT(MAX(ROW(E$1:E4087)*(E4088=E$1:E4087)))))</f>
        <v> </v>
      </c>
      <c r="L4088" s="27"/>
    </row>
    <row r="4089" spans="1:12">
      <c r="A4089" s="20" t="s">
        <v>1189</v>
      </c>
      <c r="B4089" s="21" t="s">
        <v>2563</v>
      </c>
      <c r="C4089" s="21" t="s">
        <v>971</v>
      </c>
      <c r="D4089" s="21" t="s">
        <v>972</v>
      </c>
      <c r="E4089" s="22">
        <f>IF(D4089="?OLD","!!!","")</f>
        <v/>
      </c>
      <c r="F4089" s="23" t="str">
        <f>IF(OR(E4089="",E4089="!!!"),"",IF(NOT(ISNA(VLOOKUP(E4089,E$1:E4088,1,FALSE()))),"OLD",IF(AND(E4089&lt;&gt;"",E4089&lt;&gt;"!!!"),"NEW","")))</f>
        <v> </v>
      </c>
      <c r="G4089" s="24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5" t="str">
        <f>IF(J4089&lt;&gt;1,"",IF(I4089="SBJ","CB","?"))</f>
        <v> </v>
      </c>
      <c r="I4089" s="26" t="str">
        <f>IF(OR(E4089="",E4089="!!!",F4089="NEW"),"",INDEX(B4088:B$2,-1+SUMPRODUCT(MAX(ROW(E4088:E$2)*(E4089=E4088:E$2)))))</f>
        <v> </v>
      </c>
      <c r="J4089" s="26" t="str">
        <f>IF(OR(E4089="",E4089="!!!",F4089="NEW"),"",COUNTBLANK(OFFSET(A$1,,,SUMPRODUCT(MAX(ROW(E$2:E4089)*(E4089=E$2:E4089)))))-COUNTBLANK(OFFSET(A$1,,,SUMPRODUCT(MAX(ROW(E$1:E4088)*(E2=E$1:E4088))))))</f>
        <v> </v>
      </c>
      <c r="K4089" s="26" t="str">
        <f>IF(OR(E4089="",E4089="!!!",F4089="NEW"),"",INDEX(J$1:J4088,SUMPRODUCT(MAX(ROW(E$1:E4088)*(E4089=E$1:E4088)))))</f>
        <v> </v>
      </c>
      <c r="L4089" s="27"/>
    </row>
    <row r="4090" spans="1:12">
      <c r="A4090" s="20" t="s">
        <v>1260</v>
      </c>
      <c r="E4090" s="22">
        <f>IF(D4090="?OLD","!!!","")</f>
        <v/>
      </c>
      <c r="F4090" s="23" t="str">
        <f>IF(OR(E4090="",E4090="!!!"),"",IF(NOT(ISNA(VLOOKUP(E4090,E$1:E4089,1,FALSE()))),"OLD",IF(AND(E4090&lt;&gt;"",E4090&lt;&gt;"!!!"),"NEW","")))</f>
        <v> </v>
      </c>
      <c r="G4090" s="24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5" t="str">
        <f>IF(J4090&lt;&gt;1,"",IF(I4090="SBJ","CB","?"))</f>
        <v> </v>
      </c>
      <c r="I4090" s="26" t="str">
        <f>IF(OR(E4090="",E4090="!!!",F4090="NEW"),"",INDEX(B4089:B$2,-1+SUMPRODUCT(MAX(ROW(E4089:E$2)*(E4090=E4089:E$2)))))</f>
        <v> </v>
      </c>
      <c r="J4090" s="26" t="str">
        <f>IF(OR(E4090="",E4090="!!!",F4090="NEW"),"",COUNTBLANK(OFFSET(A$1,,,SUMPRODUCT(MAX(ROW(E$2:E4090)*(E4090=E$2:E4090)))))-COUNTBLANK(OFFSET(A$1,,,SUMPRODUCT(MAX(ROW(E$1:E4089)*(E2=E$1:E4089))))))</f>
        <v> </v>
      </c>
      <c r="K4090" s="26" t="str">
        <f>IF(OR(E4090="",E4090="!!!",F4090="NEW"),"",INDEX(J$1:J4089,SUMPRODUCT(MAX(ROW(E$1:E4089)*(E4090=E$1:E4089)))))</f>
        <v> </v>
      </c>
      <c r="L4090" s="27"/>
    </row>
    <row r="4091" spans="1:12">
      <c r="A4091" s="20" t="s">
        <v>1195</v>
      </c>
      <c r="E4091" s="22">
        <f>IF(D4091="?OLD","!!!","")</f>
        <v/>
      </c>
      <c r="F4091" s="23" t="str">
        <f>IF(OR(E4091="",E4091="!!!"),"",IF(NOT(ISNA(VLOOKUP(E4091,E$1:E4090,1,FALSE()))),"OLD",IF(AND(E4091&lt;&gt;"",E4091&lt;&gt;"!!!"),"NEW","")))</f>
        <v> </v>
      </c>
      <c r="G4091" s="24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5" t="str">
        <f>IF(J4091&lt;&gt;1,"",IF(I4091="SBJ","CB","?"))</f>
        <v> </v>
      </c>
      <c r="I4091" s="26" t="str">
        <f>IF(OR(E4091="",E4091="!!!",F4091="NEW"),"",INDEX(B4090:B$2,-1+SUMPRODUCT(MAX(ROW(E4090:E$2)*(E4091=E4090:E$2)))))</f>
        <v> </v>
      </c>
      <c r="J4091" s="26" t="str">
        <f>IF(OR(E4091="",E4091="!!!",F4091="NEW"),"",COUNTBLANK(OFFSET(A$1,,,SUMPRODUCT(MAX(ROW(E$2:E4091)*(E4091=E$2:E4091)))))-COUNTBLANK(OFFSET(A$1,,,SUMPRODUCT(MAX(ROW(E$1:E4090)*(E2=E$1:E4090))))))</f>
        <v> </v>
      </c>
      <c r="K4091" s="26" t="str">
        <f>IF(OR(E4091="",E4091="!!!",F4091="NEW"),"",INDEX(J$1:J4090,SUMPRODUCT(MAX(ROW(E$1:E4090)*(E4091=E$1:E4090)))))</f>
        <v> </v>
      </c>
      <c r="L4091" s="27"/>
    </row>
    <row r="4092" spans="1:12">
      <c r="A4092" s="20" t="s">
        <v>2234</v>
      </c>
      <c r="E4092" s="22">
        <f>IF(D4092="?OLD","!!!","")</f>
        <v/>
      </c>
      <c r="F4092" s="23" t="str">
        <f>IF(OR(E4092="",E4092="!!!"),"",IF(NOT(ISNA(VLOOKUP(E4092,E$1:E4091,1,FALSE()))),"OLD",IF(AND(E4092&lt;&gt;"",E4092&lt;&gt;"!!!"),"NEW","")))</f>
        <v> </v>
      </c>
      <c r="G4092" s="24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5" t="str">
        <f>IF(J4092&lt;&gt;1,"",IF(I4092="SBJ","CB","?"))</f>
        <v> </v>
      </c>
      <c r="I4092" s="26" t="str">
        <f>IF(OR(E4092="",E4092="!!!",F4092="NEW"),"",INDEX(B4091:B$2,-1+SUMPRODUCT(MAX(ROW(E4091:E$2)*(E4092=E4091:E$2)))))</f>
        <v> </v>
      </c>
      <c r="J4092" s="26" t="str">
        <f>IF(OR(E4092="",E4092="!!!",F4092="NEW"),"",COUNTBLANK(OFFSET(A$1,,,SUMPRODUCT(MAX(ROW(E$2:E4092)*(E4092=E$2:E4092)))))-COUNTBLANK(OFFSET(A$1,,,SUMPRODUCT(MAX(ROW(E$1:E4091)*(E2=E$1:E4091))))))</f>
        <v> </v>
      </c>
      <c r="K4092" s="26" t="str">
        <f>IF(OR(E4092="",E4092="!!!",F4092="NEW"),"",INDEX(J$1:J4091,SUMPRODUCT(MAX(ROW(E$1:E4091)*(E4092=E$1:E4091)))))</f>
        <v> </v>
      </c>
      <c r="L4092" s="27"/>
    </row>
    <row r="4093" spans="1:12">
      <c r="A4093" s="20" t="s">
        <v>412</v>
      </c>
      <c r="B4093" s="21" t="s">
        <v>2564</v>
      </c>
      <c r="E4093" s="22">
        <f>IF(D4093="?OLD","!!!","")</f>
        <v/>
      </c>
      <c r="F4093" s="23" t="str">
        <f>IF(OR(E4093="",E4093="!!!"),"",IF(NOT(ISNA(VLOOKUP(E4093,E$1:E4092,1,FALSE()))),"OLD",IF(AND(E4093&lt;&gt;"",E4093&lt;&gt;"!!!"),"NEW","")))</f>
        <v> </v>
      </c>
      <c r="G4093" s="24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5" t="str">
        <f>IF(J4093&lt;&gt;1,"",IF(I4093="SBJ","CB","?"))</f>
        <v> </v>
      </c>
      <c r="I4093" s="26" t="str">
        <f>IF(OR(E4093="",E4093="!!!",F4093="NEW"),"",INDEX(B4092:B$2,-1+SUMPRODUCT(MAX(ROW(E4092:E$2)*(E4093=E4092:E$2)))))</f>
        <v> </v>
      </c>
      <c r="J4093" s="26" t="str">
        <f>IF(OR(E4093="",E4093="!!!",F4093="NEW"),"",COUNTBLANK(OFFSET(A$1,,,SUMPRODUCT(MAX(ROW(E$2:E4093)*(E4093=E$2:E4093)))))-COUNTBLANK(OFFSET(A$1,,,SUMPRODUCT(MAX(ROW(E$1:E4092)*(E2=E$1:E4092))))))</f>
        <v> </v>
      </c>
      <c r="K4093" s="26" t="str">
        <f>IF(OR(E4093="",E4093="!!!",F4093="NEW"),"",INDEX(J$1:J4092,SUMPRODUCT(MAX(ROW(E$1:E4092)*(E4093=E$1:E4092)))))</f>
        <v> </v>
      </c>
      <c r="L4093" s="27"/>
    </row>
    <row r="4094" spans="1:12">
      <c r="A4094" s="20" t="s">
        <v>979</v>
      </c>
      <c r="E4094" s="22">
        <f>IF(D4094="?OLD","!!!","")</f>
        <v/>
      </c>
      <c r="F4094" s="23" t="str">
        <f>IF(OR(E4094="",E4094="!!!"),"",IF(NOT(ISNA(VLOOKUP(E4094,E$1:E4093,1,FALSE()))),"OLD",IF(AND(E4094&lt;&gt;"",E4094&lt;&gt;"!!!"),"NEW","")))</f>
        <v> </v>
      </c>
      <c r="G4094" s="24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5" t="str">
        <f>IF(J4094&lt;&gt;1,"",IF(I4094="SBJ","CB","?"))</f>
        <v> </v>
      </c>
      <c r="I4094" s="26" t="str">
        <f>IF(OR(E4094="",E4094="!!!",F4094="NEW"),"",INDEX(B4093:B$2,-1+SUMPRODUCT(MAX(ROW(E4093:E$2)*(E4094=E4093:E$2)))))</f>
        <v> </v>
      </c>
      <c r="J4094" s="26" t="str">
        <f>IF(OR(E4094="",E4094="!!!",F4094="NEW"),"",COUNTBLANK(OFFSET(A$1,,,SUMPRODUCT(MAX(ROW(E$2:E4094)*(E4094=E$2:E4094)))))-COUNTBLANK(OFFSET(A$1,,,SUMPRODUCT(MAX(ROW(E$1:E4093)*(E2=E$1:E4093))))))</f>
        <v> </v>
      </c>
      <c r="K4094" s="26" t="str">
        <f>IF(OR(E4094="",E4094="!!!",F4094="NEW"),"",INDEX(J$1:J4093,SUMPRODUCT(MAX(ROW(E$1:E4093)*(E4094=E$1:E4093)))))</f>
        <v> </v>
      </c>
      <c r="L4094" s="27"/>
    </row>
    <row r="4095" spans="1:12">
      <c r="A4095" s="20"/>
    </row>
    <row r="4096" spans="1:12">
      <c r="A4096" s="20" t="s">
        <v>2565</v>
      </c>
    </row>
    <row r="4097" spans="1:12">
      <c r="A4097" s="20" t="s">
        <v>2566</v>
      </c>
      <c r="E4097" s="22">
        <f>IF(D4097="?OLD","!!!","")</f>
        <v/>
      </c>
      <c r="F4097" s="23" t="str">
        <f>IF(OR(E4097="",E4097="!!!"),"",IF(NOT(ISNA(VLOOKUP(E4097,E$1:E4096,1,FALSE()))),"OLD",IF(AND(E4097&lt;&gt;"",E4097&lt;&gt;"!!!"),"NEW","")))</f>
        <v> </v>
      </c>
      <c r="G4097" s="24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5" t="str">
        <f>IF(J4097&lt;&gt;1,"",IF(I4097="SBJ","CB","?"))</f>
        <v> </v>
      </c>
      <c r="I4097" s="26" t="str">
        <f>IF(OR(E4097="",E4097="!!!",F4097="NEW"),"",INDEX(B4096:B$2,-1+SUMPRODUCT(MAX(ROW(E4096:E$2)*(E4097=E4096:E$2)))))</f>
        <v> </v>
      </c>
      <c r="J4097" s="26" t="str">
        <f>IF(OR(E4097="",E4097="!!!",F4097="NEW"),"",COUNTBLANK(OFFSET(A$1,,,SUMPRODUCT(MAX(ROW(E$2:E4097)*(E4097=E$2:E4097)))))-COUNTBLANK(OFFSET(A$1,,,SUMPRODUCT(MAX(ROW(E$1:E4096)*(E2=E$1:E4096))))))</f>
        <v> </v>
      </c>
      <c r="K4097" s="26" t="str">
        <f>IF(OR(E4097="",E4097="!!!",F4097="NEW"),"",INDEX(J$1:J4096,SUMPRODUCT(MAX(ROW(E$1:E4096)*(E4097=E$1:E4096)))))</f>
        <v> </v>
      </c>
      <c r="L4097" s="27"/>
    </row>
    <row r="4098" spans="1:12">
      <c r="A4098" s="20" t="s">
        <v>1013</v>
      </c>
      <c r="E4098" s="22">
        <f>IF(D4098="?OLD","!!!","")</f>
        <v/>
      </c>
      <c r="F4098" s="23" t="str">
        <f>IF(OR(E4098="",E4098="!!!"),"",IF(NOT(ISNA(VLOOKUP(E4098,E$1:E4097,1,FALSE()))),"OLD",IF(AND(E4098&lt;&gt;"",E4098&lt;&gt;"!!!"),"NEW","")))</f>
        <v> </v>
      </c>
      <c r="G4098" s="24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5" t="str">
        <f>IF(J4098&lt;&gt;1,"",IF(I4098="SBJ","CB","?"))</f>
        <v> </v>
      </c>
      <c r="I4098" s="26" t="str">
        <f>IF(OR(E4098="",E4098="!!!",F4098="NEW"),"",INDEX(B4097:B$2,-1+SUMPRODUCT(MAX(ROW(E4097:E$2)*(E4098=E4097:E$2)))))</f>
        <v> </v>
      </c>
      <c r="J4098" s="26" t="str">
        <f>IF(OR(E4098="",E4098="!!!",F4098="NEW"),"",COUNTBLANK(OFFSET(A$1,,,SUMPRODUCT(MAX(ROW(E$2:E4098)*(E4098=E$2:E4098)))))-COUNTBLANK(OFFSET(A$1,,,SUMPRODUCT(MAX(ROW(E$1:E4097)*(E2=E$1:E4097))))))</f>
        <v> </v>
      </c>
      <c r="K4098" s="26" t="str">
        <f>IF(OR(E4098="",E4098="!!!",F4098="NEW"),"",INDEX(J$1:J4097,SUMPRODUCT(MAX(ROW(E$1:E4097)*(E4098=E$1:E4097)))))</f>
        <v> </v>
      </c>
      <c r="L4098" s="27"/>
    </row>
    <row r="4099" spans="1:12">
      <c r="A4099" s="20" t="s">
        <v>145</v>
      </c>
      <c r="B4099" s="21" t="s">
        <v>975</v>
      </c>
      <c r="C4099" s="21" t="s">
        <v>971</v>
      </c>
      <c r="D4099" s="21" t="s">
        <v>972</v>
      </c>
      <c r="E4099" s="22">
        <f>IF(D4099="?OLD","!!!","")</f>
        <v/>
      </c>
      <c r="F4099" s="23" t="str">
        <f>IF(OR(E4099="",E4099="!!!"),"",IF(NOT(ISNA(VLOOKUP(E4099,E$1:E4098,1,FALSE()))),"OLD",IF(AND(E4099&lt;&gt;"",E4099&lt;&gt;"!!!"),"NEW","")))</f>
        <v> </v>
      </c>
      <c r="G4099" s="24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5" t="str">
        <f>IF(J4099&lt;&gt;1,"",IF(I4099="SBJ","CB","?"))</f>
        <v> </v>
      </c>
      <c r="I4099" s="26" t="str">
        <f>IF(OR(E4099="",E4099="!!!",F4099="NEW"),"",INDEX(B4098:B$2,-1+SUMPRODUCT(MAX(ROW(E4098:E$2)*(E4099=E4098:E$2)))))</f>
        <v> </v>
      </c>
      <c r="J4099" s="26" t="str">
        <f>IF(OR(E4099="",E4099="!!!",F4099="NEW"),"",COUNTBLANK(OFFSET(A$1,,,SUMPRODUCT(MAX(ROW(E$2:E4099)*(E4099=E$2:E4099)))))-COUNTBLANK(OFFSET(A$1,,,SUMPRODUCT(MAX(ROW(E$1:E4098)*(E2=E$1:E4098))))))</f>
        <v> </v>
      </c>
      <c r="K4099" s="26" t="str">
        <f>IF(OR(E4099="",E4099="!!!",F4099="NEW"),"",INDEX(J$1:J4098,SUMPRODUCT(MAX(ROW(E$1:E4098)*(E4099=E$1:E4098)))))</f>
        <v> </v>
      </c>
      <c r="L4099" s="27"/>
    </row>
    <row r="4100" spans="1:12">
      <c r="A4100" s="20" t="s">
        <v>1297</v>
      </c>
      <c r="B4100" s="21" t="s">
        <v>970</v>
      </c>
      <c r="C4100" s="21" t="s">
        <v>971</v>
      </c>
      <c r="D4100" s="21" t="s">
        <v>972</v>
      </c>
      <c r="E4100" s="22">
        <f>IF(D4100="?OLD","!!!","")</f>
        <v/>
      </c>
      <c r="F4100" s="23" t="str">
        <f>IF(OR(E4100="",E4100="!!!"),"",IF(NOT(ISNA(VLOOKUP(E4100,E$1:E4099,1,FALSE()))),"OLD",IF(AND(E4100&lt;&gt;"",E4100&lt;&gt;"!!!"),"NEW","")))</f>
        <v> </v>
      </c>
      <c r="G4100" s="24" t="str">
        <f>IF(OR(E4100="",E4100="!!!"),"",IF(OR(J4100=0,AND(J4100=1,K4100=1),AND(J4100=1,I4100="SBJ"),AND(J4100=1,I4100=0)),"?IN_FOCUS",IF(J4100&lt;=2,"?ACTIVATED",IF(J4100&lt;&gt;"","?FAMILIAR",IF(F4100="NEW",IF(ISNA(VLOOKUP(E4100,#REF!,1,FALSE())),"?TYPE_IDENTIFIABLE","?REFERENTIAL"),"_")))))</f>
        <v> </v>
      </c>
      <c r="H4100" s="25" t="str">
        <f>IF(J4100&lt;&gt;1,"",IF(I4100="SBJ","CB","?"))</f>
        <v> </v>
      </c>
      <c r="I4100" s="26" t="str">
        <f>IF(OR(E4100="",E4100="!!!",F4100="NEW"),"",INDEX(B4099:B$2,-1+SUMPRODUCT(MAX(ROW(E4099:E$2)*(E4100=E4099:E$2)))))</f>
        <v> </v>
      </c>
      <c r="J4100" s="26" t="str">
        <f>IF(OR(E4100="",E4100="!!!",F4100="NEW"),"",COUNTBLANK(OFFSET(A$1,,,SUMPRODUCT(MAX(ROW(E$2:E4100)*(E4100=E$2:E4100)))))-COUNTBLANK(OFFSET(A$1,,,SUMPRODUCT(MAX(ROW(E$1:E4099)*(E2=E$1:E4099))))))</f>
        <v> </v>
      </c>
      <c r="K4100" s="26" t="str">
        <f>IF(OR(E4100="",E4100="!!!",F4100="NEW"),"",INDEX(J$1:J4099,SUMPRODUCT(MAX(ROW(E$1:E4099)*(E4100=E$1:E4099)))))</f>
        <v> </v>
      </c>
      <c r="L4100" s="27"/>
    </row>
    <row r="4101" spans="1:12">
      <c r="A4101" s="20" t="s">
        <v>1575</v>
      </c>
      <c r="E4101" s="22">
        <f>IF(D4101="?OLD","!!!","")</f>
        <v/>
      </c>
      <c r="F4101" s="23" t="str">
        <f>IF(OR(E4101="",E4101="!!!"),"",IF(NOT(ISNA(VLOOKUP(E4101,E$1:E4100,1,FALSE()))),"OLD",IF(AND(E4101&lt;&gt;"",E4101&lt;&gt;"!!!"),"NEW","")))</f>
        <v> </v>
      </c>
      <c r="G4101" s="24" t="str">
        <f>IF(OR(E4101="",E4101="!!!"),"",IF(OR(J4101=0,AND(J4101=1,K4101=1),AND(J4101=1,I4101="SBJ"),AND(J4101=1,I4101=0)),"?IN_FOCUS",IF(J4101&lt;=2,"?ACTIVATED",IF(J4101&lt;&gt;"","?FAMILIAR",IF(F4101="NEW",IF(ISNA(VLOOKUP(E4101,#REF!,1,FALSE())),"?TYPE_IDENTIFIABLE","?REFERENTIAL"),"_")))))</f>
        <v> </v>
      </c>
      <c r="H4101" s="25" t="str">
        <f>IF(J4101&lt;&gt;1,"",IF(I4101="SBJ","CB","?"))</f>
        <v> </v>
      </c>
      <c r="I4101" s="26" t="str">
        <f>IF(OR(E4101="",E4101="!!!",F4101="NEW"),"",INDEX(B4100:B$2,-1+SUMPRODUCT(MAX(ROW(E4100:E$2)*(E4101=E4100:E$2)))))</f>
        <v> </v>
      </c>
      <c r="J4101" s="26" t="str">
        <f>IF(OR(E4101="",E4101="!!!",F4101="NEW"),"",COUNTBLANK(OFFSET(A$1,,,SUMPRODUCT(MAX(ROW(E$2:E4101)*(E4101=E$2:E4101)))))-COUNTBLANK(OFFSET(A$1,,,SUMPRODUCT(MAX(ROW(E$1:E4100)*(E2=E$1:E4100))))))</f>
        <v> </v>
      </c>
      <c r="K4101" s="26" t="str">
        <f>IF(OR(E4101="",E4101="!!!",F4101="NEW"),"",INDEX(J$1:J4100,SUMPRODUCT(MAX(ROW(E$1:E4100)*(E4101=E$1:E4100)))))</f>
        <v> </v>
      </c>
      <c r="L4101" s="27"/>
    </row>
    <row r="4102" spans="1:12">
      <c r="A4102" s="20" t="s">
        <v>2567</v>
      </c>
      <c r="B4102" s="21" t="s">
        <v>995</v>
      </c>
      <c r="C4102" s="21" t="s">
        <v>971</v>
      </c>
      <c r="D4102" s="21" t="s">
        <v>972</v>
      </c>
      <c r="E4102" s="22">
        <f>IF(D4102="?OLD","!!!","")</f>
        <v/>
      </c>
      <c r="F4102" s="23" t="str">
        <f>IF(OR(E4102="",E4102="!!!"),"",IF(NOT(ISNA(VLOOKUP(E4102,E$1:E4101,1,FALSE()))),"OLD",IF(AND(E4102&lt;&gt;"",E4102&lt;&gt;"!!!"),"NEW","")))</f>
        <v> </v>
      </c>
      <c r="G4102" s="24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5" t="str">
        <f>IF(J4102&lt;&gt;1,"",IF(I4102="SBJ","CB","?"))</f>
        <v> </v>
      </c>
      <c r="I4102" s="26" t="str">
        <f>IF(OR(E4102="",E4102="!!!",F4102="NEW"),"",INDEX(B4101:B$2,-1+SUMPRODUCT(MAX(ROW(E4101:E$2)*(E4102=E4101:E$2)))))</f>
        <v> </v>
      </c>
      <c r="J4102" s="26" t="str">
        <f>IF(OR(E4102="",E4102="!!!",F4102="NEW"),"",COUNTBLANK(OFFSET(A$1,,,SUMPRODUCT(MAX(ROW(E$2:E4102)*(E4102=E$2:E4102)))))-COUNTBLANK(OFFSET(A$1,,,SUMPRODUCT(MAX(ROW(E$1:E4101)*(E2=E$1:E4101))))))</f>
        <v> </v>
      </c>
      <c r="K4102" s="26" t="str">
        <f>IF(OR(E4102="",E4102="!!!",F4102="NEW"),"",INDEX(J$1:J4101,SUMPRODUCT(MAX(ROW(E$1:E4101)*(E4102=E$1:E4101)))))</f>
        <v> </v>
      </c>
      <c r="L4102" s="27"/>
    </row>
    <row r="4103" spans="1:12">
      <c r="A4103" s="20" t="s">
        <v>2568</v>
      </c>
      <c r="E4103" s="22">
        <f>IF(D4103="?OLD","!!!","")</f>
        <v/>
      </c>
      <c r="F4103" s="23" t="str">
        <f>IF(OR(E4103="",E4103="!!!"),"",IF(NOT(ISNA(VLOOKUP(E4103,E$1:E4102,1,FALSE()))),"OLD",IF(AND(E4103&lt;&gt;"",E4103&lt;&gt;"!!!"),"NEW","")))</f>
        <v> </v>
      </c>
      <c r="G4103" s="24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5" t="str">
        <f>IF(J4103&lt;&gt;1,"",IF(I4103="SBJ","CB","?"))</f>
        <v> </v>
      </c>
      <c r="I4103" s="26" t="str">
        <f>IF(OR(E4103="",E4103="!!!",F4103="NEW"),"",INDEX(B4102:B$2,-1+SUMPRODUCT(MAX(ROW(E4102:E$2)*(E4103=E4102:E$2)))))</f>
        <v> </v>
      </c>
      <c r="J4103" s="26" t="str">
        <f>IF(OR(E4103="",E4103="!!!",F4103="NEW"),"",COUNTBLANK(OFFSET(A$1,,,SUMPRODUCT(MAX(ROW(E$2:E4103)*(E4103=E$2:E4103)))))-COUNTBLANK(OFFSET(A$1,,,SUMPRODUCT(MAX(ROW(E$1:E4102)*(E2=E$1:E4102))))))</f>
        <v> </v>
      </c>
      <c r="K4103" s="26" t="str">
        <f>IF(OR(E4103="",E4103="!!!",F4103="NEW"),"",INDEX(J$1:J4102,SUMPRODUCT(MAX(ROW(E$1:E4102)*(E4103=E$1:E4102)))))</f>
        <v> </v>
      </c>
      <c r="L4103" s="27"/>
    </row>
    <row r="4104" spans="1:12">
      <c r="A4104" s="20" t="s">
        <v>149</v>
      </c>
      <c r="E4104" s="22">
        <f>IF(D4104="?OLD","!!!","")</f>
        <v/>
      </c>
      <c r="F4104" s="23" t="str">
        <f>IF(OR(E4104="",E4104="!!!"),"",IF(NOT(ISNA(VLOOKUP(E4104,E$1:E4103,1,FALSE()))),"OLD",IF(AND(E4104&lt;&gt;"",E4104&lt;&gt;"!!!"),"NEW","")))</f>
        <v> </v>
      </c>
      <c r="G4104" s="24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5" t="str">
        <f>IF(J4104&lt;&gt;1,"",IF(I4104="SBJ","CB","?"))</f>
        <v> </v>
      </c>
      <c r="I4104" s="26" t="str">
        <f>IF(OR(E4104="",E4104="!!!",F4104="NEW"),"",INDEX(B4103:B$2,-1+SUMPRODUCT(MAX(ROW(E4103:E$2)*(E4104=E4103:E$2)))))</f>
        <v> </v>
      </c>
      <c r="J4104" s="26" t="str">
        <f>IF(OR(E4104="",E4104="!!!",F4104="NEW"),"",COUNTBLANK(OFFSET(A$1,,,SUMPRODUCT(MAX(ROW(E$2:E4104)*(E4104=E$2:E4104)))))-COUNTBLANK(OFFSET(A$1,,,SUMPRODUCT(MAX(ROW(E$1:E4103)*(E2=E$1:E4103))))))</f>
        <v> </v>
      </c>
      <c r="K4104" s="26" t="str">
        <f>IF(OR(E4104="",E4104="!!!",F4104="NEW"),"",INDEX(J$1:J4103,SUMPRODUCT(MAX(ROW(E$1:E4103)*(E4104=E$1:E4103)))))</f>
        <v> </v>
      </c>
      <c r="L4104" s="27"/>
    </row>
    <row r="4105" spans="1:12">
      <c r="A4105" s="20" t="s">
        <v>1248</v>
      </c>
      <c r="B4105" s="21" t="s">
        <v>1093</v>
      </c>
      <c r="E4105" s="22">
        <f>IF(D4105="?OLD","!!!","")</f>
        <v/>
      </c>
      <c r="F4105" s="23" t="str">
        <f>IF(OR(E4105="",E4105="!!!"),"",IF(NOT(ISNA(VLOOKUP(E4105,E$1:E4104,1,FALSE()))),"OLD",IF(AND(E4105&lt;&gt;"",E4105&lt;&gt;"!!!"),"NEW","")))</f>
        <v> </v>
      </c>
      <c r="G4105" s="24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5" t="str">
        <f>IF(J4105&lt;&gt;1,"",IF(I4105="SBJ","CB","?"))</f>
        <v> </v>
      </c>
      <c r="I4105" s="26" t="str">
        <f>IF(OR(E4105="",E4105="!!!",F4105="NEW"),"",INDEX(B4104:B$2,-1+SUMPRODUCT(MAX(ROW(E4104:E$2)*(E4105=E4104:E$2)))))</f>
        <v> </v>
      </c>
      <c r="J4105" s="26" t="str">
        <f>IF(OR(E4105="",E4105="!!!",F4105="NEW"),"",COUNTBLANK(OFFSET(A$1,,,SUMPRODUCT(MAX(ROW(E$2:E4105)*(E4105=E$2:E4105)))))-COUNTBLANK(OFFSET(A$1,,,SUMPRODUCT(MAX(ROW(E$1:E4104)*(E2=E$1:E4104))))))</f>
        <v> </v>
      </c>
      <c r="K4105" s="26" t="str">
        <f>IF(OR(E4105="",E4105="!!!",F4105="NEW"),"",INDEX(J$1:J4104,SUMPRODUCT(MAX(ROW(E$1:E4104)*(E4105=E$1:E4104)))))</f>
        <v> </v>
      </c>
      <c r="L4105" s="27"/>
    </row>
    <row r="4106" spans="1:12">
      <c r="A4106" s="20" t="s">
        <v>999</v>
      </c>
      <c r="E4106" s="22">
        <f>IF(D4106="?OLD","!!!","")</f>
        <v/>
      </c>
      <c r="F4106" s="23" t="str">
        <f>IF(OR(E4106="",E4106="!!!"),"",IF(NOT(ISNA(VLOOKUP(E4106,E$1:E4105,1,FALSE()))),"OLD",IF(AND(E4106&lt;&gt;"",E4106&lt;&gt;"!!!"),"NEW","")))</f>
        <v> </v>
      </c>
      <c r="G4106" s="24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5" t="str">
        <f>IF(J4106&lt;&gt;1,"",IF(I4106="SBJ","CB","?"))</f>
        <v> </v>
      </c>
      <c r="I4106" s="26" t="str">
        <f>IF(OR(E4106="",E4106="!!!",F4106="NEW"),"",INDEX(B4105:B$2,-1+SUMPRODUCT(MAX(ROW(E4105:E$2)*(E4106=E4105:E$2)))))</f>
        <v> </v>
      </c>
      <c r="J4106" s="26" t="str">
        <f>IF(OR(E4106="",E4106="!!!",F4106="NEW"),"",COUNTBLANK(OFFSET(A$1,,,SUMPRODUCT(MAX(ROW(E$2:E4106)*(E4106=E$2:E4106)))))-COUNTBLANK(OFFSET(A$1,,,SUMPRODUCT(MAX(ROW(E$1:E4105)*(E2=E$1:E4105))))))</f>
        <v> </v>
      </c>
      <c r="K4106" s="26" t="str">
        <f>IF(OR(E4106="",E4106="!!!",F4106="NEW"),"",INDEX(J$1:J4105,SUMPRODUCT(MAX(ROW(E$1:E4105)*(E4106=E$1:E4105)))))</f>
        <v> </v>
      </c>
      <c r="L4106" s="27"/>
    </row>
    <row r="4107" spans="1:12">
      <c r="A4107" s="20" t="s">
        <v>1112</v>
      </c>
      <c r="B4107" s="21" t="s">
        <v>1011</v>
      </c>
      <c r="C4107" s="21" t="s">
        <v>1012</v>
      </c>
      <c r="D4107" s="21" t="s">
        <v>972</v>
      </c>
      <c r="E4107" s="22">
        <f>IF(D4107="?OLD","!!!","")</f>
        <v/>
      </c>
      <c r="F4107" s="23" t="str">
        <f>IF(OR(E4107="",E4107="!!!"),"",IF(NOT(ISNA(VLOOKUP(E4107,E$1:E4106,1,FALSE()))),"OLD",IF(AND(E4107&lt;&gt;"",E4107&lt;&gt;"!!!"),"NEW","")))</f>
        <v> </v>
      </c>
      <c r="G4107" s="24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5" t="str">
        <f>IF(J4107&lt;&gt;1,"",IF(I4107="SBJ","CB","?"))</f>
        <v> </v>
      </c>
      <c r="I4107" s="26" t="str">
        <f>IF(OR(E4107="",E4107="!!!",F4107="NEW"),"",INDEX(B4106:B$2,-1+SUMPRODUCT(MAX(ROW(E4106:E$2)*(E4107=E4106:E$2)))))</f>
        <v> </v>
      </c>
      <c r="J4107" s="26" t="str">
        <f>IF(OR(E4107="",E4107="!!!",F4107="NEW"),"",COUNTBLANK(OFFSET(A$1,,,SUMPRODUCT(MAX(ROW(E$2:E4107)*(E4107=E$2:E4107)))))-COUNTBLANK(OFFSET(A$1,,,SUMPRODUCT(MAX(ROW(E$1:E4106)*(E2=E$1:E4106))))))</f>
        <v> </v>
      </c>
      <c r="K4107" s="26" t="str">
        <f>IF(OR(E4107="",E4107="!!!",F4107="NEW"),"",INDEX(J$1:J4106,SUMPRODUCT(MAX(ROW(E$1:E4106)*(E4107=E$1:E4106)))))</f>
        <v> </v>
      </c>
      <c r="L4107" s="27"/>
    </row>
    <row r="4108" spans="1:12">
      <c r="A4108" s="20" t="s">
        <v>1650</v>
      </c>
      <c r="E4108" s="22">
        <f>IF(D4108="?OLD","!!!","")</f>
        <v/>
      </c>
      <c r="F4108" s="23" t="str">
        <f>IF(OR(E4108="",E4108="!!!"),"",IF(NOT(ISNA(VLOOKUP(E4108,E$1:E4107,1,FALSE()))),"OLD",IF(AND(E4108&lt;&gt;"",E4108&lt;&gt;"!!!"),"NEW","")))</f>
        <v> </v>
      </c>
      <c r="G4108" s="24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5" t="str">
        <f>IF(J4108&lt;&gt;1,"",IF(I4108="SBJ","CB","?"))</f>
        <v> </v>
      </c>
      <c r="I4108" s="26" t="str">
        <f>IF(OR(E4108="",E4108="!!!",F4108="NEW"),"",INDEX(B4107:B$2,-1+SUMPRODUCT(MAX(ROW(E4107:E$2)*(E4108=E4107:E$2)))))</f>
        <v> </v>
      </c>
      <c r="J4108" s="26" t="str">
        <f>IF(OR(E4108="",E4108="!!!",F4108="NEW"),"",COUNTBLANK(OFFSET(A$1,,,SUMPRODUCT(MAX(ROW(E$2:E4108)*(E4108=E$2:E4108)))))-COUNTBLANK(OFFSET(A$1,,,SUMPRODUCT(MAX(ROW(E$1:E4107)*(E2=E$1:E4107))))))</f>
        <v> </v>
      </c>
      <c r="K4108" s="26" t="str">
        <f>IF(OR(E4108="",E4108="!!!",F4108="NEW"),"",INDEX(J$1:J4107,SUMPRODUCT(MAX(ROW(E$1:E4107)*(E4108=E$1:E4107)))))</f>
        <v> </v>
      </c>
      <c r="L4108" s="27"/>
    </row>
    <row r="4109" spans="1:12">
      <c r="A4109" s="20" t="s">
        <v>2569</v>
      </c>
      <c r="E4109" s="22">
        <f>IF(D4109="?OLD","!!!","")</f>
        <v/>
      </c>
      <c r="F4109" s="23" t="str">
        <f>IF(OR(E4109="",E4109="!!!"),"",IF(NOT(ISNA(VLOOKUP(E4109,E$1:E4108,1,FALSE()))),"OLD",IF(AND(E4109&lt;&gt;"",E4109&lt;&gt;"!!!"),"NEW","")))</f>
        <v> </v>
      </c>
      <c r="G4109" s="24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5" t="str">
        <f>IF(J4109&lt;&gt;1,"",IF(I4109="SBJ","CB","?"))</f>
        <v> </v>
      </c>
      <c r="I4109" s="26" t="str">
        <f>IF(OR(E4109="",E4109="!!!",F4109="NEW"),"",INDEX(B4108:B$2,-1+SUMPRODUCT(MAX(ROW(E4108:E$2)*(E4109=E4108:E$2)))))</f>
        <v> </v>
      </c>
      <c r="J4109" s="26" t="str">
        <f>IF(OR(E4109="",E4109="!!!",F4109="NEW"),"",COUNTBLANK(OFFSET(A$1,,,SUMPRODUCT(MAX(ROW(E$2:E4109)*(E4109=E$2:E4109)))))-COUNTBLANK(OFFSET(A$1,,,SUMPRODUCT(MAX(ROW(E$1:E4108)*(E2=E$1:E4108))))))</f>
        <v> </v>
      </c>
      <c r="K4109" s="26" t="str">
        <f>IF(OR(E4109="",E4109="!!!",F4109="NEW"),"",INDEX(J$1:J4108,SUMPRODUCT(MAX(ROW(E$1:E4108)*(E4109=E$1:E4108)))))</f>
        <v> </v>
      </c>
      <c r="L4109" s="27"/>
    </row>
    <row r="4110" spans="1:12">
      <c r="A4110" s="20" t="s">
        <v>1013</v>
      </c>
      <c r="E4110" s="22">
        <f>IF(D4110="?OLD","!!!","")</f>
        <v/>
      </c>
      <c r="F4110" s="23" t="str">
        <f>IF(OR(E4110="",E4110="!!!"),"",IF(NOT(ISNA(VLOOKUP(E4110,E$1:E4109,1,FALSE()))),"OLD",IF(AND(E4110&lt;&gt;"",E4110&lt;&gt;"!!!"),"NEW","")))</f>
        <v> </v>
      </c>
      <c r="G4110" s="24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5" t="str">
        <f>IF(J4110&lt;&gt;1,"",IF(I4110="SBJ","CB","?"))</f>
        <v> </v>
      </c>
      <c r="I4110" s="26" t="str">
        <f>IF(OR(E4110="",E4110="!!!",F4110="NEW"),"",INDEX(B4109:B$2,-1+SUMPRODUCT(MAX(ROW(E4109:E$2)*(E4110=E4109:E$2)))))</f>
        <v> </v>
      </c>
      <c r="J4110" s="26" t="str">
        <f>IF(OR(E4110="",E4110="!!!",F4110="NEW"),"",COUNTBLANK(OFFSET(A$1,,,SUMPRODUCT(MAX(ROW(E$2:E4110)*(E4110=E$2:E4110)))))-COUNTBLANK(OFFSET(A$1,,,SUMPRODUCT(MAX(ROW(E$1:E4109)*(E2=E$1:E4109))))))</f>
        <v> </v>
      </c>
      <c r="K4110" s="26" t="str">
        <f>IF(OR(E4110="",E4110="!!!",F4110="NEW"),"",INDEX(J$1:J4109,SUMPRODUCT(MAX(ROW(E$1:E4109)*(E4110=E$1:E4109)))))</f>
        <v> </v>
      </c>
      <c r="L4110" s="27"/>
    </row>
    <row r="4111" spans="1:12">
      <c r="A4111" s="20" t="s">
        <v>1462</v>
      </c>
      <c r="B4111" s="21" t="s">
        <v>1338</v>
      </c>
      <c r="C4111" s="21" t="s">
        <v>1232</v>
      </c>
      <c r="E4111" s="22">
        <f>IF(D4111="?OLD","!!!","")</f>
        <v/>
      </c>
      <c r="F4111" s="23" t="str">
        <f>IF(OR(E4111="",E4111="!!!"),"",IF(NOT(ISNA(VLOOKUP(E4111,E$1:E4110,1,FALSE()))),"OLD",IF(AND(E4111&lt;&gt;"",E4111&lt;&gt;"!!!"),"NEW","")))</f>
        <v> </v>
      </c>
      <c r="G4111" s="24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5" t="str">
        <f>IF(J4111&lt;&gt;1,"",IF(I4111="SBJ","CB","?"))</f>
        <v> </v>
      </c>
      <c r="I4111" s="26" t="str">
        <f>IF(OR(E4111="",E4111="!!!",F4111="NEW"),"",INDEX(B4110:B$2,-1+SUMPRODUCT(MAX(ROW(E4110:E$2)*(E4111=E4110:E$2)))))</f>
        <v> </v>
      </c>
      <c r="J4111" s="26" t="str">
        <f>IF(OR(E4111="",E4111="!!!",F4111="NEW"),"",COUNTBLANK(OFFSET(A$1,,,SUMPRODUCT(MAX(ROW(E$2:E4111)*(E4111=E$2:E4111)))))-COUNTBLANK(OFFSET(A$1,,,SUMPRODUCT(MAX(ROW(E$1:E4110)*(E2=E$1:E4110))))))</f>
        <v> </v>
      </c>
      <c r="K4111" s="26" t="str">
        <f>IF(OR(E4111="",E4111="!!!",F4111="NEW"),"",INDEX(J$1:J4110,SUMPRODUCT(MAX(ROW(E$1:E4110)*(E4111=E$1:E4110)))))</f>
        <v> </v>
      </c>
      <c r="L4111" s="27"/>
    </row>
    <row r="4112" spans="1:12">
      <c r="A4112" s="20" t="s">
        <v>400</v>
      </c>
      <c r="B4112" s="21" t="s">
        <v>1115</v>
      </c>
      <c r="C4112" s="21" t="s">
        <v>971</v>
      </c>
      <c r="D4112" s="21" t="s">
        <v>972</v>
      </c>
      <c r="E4112" s="22">
        <f>IF(D4112="?OLD","!!!","")</f>
        <v/>
      </c>
      <c r="F4112" s="23" t="str">
        <f>IF(OR(E4112="",E4112="!!!"),"",IF(NOT(ISNA(VLOOKUP(E4112,E$1:E4111,1,FALSE()))),"OLD",IF(AND(E4112&lt;&gt;"",E4112&lt;&gt;"!!!"),"NEW","")))</f>
        <v> </v>
      </c>
      <c r="G4112" s="24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5" t="str">
        <f>IF(J4112&lt;&gt;1,"",IF(I4112="SBJ","CB","?"))</f>
        <v> </v>
      </c>
      <c r="I4112" s="26" t="str">
        <f>IF(OR(E4112="",E4112="!!!",F4112="NEW"),"",INDEX(B4111:B$2,-1+SUMPRODUCT(MAX(ROW(E4111:E$2)*(E4112=E4111:E$2)))))</f>
        <v> </v>
      </c>
      <c r="J4112" s="26" t="str">
        <f>IF(OR(E4112="",E4112="!!!",F4112="NEW"),"",COUNTBLANK(OFFSET(A$1,,,SUMPRODUCT(MAX(ROW(E$2:E4112)*(E4112=E$2:E4112)))))-COUNTBLANK(OFFSET(A$1,,,SUMPRODUCT(MAX(ROW(E$1:E4111)*(E2=E$1:E4111))))))</f>
        <v> </v>
      </c>
      <c r="K4112" s="26" t="str">
        <f>IF(OR(E4112="",E4112="!!!",F4112="NEW"),"",INDEX(J$1:J4111,SUMPRODUCT(MAX(ROW(E$1:E4111)*(E4112=E$1:E4111)))))</f>
        <v> </v>
      </c>
      <c r="L4112" s="27"/>
    </row>
    <row r="4113" spans="1:12">
      <c r="A4113" s="20" t="s">
        <v>2247</v>
      </c>
      <c r="E4113" s="22">
        <f>IF(D4113="?OLD","!!!","")</f>
        <v/>
      </c>
      <c r="F4113" s="23" t="str">
        <f>IF(OR(E4113="",E4113="!!!"),"",IF(NOT(ISNA(VLOOKUP(E4113,E$1:E4112,1,FALSE()))),"OLD",IF(AND(E4113&lt;&gt;"",E4113&lt;&gt;"!!!"),"NEW","")))</f>
        <v> </v>
      </c>
      <c r="G4113" s="24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5" t="str">
        <f>IF(J4113&lt;&gt;1,"",IF(I4113="SBJ","CB","?"))</f>
        <v> </v>
      </c>
      <c r="I4113" s="26" t="str">
        <f>IF(OR(E4113="",E4113="!!!",F4113="NEW"),"",INDEX(B4112:B$2,-1+SUMPRODUCT(MAX(ROW(E4112:E$2)*(E4113=E4112:E$2)))))</f>
        <v> </v>
      </c>
      <c r="J4113" s="26" t="str">
        <f>IF(OR(E4113="",E4113="!!!",F4113="NEW"),"",COUNTBLANK(OFFSET(A$1,,,SUMPRODUCT(MAX(ROW(E$2:E4113)*(E4113=E$2:E4113)))))-COUNTBLANK(OFFSET(A$1,,,SUMPRODUCT(MAX(ROW(E$1:E4112)*(E2=E$1:E4112))))))</f>
        <v> </v>
      </c>
      <c r="K4113" s="26" t="str">
        <f>IF(OR(E4113="",E4113="!!!",F4113="NEW"),"",INDEX(J$1:J4112,SUMPRODUCT(MAX(ROW(E$1:E4112)*(E4113=E$1:E4112)))))</f>
        <v> </v>
      </c>
      <c r="L4113" s="27"/>
    </row>
    <row r="4114" spans="1:12">
      <c r="A4114" s="20" t="s">
        <v>542</v>
      </c>
      <c r="E4114" s="22">
        <f>IF(D4114="?OLD","!!!","")</f>
        <v/>
      </c>
      <c r="F4114" s="23" t="str">
        <f>IF(OR(E4114="",E4114="!!!"),"",IF(NOT(ISNA(VLOOKUP(E4114,E$1:E4113,1,FALSE()))),"OLD",IF(AND(E4114&lt;&gt;"",E4114&lt;&gt;"!!!"),"NEW","")))</f>
        <v> </v>
      </c>
      <c r="G4114" s="24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5" t="str">
        <f>IF(J4114&lt;&gt;1,"",IF(I4114="SBJ","CB","?"))</f>
        <v> </v>
      </c>
      <c r="I4114" s="26" t="str">
        <f>IF(OR(E4114="",E4114="!!!",F4114="NEW"),"",INDEX(B4113:B$2,-1+SUMPRODUCT(MAX(ROW(E4113:E$2)*(E4114=E4113:E$2)))))</f>
        <v> </v>
      </c>
      <c r="J4114" s="26" t="str">
        <f>IF(OR(E4114="",E4114="!!!",F4114="NEW"),"",COUNTBLANK(OFFSET(A$1,,,SUMPRODUCT(MAX(ROW(E$2:E4114)*(E4114=E$2:E4114)))))-COUNTBLANK(OFFSET(A$1,,,SUMPRODUCT(MAX(ROW(E$1:E4113)*(E2=E$1:E4113))))))</f>
        <v> </v>
      </c>
      <c r="K4114" s="26" t="str">
        <f>IF(OR(E4114="",E4114="!!!",F4114="NEW"),"",INDEX(J$1:J4113,SUMPRODUCT(MAX(ROW(E$1:E4113)*(E4114=E$1:E4113)))))</f>
        <v> </v>
      </c>
      <c r="L4114" s="27"/>
    </row>
    <row r="4115" spans="1:12">
      <c r="A4115" s="20" t="s">
        <v>1162</v>
      </c>
      <c r="E4115" s="22">
        <f>IF(D4115="?OLD","!!!","")</f>
        <v/>
      </c>
      <c r="F4115" s="23" t="str">
        <f>IF(OR(E4115="",E4115="!!!"),"",IF(NOT(ISNA(VLOOKUP(E4115,E$1:E4114,1,FALSE()))),"OLD",IF(AND(E4115&lt;&gt;"",E4115&lt;&gt;"!!!"),"NEW","")))</f>
        <v> </v>
      </c>
      <c r="G4115" s="24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5" t="str">
        <f>IF(J4115&lt;&gt;1,"",IF(I4115="SBJ","CB","?"))</f>
        <v> </v>
      </c>
      <c r="I4115" s="26" t="str">
        <f>IF(OR(E4115="",E4115="!!!",F4115="NEW"),"",INDEX(B4114:B$2,-1+SUMPRODUCT(MAX(ROW(E4114:E$2)*(E4115=E4114:E$2)))))</f>
        <v> </v>
      </c>
      <c r="J4115" s="26" t="str">
        <f>IF(OR(E4115="",E4115="!!!",F4115="NEW"),"",COUNTBLANK(OFFSET(A$1,,,SUMPRODUCT(MAX(ROW(E$2:E4115)*(E4115=E$2:E4115)))))-COUNTBLANK(OFFSET(A$1,,,SUMPRODUCT(MAX(ROW(E$1:E4114)*(E2=E$1:E4114))))))</f>
        <v> </v>
      </c>
      <c r="K4115" s="26" t="str">
        <f>IF(OR(E4115="",E4115="!!!",F4115="NEW"),"",INDEX(J$1:J4114,SUMPRODUCT(MAX(ROW(E$1:E4114)*(E4115=E$1:E4114)))))</f>
        <v> </v>
      </c>
      <c r="L4115" s="27"/>
    </row>
    <row r="4116" spans="1:12">
      <c r="A4116" s="20" t="s">
        <v>1915</v>
      </c>
      <c r="E4116" s="22">
        <f>IF(D4116="?OLD","!!!","")</f>
        <v/>
      </c>
      <c r="F4116" s="23" t="str">
        <f>IF(OR(E4116="",E4116="!!!"),"",IF(NOT(ISNA(VLOOKUP(E4116,E$1:E4115,1,FALSE()))),"OLD",IF(AND(E4116&lt;&gt;"",E4116&lt;&gt;"!!!"),"NEW","")))</f>
        <v> </v>
      </c>
      <c r="G4116" s="24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5" t="str">
        <f>IF(J4116&lt;&gt;1,"",IF(I4116="SBJ","CB","?"))</f>
        <v> </v>
      </c>
      <c r="I4116" s="26" t="str">
        <f>IF(OR(E4116="",E4116="!!!",F4116="NEW"),"",INDEX(B4115:B$2,-1+SUMPRODUCT(MAX(ROW(E4115:E$2)*(E4116=E4115:E$2)))))</f>
        <v> </v>
      </c>
      <c r="J4116" s="26" t="str">
        <f>IF(OR(E4116="",E4116="!!!",F4116="NEW"),"",COUNTBLANK(OFFSET(A$1,,,SUMPRODUCT(MAX(ROW(E$2:E4116)*(E4116=E$2:E4116)))))-COUNTBLANK(OFFSET(A$1,,,SUMPRODUCT(MAX(ROW(E$1:E4115)*(E2=E$1:E4115))))))</f>
        <v> </v>
      </c>
      <c r="K4116" s="26" t="str">
        <f>IF(OR(E4116="",E4116="!!!",F4116="NEW"),"",INDEX(J$1:J4115,SUMPRODUCT(MAX(ROW(E$1:E4115)*(E4116=E$1:E4115)))))</f>
        <v> </v>
      </c>
      <c r="L4116" s="27"/>
    </row>
    <row r="4117" spans="1:12">
      <c r="A4117" s="20" t="s">
        <v>1005</v>
      </c>
      <c r="E4117" s="22">
        <f>IF(D4117="?OLD","!!!","")</f>
        <v/>
      </c>
      <c r="F4117" s="23" t="str">
        <f>IF(OR(E4117="",E4117="!!!"),"",IF(NOT(ISNA(VLOOKUP(E4117,E$1:E4116,1,FALSE()))),"OLD",IF(AND(E4117&lt;&gt;"",E4117&lt;&gt;"!!!"),"NEW","")))</f>
        <v> </v>
      </c>
      <c r="G4117" s="24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5" t="str">
        <f>IF(J4117&lt;&gt;1,"",IF(I4117="SBJ","CB","?"))</f>
        <v> </v>
      </c>
      <c r="I4117" s="26" t="str">
        <f>IF(OR(E4117="",E4117="!!!",F4117="NEW"),"",INDEX(B4116:B$2,-1+SUMPRODUCT(MAX(ROW(E4116:E$2)*(E4117=E4116:E$2)))))</f>
        <v> </v>
      </c>
      <c r="J4117" s="26" t="str">
        <f>IF(OR(E4117="",E4117="!!!",F4117="NEW"),"",COUNTBLANK(OFFSET(A$1,,,SUMPRODUCT(MAX(ROW(E$2:E4117)*(E4117=E$2:E4117)))))-COUNTBLANK(OFFSET(A$1,,,SUMPRODUCT(MAX(ROW(E$1:E4116)*(E2=E$1:E4116))))))</f>
        <v> </v>
      </c>
      <c r="K4117" s="26" t="str">
        <f>IF(OR(E4117="",E4117="!!!",F4117="NEW"),"",INDEX(J$1:J4116,SUMPRODUCT(MAX(ROW(E$1:E4116)*(E4117=E$1:E4116)))))</f>
        <v> </v>
      </c>
      <c r="L4117" s="27"/>
    </row>
    <row r="4118" spans="1:12">
      <c r="A4118" s="20" t="s">
        <v>1067</v>
      </c>
      <c r="E4118" s="22">
        <f>IF(D4118="?OLD","!!!","")</f>
        <v/>
      </c>
      <c r="F4118" s="23" t="str">
        <f>IF(OR(E4118="",E4118="!!!"),"",IF(NOT(ISNA(VLOOKUP(E4118,E$1:E4117,1,FALSE()))),"OLD",IF(AND(E4118&lt;&gt;"",E4118&lt;&gt;"!!!"),"NEW","")))</f>
        <v> </v>
      </c>
      <c r="G4118" s="24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5" t="str">
        <f>IF(J4118&lt;&gt;1,"",IF(I4118="SBJ","CB","?"))</f>
        <v> </v>
      </c>
      <c r="I4118" s="26" t="str">
        <f>IF(OR(E4118="",E4118="!!!",F4118="NEW"),"",INDEX(B4117:B$2,-1+SUMPRODUCT(MAX(ROW(E4117:E$2)*(E4118=E4117:E$2)))))</f>
        <v> </v>
      </c>
      <c r="J4118" s="26" t="str">
        <f>IF(OR(E4118="",E4118="!!!",F4118="NEW"),"",COUNTBLANK(OFFSET(A$1,,,SUMPRODUCT(MAX(ROW(E$2:E4118)*(E4118=E$2:E4118)))))-COUNTBLANK(OFFSET(A$1,,,SUMPRODUCT(MAX(ROW(E$1:E4117)*(E2=E$1:E4117))))))</f>
        <v> </v>
      </c>
      <c r="K4118" s="26" t="str">
        <f>IF(OR(E4118="",E4118="!!!",F4118="NEW"),"",INDEX(J$1:J4117,SUMPRODUCT(MAX(ROW(E$1:E4117)*(E4118=E$1:E4117)))))</f>
        <v> </v>
      </c>
      <c r="L4118" s="27"/>
    </row>
    <row r="4119" spans="1:12">
      <c r="A4119" s="20" t="s">
        <v>1068</v>
      </c>
      <c r="E4119" s="22">
        <f>IF(D4119="?OLD","!!!","")</f>
        <v/>
      </c>
      <c r="F4119" s="23" t="str">
        <f>IF(OR(E4119="",E4119="!!!"),"",IF(NOT(ISNA(VLOOKUP(E4119,E$1:E4118,1,FALSE()))),"OLD",IF(AND(E4119&lt;&gt;"",E4119&lt;&gt;"!!!"),"NEW","")))</f>
        <v> </v>
      </c>
      <c r="G4119" s="24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5" t="str">
        <f>IF(J4119&lt;&gt;1,"",IF(I4119="SBJ","CB","?"))</f>
        <v> </v>
      </c>
      <c r="I4119" s="26" t="str">
        <f>IF(OR(E4119="",E4119="!!!",F4119="NEW"),"",INDEX(B4118:B$2,-1+SUMPRODUCT(MAX(ROW(E4118:E$2)*(E4119=E4118:E$2)))))</f>
        <v> </v>
      </c>
      <c r="J4119" s="26" t="str">
        <f>IF(OR(E4119="",E4119="!!!",F4119="NEW"),"",COUNTBLANK(OFFSET(A$1,,,SUMPRODUCT(MAX(ROW(E$2:E4119)*(E4119=E$2:E4119)))))-COUNTBLANK(OFFSET(A$1,,,SUMPRODUCT(MAX(ROW(E$1:E4118)*(E2=E$1:E4118))))))</f>
        <v> </v>
      </c>
      <c r="K4119" s="26" t="str">
        <f>IF(OR(E4119="",E4119="!!!",F4119="NEW"),"",INDEX(J$1:J4118,SUMPRODUCT(MAX(ROW(E$1:E4118)*(E4119=E$1:E4118)))))</f>
        <v> </v>
      </c>
      <c r="L4119" s="27"/>
    </row>
    <row r="4120" spans="1:12">
      <c r="A4120" s="20" t="s">
        <v>1013</v>
      </c>
      <c r="E4120" s="22">
        <f>IF(D4120="?OLD","!!!","")</f>
        <v/>
      </c>
      <c r="F4120" s="23" t="str">
        <f>IF(OR(E4120="",E4120="!!!"),"",IF(NOT(ISNA(VLOOKUP(E4120,E$1:E4119,1,FALSE()))),"OLD",IF(AND(E4120&lt;&gt;"",E4120&lt;&gt;"!!!"),"NEW","")))</f>
        <v> </v>
      </c>
      <c r="G4120" s="24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5" t="str">
        <f>IF(J4120&lt;&gt;1,"",IF(I4120="SBJ","CB","?"))</f>
        <v> </v>
      </c>
      <c r="I4120" s="26" t="str">
        <f>IF(OR(E4120="",E4120="!!!",F4120="NEW"),"",INDEX(B4119:B$2,-1+SUMPRODUCT(MAX(ROW(E4119:E$2)*(E4120=E4119:E$2)))))</f>
        <v> </v>
      </c>
      <c r="J4120" s="26" t="str">
        <f>IF(OR(E4120="",E4120="!!!",F4120="NEW"),"",COUNTBLANK(OFFSET(A$1,,,SUMPRODUCT(MAX(ROW(E$2:E4120)*(E4120=E$2:E4120)))))-COUNTBLANK(OFFSET(A$1,,,SUMPRODUCT(MAX(ROW(E$1:E4119)*(E2=E$1:E4119))))))</f>
        <v> </v>
      </c>
      <c r="K4120" s="26" t="str">
        <f>IF(OR(E4120="",E4120="!!!",F4120="NEW"),"",INDEX(J$1:J4119,SUMPRODUCT(MAX(ROW(E$1:E4119)*(E4120=E$1:E4119)))))</f>
        <v> </v>
      </c>
      <c r="L4120" s="27"/>
    </row>
    <row r="4121" spans="1:12">
      <c r="A4121" s="20" t="s">
        <v>1222</v>
      </c>
      <c r="E4121" s="22">
        <f>IF(D4121="?OLD","!!!","")</f>
        <v/>
      </c>
      <c r="F4121" s="23" t="str">
        <f>IF(OR(E4121="",E4121="!!!"),"",IF(NOT(ISNA(VLOOKUP(E4121,E$1:E4120,1,FALSE()))),"OLD",IF(AND(E4121&lt;&gt;"",E4121&lt;&gt;"!!!"),"NEW","")))</f>
        <v> </v>
      </c>
      <c r="G4121" s="24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5" t="str">
        <f>IF(J4121&lt;&gt;1,"",IF(I4121="SBJ","CB","?"))</f>
        <v> </v>
      </c>
      <c r="I4121" s="26" t="str">
        <f>IF(OR(E4121="",E4121="!!!",F4121="NEW"),"",INDEX(B4120:B$2,-1+SUMPRODUCT(MAX(ROW(E4120:E$2)*(E4121=E4120:E$2)))))</f>
        <v> </v>
      </c>
      <c r="J4121" s="26" t="str">
        <f>IF(OR(E4121="",E4121="!!!",F4121="NEW"),"",COUNTBLANK(OFFSET(A$1,,,SUMPRODUCT(MAX(ROW(E$2:E4121)*(E4121=E$2:E4121)))))-COUNTBLANK(OFFSET(A$1,,,SUMPRODUCT(MAX(ROW(E$1:E4120)*(E2=E$1:E4120))))))</f>
        <v> </v>
      </c>
      <c r="K4121" s="26" t="str">
        <f>IF(OR(E4121="",E4121="!!!",F4121="NEW"),"",INDEX(J$1:J4120,SUMPRODUCT(MAX(ROW(E$1:E4120)*(E4121=E$1:E4120)))))</f>
        <v> </v>
      </c>
      <c r="L4121" s="27"/>
    </row>
    <row r="4122" spans="1:12">
      <c r="A4122" s="20" t="s">
        <v>293</v>
      </c>
      <c r="B4122" s="21" t="s">
        <v>1011</v>
      </c>
      <c r="C4122" s="21" t="s">
        <v>1012</v>
      </c>
      <c r="D4122" s="21" t="s">
        <v>972</v>
      </c>
      <c r="E4122" s="22">
        <f>IF(D4122="?OLD","!!!","")</f>
        <v/>
      </c>
      <c r="F4122" s="23" t="str">
        <f>IF(OR(E4122="",E4122="!!!"),"",IF(NOT(ISNA(VLOOKUP(E4122,E$1:E4121,1,FALSE()))),"OLD",IF(AND(E4122&lt;&gt;"",E4122&lt;&gt;"!!!"),"NEW","")))</f>
        <v> </v>
      </c>
      <c r="G4122" s="24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5" t="str">
        <f>IF(J4122&lt;&gt;1,"",IF(I4122="SBJ","CB","?"))</f>
        <v> </v>
      </c>
      <c r="I4122" s="26" t="str">
        <f>IF(OR(E4122="",E4122="!!!",F4122="NEW"),"",INDEX(B4121:B$2,-1+SUMPRODUCT(MAX(ROW(E4121:E$2)*(E4122=E4121:E$2)))))</f>
        <v> </v>
      </c>
      <c r="J4122" s="26" t="str">
        <f>IF(OR(E4122="",E4122="!!!",F4122="NEW"),"",COUNTBLANK(OFFSET(A$1,,,SUMPRODUCT(MAX(ROW(E$2:E4122)*(E4122=E$2:E4122)))))-COUNTBLANK(OFFSET(A$1,,,SUMPRODUCT(MAX(ROW(E$1:E4121)*(E2=E$1:E4121))))))</f>
        <v> </v>
      </c>
      <c r="K4122" s="26" t="str">
        <f>IF(OR(E4122="",E4122="!!!",F4122="NEW"),"",INDEX(J$1:J4121,SUMPRODUCT(MAX(ROW(E$1:E4121)*(E4122=E$1:E4121)))))</f>
        <v> </v>
      </c>
      <c r="L4122" s="27"/>
    </row>
    <row r="4123" spans="1:12">
      <c r="A4123" s="20" t="s">
        <v>1013</v>
      </c>
      <c r="E4123" s="22">
        <f>IF(D4123="?OLD","!!!","")</f>
        <v/>
      </c>
      <c r="F4123" s="23" t="str">
        <f>IF(OR(E4123="",E4123="!!!"),"",IF(NOT(ISNA(VLOOKUP(E4123,E$1:E4122,1,FALSE()))),"OLD",IF(AND(E4123&lt;&gt;"",E4123&lt;&gt;"!!!"),"NEW","")))</f>
        <v> </v>
      </c>
      <c r="G4123" s="24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5" t="str">
        <f>IF(J4123&lt;&gt;1,"",IF(I4123="SBJ","CB","?"))</f>
        <v> </v>
      </c>
      <c r="I4123" s="26" t="str">
        <f>IF(OR(E4123="",E4123="!!!",F4123="NEW"),"",INDEX(B4122:B$2,-1+SUMPRODUCT(MAX(ROW(E4122:E$2)*(E4123=E4122:E$2)))))</f>
        <v> </v>
      </c>
      <c r="J4123" s="26" t="str">
        <f>IF(OR(E4123="",E4123="!!!",F4123="NEW"),"",COUNTBLANK(OFFSET(A$1,,,SUMPRODUCT(MAX(ROW(E$2:E4123)*(E4123=E$2:E4123)))))-COUNTBLANK(OFFSET(A$1,,,SUMPRODUCT(MAX(ROW(E$1:E4122)*(E2=E$1:E4122))))))</f>
        <v> </v>
      </c>
      <c r="K4123" s="26" t="str">
        <f>IF(OR(E4123="",E4123="!!!",F4123="NEW"),"",INDEX(J$1:J4122,SUMPRODUCT(MAX(ROW(E$1:E4122)*(E4123=E$1:E4122)))))</f>
        <v> </v>
      </c>
      <c r="L4123" s="27"/>
    </row>
    <row r="4124" spans="1:12">
      <c r="A4124" s="20" t="s">
        <v>149</v>
      </c>
      <c r="E4124" s="22">
        <f>IF(D4124="?OLD","!!!","")</f>
        <v/>
      </c>
      <c r="F4124" s="23" t="str">
        <f>IF(OR(E4124="",E4124="!!!"),"",IF(NOT(ISNA(VLOOKUP(E4124,E$1:E4123,1,FALSE()))),"OLD",IF(AND(E4124&lt;&gt;"",E4124&lt;&gt;"!!!"),"NEW","")))</f>
        <v> </v>
      </c>
      <c r="G4124" s="24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5" t="str">
        <f>IF(J4124&lt;&gt;1,"",IF(I4124="SBJ","CB","?"))</f>
        <v> </v>
      </c>
      <c r="I4124" s="26" t="str">
        <f>IF(OR(E4124="",E4124="!!!",F4124="NEW"),"",INDEX(B4123:B$2,-1+SUMPRODUCT(MAX(ROW(E4123:E$2)*(E4124=E4123:E$2)))))</f>
        <v> </v>
      </c>
      <c r="J4124" s="26" t="str">
        <f>IF(OR(E4124="",E4124="!!!",F4124="NEW"),"",COUNTBLANK(OFFSET(A$1,,,SUMPRODUCT(MAX(ROW(E$2:E4124)*(E4124=E$2:E4124)))))-COUNTBLANK(OFFSET(A$1,,,SUMPRODUCT(MAX(ROW(E$1:E4123)*(E2=E$1:E4123))))))</f>
        <v> </v>
      </c>
      <c r="K4124" s="26" t="str">
        <f>IF(OR(E4124="",E4124="!!!",F4124="NEW"),"",INDEX(J$1:J4123,SUMPRODUCT(MAX(ROW(E$1:E4123)*(E4124=E$1:E4123)))))</f>
        <v> </v>
      </c>
      <c r="L4124" s="27"/>
    </row>
    <row r="4125" spans="1:12">
      <c r="A4125" s="20" t="s">
        <v>2485</v>
      </c>
      <c r="E4125" s="22">
        <f>IF(D4125="?OLD","!!!","")</f>
        <v/>
      </c>
      <c r="F4125" s="23" t="str">
        <f>IF(OR(E4125="",E4125="!!!"),"",IF(NOT(ISNA(VLOOKUP(E4125,E$1:E4124,1,FALSE()))),"OLD",IF(AND(E4125&lt;&gt;"",E4125&lt;&gt;"!!!"),"NEW","")))</f>
        <v> </v>
      </c>
      <c r="G4125" s="24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5" t="str">
        <f>IF(J4125&lt;&gt;1,"",IF(I4125="SBJ","CB","?"))</f>
        <v> </v>
      </c>
      <c r="I4125" s="26" t="str">
        <f>IF(OR(E4125="",E4125="!!!",F4125="NEW"),"",INDEX(B4124:B$2,-1+SUMPRODUCT(MAX(ROW(E4124:E$2)*(E4125=E4124:E$2)))))</f>
        <v> </v>
      </c>
      <c r="J4125" s="26" t="str">
        <f>IF(OR(E4125="",E4125="!!!",F4125="NEW"),"",COUNTBLANK(OFFSET(A$1,,,SUMPRODUCT(MAX(ROW(E$2:E4125)*(E4125=E$2:E4125)))))-COUNTBLANK(OFFSET(A$1,,,SUMPRODUCT(MAX(ROW(E$1:E4124)*(E2=E$1:E4124))))))</f>
        <v> </v>
      </c>
      <c r="K4125" s="26" t="str">
        <f>IF(OR(E4125="",E4125="!!!",F4125="NEW"),"",INDEX(J$1:J4124,SUMPRODUCT(MAX(ROW(E$1:E4124)*(E4125=E$1:E4124)))))</f>
        <v> </v>
      </c>
      <c r="L4125" s="27"/>
    </row>
    <row r="4126" spans="1:12">
      <c r="A4126" s="20" t="s">
        <v>985</v>
      </c>
      <c r="B4126" s="21" t="s">
        <v>1339</v>
      </c>
      <c r="E4126" s="22">
        <f>IF(D4126="?OLD","!!!","")</f>
        <v/>
      </c>
      <c r="F4126" s="23" t="str">
        <f>IF(OR(E4126="",E4126="!!!"),"",IF(NOT(ISNA(VLOOKUP(E4126,E$1:E4125,1,FALSE()))),"OLD",IF(AND(E4126&lt;&gt;"",E4126&lt;&gt;"!!!"),"NEW","")))</f>
        <v> </v>
      </c>
      <c r="G4126" s="24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5" t="str">
        <f>IF(J4126&lt;&gt;1,"",IF(I4126="SBJ","CB","?"))</f>
        <v> </v>
      </c>
      <c r="I4126" s="26" t="str">
        <f>IF(OR(E4126="",E4126="!!!",F4126="NEW"),"",INDEX(B4125:B$2,-1+SUMPRODUCT(MAX(ROW(E4125:E$2)*(E4126=E4125:E$2)))))</f>
        <v> </v>
      </c>
      <c r="J4126" s="26" t="str">
        <f>IF(OR(E4126="",E4126="!!!",F4126="NEW"),"",COUNTBLANK(OFFSET(A$1,,,SUMPRODUCT(MAX(ROW(E$2:E4126)*(E4126=E$2:E4126)))))-COUNTBLANK(OFFSET(A$1,,,SUMPRODUCT(MAX(ROW(E$1:E4125)*(E2=E$1:E4125))))))</f>
        <v> </v>
      </c>
      <c r="K4126" s="26" t="str">
        <f>IF(OR(E4126="",E4126="!!!",F4126="NEW"),"",INDEX(J$1:J4125,SUMPRODUCT(MAX(ROW(E$1:E4125)*(E4126=E$1:E4125)))))</f>
        <v> </v>
      </c>
      <c r="L4126" s="27"/>
    </row>
    <row r="4127" spans="1:12">
      <c r="A4127" s="20" t="s">
        <v>999</v>
      </c>
      <c r="E4127" s="22">
        <f>IF(D4127="?OLD","!!!","")</f>
        <v/>
      </c>
      <c r="F4127" s="23" t="str">
        <f>IF(OR(E4127="",E4127="!!!"),"",IF(NOT(ISNA(VLOOKUP(E4127,E$1:E4126,1,FALSE()))),"OLD",IF(AND(E4127&lt;&gt;"",E4127&lt;&gt;"!!!"),"NEW","")))</f>
        <v> </v>
      </c>
      <c r="G4127" s="24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5" t="str">
        <f>IF(J4127&lt;&gt;1,"",IF(I4127="SBJ","CB","?"))</f>
        <v> </v>
      </c>
      <c r="I4127" s="26" t="str">
        <f>IF(OR(E4127="",E4127="!!!",F4127="NEW"),"",INDEX(B4126:B$2,-1+SUMPRODUCT(MAX(ROW(E4126:E$2)*(E4127=E4126:E$2)))))</f>
        <v> </v>
      </c>
      <c r="J4127" s="26" t="str">
        <f>IF(OR(E4127="",E4127="!!!",F4127="NEW"),"",COUNTBLANK(OFFSET(A$1,,,SUMPRODUCT(MAX(ROW(E$2:E4127)*(E4127=E$2:E4127)))))-COUNTBLANK(OFFSET(A$1,,,SUMPRODUCT(MAX(ROW(E$1:E4126)*(E2=E$1:E4126))))))</f>
        <v> </v>
      </c>
      <c r="K4127" s="26" t="str">
        <f>IF(OR(E4127="",E4127="!!!",F4127="NEW"),"",INDEX(J$1:J4126,SUMPRODUCT(MAX(ROW(E$1:E4126)*(E4127=E$1:E4126)))))</f>
        <v> </v>
      </c>
      <c r="L4127" s="27"/>
    </row>
    <row r="4128" spans="1:12">
      <c r="A4128" s="20" t="s">
        <v>1112</v>
      </c>
      <c r="B4128" s="21" t="s">
        <v>1339</v>
      </c>
      <c r="C4128" s="21" t="s">
        <v>1012</v>
      </c>
      <c r="D4128" s="21" t="s">
        <v>972</v>
      </c>
      <c r="E4128" s="22">
        <f>IF(D4128="?OLD","!!!","")</f>
        <v/>
      </c>
      <c r="F4128" s="23" t="str">
        <f>IF(OR(E4128="",E4128="!!!"),"",IF(NOT(ISNA(VLOOKUP(E4128,E$1:E4127,1,FALSE()))),"OLD",IF(AND(E4128&lt;&gt;"",E4128&lt;&gt;"!!!"),"NEW","")))</f>
        <v> </v>
      </c>
      <c r="G4128" s="24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5" t="str">
        <f>IF(J4128&lt;&gt;1,"",IF(I4128="SBJ","CB","?"))</f>
        <v> </v>
      </c>
      <c r="I4128" s="26" t="str">
        <f>IF(OR(E4128="",E4128="!!!",F4128="NEW"),"",INDEX(B4127:B$2,-1+SUMPRODUCT(MAX(ROW(E4127:E$2)*(E4128=E4127:E$2)))))</f>
        <v> </v>
      </c>
      <c r="J4128" s="26" t="str">
        <f>IF(OR(E4128="",E4128="!!!",F4128="NEW"),"",COUNTBLANK(OFFSET(A$1,,,SUMPRODUCT(MAX(ROW(E$2:E4128)*(E4128=E$2:E4128)))))-COUNTBLANK(OFFSET(A$1,,,SUMPRODUCT(MAX(ROW(E$1:E4127)*(E2=E$1:E4127))))))</f>
        <v> </v>
      </c>
      <c r="K4128" s="26" t="str">
        <f>IF(OR(E4128="",E4128="!!!",F4128="NEW"),"",INDEX(J$1:J4127,SUMPRODUCT(MAX(ROW(E$1:E4127)*(E4128=E$1:E4127)))))</f>
        <v> </v>
      </c>
      <c r="L4128" s="27"/>
    </row>
    <row r="4129" spans="1:12">
      <c r="A4129" s="20" t="s">
        <v>2570</v>
      </c>
      <c r="E4129" s="22">
        <f>IF(D4129="?OLD","!!!","")</f>
        <v/>
      </c>
      <c r="F4129" s="23" t="str">
        <f>IF(OR(E4129="",E4129="!!!"),"",IF(NOT(ISNA(VLOOKUP(E4129,E$1:E4128,1,FALSE()))),"OLD",IF(AND(E4129&lt;&gt;"",E4129&lt;&gt;"!!!"),"NEW","")))</f>
        <v> </v>
      </c>
      <c r="G4129" s="24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5" t="str">
        <f>IF(J4129&lt;&gt;1,"",IF(I4129="SBJ","CB","?"))</f>
        <v> </v>
      </c>
      <c r="I4129" s="26" t="str">
        <f>IF(OR(E4129="",E4129="!!!",F4129="NEW"),"",INDEX(B4128:B$2,-1+SUMPRODUCT(MAX(ROW(E4128:E$2)*(E4129=E4128:E$2)))))</f>
        <v> </v>
      </c>
      <c r="J4129" s="26" t="str">
        <f>IF(OR(E4129="",E4129="!!!",F4129="NEW"),"",COUNTBLANK(OFFSET(A$1,,,SUMPRODUCT(MAX(ROW(E$2:E4129)*(E4129=E$2:E4129)))))-COUNTBLANK(OFFSET(A$1,,,SUMPRODUCT(MAX(ROW(E$1:E4128)*(E2=E$1:E4128))))))</f>
        <v> </v>
      </c>
      <c r="K4129" s="26" t="str">
        <f>IF(OR(E4129="",E4129="!!!",F4129="NEW"),"",INDEX(J$1:J4128,SUMPRODUCT(MAX(ROW(E$1:E4128)*(E4129=E$1:E4128)))))</f>
        <v> </v>
      </c>
      <c r="L4129" s="27"/>
    </row>
    <row r="4130" spans="1:12">
      <c r="A4130" s="20" t="s">
        <v>2571</v>
      </c>
      <c r="E4130" s="22">
        <f>IF(D4130="?OLD","!!!","")</f>
        <v/>
      </c>
      <c r="F4130" s="23" t="str">
        <f>IF(OR(E4130="",E4130="!!!"),"",IF(NOT(ISNA(VLOOKUP(E4130,E$1:E4129,1,FALSE()))),"OLD",IF(AND(E4130&lt;&gt;"",E4130&lt;&gt;"!!!"),"NEW","")))</f>
        <v> </v>
      </c>
      <c r="G4130" s="24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5" t="str">
        <f>IF(J4130&lt;&gt;1,"",IF(I4130="SBJ","CB","?"))</f>
        <v> </v>
      </c>
      <c r="I4130" s="26" t="str">
        <f>IF(OR(E4130="",E4130="!!!",F4130="NEW"),"",INDEX(B4129:B$2,-1+SUMPRODUCT(MAX(ROW(E4129:E$2)*(E4130=E4129:E$2)))))</f>
        <v> </v>
      </c>
      <c r="J4130" s="26" t="str">
        <f>IF(OR(E4130="",E4130="!!!",F4130="NEW"),"",COUNTBLANK(OFFSET(A$1,,,SUMPRODUCT(MAX(ROW(E$2:E4130)*(E4130=E$2:E4130)))))-COUNTBLANK(OFFSET(A$1,,,SUMPRODUCT(MAX(ROW(E$1:E4129)*(E2=E$1:E4129))))))</f>
        <v> </v>
      </c>
      <c r="K4130" s="26" t="str">
        <f>IF(OR(E4130="",E4130="!!!",F4130="NEW"),"",INDEX(J$1:J4129,SUMPRODUCT(MAX(ROW(E$1:E4129)*(E4130=E$1:E4129)))))</f>
        <v> </v>
      </c>
      <c r="L4130" s="27"/>
    </row>
    <row r="4131" spans="1:12">
      <c r="A4131" s="20" t="s">
        <v>1162</v>
      </c>
      <c r="E4131" s="22">
        <f>IF(D4131="?OLD","!!!","")</f>
        <v/>
      </c>
      <c r="F4131" s="23" t="str">
        <f>IF(OR(E4131="",E4131="!!!"),"",IF(NOT(ISNA(VLOOKUP(E4131,E$1:E4130,1,FALSE()))),"OLD",IF(AND(E4131&lt;&gt;"",E4131&lt;&gt;"!!!"),"NEW","")))</f>
        <v> </v>
      </c>
      <c r="G4131" s="24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5" t="str">
        <f>IF(J4131&lt;&gt;1,"",IF(I4131="SBJ","CB","?"))</f>
        <v> </v>
      </c>
      <c r="I4131" s="26" t="str">
        <f>IF(OR(E4131="",E4131="!!!",F4131="NEW"),"",INDEX(B4130:B$2,-1+SUMPRODUCT(MAX(ROW(E4130:E$2)*(E4131=E4130:E$2)))))</f>
        <v> </v>
      </c>
      <c r="J4131" s="26" t="str">
        <f>IF(OR(E4131="",E4131="!!!",F4131="NEW"),"",COUNTBLANK(OFFSET(A$1,,,SUMPRODUCT(MAX(ROW(E$2:E4131)*(E4131=E$2:E4131)))))-COUNTBLANK(OFFSET(A$1,,,SUMPRODUCT(MAX(ROW(E$1:E4130)*(E2=E$1:E4130))))))</f>
        <v> </v>
      </c>
      <c r="K4131" s="26" t="str">
        <f>IF(OR(E4131="",E4131="!!!",F4131="NEW"),"",INDEX(J$1:J4130,SUMPRODUCT(MAX(ROW(E$1:E4130)*(E4131=E$1:E4130)))))</f>
        <v> </v>
      </c>
      <c r="L4131" s="27"/>
    </row>
    <row r="4132" spans="1:12">
      <c r="A4132" s="20" t="s">
        <v>2572</v>
      </c>
      <c r="E4132" s="22">
        <f>IF(D4132="?OLD","!!!","")</f>
        <v/>
      </c>
      <c r="F4132" s="23" t="str">
        <f>IF(OR(E4132="",E4132="!!!"),"",IF(NOT(ISNA(VLOOKUP(E4132,E$1:E4131,1,FALSE()))),"OLD",IF(AND(E4132&lt;&gt;"",E4132&lt;&gt;"!!!"),"NEW","")))</f>
        <v> </v>
      </c>
      <c r="G4132" s="24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5" t="str">
        <f>IF(J4132&lt;&gt;1,"",IF(I4132="SBJ","CB","?"))</f>
        <v> </v>
      </c>
      <c r="I4132" s="26" t="str">
        <f>IF(OR(E4132="",E4132="!!!",F4132="NEW"),"",INDEX(B4131:B$2,-1+SUMPRODUCT(MAX(ROW(E4131:E$2)*(E4132=E4131:E$2)))))</f>
        <v> </v>
      </c>
      <c r="J4132" s="26" t="str">
        <f>IF(OR(E4132="",E4132="!!!",F4132="NEW"),"",COUNTBLANK(OFFSET(A$1,,,SUMPRODUCT(MAX(ROW(E$2:E4132)*(E4132=E$2:E4132)))))-COUNTBLANK(OFFSET(A$1,,,SUMPRODUCT(MAX(ROW(E$1:E4131)*(E2=E$1:E4131))))))</f>
        <v> </v>
      </c>
      <c r="K4132" s="26" t="str">
        <f>IF(OR(E4132="",E4132="!!!",F4132="NEW"),"",INDEX(J$1:J4131,SUMPRODUCT(MAX(ROW(E$1:E4131)*(E4132=E$1:E4131)))))</f>
        <v> </v>
      </c>
      <c r="L4132" s="27"/>
    </row>
    <row r="4133" spans="1:12">
      <c r="A4133" s="20" t="s">
        <v>979</v>
      </c>
      <c r="E4133" s="22">
        <f>IF(D4133="?OLD","!!!","")</f>
        <v/>
      </c>
      <c r="F4133" s="23" t="str">
        <f>IF(OR(E4133="",E4133="!!!"),"",IF(NOT(ISNA(VLOOKUP(E4133,E$1:E4132,1,FALSE()))),"OLD",IF(AND(E4133&lt;&gt;"",E4133&lt;&gt;"!!!"),"NEW","")))</f>
        <v> </v>
      </c>
      <c r="G4133" s="24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5" t="str">
        <f>IF(J4133&lt;&gt;1,"",IF(I4133="SBJ","CB","?"))</f>
        <v> </v>
      </c>
      <c r="I4133" s="26" t="str">
        <f>IF(OR(E4133="",E4133="!!!",F4133="NEW"),"",INDEX(B4132:B$2,-1+SUMPRODUCT(MAX(ROW(E4132:E$2)*(E4133=E4132:E$2)))))</f>
        <v> </v>
      </c>
      <c r="J4133" s="26" t="str">
        <f>IF(OR(E4133="",E4133="!!!",F4133="NEW"),"",COUNTBLANK(OFFSET(A$1,,,SUMPRODUCT(MAX(ROW(E$2:E4133)*(E4133=E$2:E4133)))))-COUNTBLANK(OFFSET(A$1,,,SUMPRODUCT(MAX(ROW(E$1:E4132)*(E2=E$1:E4132))))))</f>
        <v> </v>
      </c>
      <c r="K4133" s="26" t="str">
        <f>IF(OR(E4133="",E4133="!!!",F4133="NEW"),"",INDEX(J$1:J4132,SUMPRODUCT(MAX(ROW(E$1:E4132)*(E4133=E$1:E4132)))))</f>
        <v> </v>
      </c>
      <c r="L4133" s="27"/>
    </row>
    <row r="4134" spans="1:12">
      <c r="A4134" s="20"/>
    </row>
    <row r="4135" spans="1:12">
      <c r="A4135" s="20" t="s">
        <v>2573</v>
      </c>
    </row>
    <row r="4136" spans="1:12">
      <c r="A4136" s="20" t="s">
        <v>1586</v>
      </c>
      <c r="E4136" s="22">
        <f>IF(D4136="?OLD","!!!","")</f>
        <v/>
      </c>
      <c r="F4136" s="23" t="str">
        <f>IF(OR(E4136="",E4136="!!!"),"",IF(NOT(ISNA(VLOOKUP(E4136,E$1:E4135,1,FALSE()))),"OLD",IF(AND(E4136&lt;&gt;"",E4136&lt;&gt;"!!!"),"NEW","")))</f>
        <v> </v>
      </c>
      <c r="G4136" s="24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5" t="str">
        <f>IF(J4136&lt;&gt;1,"",IF(I4136="SBJ","CB","?"))</f>
        <v> </v>
      </c>
      <c r="I4136" s="26" t="str">
        <f>IF(OR(E4136="",E4136="!!!",F4136="NEW"),"",INDEX(B4135:B$2,-1+SUMPRODUCT(MAX(ROW(E4135:E$2)*(E4136=E4135:E$2)))))</f>
        <v> </v>
      </c>
      <c r="J4136" s="26" t="str">
        <f>IF(OR(E4136="",E4136="!!!",F4136="NEW"),"",COUNTBLANK(OFFSET(A$1,,,SUMPRODUCT(MAX(ROW(E$2:E4136)*(E4136=E$2:E4136)))))-COUNTBLANK(OFFSET(A$1,,,SUMPRODUCT(MAX(ROW(E$1:E4135)*(E2=E$1:E4135))))))</f>
        <v> </v>
      </c>
      <c r="K4136" s="26" t="str">
        <f>IF(OR(E4136="",E4136="!!!",F4136="NEW"),"",INDEX(J$1:J4135,SUMPRODUCT(MAX(ROW(E$1:E4135)*(E4136=E$1:E4135)))))</f>
        <v> </v>
      </c>
      <c r="L4136" s="27"/>
    </row>
    <row r="4137" spans="1:12">
      <c r="A4137" s="20" t="s">
        <v>1247</v>
      </c>
      <c r="B4137" s="21" t="s">
        <v>995</v>
      </c>
      <c r="C4137" s="21" t="s">
        <v>971</v>
      </c>
      <c r="D4137" s="21" t="s">
        <v>972</v>
      </c>
      <c r="E4137" s="22">
        <f>IF(D4137="?OLD","!!!","")</f>
        <v/>
      </c>
      <c r="F4137" s="23" t="str">
        <f>IF(OR(E4137="",E4137="!!!"),"",IF(NOT(ISNA(VLOOKUP(E4137,E$1:E4136,1,FALSE()))),"OLD",IF(AND(E4137&lt;&gt;"",E4137&lt;&gt;"!!!"),"NEW","")))</f>
        <v> </v>
      </c>
      <c r="G4137" s="24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5" t="str">
        <f>IF(J4137&lt;&gt;1,"",IF(I4137="SBJ","CB","?"))</f>
        <v> </v>
      </c>
      <c r="I4137" s="26" t="str">
        <f>IF(OR(E4137="",E4137="!!!",F4137="NEW"),"",INDEX(B4136:B$2,-1+SUMPRODUCT(MAX(ROW(E4136:E$2)*(E4137=E4136:E$2)))))</f>
        <v> </v>
      </c>
      <c r="J4137" s="26" t="str">
        <f>IF(OR(E4137="",E4137="!!!",F4137="NEW"),"",COUNTBLANK(OFFSET(A$1,,,SUMPRODUCT(MAX(ROW(E$2:E4137)*(E4137=E$2:E4137)))))-COUNTBLANK(OFFSET(A$1,,,SUMPRODUCT(MAX(ROW(E$1:E4136)*(E2=E$1:E4136))))))</f>
        <v> </v>
      </c>
      <c r="K4137" s="26" t="str">
        <f>IF(OR(E4137="",E4137="!!!",F4137="NEW"),"",INDEX(J$1:J4136,SUMPRODUCT(MAX(ROW(E$1:E4136)*(E4137=E$1:E4136)))))</f>
        <v> </v>
      </c>
      <c r="L4137" s="27"/>
    </row>
    <row r="4138" spans="1:12">
      <c r="A4138" s="20" t="s">
        <v>668</v>
      </c>
      <c r="E4138" s="22">
        <f>IF(D4138="?OLD","!!!","")</f>
        <v/>
      </c>
      <c r="F4138" s="23" t="str">
        <f>IF(OR(E4138="",E4138="!!!"),"",IF(NOT(ISNA(VLOOKUP(E4138,E$1:E4137,1,FALSE()))),"OLD",IF(AND(E4138&lt;&gt;"",E4138&lt;&gt;"!!!"),"NEW","")))</f>
        <v> </v>
      </c>
      <c r="G4138" s="24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5" t="str">
        <f>IF(J4138&lt;&gt;1,"",IF(I4138="SBJ","CB","?"))</f>
        <v> </v>
      </c>
      <c r="I4138" s="26" t="str">
        <f>IF(OR(E4138="",E4138="!!!",F4138="NEW"),"",INDEX(B4137:B$2,-1+SUMPRODUCT(MAX(ROW(E4137:E$2)*(E4138=E4137:E$2)))))</f>
        <v> </v>
      </c>
      <c r="J4138" s="26" t="str">
        <f>IF(OR(E4138="",E4138="!!!",F4138="NEW"),"",COUNTBLANK(OFFSET(A$1,,,SUMPRODUCT(MAX(ROW(E$2:E4138)*(E4138=E$2:E4138)))))-COUNTBLANK(OFFSET(A$1,,,SUMPRODUCT(MAX(ROW(E$1:E4137)*(E2=E$1:E4137))))))</f>
        <v> </v>
      </c>
      <c r="K4138" s="26" t="str">
        <f>IF(OR(E4138="",E4138="!!!",F4138="NEW"),"",INDEX(J$1:J4137,SUMPRODUCT(MAX(ROW(E$1:E4137)*(E4138=E$1:E4137)))))</f>
        <v> </v>
      </c>
      <c r="L4138" s="27"/>
    </row>
    <row r="4139" spans="1:12">
      <c r="A4139" s="20" t="s">
        <v>1444</v>
      </c>
      <c r="E4139" s="22">
        <f>IF(D4139="?OLD","!!!","")</f>
        <v/>
      </c>
      <c r="F4139" s="23" t="str">
        <f>IF(OR(E4139="",E4139="!!!"),"",IF(NOT(ISNA(VLOOKUP(E4139,E$1:E4138,1,FALSE()))),"OLD",IF(AND(E4139&lt;&gt;"",E4139&lt;&gt;"!!!"),"NEW","")))</f>
        <v> </v>
      </c>
      <c r="G4139" s="24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5" t="str">
        <f>IF(J4139&lt;&gt;1,"",IF(I4139="SBJ","CB","?"))</f>
        <v> </v>
      </c>
      <c r="I4139" s="26" t="str">
        <f>IF(OR(E4139="",E4139="!!!",F4139="NEW"),"",INDEX(B4138:B$2,-1+SUMPRODUCT(MAX(ROW(E4138:E$2)*(E4139=E4138:E$2)))))</f>
        <v> </v>
      </c>
      <c r="J4139" s="26" t="str">
        <f>IF(OR(E4139="",E4139="!!!",F4139="NEW"),"",COUNTBLANK(OFFSET(A$1,,,SUMPRODUCT(MAX(ROW(E$2:E4139)*(E4139=E$2:E4139)))))-COUNTBLANK(OFFSET(A$1,,,SUMPRODUCT(MAX(ROW(E$1:E4138)*(E2=E$1:E4138))))))</f>
        <v> </v>
      </c>
      <c r="K4139" s="26" t="str">
        <f>IF(OR(E4139="",E4139="!!!",F4139="NEW"),"",INDEX(J$1:J4138,SUMPRODUCT(MAX(ROW(E$1:E4138)*(E4139=E$1:E4138)))))</f>
        <v> </v>
      </c>
      <c r="L4139" s="27"/>
    </row>
    <row r="4140" spans="1:12">
      <c r="A4140" s="20" t="s">
        <v>2574</v>
      </c>
      <c r="E4140" s="22">
        <f>IF(D4140="?OLD","!!!","")</f>
        <v/>
      </c>
      <c r="F4140" s="23" t="str">
        <f>IF(OR(E4140="",E4140="!!!"),"",IF(NOT(ISNA(VLOOKUP(E4140,E$1:E4139,1,FALSE()))),"OLD",IF(AND(E4140&lt;&gt;"",E4140&lt;&gt;"!!!"),"NEW","")))</f>
        <v> </v>
      </c>
      <c r="G4140" s="24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5" t="str">
        <f>IF(J4140&lt;&gt;1,"",IF(I4140="SBJ","CB","?"))</f>
        <v> </v>
      </c>
      <c r="I4140" s="26" t="str">
        <f>IF(OR(E4140="",E4140="!!!",F4140="NEW"),"",INDEX(B4139:B$2,-1+SUMPRODUCT(MAX(ROW(E4139:E$2)*(E4140=E4139:E$2)))))</f>
        <v> </v>
      </c>
      <c r="J4140" s="26" t="str">
        <f>IF(OR(E4140="",E4140="!!!",F4140="NEW"),"",COUNTBLANK(OFFSET(A$1,,,SUMPRODUCT(MAX(ROW(E$2:E4140)*(E4140=E$2:E4140)))))-COUNTBLANK(OFFSET(A$1,,,SUMPRODUCT(MAX(ROW(E$1:E4139)*(E2=E$1:E4139))))))</f>
        <v> </v>
      </c>
      <c r="K4140" s="26" t="str">
        <f>IF(OR(E4140="",E4140="!!!",F4140="NEW"),"",INDEX(J$1:J4139,SUMPRODUCT(MAX(ROW(E$1:E4139)*(E4140=E$1:E4139)))))</f>
        <v> </v>
      </c>
      <c r="L4140" s="27"/>
    </row>
    <row r="4141" spans="1:12">
      <c r="A4141" s="20" t="s">
        <v>1987</v>
      </c>
      <c r="B4141" s="21" t="s">
        <v>975</v>
      </c>
      <c r="C4141" s="21" t="s">
        <v>1100</v>
      </c>
      <c r="D4141" s="21" t="s">
        <v>972</v>
      </c>
      <c r="E4141" s="22">
        <f>IF(D4141="?OLD","!!!","")</f>
        <v/>
      </c>
      <c r="F4141" s="23" t="str">
        <f>IF(OR(E4141="",E4141="!!!"),"",IF(NOT(ISNA(VLOOKUP(E4141,E$1:E4140,1,FALSE()))),"OLD",IF(AND(E4141&lt;&gt;"",E4141&lt;&gt;"!!!"),"NEW","")))</f>
        <v> </v>
      </c>
      <c r="G4141" s="24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5" t="str">
        <f>IF(J4141&lt;&gt;1,"",IF(I4141="SBJ","CB","?"))</f>
        <v> </v>
      </c>
      <c r="I4141" s="26" t="str">
        <f>IF(OR(E4141="",E4141="!!!",F4141="NEW"),"",INDEX(B4140:B$2,-1+SUMPRODUCT(MAX(ROW(E4140:E$2)*(E4141=E4140:E$2)))))</f>
        <v> </v>
      </c>
      <c r="J4141" s="26" t="str">
        <f>IF(OR(E4141="",E4141="!!!",F4141="NEW"),"",COUNTBLANK(OFFSET(A$1,,,SUMPRODUCT(MAX(ROW(E$2:E4141)*(E4141=E$2:E4141)))))-COUNTBLANK(OFFSET(A$1,,,SUMPRODUCT(MAX(ROW(E$1:E4140)*(E2=E$1:E4140))))))</f>
        <v> </v>
      </c>
      <c r="K4141" s="26" t="str">
        <f>IF(OR(E4141="",E4141="!!!",F4141="NEW"),"",INDEX(J$1:J4140,SUMPRODUCT(MAX(ROW(E$1:E4140)*(E4141=E$1:E4140)))))</f>
        <v> </v>
      </c>
      <c r="L4141" s="27"/>
    </row>
    <row r="4142" spans="1:12">
      <c r="A4142" s="20" t="s">
        <v>1023</v>
      </c>
      <c r="E4142" s="22">
        <f>IF(D4142="?OLD","!!!","")</f>
        <v/>
      </c>
      <c r="F4142" s="23" t="str">
        <f>IF(OR(E4142="",E4142="!!!"),"",IF(NOT(ISNA(VLOOKUP(E4142,E$1:E4141,1,FALSE()))),"OLD",IF(AND(E4142&lt;&gt;"",E4142&lt;&gt;"!!!"),"NEW","")))</f>
        <v> </v>
      </c>
      <c r="G4142" s="24" t="str">
        <f>IF(OR(E4142="",E4142="!!!"),"",IF(OR(J4142=0,AND(J4142=1,K4142=1),AND(J4142=1,I4142="SBJ"),AND(J4142=1,I4142=0)),"?IN_FOCUS",IF(J4142&lt;=2,"?ACTIVATED",IF(J4142&lt;&gt;"","?FAMILIAR",IF(F4142="NEW",IF(ISNA(VLOOKUP(E4142,#REF!,1,FALSE())),"?TYPE_IDENTIFIABLE","?REFERENTIAL"),"_")))))</f>
        <v> </v>
      </c>
      <c r="H4142" s="25" t="str">
        <f>IF(J4142&lt;&gt;1,"",IF(I4142="SBJ","CB","?"))</f>
        <v> </v>
      </c>
      <c r="I4142" s="26" t="str">
        <f>IF(OR(E4142="",E4142="!!!",F4142="NEW"),"",INDEX(B4141:B$2,-1+SUMPRODUCT(MAX(ROW(E4141:E$2)*(E4142=E4141:E$2)))))</f>
        <v> </v>
      </c>
      <c r="J4142" s="26" t="str">
        <f>IF(OR(E4142="",E4142="!!!",F4142="NEW"),"",COUNTBLANK(OFFSET(A$1,,,SUMPRODUCT(MAX(ROW(E$2:E4142)*(E4142=E$2:E4142)))))-COUNTBLANK(OFFSET(A$1,,,SUMPRODUCT(MAX(ROW(E$1:E4141)*(E2=E$1:E4141))))))</f>
        <v> </v>
      </c>
      <c r="K4142" s="26" t="str">
        <f>IF(OR(E4142="",E4142="!!!",F4142="NEW"),"",INDEX(J$1:J4141,SUMPRODUCT(MAX(ROW(E$1:E4141)*(E4142=E$1:E4141)))))</f>
        <v> </v>
      </c>
      <c r="L4142" s="27"/>
    </row>
    <row r="4143" spans="1:12">
      <c r="A4143" s="20" t="s">
        <v>499</v>
      </c>
      <c r="E4143" s="22">
        <f>IF(D4143="?OLD","!!!","")</f>
        <v/>
      </c>
      <c r="F4143" s="23" t="str">
        <f>IF(OR(E4143="",E4143="!!!"),"",IF(NOT(ISNA(VLOOKUP(E4143,E$1:E4142,1,FALSE()))),"OLD",IF(AND(E4143&lt;&gt;"",E4143&lt;&gt;"!!!"),"NEW","")))</f>
        <v> </v>
      </c>
      <c r="G4143" s="24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5" t="str">
        <f>IF(J4143&lt;&gt;1,"",IF(I4143="SBJ","CB","?"))</f>
        <v> </v>
      </c>
      <c r="I4143" s="26" t="str">
        <f>IF(OR(E4143="",E4143="!!!",F4143="NEW"),"",INDEX(B4142:B$2,-1+SUMPRODUCT(MAX(ROW(E4142:E$2)*(E4143=E4142:E$2)))))</f>
        <v> </v>
      </c>
      <c r="J4143" s="26" t="str">
        <f>IF(OR(E4143="",E4143="!!!",F4143="NEW"),"",COUNTBLANK(OFFSET(A$1,,,SUMPRODUCT(MAX(ROW(E$2:E4143)*(E4143=E$2:E4143)))))-COUNTBLANK(OFFSET(A$1,,,SUMPRODUCT(MAX(ROW(E$1:E4142)*(E2=E$1:E4142))))))</f>
        <v> </v>
      </c>
      <c r="K4143" s="26" t="str">
        <f>IF(OR(E4143="",E4143="!!!",F4143="NEW"),"",INDEX(J$1:J4142,SUMPRODUCT(MAX(ROW(E$1:E4142)*(E4143=E$1:E4142)))))</f>
        <v> </v>
      </c>
      <c r="L4143" s="27"/>
    </row>
    <row r="4144" spans="1:12">
      <c r="A4144" s="20" t="s">
        <v>1905</v>
      </c>
      <c r="E4144" s="22">
        <f>IF(D4144="?OLD","!!!","")</f>
        <v/>
      </c>
      <c r="F4144" s="23" t="str">
        <f>IF(OR(E4144="",E4144="!!!"),"",IF(NOT(ISNA(VLOOKUP(E4144,E$1:E4143,1,FALSE()))),"OLD",IF(AND(E4144&lt;&gt;"",E4144&lt;&gt;"!!!"),"NEW","")))</f>
        <v> </v>
      </c>
      <c r="G4144" s="24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5" t="str">
        <f>IF(J4144&lt;&gt;1,"",IF(I4144="SBJ","CB","?"))</f>
        <v> </v>
      </c>
      <c r="I4144" s="26" t="str">
        <f>IF(OR(E4144="",E4144="!!!",F4144="NEW"),"",INDEX(B4143:B$2,-1+SUMPRODUCT(MAX(ROW(E4143:E$2)*(E4144=E4143:E$2)))))</f>
        <v> </v>
      </c>
      <c r="J4144" s="26" t="str">
        <f>IF(OR(E4144="",E4144="!!!",F4144="NEW"),"",COUNTBLANK(OFFSET(A$1,,,SUMPRODUCT(MAX(ROW(E$2:E4144)*(E4144=E$2:E4144)))))-COUNTBLANK(OFFSET(A$1,,,SUMPRODUCT(MAX(ROW(E$1:E4143)*(E2=E$1:E4143))))))</f>
        <v> </v>
      </c>
      <c r="K4144" s="26" t="str">
        <f>IF(OR(E4144="",E4144="!!!",F4144="NEW"),"",INDEX(J$1:J4143,SUMPRODUCT(MAX(ROW(E$1:E4143)*(E4144=E$1:E4143)))))</f>
        <v> </v>
      </c>
      <c r="L4144" s="27"/>
    </row>
    <row r="4145" spans="1:12">
      <c r="A4145" s="20" t="s">
        <v>1013</v>
      </c>
      <c r="E4145" s="22">
        <f>IF(D4145="?OLD","!!!","")</f>
        <v/>
      </c>
      <c r="F4145" s="23" t="str">
        <f>IF(OR(E4145="",E4145="!!!"),"",IF(NOT(ISNA(VLOOKUP(E4145,E$1:E4144,1,FALSE()))),"OLD",IF(AND(E4145&lt;&gt;"",E4145&lt;&gt;"!!!"),"NEW","")))</f>
        <v> </v>
      </c>
      <c r="G4145" s="24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5" t="str">
        <f>IF(J4145&lt;&gt;1,"",IF(I4145="SBJ","CB","?"))</f>
        <v> </v>
      </c>
      <c r="I4145" s="26" t="str">
        <f>IF(OR(E4145="",E4145="!!!",F4145="NEW"),"",INDEX(B4144:B$2,-1+SUMPRODUCT(MAX(ROW(E4144:E$2)*(E4145=E4144:E$2)))))</f>
        <v> </v>
      </c>
      <c r="J4145" s="26" t="str">
        <f>IF(OR(E4145="",E4145="!!!",F4145="NEW"),"",COUNTBLANK(OFFSET(A$1,,,SUMPRODUCT(MAX(ROW(E$2:E4145)*(E4145=E$2:E4145)))))-COUNTBLANK(OFFSET(A$1,,,SUMPRODUCT(MAX(ROW(E$1:E4144)*(E2=E$1:E4144))))))</f>
        <v> </v>
      </c>
      <c r="K4145" s="26" t="str">
        <f>IF(OR(E4145="",E4145="!!!",F4145="NEW"),"",INDEX(J$1:J4144,SUMPRODUCT(MAX(ROW(E$1:E4144)*(E4145=E$1:E4144)))))</f>
        <v> </v>
      </c>
      <c r="L4145" s="27"/>
    </row>
    <row r="4146" spans="1:12">
      <c r="A4146" s="20" t="s">
        <v>2309</v>
      </c>
      <c r="E4146" s="22">
        <f>IF(D4146="?OLD","!!!","")</f>
        <v/>
      </c>
      <c r="F4146" s="23" t="str">
        <f>IF(OR(E4146="",E4146="!!!"),"",IF(NOT(ISNA(VLOOKUP(E4146,E$1:E4145,1,FALSE()))),"OLD",IF(AND(E4146&lt;&gt;"",E4146&lt;&gt;"!!!"),"NEW","")))</f>
        <v> </v>
      </c>
      <c r="G4146" s="24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5" t="str">
        <f>IF(J4146&lt;&gt;1,"",IF(I4146="SBJ","CB","?"))</f>
        <v> </v>
      </c>
      <c r="I4146" s="26" t="str">
        <f>IF(OR(E4146="",E4146="!!!",F4146="NEW"),"",INDEX(B4145:B$2,-1+SUMPRODUCT(MAX(ROW(E4145:E$2)*(E4146=E4145:E$2)))))</f>
        <v> </v>
      </c>
      <c r="J4146" s="26" t="str">
        <f>IF(OR(E4146="",E4146="!!!",F4146="NEW"),"",COUNTBLANK(OFFSET(A$1,,,SUMPRODUCT(MAX(ROW(E$2:E4146)*(E4146=E$2:E4146)))))-COUNTBLANK(OFFSET(A$1,,,SUMPRODUCT(MAX(ROW(E$1:E4145)*(E2=E$1:E4145))))))</f>
        <v> </v>
      </c>
      <c r="K4146" s="26" t="str">
        <f>IF(OR(E4146="",E4146="!!!",F4146="NEW"),"",INDEX(J$1:J4145,SUMPRODUCT(MAX(ROW(E$1:E4145)*(E4146=E$1:E4145)))))</f>
        <v> </v>
      </c>
      <c r="L4146" s="27"/>
    </row>
    <row r="4147" spans="1:12">
      <c r="A4147" s="20" t="s">
        <v>1862</v>
      </c>
      <c r="E4147" s="22">
        <f>IF(D4147="?OLD","!!!","")</f>
        <v/>
      </c>
      <c r="F4147" s="23" t="str">
        <f>IF(OR(E4147="",E4147="!!!"),"",IF(NOT(ISNA(VLOOKUP(E4147,E$1:E4146,1,FALSE()))),"OLD",IF(AND(E4147&lt;&gt;"",E4147&lt;&gt;"!!!"),"NEW","")))</f>
        <v> </v>
      </c>
      <c r="G4147" s="24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5" t="str">
        <f>IF(J4147&lt;&gt;1,"",IF(I4147="SBJ","CB","?"))</f>
        <v> </v>
      </c>
      <c r="I4147" s="26" t="str">
        <f>IF(OR(E4147="",E4147="!!!",F4147="NEW"),"",INDEX(B4146:B$2,-1+SUMPRODUCT(MAX(ROW(E4146:E$2)*(E4147=E4146:E$2)))))</f>
        <v> </v>
      </c>
      <c r="J4147" s="26" t="str">
        <f>IF(OR(E4147="",E4147="!!!",F4147="NEW"),"",COUNTBLANK(OFFSET(A$1,,,SUMPRODUCT(MAX(ROW(E$2:E4147)*(E4147=E$2:E4147)))))-COUNTBLANK(OFFSET(A$1,,,SUMPRODUCT(MAX(ROW(E$1:E4146)*(E2=E$1:E4146))))))</f>
        <v> </v>
      </c>
      <c r="K4147" s="26" t="str">
        <f>IF(OR(E4147="",E4147="!!!",F4147="NEW"),"",INDEX(J$1:J4146,SUMPRODUCT(MAX(ROW(E$1:E4146)*(E4147=E$1:E4146)))))</f>
        <v> </v>
      </c>
      <c r="L4147" s="27"/>
    </row>
    <row r="4148" spans="1:12">
      <c r="A4148" s="20" t="s">
        <v>1863</v>
      </c>
      <c r="E4148" s="22">
        <f>IF(D4148="?OLD","!!!","")</f>
        <v/>
      </c>
      <c r="F4148" s="23" t="str">
        <f>IF(OR(E4148="",E4148="!!!"),"",IF(NOT(ISNA(VLOOKUP(E4148,E$1:E4147,1,FALSE()))),"OLD",IF(AND(E4148&lt;&gt;"",E4148&lt;&gt;"!!!"),"NEW","")))</f>
        <v> </v>
      </c>
      <c r="G4148" s="24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5" t="str">
        <f>IF(J4148&lt;&gt;1,"",IF(I4148="SBJ","CB","?"))</f>
        <v> </v>
      </c>
      <c r="I4148" s="26" t="str">
        <f>IF(OR(E4148="",E4148="!!!",F4148="NEW"),"",INDEX(B4147:B$2,-1+SUMPRODUCT(MAX(ROW(E4147:E$2)*(E4148=E4147:E$2)))))</f>
        <v> </v>
      </c>
      <c r="J4148" s="26" t="str">
        <f>IF(OR(E4148="",E4148="!!!",F4148="NEW"),"",COUNTBLANK(OFFSET(A$1,,,SUMPRODUCT(MAX(ROW(E$2:E4148)*(E4148=E$2:E4148)))))-COUNTBLANK(OFFSET(A$1,,,SUMPRODUCT(MAX(ROW(E$1:E4147)*(E2=E$1:E4147))))))</f>
        <v> </v>
      </c>
      <c r="K4148" s="26" t="str">
        <f>IF(OR(E4148="",E4148="!!!",F4148="NEW"),"",INDEX(J$1:J4147,SUMPRODUCT(MAX(ROW(E$1:E4147)*(E4148=E$1:E4147)))))</f>
        <v> </v>
      </c>
      <c r="L4148" s="27"/>
    </row>
    <row r="4149" spans="1:12">
      <c r="A4149" s="20" t="s">
        <v>1864</v>
      </c>
      <c r="E4149" s="22">
        <f>IF(D4149="?OLD","!!!","")</f>
        <v/>
      </c>
      <c r="F4149" s="23" t="str">
        <f>IF(OR(E4149="",E4149="!!!"),"",IF(NOT(ISNA(VLOOKUP(E4149,E$1:E4148,1,FALSE()))),"OLD",IF(AND(E4149&lt;&gt;"",E4149&lt;&gt;"!!!"),"NEW","")))</f>
        <v> </v>
      </c>
      <c r="G4149" s="24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5" t="str">
        <f>IF(J4149&lt;&gt;1,"",IF(I4149="SBJ","CB","?"))</f>
        <v> </v>
      </c>
      <c r="I4149" s="26" t="str">
        <f>IF(OR(E4149="",E4149="!!!",F4149="NEW"),"",INDEX(B4148:B$2,-1+SUMPRODUCT(MAX(ROW(E4148:E$2)*(E4149=E4148:E$2)))))</f>
        <v> </v>
      </c>
      <c r="J4149" s="26" t="str">
        <f>IF(OR(E4149="",E4149="!!!",F4149="NEW"),"",COUNTBLANK(OFFSET(A$1,,,SUMPRODUCT(MAX(ROW(E$2:E4149)*(E4149=E$2:E4149)))))-COUNTBLANK(OFFSET(A$1,,,SUMPRODUCT(MAX(ROW(E$1:E4148)*(E2=E$1:E4148))))))</f>
        <v> </v>
      </c>
      <c r="K4149" s="26" t="str">
        <f>IF(OR(E4149="",E4149="!!!",F4149="NEW"),"",INDEX(J$1:J4148,SUMPRODUCT(MAX(ROW(E$1:E4148)*(E4149=E$1:E4148)))))</f>
        <v> </v>
      </c>
      <c r="L4149" s="27"/>
    </row>
    <row r="4150" spans="1:12">
      <c r="A4150" s="20" t="s">
        <v>1865</v>
      </c>
      <c r="E4150" s="22">
        <f>IF(D4150="?OLD","!!!","")</f>
        <v/>
      </c>
      <c r="F4150" s="23" t="str">
        <f>IF(OR(E4150="",E4150="!!!"),"",IF(NOT(ISNA(VLOOKUP(E4150,E$1:E4149,1,FALSE()))),"OLD",IF(AND(E4150&lt;&gt;"",E4150&lt;&gt;"!!!"),"NEW","")))</f>
        <v> </v>
      </c>
      <c r="G4150" s="24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5" t="str">
        <f>IF(J4150&lt;&gt;1,"",IF(I4150="SBJ","CB","?"))</f>
        <v> </v>
      </c>
      <c r="I4150" s="26" t="str">
        <f>IF(OR(E4150="",E4150="!!!",F4150="NEW"),"",INDEX(B4149:B$2,-1+SUMPRODUCT(MAX(ROW(E4149:E$2)*(E4150=E4149:E$2)))))</f>
        <v> </v>
      </c>
      <c r="J4150" s="26" t="str">
        <f>IF(OR(E4150="",E4150="!!!",F4150="NEW"),"",COUNTBLANK(OFFSET(A$1,,,SUMPRODUCT(MAX(ROW(E$2:E4150)*(E4150=E$2:E4150)))))-COUNTBLANK(OFFSET(A$1,,,SUMPRODUCT(MAX(ROW(E$1:E4149)*(E2=E$1:E4149))))))</f>
        <v> </v>
      </c>
      <c r="K4150" s="26" t="str">
        <f>IF(OR(E4150="",E4150="!!!",F4150="NEW"),"",INDEX(J$1:J4149,SUMPRODUCT(MAX(ROW(E$1:E4149)*(E4150=E$1:E4149)))))</f>
        <v> </v>
      </c>
      <c r="L4150" s="27"/>
    </row>
    <row r="4151" spans="1:12">
      <c r="A4151" s="20" t="s">
        <v>1013</v>
      </c>
      <c r="E4151" s="22">
        <f>IF(D4151="?OLD","!!!","")</f>
        <v/>
      </c>
      <c r="F4151" s="23" t="str">
        <f>IF(OR(E4151="",E4151="!!!"),"",IF(NOT(ISNA(VLOOKUP(E4151,E$1:E4150,1,FALSE()))),"OLD",IF(AND(E4151&lt;&gt;"",E4151&lt;&gt;"!!!"),"NEW","")))</f>
        <v> </v>
      </c>
      <c r="G4151" s="24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5" t="str">
        <f>IF(J4151&lt;&gt;1,"",IF(I4151="SBJ","CB","?"))</f>
        <v> </v>
      </c>
      <c r="I4151" s="26" t="str">
        <f>IF(OR(E4151="",E4151="!!!",F4151="NEW"),"",INDEX(B4150:B$2,-1+SUMPRODUCT(MAX(ROW(E4150:E$2)*(E4151=E4150:E$2)))))</f>
        <v> </v>
      </c>
      <c r="J4151" s="26" t="str">
        <f>IF(OR(E4151="",E4151="!!!",F4151="NEW"),"",COUNTBLANK(OFFSET(A$1,,,SUMPRODUCT(MAX(ROW(E$2:E4151)*(E4151=E$2:E4151)))))-COUNTBLANK(OFFSET(A$1,,,SUMPRODUCT(MAX(ROW(E$1:E4150)*(E2=E$1:E4150))))))</f>
        <v> </v>
      </c>
      <c r="K4151" s="26" t="str">
        <f>IF(OR(E4151="",E4151="!!!",F4151="NEW"),"",INDEX(J$1:J4150,SUMPRODUCT(MAX(ROW(E$1:E4150)*(E4151=E$1:E4150)))))</f>
        <v> </v>
      </c>
      <c r="L4151" s="27"/>
    </row>
    <row r="4152" spans="1:12">
      <c r="A4152" s="20" t="s">
        <v>2311</v>
      </c>
      <c r="E4152" s="22">
        <f>IF(D4152="?OLD","!!!","")</f>
        <v/>
      </c>
      <c r="F4152" s="23" t="str">
        <f>IF(OR(E4152="",E4152="!!!"),"",IF(NOT(ISNA(VLOOKUP(E4152,E$1:E4151,1,FALSE()))),"OLD",IF(AND(E4152&lt;&gt;"",E4152&lt;&gt;"!!!"),"NEW","")))</f>
        <v> </v>
      </c>
      <c r="G4152" s="24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5" t="str">
        <f>IF(J4152&lt;&gt;1,"",IF(I4152="SBJ","CB","?"))</f>
        <v> </v>
      </c>
      <c r="I4152" s="26" t="str">
        <f>IF(OR(E4152="",E4152="!!!",F4152="NEW"),"",INDEX(B4151:B$2,-1+SUMPRODUCT(MAX(ROW(E4151:E$2)*(E4152=E4151:E$2)))))</f>
        <v> </v>
      </c>
      <c r="J4152" s="26" t="str">
        <f>IF(OR(E4152="",E4152="!!!",F4152="NEW"),"",COUNTBLANK(OFFSET(A$1,,,SUMPRODUCT(MAX(ROW(E$2:E4152)*(E4152=E$2:E4152)))))-COUNTBLANK(OFFSET(A$1,,,SUMPRODUCT(MAX(ROW(E$1:E4151)*(E2=E$1:E4151))))))</f>
        <v> </v>
      </c>
      <c r="K4152" s="26" t="str">
        <f>IF(OR(E4152="",E4152="!!!",F4152="NEW"),"",INDEX(J$1:J4151,SUMPRODUCT(MAX(ROW(E$1:E4151)*(E4152=E$1:E4151)))))</f>
        <v> </v>
      </c>
      <c r="L4152" s="27"/>
    </row>
    <row r="4153" spans="1:12">
      <c r="A4153" s="20" t="s">
        <v>1838</v>
      </c>
      <c r="E4153" s="22">
        <f>IF(D4153="?OLD","!!!","")</f>
        <v/>
      </c>
      <c r="F4153" s="23" t="str">
        <f>IF(OR(E4153="",E4153="!!!"),"",IF(NOT(ISNA(VLOOKUP(E4153,E$1:E4152,1,FALSE()))),"OLD",IF(AND(E4153&lt;&gt;"",E4153&lt;&gt;"!!!"),"NEW","")))</f>
        <v> </v>
      </c>
      <c r="G4153" s="24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5" t="str">
        <f>IF(J4153&lt;&gt;1,"",IF(I4153="SBJ","CB","?"))</f>
        <v> </v>
      </c>
      <c r="I4153" s="26" t="str">
        <f>IF(OR(E4153="",E4153="!!!",F4153="NEW"),"",INDEX(B4152:B$2,-1+SUMPRODUCT(MAX(ROW(E4152:E$2)*(E4153=E4152:E$2)))))</f>
        <v> </v>
      </c>
      <c r="J4153" s="26" t="str">
        <f>IF(OR(E4153="",E4153="!!!",F4153="NEW"),"",COUNTBLANK(OFFSET(A$1,,,SUMPRODUCT(MAX(ROW(E$2:E4153)*(E4153=E$2:E4153)))))-COUNTBLANK(OFFSET(A$1,,,SUMPRODUCT(MAX(ROW(E$1:E4152)*(E2=E$1:E4152))))))</f>
        <v> </v>
      </c>
      <c r="K4153" s="26" t="str">
        <f>IF(OR(E4153="",E4153="!!!",F4153="NEW"),"",INDEX(J$1:J4152,SUMPRODUCT(MAX(ROW(E$1:E4152)*(E4153=E$1:E4152)))))</f>
        <v> </v>
      </c>
      <c r="L4153" s="27"/>
    </row>
    <row r="4154" spans="1:12">
      <c r="A4154" s="20" t="s">
        <v>454</v>
      </c>
      <c r="B4154" s="21" t="s">
        <v>1011</v>
      </c>
      <c r="C4154" s="21" t="s">
        <v>1100</v>
      </c>
      <c r="D4154" s="21" t="s">
        <v>972</v>
      </c>
      <c r="E4154" s="22">
        <f>IF(D4154="?OLD","!!!","")</f>
        <v/>
      </c>
      <c r="F4154" s="23" t="str">
        <f>IF(OR(E4154="",E4154="!!!"),"",IF(NOT(ISNA(VLOOKUP(E4154,E$1:E4153,1,FALSE()))),"OLD",IF(AND(E4154&lt;&gt;"",E4154&lt;&gt;"!!!"),"NEW","")))</f>
        <v> </v>
      </c>
      <c r="G4154" s="24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5" t="str">
        <f>IF(J4154&lt;&gt;1,"",IF(I4154="SBJ","CB","?"))</f>
        <v> </v>
      </c>
      <c r="I4154" s="26" t="str">
        <f>IF(OR(E4154="",E4154="!!!",F4154="NEW"),"",INDEX(B4153:B$2,-1+SUMPRODUCT(MAX(ROW(E4153:E$2)*(E4154=E4153:E$2)))))</f>
        <v> </v>
      </c>
      <c r="J4154" s="26" t="str">
        <f>IF(OR(E4154="",E4154="!!!",F4154="NEW"),"",COUNTBLANK(OFFSET(A$1,,,SUMPRODUCT(MAX(ROW(E$2:E4154)*(E4154=E$2:E4154)))))-COUNTBLANK(OFFSET(A$1,,,SUMPRODUCT(MAX(ROW(E$1:E4153)*(E2=E$1:E4153))))))</f>
        <v> </v>
      </c>
      <c r="K4154" s="26" t="str">
        <f>IF(OR(E4154="",E4154="!!!",F4154="NEW"),"",INDEX(J$1:J4153,SUMPRODUCT(MAX(ROW(E$1:E4153)*(E4154=E$1:E4153)))))</f>
        <v> </v>
      </c>
      <c r="L4154" s="27"/>
    </row>
    <row r="4155" spans="1:12">
      <c r="A4155" s="20" t="s">
        <v>1222</v>
      </c>
      <c r="E4155" s="22">
        <f>IF(D4155="?OLD","!!!","")</f>
        <v/>
      </c>
      <c r="F4155" s="23" t="str">
        <f>IF(OR(E4155="",E4155="!!!"),"",IF(NOT(ISNA(VLOOKUP(E4155,E$1:E4154,1,FALSE()))),"OLD",IF(AND(E4155&lt;&gt;"",E4155&lt;&gt;"!!!"),"NEW","")))</f>
        <v> </v>
      </c>
      <c r="G4155" s="24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5" t="str">
        <f>IF(J4155&lt;&gt;1,"",IF(I4155="SBJ","CB","?"))</f>
        <v> </v>
      </c>
      <c r="I4155" s="26" t="str">
        <f>IF(OR(E4155="",E4155="!!!",F4155="NEW"),"",INDEX(B4154:B$2,-1+SUMPRODUCT(MAX(ROW(E4154:E$2)*(E4155=E4154:E$2)))))</f>
        <v> </v>
      </c>
      <c r="J4155" s="26" t="str">
        <f>IF(OR(E4155="",E4155="!!!",F4155="NEW"),"",COUNTBLANK(OFFSET(A$1,,,SUMPRODUCT(MAX(ROW(E$2:E4155)*(E4155=E$2:E4155)))))-COUNTBLANK(OFFSET(A$1,,,SUMPRODUCT(MAX(ROW(E$1:E4154)*(E2=E$1:E4154))))))</f>
        <v> </v>
      </c>
      <c r="K4155" s="26" t="str">
        <f>IF(OR(E4155="",E4155="!!!",F4155="NEW"),"",INDEX(J$1:J4154,SUMPRODUCT(MAX(ROW(E$1:E4154)*(E4155=E$1:E4154)))))</f>
        <v> </v>
      </c>
      <c r="L4155" s="27"/>
    </row>
    <row r="4156" spans="1:12">
      <c r="A4156" s="20" t="s">
        <v>466</v>
      </c>
      <c r="E4156" s="22">
        <f>IF(D4156="?OLD","!!!","")</f>
        <v/>
      </c>
      <c r="F4156" s="23" t="str">
        <f>IF(OR(E4156="",E4156="!!!"),"",IF(NOT(ISNA(VLOOKUP(E4156,E$1:E4155,1,FALSE()))),"OLD",IF(AND(E4156&lt;&gt;"",E4156&lt;&gt;"!!!"),"NEW","")))</f>
        <v> </v>
      </c>
      <c r="G4156" s="24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5" t="str">
        <f>IF(J4156&lt;&gt;1,"",IF(I4156="SBJ","CB","?"))</f>
        <v> </v>
      </c>
      <c r="I4156" s="26" t="str">
        <f>IF(OR(E4156="",E4156="!!!",F4156="NEW"),"",INDEX(B4155:B$2,-1+SUMPRODUCT(MAX(ROW(E4155:E$2)*(E4156=E4155:E$2)))))</f>
        <v> </v>
      </c>
      <c r="J4156" s="26" t="str">
        <f>IF(OR(E4156="",E4156="!!!",F4156="NEW"),"",COUNTBLANK(OFFSET(A$1,,,SUMPRODUCT(MAX(ROW(E$2:E4156)*(E4156=E$2:E4156)))))-COUNTBLANK(OFFSET(A$1,,,SUMPRODUCT(MAX(ROW(E$1:E4155)*(E2=E$1:E4155))))))</f>
        <v> </v>
      </c>
      <c r="K4156" s="26" t="str">
        <f>IF(OR(E4156="",E4156="!!!",F4156="NEW"),"",INDEX(J$1:J4155,SUMPRODUCT(MAX(ROW(E$1:E4155)*(E4156=E$1:E4155)))))</f>
        <v> </v>
      </c>
      <c r="L4156" s="27"/>
    </row>
    <row r="4157" spans="1:12">
      <c r="A4157" s="20" t="s">
        <v>2575</v>
      </c>
      <c r="E4157" s="22">
        <f>IF(D4157="?OLD","!!!","")</f>
        <v/>
      </c>
      <c r="F4157" s="23" t="str">
        <f>IF(OR(E4157="",E4157="!!!"),"",IF(NOT(ISNA(VLOOKUP(E4157,E$1:E4156,1,FALSE()))),"OLD",IF(AND(E4157&lt;&gt;"",E4157&lt;&gt;"!!!"),"NEW","")))</f>
        <v> </v>
      </c>
      <c r="G4157" s="24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5" t="str">
        <f>IF(J4157&lt;&gt;1,"",IF(I4157="SBJ","CB","?"))</f>
        <v> </v>
      </c>
      <c r="I4157" s="26" t="str">
        <f>IF(OR(E4157="",E4157="!!!",F4157="NEW"),"",INDEX(B4156:B$2,-1+SUMPRODUCT(MAX(ROW(E4156:E$2)*(E4157=E4156:E$2)))))</f>
        <v> </v>
      </c>
      <c r="J4157" s="26" t="str">
        <f>IF(OR(E4157="",E4157="!!!",F4157="NEW"),"",COUNTBLANK(OFFSET(A$1,,,SUMPRODUCT(MAX(ROW(E$2:E4157)*(E4157=E$2:E4157)))))-COUNTBLANK(OFFSET(A$1,,,SUMPRODUCT(MAX(ROW(E$1:E4156)*(E2=E$1:E4156))))))</f>
        <v> </v>
      </c>
      <c r="K4157" s="26" t="str">
        <f>IF(OR(E4157="",E4157="!!!",F4157="NEW"),"",INDEX(J$1:J4156,SUMPRODUCT(MAX(ROW(E$1:E4156)*(E4157=E$1:E4156)))))</f>
        <v> </v>
      </c>
      <c r="L4157" s="27"/>
    </row>
    <row r="4158" spans="1:12">
      <c r="A4158" s="20" t="s">
        <v>1464</v>
      </c>
      <c r="E4158" s="22">
        <f>IF(D4158="?OLD","!!!","")</f>
        <v/>
      </c>
      <c r="F4158" s="23" t="str">
        <f>IF(OR(E4158="",E4158="!!!"),"",IF(NOT(ISNA(VLOOKUP(E4158,E$1:E4157,1,FALSE()))),"OLD",IF(AND(E4158&lt;&gt;"",E4158&lt;&gt;"!!!"),"NEW","")))</f>
        <v> </v>
      </c>
      <c r="G4158" s="24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5" t="str">
        <f>IF(J4158&lt;&gt;1,"",IF(I4158="SBJ","CB","?"))</f>
        <v> </v>
      </c>
      <c r="I4158" s="26" t="str">
        <f>IF(OR(E4158="",E4158="!!!",F4158="NEW"),"",INDEX(B4157:B$2,-1+SUMPRODUCT(MAX(ROW(E4157:E$2)*(E4158=E4157:E$2)))))</f>
        <v> </v>
      </c>
      <c r="J4158" s="26" t="str">
        <f>IF(OR(E4158="",E4158="!!!",F4158="NEW"),"",COUNTBLANK(OFFSET(A$1,,,SUMPRODUCT(MAX(ROW(E$2:E4158)*(E4158=E$2:E4158)))))-COUNTBLANK(OFFSET(A$1,,,SUMPRODUCT(MAX(ROW(E$1:E4157)*(E2=E$1:E4157))))))</f>
        <v> </v>
      </c>
      <c r="K4158" s="26" t="str">
        <f>IF(OR(E4158="",E4158="!!!",F4158="NEW"),"",INDEX(J$1:J4157,SUMPRODUCT(MAX(ROW(E$1:E4157)*(E4158=E$1:E4157)))))</f>
        <v> </v>
      </c>
      <c r="L4158" s="27"/>
    </row>
    <row r="4159" spans="1:12">
      <c r="A4159" s="20" t="s">
        <v>523</v>
      </c>
      <c r="B4159" s="21" t="s">
        <v>1338</v>
      </c>
      <c r="E4159" s="22">
        <f>IF(D4159="?OLD","!!!","")</f>
        <v/>
      </c>
      <c r="F4159" s="23" t="str">
        <f>IF(OR(E4159="",E4159="!!!"),"",IF(NOT(ISNA(VLOOKUP(E4159,E$1:E4158,1,FALSE()))),"OLD",IF(AND(E4159&lt;&gt;"",E4159&lt;&gt;"!!!"),"NEW","")))</f>
        <v> </v>
      </c>
      <c r="G4159" s="24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5" t="str">
        <f>IF(J4159&lt;&gt;1,"",IF(I4159="SBJ","CB","?"))</f>
        <v> </v>
      </c>
      <c r="I4159" s="26" t="str">
        <f>IF(OR(E4159="",E4159="!!!",F4159="NEW"),"",INDEX(B4158:B$2,-1+SUMPRODUCT(MAX(ROW(E4158:E$2)*(E4159=E4158:E$2)))))</f>
        <v> </v>
      </c>
      <c r="J4159" s="26" t="str">
        <f>IF(OR(E4159="",E4159="!!!",F4159="NEW"),"",COUNTBLANK(OFFSET(A$1,,,SUMPRODUCT(MAX(ROW(E$2:E4159)*(E4159=E$2:E4159)))))-COUNTBLANK(OFFSET(A$1,,,SUMPRODUCT(MAX(ROW(E$1:E4158)*(E2=E$1:E4158))))))</f>
        <v> </v>
      </c>
      <c r="K4159" s="26" t="str">
        <f>IF(OR(E4159="",E4159="!!!",F4159="NEW"),"",INDEX(J$1:J4158,SUMPRODUCT(MAX(ROW(E$1:E4158)*(E4159=E$1:E4158)))))</f>
        <v> </v>
      </c>
      <c r="L4159" s="27"/>
    </row>
    <row r="4160" spans="1:12">
      <c r="A4160" s="20" t="s">
        <v>979</v>
      </c>
      <c r="E4160" s="22">
        <f>IF(D4160="?OLD","!!!","")</f>
        <v/>
      </c>
      <c r="F4160" s="23" t="str">
        <f>IF(OR(E4160="",E4160="!!!"),"",IF(NOT(ISNA(VLOOKUP(E4160,E$1:E4159,1,FALSE()))),"OLD",IF(AND(E4160&lt;&gt;"",E4160&lt;&gt;"!!!"),"NEW","")))</f>
        <v> </v>
      </c>
      <c r="G4160" s="24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5" t="str">
        <f>IF(J4160&lt;&gt;1,"",IF(I4160="SBJ","CB","?"))</f>
        <v> </v>
      </c>
      <c r="I4160" s="26" t="str">
        <f>IF(OR(E4160="",E4160="!!!",F4160="NEW"),"",INDEX(B4159:B$2,-1+SUMPRODUCT(MAX(ROW(E4159:E$2)*(E4160=E4159:E$2)))))</f>
        <v> </v>
      </c>
      <c r="J4160" s="26" t="str">
        <f>IF(OR(E4160="",E4160="!!!",F4160="NEW"),"",COUNTBLANK(OFFSET(A$1,,,SUMPRODUCT(MAX(ROW(E$2:E4160)*(E4160=E$2:E4160)))))-COUNTBLANK(OFFSET(A$1,,,SUMPRODUCT(MAX(ROW(E$1:E4159)*(E2=E$1:E4159))))))</f>
        <v> </v>
      </c>
      <c r="K4160" s="26" t="str">
        <f>IF(OR(E4160="",E4160="!!!",F4160="NEW"),"",INDEX(J$1:J4159,SUMPRODUCT(MAX(ROW(E$1:E4159)*(E4160=E$1:E4159)))))</f>
        <v> </v>
      </c>
      <c r="L4160" s="27"/>
    </row>
    <row r="4161" spans="1:12">
      <c r="A4161" s="20"/>
    </row>
    <row r="4162" spans="1:12">
      <c r="A4162" s="20" t="s">
        <v>2576</v>
      </c>
    </row>
    <row r="4163" spans="1:12">
      <c r="A4163" s="20" t="s">
        <v>981</v>
      </c>
      <c r="B4163" s="21" t="s">
        <v>975</v>
      </c>
      <c r="C4163" s="21" t="s">
        <v>971</v>
      </c>
      <c r="D4163" s="21" t="s">
        <v>972</v>
      </c>
      <c r="E4163" s="22">
        <f>IF(D4163="?OLD","!!!","")</f>
        <v/>
      </c>
      <c r="F4163" s="23" t="str">
        <f>IF(OR(E4163="",E4163="!!!"),"",IF(NOT(ISNA(VLOOKUP(E4163,E$1:E4162,1,FALSE()))),"OLD",IF(AND(E4163&lt;&gt;"",E4163&lt;&gt;"!!!"),"NEW","")))</f>
        <v> </v>
      </c>
      <c r="G4163" s="24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5" t="str">
        <f>IF(J4163&lt;&gt;1,"",IF(I4163="SBJ","CB","?"))</f>
        <v> </v>
      </c>
      <c r="I4163" s="26" t="str">
        <f>IF(OR(E4163="",E4163="!!!",F4163="NEW"),"",INDEX(B4162:B$2,-1+SUMPRODUCT(MAX(ROW(E4162:E$2)*(E4163=E4162:E$2)))))</f>
        <v> </v>
      </c>
      <c r="J4163" s="26" t="str">
        <f>IF(OR(E4163="",E4163="!!!",F4163="NEW"),"",COUNTBLANK(OFFSET(A$1,,,SUMPRODUCT(MAX(ROW(E$2:E4163)*(E4163=E$2:E4163)))))-COUNTBLANK(OFFSET(A$1,,,SUMPRODUCT(MAX(ROW(E$1:E4162)*(E2=E$1:E4162))))))</f>
        <v> </v>
      </c>
      <c r="K4163" s="26" t="str">
        <f>IF(OR(E4163="",E4163="!!!",F4163="NEW"),"",INDEX(J$1:J4162,SUMPRODUCT(MAX(ROW(E$1:E4162)*(E4163=E$1:E4162)))))</f>
        <v> </v>
      </c>
      <c r="L4163" s="27"/>
    </row>
    <row r="4164" spans="1:12">
      <c r="A4164" s="20" t="s">
        <v>355</v>
      </c>
      <c r="E4164" s="22">
        <f>IF(D4164="?OLD","!!!","")</f>
        <v/>
      </c>
      <c r="F4164" s="23" t="str">
        <f>IF(OR(E4164="",E4164="!!!"),"",IF(NOT(ISNA(VLOOKUP(E4164,E$1:E4163,1,FALSE()))),"OLD",IF(AND(E4164&lt;&gt;"",E4164&lt;&gt;"!!!"),"NEW","")))</f>
        <v> </v>
      </c>
      <c r="G4164" s="24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5" t="str">
        <f>IF(J4164&lt;&gt;1,"",IF(I4164="SBJ","CB","?"))</f>
        <v> </v>
      </c>
      <c r="I4164" s="26" t="str">
        <f>IF(OR(E4164="",E4164="!!!",F4164="NEW"),"",INDEX(B4163:B$2,-1+SUMPRODUCT(MAX(ROW(E4163:E$2)*(E4164=E4163:E$2)))))</f>
        <v> </v>
      </c>
      <c r="J4164" s="26" t="str">
        <f>IF(OR(E4164="",E4164="!!!",F4164="NEW"),"",COUNTBLANK(OFFSET(A$1,,,SUMPRODUCT(MAX(ROW(E$2:E4164)*(E4164=E$2:E4164)))))-COUNTBLANK(OFFSET(A$1,,,SUMPRODUCT(MAX(ROW(E$1:E4163)*(E2=E$1:E4163))))))</f>
        <v> </v>
      </c>
      <c r="K4164" s="26" t="str">
        <f>IF(OR(E4164="",E4164="!!!",F4164="NEW"),"",INDEX(J$1:J4163,SUMPRODUCT(MAX(ROW(E$1:E4163)*(E4164=E$1:E4163)))))</f>
        <v> </v>
      </c>
      <c r="L4164" s="27"/>
    </row>
    <row r="4165" spans="1:12">
      <c r="A4165" s="20" t="s">
        <v>2577</v>
      </c>
      <c r="E4165" s="22">
        <f>IF(D4165="?OLD","!!!","")</f>
        <v/>
      </c>
      <c r="F4165" s="23" t="str">
        <f>IF(OR(E4165="",E4165="!!!"),"",IF(NOT(ISNA(VLOOKUP(E4165,E$1:E4164,1,FALSE()))),"OLD",IF(AND(E4165&lt;&gt;"",E4165&lt;&gt;"!!!"),"NEW","")))</f>
        <v> </v>
      </c>
      <c r="G4165" s="24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5" t="str">
        <f>IF(J4165&lt;&gt;1,"",IF(I4165="SBJ","CB","?"))</f>
        <v> </v>
      </c>
      <c r="I4165" s="26" t="str">
        <f>IF(OR(E4165="",E4165="!!!",F4165="NEW"),"",INDEX(B4164:B$2,-1+SUMPRODUCT(MAX(ROW(E4164:E$2)*(E4165=E4164:E$2)))))</f>
        <v> </v>
      </c>
      <c r="J4165" s="26" t="str">
        <f>IF(OR(E4165="",E4165="!!!",F4165="NEW"),"",COUNTBLANK(OFFSET(A$1,,,SUMPRODUCT(MAX(ROW(E$2:E4165)*(E4165=E$2:E4165)))))-COUNTBLANK(OFFSET(A$1,,,SUMPRODUCT(MAX(ROW(E$1:E4164)*(E2=E$1:E4164))))))</f>
        <v> </v>
      </c>
      <c r="K4165" s="26" t="str">
        <f>IF(OR(E4165="",E4165="!!!",F4165="NEW"),"",INDEX(J$1:J4164,SUMPRODUCT(MAX(ROW(E$1:E4164)*(E4165=E$1:E4164)))))</f>
        <v> </v>
      </c>
      <c r="L4165" s="27"/>
    </row>
    <row r="4166" spans="1:12">
      <c r="A4166" s="20" t="s">
        <v>1013</v>
      </c>
      <c r="E4166" s="22">
        <f>IF(D4166="?OLD","!!!","")</f>
        <v/>
      </c>
      <c r="F4166" s="23" t="str">
        <f>IF(OR(E4166="",E4166="!!!"),"",IF(NOT(ISNA(VLOOKUP(E4166,E$1:E4165,1,FALSE()))),"OLD",IF(AND(E4166&lt;&gt;"",E4166&lt;&gt;"!!!"),"NEW","")))</f>
        <v> </v>
      </c>
      <c r="G4166" s="24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5" t="str">
        <f>IF(J4166&lt;&gt;1,"",IF(I4166="SBJ","CB","?"))</f>
        <v> </v>
      </c>
      <c r="I4166" s="26" t="str">
        <f>IF(OR(E4166="",E4166="!!!",F4166="NEW"),"",INDEX(B4165:B$2,-1+SUMPRODUCT(MAX(ROW(E4165:E$2)*(E4166=E4165:E$2)))))</f>
        <v> </v>
      </c>
      <c r="J4166" s="26" t="str">
        <f>IF(OR(E4166="",E4166="!!!",F4166="NEW"),"",COUNTBLANK(OFFSET(A$1,,,SUMPRODUCT(MAX(ROW(E$2:E4166)*(E4166=E$2:E4166)))))-COUNTBLANK(OFFSET(A$1,,,SUMPRODUCT(MAX(ROW(E$1:E4165)*(E2=E$1:E4165))))))</f>
        <v> </v>
      </c>
      <c r="K4166" s="26" t="str">
        <f>IF(OR(E4166="",E4166="!!!",F4166="NEW"),"",INDEX(J$1:J4165,SUMPRODUCT(MAX(ROW(E$1:E4165)*(E4166=E$1:E4165)))))</f>
        <v> </v>
      </c>
      <c r="L4166" s="27"/>
    </row>
    <row r="4167" spans="1:12">
      <c r="A4167" s="20" t="s">
        <v>149</v>
      </c>
      <c r="E4167" s="22">
        <f>IF(D4167="?OLD","!!!","")</f>
        <v/>
      </c>
      <c r="F4167" s="23" t="str">
        <f>IF(OR(E4167="",E4167="!!!"),"",IF(NOT(ISNA(VLOOKUP(E4167,E$1:E4166,1,FALSE()))),"OLD",IF(AND(E4167&lt;&gt;"",E4167&lt;&gt;"!!!"),"NEW","")))</f>
        <v> </v>
      </c>
      <c r="G4167" s="24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5" t="str">
        <f>IF(J4167&lt;&gt;1,"",IF(I4167="SBJ","CB","?"))</f>
        <v> </v>
      </c>
      <c r="I4167" s="26" t="str">
        <f>IF(OR(E4167="",E4167="!!!",F4167="NEW"),"",INDEX(B4166:B$2,-1+SUMPRODUCT(MAX(ROW(E4166:E$2)*(E4167=E4166:E$2)))))</f>
        <v> </v>
      </c>
      <c r="J4167" s="26" t="str">
        <f>IF(OR(E4167="",E4167="!!!",F4167="NEW"),"",COUNTBLANK(OFFSET(A$1,,,SUMPRODUCT(MAX(ROW(E$2:E4167)*(E4167=E$2:E4167)))))-COUNTBLANK(OFFSET(A$1,,,SUMPRODUCT(MAX(ROW(E$1:E4166)*(E2=E$1:E4166))))))</f>
        <v> </v>
      </c>
      <c r="K4167" s="26" t="str">
        <f>IF(OR(E4167="",E4167="!!!",F4167="NEW"),"",INDEX(J$1:J4166,SUMPRODUCT(MAX(ROW(E$1:E4166)*(E4167=E$1:E4166)))))</f>
        <v> </v>
      </c>
      <c r="L4167" s="27"/>
    </row>
    <row r="4168" spans="1:12">
      <c r="A4168" s="20" t="s">
        <v>400</v>
      </c>
      <c r="B4168" s="21" t="s">
        <v>1101</v>
      </c>
      <c r="C4168" s="21" t="s">
        <v>971</v>
      </c>
      <c r="D4168" s="21" t="s">
        <v>972</v>
      </c>
      <c r="E4168" s="22">
        <f>IF(D4168="?OLD","!!!","")</f>
        <v/>
      </c>
      <c r="F4168" s="23" t="str">
        <f>IF(OR(E4168="",E4168="!!!"),"",IF(NOT(ISNA(VLOOKUP(E4168,E$1:E4167,1,FALSE()))),"OLD",IF(AND(E4168&lt;&gt;"",E4168&lt;&gt;"!!!"),"NEW","")))</f>
        <v> </v>
      </c>
      <c r="G4168" s="24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5" t="str">
        <f>IF(J4168&lt;&gt;1,"",IF(I4168="SBJ","CB","?"))</f>
        <v> </v>
      </c>
      <c r="I4168" s="26" t="str">
        <f>IF(OR(E4168="",E4168="!!!",F4168="NEW"),"",INDEX(B4167:B$2,-1+SUMPRODUCT(MAX(ROW(E4167:E$2)*(E4168=E4167:E$2)))))</f>
        <v> </v>
      </c>
      <c r="J4168" s="26" t="str">
        <f>IF(OR(E4168="",E4168="!!!",F4168="NEW"),"",COUNTBLANK(OFFSET(A$1,,,SUMPRODUCT(MAX(ROW(E$2:E4168)*(E4168=E$2:E4168)))))-COUNTBLANK(OFFSET(A$1,,,SUMPRODUCT(MAX(ROW(E$1:E4167)*(E2=E$1:E4167))))))</f>
        <v> </v>
      </c>
      <c r="K4168" s="26" t="str">
        <f>IF(OR(E4168="",E4168="!!!",F4168="NEW"),"",INDEX(J$1:J4167,SUMPRODUCT(MAX(ROW(E$1:E4167)*(E4168=E$1:E4167)))))</f>
        <v> </v>
      </c>
      <c r="L4168" s="27"/>
    </row>
    <row r="4169" spans="1:12">
      <c r="A4169" s="20" t="s">
        <v>2247</v>
      </c>
      <c r="E4169" s="22">
        <f>IF(D4169="?OLD","!!!","")</f>
        <v/>
      </c>
      <c r="F4169" s="23" t="str">
        <f>IF(OR(E4169="",E4169="!!!"),"",IF(NOT(ISNA(VLOOKUP(E4169,E$1:E4168,1,FALSE()))),"OLD",IF(AND(E4169&lt;&gt;"",E4169&lt;&gt;"!!!"),"NEW","")))</f>
        <v> </v>
      </c>
      <c r="G4169" s="24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5" t="str">
        <f>IF(J4169&lt;&gt;1,"",IF(I4169="SBJ","CB","?"))</f>
        <v> </v>
      </c>
      <c r="I4169" s="26" t="str">
        <f>IF(OR(E4169="",E4169="!!!",F4169="NEW"),"",INDEX(B4168:B$2,-1+SUMPRODUCT(MAX(ROW(E4168:E$2)*(E4169=E4168:E$2)))))</f>
        <v> </v>
      </c>
      <c r="J4169" s="26" t="str">
        <f>IF(OR(E4169="",E4169="!!!",F4169="NEW"),"",COUNTBLANK(OFFSET(A$1,,,SUMPRODUCT(MAX(ROW(E$2:E4169)*(E4169=E$2:E4169)))))-COUNTBLANK(OFFSET(A$1,,,SUMPRODUCT(MAX(ROW(E$1:E4168)*(E2=E$1:E4168))))))</f>
        <v> </v>
      </c>
      <c r="K4169" s="26" t="str">
        <f>IF(OR(E4169="",E4169="!!!",F4169="NEW"),"",INDEX(J$1:J4168,SUMPRODUCT(MAX(ROW(E$1:E4168)*(E4169=E$1:E4168)))))</f>
        <v> </v>
      </c>
      <c r="L4169" s="27"/>
    </row>
    <row r="4170" spans="1:12">
      <c r="A4170" s="20" t="s">
        <v>446</v>
      </c>
      <c r="E4170" s="22">
        <f>IF(D4170="?OLD","!!!","")</f>
        <v/>
      </c>
      <c r="F4170" s="23" t="str">
        <f>IF(OR(E4170="",E4170="!!!"),"",IF(NOT(ISNA(VLOOKUP(E4170,E$1:E4169,1,FALSE()))),"OLD",IF(AND(E4170&lt;&gt;"",E4170&lt;&gt;"!!!"),"NEW","")))</f>
        <v> </v>
      </c>
      <c r="G4170" s="24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5" t="str">
        <f>IF(J4170&lt;&gt;1,"",IF(I4170="SBJ","CB","?"))</f>
        <v> </v>
      </c>
      <c r="I4170" s="26" t="str">
        <f>IF(OR(E4170="",E4170="!!!",F4170="NEW"),"",INDEX(B4169:B$2,-1+SUMPRODUCT(MAX(ROW(E4169:E$2)*(E4170=E4169:E$2)))))</f>
        <v> </v>
      </c>
      <c r="J4170" s="26" t="str">
        <f>IF(OR(E4170="",E4170="!!!",F4170="NEW"),"",COUNTBLANK(OFFSET(A$1,,,SUMPRODUCT(MAX(ROW(E$2:E4170)*(E4170=E$2:E4170)))))-COUNTBLANK(OFFSET(A$1,,,SUMPRODUCT(MAX(ROW(E$1:E4169)*(E2=E$1:E4169))))))</f>
        <v> </v>
      </c>
      <c r="K4170" s="26" t="str">
        <f>IF(OR(E4170="",E4170="!!!",F4170="NEW"),"",INDEX(J$1:J4169,SUMPRODUCT(MAX(ROW(E$1:E4169)*(E4170=E$1:E4169)))))</f>
        <v> </v>
      </c>
      <c r="L4170" s="27"/>
    </row>
    <row r="4171" spans="1:12">
      <c r="A4171" s="20" t="s">
        <v>2578</v>
      </c>
      <c r="E4171" s="22">
        <f>IF(D4171="?OLD","!!!","")</f>
        <v/>
      </c>
      <c r="F4171" s="23" t="str">
        <f>IF(OR(E4171="",E4171="!!!"),"",IF(NOT(ISNA(VLOOKUP(E4171,E$1:E4170,1,FALSE()))),"OLD",IF(AND(E4171&lt;&gt;"",E4171&lt;&gt;"!!!"),"NEW","")))</f>
        <v> </v>
      </c>
      <c r="G4171" s="24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5" t="str">
        <f>IF(J4171&lt;&gt;1,"",IF(I4171="SBJ","CB","?"))</f>
        <v> </v>
      </c>
      <c r="I4171" s="26" t="str">
        <f>IF(OR(E4171="",E4171="!!!",F4171="NEW"),"",INDEX(B4170:B$2,-1+SUMPRODUCT(MAX(ROW(E4170:E$2)*(E4171=E4170:E$2)))))</f>
        <v> </v>
      </c>
      <c r="J4171" s="26" t="str">
        <f>IF(OR(E4171="",E4171="!!!",F4171="NEW"),"",COUNTBLANK(OFFSET(A$1,,,SUMPRODUCT(MAX(ROW(E$2:E4171)*(E4171=E$2:E4171)))))-COUNTBLANK(OFFSET(A$1,,,SUMPRODUCT(MAX(ROW(E$1:E4170)*(E2=E$1:E4170))))))</f>
        <v> </v>
      </c>
      <c r="K4171" s="26" t="str">
        <f>IF(OR(E4171="",E4171="!!!",F4171="NEW"),"",INDEX(J$1:J4170,SUMPRODUCT(MAX(ROW(E$1:E4170)*(E4171=E$1:E4170)))))</f>
        <v> </v>
      </c>
      <c r="L4171" s="27"/>
    </row>
    <row r="4172" spans="1:12">
      <c r="A4172" s="20" t="s">
        <v>757</v>
      </c>
      <c r="E4172" s="22">
        <f>IF(D4172="?OLD","!!!","")</f>
        <v/>
      </c>
      <c r="F4172" s="23" t="str">
        <f>IF(OR(E4172="",E4172="!!!"),"",IF(NOT(ISNA(VLOOKUP(E4172,E$1:E4171,1,FALSE()))),"OLD",IF(AND(E4172&lt;&gt;"",E4172&lt;&gt;"!!!"),"NEW","")))</f>
        <v> </v>
      </c>
      <c r="G4172" s="24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5" t="str">
        <f>IF(J4172&lt;&gt;1,"",IF(I4172="SBJ","CB","?"))</f>
        <v> </v>
      </c>
      <c r="I4172" s="26" t="str">
        <f>IF(OR(E4172="",E4172="!!!",F4172="NEW"),"",INDEX(B4171:B$2,-1+SUMPRODUCT(MAX(ROW(E4171:E$2)*(E4172=E4171:E$2)))))</f>
        <v> </v>
      </c>
      <c r="J4172" s="26" t="str">
        <f>IF(OR(E4172="",E4172="!!!",F4172="NEW"),"",COUNTBLANK(OFFSET(A$1,,,SUMPRODUCT(MAX(ROW(E$2:E4172)*(E4172=E$2:E4172)))))-COUNTBLANK(OFFSET(A$1,,,SUMPRODUCT(MAX(ROW(E$1:E4171)*(E2=E$1:E4171))))))</f>
        <v> </v>
      </c>
      <c r="K4172" s="26" t="str">
        <f>IF(OR(E4172="",E4172="!!!",F4172="NEW"),"",INDEX(J$1:J4171,SUMPRODUCT(MAX(ROW(E$1:E4171)*(E4172=E$1:E4171)))))</f>
        <v> </v>
      </c>
      <c r="L4172" s="27"/>
    </row>
    <row r="4173" spans="1:12">
      <c r="A4173" s="20" t="s">
        <v>1005</v>
      </c>
      <c r="E4173" s="22">
        <f>IF(D4173="?OLD","!!!","")</f>
        <v/>
      </c>
      <c r="F4173" s="23" t="str">
        <f>IF(OR(E4173="",E4173="!!!"),"",IF(NOT(ISNA(VLOOKUP(E4173,E$1:E4172,1,FALSE()))),"OLD",IF(AND(E4173&lt;&gt;"",E4173&lt;&gt;"!!!"),"NEW","")))</f>
        <v> </v>
      </c>
      <c r="G4173" s="24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5" t="str">
        <f>IF(J4173&lt;&gt;1,"",IF(I4173="SBJ","CB","?"))</f>
        <v> </v>
      </c>
      <c r="I4173" s="26" t="str">
        <f>IF(OR(E4173="",E4173="!!!",F4173="NEW"),"",INDEX(B4172:B$2,-1+SUMPRODUCT(MAX(ROW(E4172:E$2)*(E4173=E4172:E$2)))))</f>
        <v> </v>
      </c>
      <c r="J4173" s="26" t="str">
        <f>IF(OR(E4173="",E4173="!!!",F4173="NEW"),"",COUNTBLANK(OFFSET(A$1,,,SUMPRODUCT(MAX(ROW(E$2:E4173)*(E4173=E$2:E4173)))))-COUNTBLANK(OFFSET(A$1,,,SUMPRODUCT(MAX(ROW(E$1:E4172)*(E2=E$1:E4172))))))</f>
        <v> </v>
      </c>
      <c r="K4173" s="26" t="str">
        <f>IF(OR(E4173="",E4173="!!!",F4173="NEW"),"",INDEX(J$1:J4172,SUMPRODUCT(MAX(ROW(E$1:E4172)*(E4173=E$1:E4172)))))</f>
        <v> </v>
      </c>
      <c r="L4173" s="27"/>
    </row>
    <row r="4174" spans="1:12">
      <c r="A4174" s="20" t="s">
        <v>1084</v>
      </c>
      <c r="E4174" s="22">
        <f>IF(D4174="?OLD","!!!","")</f>
        <v/>
      </c>
      <c r="F4174" s="23" t="str">
        <f>IF(OR(E4174="",E4174="!!!"),"",IF(NOT(ISNA(VLOOKUP(E4174,E$1:E4173,1,FALSE()))),"OLD",IF(AND(E4174&lt;&gt;"",E4174&lt;&gt;"!!!"),"NEW","")))</f>
        <v> </v>
      </c>
      <c r="G4174" s="24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5" t="str">
        <f>IF(J4174&lt;&gt;1,"",IF(I4174="SBJ","CB","?"))</f>
        <v> </v>
      </c>
      <c r="I4174" s="26" t="str">
        <f>IF(OR(E4174="",E4174="!!!",F4174="NEW"),"",INDEX(B4173:B$2,-1+SUMPRODUCT(MAX(ROW(E4173:E$2)*(E4174=E4173:E$2)))))</f>
        <v> </v>
      </c>
      <c r="J4174" s="26" t="str">
        <f>IF(OR(E4174="",E4174="!!!",F4174="NEW"),"",COUNTBLANK(OFFSET(A$1,,,SUMPRODUCT(MAX(ROW(E$2:E4174)*(E4174=E$2:E4174)))))-COUNTBLANK(OFFSET(A$1,,,SUMPRODUCT(MAX(ROW(E$1:E4173)*(E2=E$1:E4173))))))</f>
        <v> </v>
      </c>
      <c r="K4174" s="26" t="str">
        <f>IF(OR(E4174="",E4174="!!!",F4174="NEW"),"",INDEX(J$1:J4173,SUMPRODUCT(MAX(ROW(E$1:E4173)*(E4174=E$1:E4173)))))</f>
        <v> </v>
      </c>
      <c r="L4174" s="27"/>
    </row>
    <row r="4175" spans="1:12">
      <c r="A4175" s="20" t="s">
        <v>985</v>
      </c>
      <c r="E4175" s="22">
        <f>IF(D4175="?OLD","!!!","")</f>
        <v/>
      </c>
      <c r="F4175" s="23" t="str">
        <f>IF(OR(E4175="",E4175="!!!"),"",IF(NOT(ISNA(VLOOKUP(E4175,E$1:E4174,1,FALSE()))),"OLD",IF(AND(E4175&lt;&gt;"",E4175&lt;&gt;"!!!"),"NEW","")))</f>
        <v> </v>
      </c>
      <c r="G4175" s="24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5" t="str">
        <f>IF(J4175&lt;&gt;1,"",IF(I4175="SBJ","CB","?"))</f>
        <v> </v>
      </c>
      <c r="I4175" s="26" t="str">
        <f>IF(OR(E4175="",E4175="!!!",F4175="NEW"),"",INDEX(B4174:B$2,-1+SUMPRODUCT(MAX(ROW(E4174:E$2)*(E4175=E4174:E$2)))))</f>
        <v> </v>
      </c>
      <c r="J4175" s="26" t="str">
        <f>IF(OR(E4175="",E4175="!!!",F4175="NEW"),"",COUNTBLANK(OFFSET(A$1,,,SUMPRODUCT(MAX(ROW(E$2:E4175)*(E4175=E$2:E4175)))))-COUNTBLANK(OFFSET(A$1,,,SUMPRODUCT(MAX(ROW(E$1:E4174)*(E2=E$1:E4174))))))</f>
        <v> </v>
      </c>
      <c r="K4175" s="26" t="str">
        <f>IF(OR(E4175="",E4175="!!!",F4175="NEW"),"",INDEX(J$1:J4174,SUMPRODUCT(MAX(ROW(E$1:E4174)*(E4175=E$1:E4174)))))</f>
        <v> </v>
      </c>
      <c r="L4175" s="27"/>
    </row>
    <row r="4176" spans="1:12">
      <c r="A4176" s="20" t="s">
        <v>1013</v>
      </c>
      <c r="E4176" s="22">
        <f>IF(D4176="?OLD","!!!","")</f>
        <v/>
      </c>
      <c r="F4176" s="23" t="str">
        <f>IF(OR(E4176="",E4176="!!!"),"",IF(NOT(ISNA(VLOOKUP(E4176,E$1:E4175,1,FALSE()))),"OLD",IF(AND(E4176&lt;&gt;"",E4176&lt;&gt;"!!!"),"NEW","")))</f>
        <v> </v>
      </c>
      <c r="G4176" s="24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5" t="str">
        <f>IF(J4176&lt;&gt;1,"",IF(I4176="SBJ","CB","?"))</f>
        <v> </v>
      </c>
      <c r="I4176" s="26" t="str">
        <f>IF(OR(E4176="",E4176="!!!",F4176="NEW"),"",INDEX(B4175:B$2,-1+SUMPRODUCT(MAX(ROW(E4175:E$2)*(E4176=E4175:E$2)))))</f>
        <v> </v>
      </c>
      <c r="J4176" s="26" t="str">
        <f>IF(OR(E4176="",E4176="!!!",F4176="NEW"),"",COUNTBLANK(OFFSET(A$1,,,SUMPRODUCT(MAX(ROW(E$2:E4176)*(E4176=E$2:E4176)))))-COUNTBLANK(OFFSET(A$1,,,SUMPRODUCT(MAX(ROW(E$1:E4175)*(E2=E$1:E4175))))))</f>
        <v> </v>
      </c>
      <c r="K4176" s="26" t="str">
        <f>IF(OR(E4176="",E4176="!!!",F4176="NEW"),"",INDEX(J$1:J4175,SUMPRODUCT(MAX(ROW(E$1:E4175)*(E4176=E$1:E4175)))))</f>
        <v> </v>
      </c>
      <c r="L4176" s="27"/>
    </row>
    <row r="4177" spans="1:12">
      <c r="A4177" s="20" t="s">
        <v>1053</v>
      </c>
      <c r="E4177" s="22">
        <f>IF(D4177="?OLD","!!!","")</f>
        <v/>
      </c>
      <c r="F4177" s="23" t="str">
        <f>IF(OR(E4177="",E4177="!!!"),"",IF(NOT(ISNA(VLOOKUP(E4177,E$1:E4176,1,FALSE()))),"OLD",IF(AND(E4177&lt;&gt;"",E4177&lt;&gt;"!!!"),"NEW","")))</f>
        <v> </v>
      </c>
      <c r="G4177" s="24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5" t="str">
        <f>IF(J4177&lt;&gt;1,"",IF(I4177="SBJ","CB","?"))</f>
        <v> </v>
      </c>
      <c r="I4177" s="26" t="str">
        <f>IF(OR(E4177="",E4177="!!!",F4177="NEW"),"",INDEX(B4176:B$2,-1+SUMPRODUCT(MAX(ROW(E4176:E$2)*(E4177=E4176:E$2)))))</f>
        <v> </v>
      </c>
      <c r="J4177" s="26" t="str">
        <f>IF(OR(E4177="",E4177="!!!",F4177="NEW"),"",COUNTBLANK(OFFSET(A$1,,,SUMPRODUCT(MAX(ROW(E$2:E4177)*(E4177=E$2:E4177)))))-COUNTBLANK(OFFSET(A$1,,,SUMPRODUCT(MAX(ROW(E$1:E4176)*(E2=E$1:E4176))))))</f>
        <v> </v>
      </c>
      <c r="K4177" s="26" t="str">
        <f>IF(OR(E4177="",E4177="!!!",F4177="NEW"),"",INDEX(J$1:J4176,SUMPRODUCT(MAX(ROW(E$1:E4176)*(E4177=E$1:E4176)))))</f>
        <v> </v>
      </c>
      <c r="L4177" s="27"/>
    </row>
    <row r="4178" spans="1:12">
      <c r="A4178" s="20" t="s">
        <v>688</v>
      </c>
      <c r="E4178" s="22">
        <f>IF(D4178="?OLD","!!!","")</f>
        <v/>
      </c>
      <c r="F4178" s="23" t="str">
        <f>IF(OR(E4178="",E4178="!!!"),"",IF(NOT(ISNA(VLOOKUP(E4178,E$1:E4177,1,FALSE()))),"OLD",IF(AND(E4178&lt;&gt;"",E4178&lt;&gt;"!!!"),"NEW","")))</f>
        <v> </v>
      </c>
      <c r="G4178" s="24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5" t="str">
        <f>IF(J4178&lt;&gt;1,"",IF(I4178="SBJ","CB","?"))</f>
        <v> </v>
      </c>
      <c r="I4178" s="26" t="str">
        <f>IF(OR(E4178="",E4178="!!!",F4178="NEW"),"",INDEX(B4177:B$2,-1+SUMPRODUCT(MAX(ROW(E4177:E$2)*(E4178=E4177:E$2)))))</f>
        <v> </v>
      </c>
      <c r="J4178" s="26" t="str">
        <f>IF(OR(E4178="",E4178="!!!",F4178="NEW"),"",COUNTBLANK(OFFSET(A$1,,,SUMPRODUCT(MAX(ROW(E$2:E4178)*(E4178=E$2:E4178)))))-COUNTBLANK(OFFSET(A$1,,,SUMPRODUCT(MAX(ROW(E$1:E4177)*(E2=E$1:E4177))))))</f>
        <v> </v>
      </c>
      <c r="K4178" s="26" t="str">
        <f>IF(OR(E4178="",E4178="!!!",F4178="NEW"),"",INDEX(J$1:J4177,SUMPRODUCT(MAX(ROW(E$1:E4177)*(E4178=E$1:E4177)))))</f>
        <v> </v>
      </c>
      <c r="L4178" s="27"/>
    </row>
    <row r="4179" spans="1:12">
      <c r="A4179" s="20" t="s">
        <v>987</v>
      </c>
      <c r="E4179" s="22">
        <f>IF(D4179="?OLD","!!!","")</f>
        <v/>
      </c>
      <c r="F4179" s="23" t="str">
        <f>IF(OR(E4179="",E4179="!!!"),"",IF(NOT(ISNA(VLOOKUP(E4179,E$1:E4178,1,FALSE()))),"OLD",IF(AND(E4179&lt;&gt;"",E4179&lt;&gt;"!!!"),"NEW","")))</f>
        <v> </v>
      </c>
      <c r="G4179" s="24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5" t="str">
        <f>IF(J4179&lt;&gt;1,"",IF(I4179="SBJ","CB","?"))</f>
        <v> </v>
      </c>
      <c r="I4179" s="26" t="str">
        <f>IF(OR(E4179="",E4179="!!!",F4179="NEW"),"",INDEX(B4178:B$2,-1+SUMPRODUCT(MAX(ROW(E4178:E$2)*(E4179=E4178:E$2)))))</f>
        <v> </v>
      </c>
      <c r="J4179" s="26" t="str">
        <f>IF(OR(E4179="",E4179="!!!",F4179="NEW"),"",COUNTBLANK(OFFSET(A$1,,,SUMPRODUCT(MAX(ROW(E$2:E4179)*(E4179=E$2:E4179)))))-COUNTBLANK(OFFSET(A$1,,,SUMPRODUCT(MAX(ROW(E$1:E4178)*(E2=E$1:E4178))))))</f>
        <v> </v>
      </c>
      <c r="K4179" s="26" t="str">
        <f>IF(OR(E4179="",E4179="!!!",F4179="NEW"),"",INDEX(J$1:J4178,SUMPRODUCT(MAX(ROW(E$1:E4178)*(E4179=E$1:E4178)))))</f>
        <v> </v>
      </c>
      <c r="L4179" s="27"/>
    </row>
    <row r="4180" spans="1:12">
      <c r="A4180" s="20" t="s">
        <v>1097</v>
      </c>
      <c r="E4180" s="22">
        <f>IF(D4180="?OLD","!!!","")</f>
        <v/>
      </c>
      <c r="F4180" s="23" t="str">
        <f>IF(OR(E4180="",E4180="!!!"),"",IF(NOT(ISNA(VLOOKUP(E4180,E$1:E4179,1,FALSE()))),"OLD",IF(AND(E4180&lt;&gt;"",E4180&lt;&gt;"!!!"),"NEW","")))</f>
        <v> </v>
      </c>
      <c r="G4180" s="24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5" t="str">
        <f>IF(J4180&lt;&gt;1,"",IF(I4180="SBJ","CB","?"))</f>
        <v> </v>
      </c>
      <c r="I4180" s="26" t="str">
        <f>IF(OR(E4180="",E4180="!!!",F4180="NEW"),"",INDEX(B4179:B$2,-1+SUMPRODUCT(MAX(ROW(E4179:E$2)*(E4180=E4179:E$2)))))</f>
        <v> </v>
      </c>
      <c r="J4180" s="26" t="str">
        <f>IF(OR(E4180="",E4180="!!!",F4180="NEW"),"",COUNTBLANK(OFFSET(A$1,,,SUMPRODUCT(MAX(ROW(E$2:E4180)*(E4180=E$2:E4180)))))-COUNTBLANK(OFFSET(A$1,,,SUMPRODUCT(MAX(ROW(E$1:E4179)*(E2=E$1:E4179))))))</f>
        <v> </v>
      </c>
      <c r="K4180" s="26" t="str">
        <f>IF(OR(E4180="",E4180="!!!",F4180="NEW"),"",INDEX(J$1:J4179,SUMPRODUCT(MAX(ROW(E$1:E4179)*(E4180=E$1:E4179)))))</f>
        <v> </v>
      </c>
      <c r="L4180" s="27"/>
    </row>
    <row r="4181" spans="1:12">
      <c r="A4181" s="20" t="s">
        <v>1098</v>
      </c>
      <c r="B4181" s="21" t="s">
        <v>1099</v>
      </c>
      <c r="C4181" s="21" t="s">
        <v>1100</v>
      </c>
      <c r="D4181" s="21" t="s">
        <v>972</v>
      </c>
      <c r="E4181" s="22">
        <f>IF(D4181="?OLD","!!!","")</f>
        <v/>
      </c>
      <c r="F4181" s="23" t="str">
        <f>IF(OR(E4181="",E4181="!!!"),"",IF(NOT(ISNA(VLOOKUP(E4181,E$1:E4180,1,FALSE()))),"OLD",IF(AND(E4181&lt;&gt;"",E4181&lt;&gt;"!!!"),"NEW","")))</f>
        <v> </v>
      </c>
      <c r="G4181" s="24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5" t="str">
        <f>IF(J4181&lt;&gt;1,"",IF(I4181="SBJ","CB","?"))</f>
        <v> </v>
      </c>
      <c r="I4181" s="26" t="str">
        <f>IF(OR(E4181="",E4181="!!!",F4181="NEW"),"",INDEX(B4180:B$2,-1+SUMPRODUCT(MAX(ROW(E4180:E$2)*(E4181=E4180:E$2)))))</f>
        <v> </v>
      </c>
      <c r="J4181" s="26" t="str">
        <f>IF(OR(E4181="",E4181="!!!",F4181="NEW"),"",COUNTBLANK(OFFSET(A$1,,,SUMPRODUCT(MAX(ROW(E$2:E4181)*(E4181=E$2:E4181)))))-COUNTBLANK(OFFSET(A$1,,,SUMPRODUCT(MAX(ROW(E$1:E4180)*(E2=E$1:E4180))))))</f>
        <v> </v>
      </c>
      <c r="K4181" s="26" t="str">
        <f>IF(OR(E4181="",E4181="!!!",F4181="NEW"),"",INDEX(J$1:J4180,SUMPRODUCT(MAX(ROW(E$1:E4180)*(E4181=E$1:E4180)))))</f>
        <v> </v>
      </c>
      <c r="L4181" s="27"/>
    </row>
    <row r="4182" spans="1:12">
      <c r="A4182" s="20" t="s">
        <v>1117</v>
      </c>
      <c r="E4182" s="22">
        <f>IF(D4182="?OLD","!!!","")</f>
        <v/>
      </c>
      <c r="F4182" s="23" t="str">
        <f>IF(OR(E4182="",E4182="!!!"),"",IF(NOT(ISNA(VLOOKUP(E4182,E$1:E4181,1,FALSE()))),"OLD",IF(AND(E4182&lt;&gt;"",E4182&lt;&gt;"!!!"),"NEW","")))</f>
        <v> </v>
      </c>
      <c r="G4182" s="24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5" t="str">
        <f>IF(J4182&lt;&gt;1,"",IF(I4182="SBJ","CB","?"))</f>
        <v> </v>
      </c>
      <c r="I4182" s="26" t="str">
        <f>IF(OR(E4182="",E4182="!!!",F4182="NEW"),"",INDEX(B4181:B$2,-1+SUMPRODUCT(MAX(ROW(E4181:E$2)*(E4182=E4181:E$2)))))</f>
        <v> </v>
      </c>
      <c r="J4182" s="26" t="str">
        <f>IF(OR(E4182="",E4182="!!!",F4182="NEW"),"",COUNTBLANK(OFFSET(A$1,,,SUMPRODUCT(MAX(ROW(E$2:E4182)*(E4182=E$2:E4182)))))-COUNTBLANK(OFFSET(A$1,,,SUMPRODUCT(MAX(ROW(E$1:E4181)*(E2=E$1:E4181))))))</f>
        <v> </v>
      </c>
      <c r="K4182" s="26" t="str">
        <f>IF(OR(E4182="",E4182="!!!",F4182="NEW"),"",INDEX(J$1:J4181,SUMPRODUCT(MAX(ROW(E$1:E4181)*(E4182=E$1:E4181)))))</f>
        <v> </v>
      </c>
      <c r="L4182" s="27"/>
    </row>
    <row r="4183" spans="1:12">
      <c r="A4183" s="20" t="s">
        <v>2579</v>
      </c>
      <c r="B4183" s="21" t="s">
        <v>1338</v>
      </c>
      <c r="E4183" s="22">
        <f>IF(D4183="?OLD","!!!","")</f>
        <v/>
      </c>
      <c r="F4183" s="23" t="str">
        <f>IF(OR(E4183="",E4183="!!!"),"",IF(NOT(ISNA(VLOOKUP(E4183,E$1:E4182,1,FALSE()))),"OLD",IF(AND(E4183&lt;&gt;"",E4183&lt;&gt;"!!!"),"NEW","")))</f>
        <v> </v>
      </c>
      <c r="G4183" s="24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5" t="str">
        <f>IF(J4183&lt;&gt;1,"",IF(I4183="SBJ","CB","?"))</f>
        <v> </v>
      </c>
      <c r="I4183" s="26" t="str">
        <f>IF(OR(E4183="",E4183="!!!",F4183="NEW"),"",INDEX(B4182:B$2,-1+SUMPRODUCT(MAX(ROW(E4182:E$2)*(E4183=E4182:E$2)))))</f>
        <v> </v>
      </c>
      <c r="J4183" s="26" t="str">
        <f>IF(OR(E4183="",E4183="!!!",F4183="NEW"),"",COUNTBLANK(OFFSET(A$1,,,SUMPRODUCT(MAX(ROW(E$2:E4183)*(E4183=E$2:E4183)))))-COUNTBLANK(OFFSET(A$1,,,SUMPRODUCT(MAX(ROW(E$1:E4182)*(E2=E$1:E4182))))))</f>
        <v> </v>
      </c>
      <c r="K4183" s="26" t="str">
        <f>IF(OR(E4183="",E4183="!!!",F4183="NEW"),"",INDEX(J$1:J4182,SUMPRODUCT(MAX(ROW(E$1:E4182)*(E4183=E$1:E4182)))))</f>
        <v> </v>
      </c>
      <c r="L4183" s="27"/>
    </row>
    <row r="4184" spans="1:12">
      <c r="A4184" s="20" t="s">
        <v>979</v>
      </c>
      <c r="E4184" s="22">
        <f>IF(D4184="?OLD","!!!","")</f>
        <v/>
      </c>
      <c r="F4184" s="23" t="str">
        <f>IF(OR(E4184="",E4184="!!!"),"",IF(NOT(ISNA(VLOOKUP(E4184,E$1:E4183,1,FALSE()))),"OLD",IF(AND(E4184&lt;&gt;"",E4184&lt;&gt;"!!!"),"NEW","")))</f>
        <v> </v>
      </c>
      <c r="G4184" s="24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5" t="str">
        <f>IF(J4184&lt;&gt;1,"",IF(I4184="SBJ","CB","?"))</f>
        <v> </v>
      </c>
      <c r="I4184" s="26" t="str">
        <f>IF(OR(E4184="",E4184="!!!",F4184="NEW"),"",INDEX(B4183:B$2,-1+SUMPRODUCT(MAX(ROW(E4183:E$2)*(E4184=E4183:E$2)))))</f>
        <v> </v>
      </c>
      <c r="J4184" s="26" t="str">
        <f>IF(OR(E4184="",E4184="!!!",F4184="NEW"),"",COUNTBLANK(OFFSET(A$1,,,SUMPRODUCT(MAX(ROW(E$2:E4184)*(E4184=E$2:E4184)))))-COUNTBLANK(OFFSET(A$1,,,SUMPRODUCT(MAX(ROW(E$1:E4183)*(E2=E$1:E4183))))))</f>
        <v> </v>
      </c>
      <c r="K4184" s="26" t="str">
        <f>IF(OR(E4184="",E4184="!!!",F4184="NEW"),"",INDEX(J$1:J4183,SUMPRODUCT(MAX(ROW(E$1:E4183)*(E4184=E$1:E4183)))))</f>
        <v> </v>
      </c>
      <c r="L4184" s="27"/>
    </row>
    <row r="4185" spans="1:12">
      <c r="A4185" s="20"/>
    </row>
    <row r="4186" spans="1:12">
      <c r="A4186" s="20" t="s">
        <v>2580</v>
      </c>
    </row>
    <row r="4187" spans="1:12">
      <c r="A4187" s="20" t="s">
        <v>981</v>
      </c>
      <c r="B4187" s="21" t="s">
        <v>975</v>
      </c>
      <c r="C4187" s="21" t="s">
        <v>971</v>
      </c>
      <c r="D4187" s="21" t="s">
        <v>972</v>
      </c>
      <c r="E4187" s="22">
        <f>IF(D4187="?OLD","!!!","")</f>
        <v/>
      </c>
      <c r="F4187" s="23" t="str">
        <f>IF(OR(E4187="",E4187="!!!"),"",IF(NOT(ISNA(VLOOKUP(E4187,E$1:E4186,1,FALSE()))),"OLD",IF(AND(E4187&lt;&gt;"",E4187&lt;&gt;"!!!"),"NEW","")))</f>
        <v> </v>
      </c>
      <c r="G4187" s="24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5" t="str">
        <f>IF(J4187&lt;&gt;1,"",IF(I4187="SBJ","CB","?"))</f>
        <v> </v>
      </c>
      <c r="I4187" s="26" t="str">
        <f>IF(OR(E4187="",E4187="!!!",F4187="NEW"),"",INDEX(B4186:B$2,-1+SUMPRODUCT(MAX(ROW(E4186:E$2)*(E4187=E4186:E$2)))))</f>
        <v> </v>
      </c>
      <c r="J4187" s="26" t="str">
        <f>IF(OR(E4187="",E4187="!!!",F4187="NEW"),"",COUNTBLANK(OFFSET(A$1,,,SUMPRODUCT(MAX(ROW(E$2:E4187)*(E4187=E$2:E4187)))))-COUNTBLANK(OFFSET(A$1,,,SUMPRODUCT(MAX(ROW(E$1:E4186)*(E2=E$1:E4186))))))</f>
        <v> </v>
      </c>
      <c r="K4187" s="26" t="str">
        <f>IF(OR(E4187="",E4187="!!!",F4187="NEW"),"",INDEX(J$1:J4186,SUMPRODUCT(MAX(ROW(E$1:E4186)*(E4187=E$1:E4186)))))</f>
        <v> </v>
      </c>
      <c r="L4187" s="27"/>
    </row>
    <row r="4188" spans="1:12">
      <c r="A4188" s="20" t="s">
        <v>2577</v>
      </c>
      <c r="E4188" s="22">
        <f>IF(D4188="?OLD","!!!","")</f>
        <v/>
      </c>
      <c r="F4188" s="23" t="str">
        <f>IF(OR(E4188="",E4188="!!!"),"",IF(NOT(ISNA(VLOOKUP(E4188,E$1:E4187,1,FALSE()))),"OLD",IF(AND(E4188&lt;&gt;"",E4188&lt;&gt;"!!!"),"NEW","")))</f>
        <v> </v>
      </c>
      <c r="G4188" s="24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5" t="str">
        <f>IF(J4188&lt;&gt;1,"",IF(I4188="SBJ","CB","?"))</f>
        <v> </v>
      </c>
      <c r="I4188" s="26" t="str">
        <f>IF(OR(E4188="",E4188="!!!",F4188="NEW"),"",INDEX(B4187:B$2,-1+SUMPRODUCT(MAX(ROW(E4187:E$2)*(E4188=E4187:E$2)))))</f>
        <v> </v>
      </c>
      <c r="J4188" s="26" t="str">
        <f>IF(OR(E4188="",E4188="!!!",F4188="NEW"),"",COUNTBLANK(OFFSET(A$1,,,SUMPRODUCT(MAX(ROW(E$2:E4188)*(E4188=E$2:E4188)))))-COUNTBLANK(OFFSET(A$1,,,SUMPRODUCT(MAX(ROW(E$1:E4187)*(E2=E$1:E4187))))))</f>
        <v> </v>
      </c>
      <c r="K4188" s="26" t="str">
        <f>IF(OR(E4188="",E4188="!!!",F4188="NEW"),"",INDEX(J$1:J4187,SUMPRODUCT(MAX(ROW(E$1:E4187)*(E4188=E$1:E4187)))))</f>
        <v> </v>
      </c>
      <c r="L4188" s="27"/>
    </row>
    <row r="4189" spans="1:12">
      <c r="A4189" s="20" t="s">
        <v>1013</v>
      </c>
      <c r="E4189" s="22">
        <f>IF(D4189="?OLD","!!!","")</f>
        <v/>
      </c>
      <c r="F4189" s="23" t="str">
        <f>IF(OR(E4189="",E4189="!!!"),"",IF(NOT(ISNA(VLOOKUP(E4189,E$1:E4188,1,FALSE()))),"OLD",IF(AND(E4189&lt;&gt;"",E4189&lt;&gt;"!!!"),"NEW","")))</f>
        <v> </v>
      </c>
      <c r="G4189" s="24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5" t="str">
        <f>IF(J4189&lt;&gt;1,"",IF(I4189="SBJ","CB","?"))</f>
        <v> </v>
      </c>
      <c r="I4189" s="26" t="str">
        <f>IF(OR(E4189="",E4189="!!!",F4189="NEW"),"",INDEX(B4188:B$2,-1+SUMPRODUCT(MAX(ROW(E4188:E$2)*(E4189=E4188:E$2)))))</f>
        <v> </v>
      </c>
      <c r="J4189" s="26" t="str">
        <f>IF(OR(E4189="",E4189="!!!",F4189="NEW"),"",COUNTBLANK(OFFSET(A$1,,,SUMPRODUCT(MAX(ROW(E$2:E4189)*(E4189=E$2:E4189)))))-COUNTBLANK(OFFSET(A$1,,,SUMPRODUCT(MAX(ROW(E$1:E4188)*(E2=E$1:E4188))))))</f>
        <v> </v>
      </c>
      <c r="K4189" s="26" t="str">
        <f>IF(OR(E4189="",E4189="!!!",F4189="NEW"),"",INDEX(J$1:J4188,SUMPRODUCT(MAX(ROW(E$1:E4188)*(E4189=E$1:E4188)))))</f>
        <v> </v>
      </c>
      <c r="L4189" s="27"/>
    </row>
    <row r="4190" spans="1:12">
      <c r="A4190" s="20" t="s">
        <v>149</v>
      </c>
      <c r="E4190" s="22">
        <f>IF(D4190="?OLD","!!!","")</f>
        <v/>
      </c>
      <c r="F4190" s="23" t="str">
        <f>IF(OR(E4190="",E4190="!!!"),"",IF(NOT(ISNA(VLOOKUP(E4190,E$1:E4189,1,FALSE()))),"OLD",IF(AND(E4190&lt;&gt;"",E4190&lt;&gt;"!!!"),"NEW","")))</f>
        <v> </v>
      </c>
      <c r="G4190" s="24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5" t="str">
        <f>IF(J4190&lt;&gt;1,"",IF(I4190="SBJ","CB","?"))</f>
        <v> </v>
      </c>
      <c r="I4190" s="26" t="str">
        <f>IF(OR(E4190="",E4190="!!!",F4190="NEW"),"",INDEX(B4189:B$2,-1+SUMPRODUCT(MAX(ROW(E4189:E$2)*(E4190=E4189:E$2)))))</f>
        <v> </v>
      </c>
      <c r="J4190" s="26" t="str">
        <f>IF(OR(E4190="",E4190="!!!",F4190="NEW"),"",COUNTBLANK(OFFSET(A$1,,,SUMPRODUCT(MAX(ROW(E$2:E4190)*(E4190=E$2:E4190)))))-COUNTBLANK(OFFSET(A$1,,,SUMPRODUCT(MAX(ROW(E$1:E4189)*(E2=E$1:E4189))))))</f>
        <v> </v>
      </c>
      <c r="K4190" s="26" t="str">
        <f>IF(OR(E4190="",E4190="!!!",F4190="NEW"),"",INDEX(J$1:J4189,SUMPRODUCT(MAX(ROW(E$1:E4189)*(E4190=E$1:E4189)))))</f>
        <v> </v>
      </c>
      <c r="L4190" s="27"/>
    </row>
    <row r="4191" spans="1:12">
      <c r="A4191" s="20" t="s">
        <v>145</v>
      </c>
      <c r="B4191" s="21" t="s">
        <v>1101</v>
      </c>
      <c r="C4191" s="21" t="s">
        <v>971</v>
      </c>
      <c r="D4191" s="21" t="s">
        <v>972</v>
      </c>
      <c r="E4191" s="22">
        <f>IF(D4191="?OLD","!!!","")</f>
        <v/>
      </c>
      <c r="F4191" s="23" t="str">
        <f>IF(OR(E4191="",E4191="!!!"),"",IF(NOT(ISNA(VLOOKUP(E4191,E$1:E4190,1,FALSE()))),"OLD",IF(AND(E4191&lt;&gt;"",E4191&lt;&gt;"!!!"),"NEW","")))</f>
        <v> </v>
      </c>
      <c r="G4191" s="24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5" t="str">
        <f>IF(J4191&lt;&gt;1,"",IF(I4191="SBJ","CB","?"))</f>
        <v> </v>
      </c>
      <c r="I4191" s="26" t="str">
        <f>IF(OR(E4191="",E4191="!!!",F4191="NEW"),"",INDEX(B4190:B$2,-1+SUMPRODUCT(MAX(ROW(E4190:E$2)*(E4191=E4190:E$2)))))</f>
        <v> </v>
      </c>
      <c r="J4191" s="26" t="str">
        <f>IF(OR(E4191="",E4191="!!!",F4191="NEW"),"",COUNTBLANK(OFFSET(A$1,,,SUMPRODUCT(MAX(ROW(E$2:E4191)*(E4191=E$2:E4191)))))-COUNTBLANK(OFFSET(A$1,,,SUMPRODUCT(MAX(ROW(E$1:E4190)*(E2=E$1:E4190))))))</f>
        <v> </v>
      </c>
      <c r="K4191" s="26" t="str">
        <f>IF(OR(E4191="",E4191="!!!",F4191="NEW"),"",INDEX(J$1:J4190,SUMPRODUCT(MAX(ROW(E$1:E4190)*(E4191=E$1:E4190)))))</f>
        <v> </v>
      </c>
      <c r="L4191" s="27"/>
    </row>
    <row r="4192" spans="1:12">
      <c r="A4192" s="20" t="s">
        <v>2581</v>
      </c>
      <c r="E4192" s="22">
        <f>IF(D4192="?OLD","!!!","")</f>
        <v/>
      </c>
      <c r="F4192" s="23" t="str">
        <f>IF(OR(E4192="",E4192="!!!"),"",IF(NOT(ISNA(VLOOKUP(E4192,E$1:E4191,1,FALSE()))),"OLD",IF(AND(E4192&lt;&gt;"",E4192&lt;&gt;"!!!"),"NEW","")))</f>
        <v> </v>
      </c>
      <c r="G4192" s="24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5" t="str">
        <f>IF(J4192&lt;&gt;1,"",IF(I4192="SBJ","CB","?"))</f>
        <v> </v>
      </c>
      <c r="I4192" s="26" t="str">
        <f>IF(OR(E4192="",E4192="!!!",F4192="NEW"),"",INDEX(B4191:B$2,-1+SUMPRODUCT(MAX(ROW(E4191:E$2)*(E4192=E4191:E$2)))))</f>
        <v> </v>
      </c>
      <c r="J4192" s="26" t="str">
        <f>IF(OR(E4192="",E4192="!!!",F4192="NEW"),"",COUNTBLANK(OFFSET(A$1,,,SUMPRODUCT(MAX(ROW(E$2:E4192)*(E4192=E$2:E4192)))))-COUNTBLANK(OFFSET(A$1,,,SUMPRODUCT(MAX(ROW(E$1:E4191)*(E2=E$1:E4191))))))</f>
        <v> </v>
      </c>
      <c r="K4192" s="26" t="str">
        <f>IF(OR(E4192="",E4192="!!!",F4192="NEW"),"",INDEX(J$1:J4191,SUMPRODUCT(MAX(ROW(E$1:E4191)*(E4192=E$1:E4191)))))</f>
        <v> </v>
      </c>
      <c r="L4192" s="27"/>
    </row>
    <row r="4193" spans="1:12">
      <c r="A4193" s="20" t="s">
        <v>1021</v>
      </c>
      <c r="B4193" s="21" t="s">
        <v>1087</v>
      </c>
      <c r="C4193" s="21" t="s">
        <v>971</v>
      </c>
      <c r="D4193" s="21" t="s">
        <v>972</v>
      </c>
      <c r="E4193" s="22">
        <f>IF(D4193="?OLD","!!!","")</f>
        <v/>
      </c>
      <c r="F4193" s="23" t="str">
        <f>IF(OR(E4193="",E4193="!!!"),"",IF(NOT(ISNA(VLOOKUP(E4193,E$1:E4192,1,FALSE()))),"OLD",IF(AND(E4193&lt;&gt;"",E4193&lt;&gt;"!!!"),"NEW","")))</f>
        <v> </v>
      </c>
      <c r="G4193" s="24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5" t="str">
        <f>IF(J4193&lt;&gt;1,"",IF(I4193="SBJ","CB","?"))</f>
        <v> </v>
      </c>
      <c r="I4193" s="26" t="str">
        <f>IF(OR(E4193="",E4193="!!!",F4193="NEW"),"",INDEX(B4192:B$2,-1+SUMPRODUCT(MAX(ROW(E4192:E$2)*(E4193=E4192:E$2)))))</f>
        <v> </v>
      </c>
      <c r="J4193" s="26" t="str">
        <f>IF(OR(E4193="",E4193="!!!",F4193="NEW"),"",COUNTBLANK(OFFSET(A$1,,,SUMPRODUCT(MAX(ROW(E$2:E4193)*(E4193=E$2:E4193)))))-COUNTBLANK(OFFSET(A$1,,,SUMPRODUCT(MAX(ROW(E$1:E4192)*(E2=E$1:E4192))))))</f>
        <v> </v>
      </c>
      <c r="K4193" s="26" t="str">
        <f>IF(OR(E4193="",E4193="!!!",F4193="NEW"),"",INDEX(J$1:J4192,SUMPRODUCT(MAX(ROW(E$1:E4192)*(E4193=E$1:E4192)))))</f>
        <v> </v>
      </c>
      <c r="L4193" s="27"/>
    </row>
    <row r="4194" spans="1:12">
      <c r="A4194" s="20" t="s">
        <v>1005</v>
      </c>
      <c r="E4194" s="22">
        <f>IF(D4194="?OLD","!!!","")</f>
        <v/>
      </c>
      <c r="F4194" s="23" t="str">
        <f>IF(OR(E4194="",E4194="!!!"),"",IF(NOT(ISNA(VLOOKUP(E4194,E$1:E4193,1,FALSE()))),"OLD",IF(AND(E4194&lt;&gt;"",E4194&lt;&gt;"!!!"),"NEW","")))</f>
        <v> </v>
      </c>
      <c r="G4194" s="24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5" t="str">
        <f>IF(J4194&lt;&gt;1,"",IF(I4194="SBJ","CB","?"))</f>
        <v> </v>
      </c>
      <c r="I4194" s="26" t="str">
        <f>IF(OR(E4194="",E4194="!!!",F4194="NEW"),"",INDEX(B4193:B$2,-1+SUMPRODUCT(MAX(ROW(E4193:E$2)*(E4194=E4193:E$2)))))</f>
        <v> </v>
      </c>
      <c r="J4194" s="26" t="str">
        <f>IF(OR(E4194="",E4194="!!!",F4194="NEW"),"",COUNTBLANK(OFFSET(A$1,,,SUMPRODUCT(MAX(ROW(E$2:E4194)*(E4194=E$2:E4194)))))-COUNTBLANK(OFFSET(A$1,,,SUMPRODUCT(MAX(ROW(E$1:E4193)*(E2=E$1:E4193))))))</f>
        <v> </v>
      </c>
      <c r="K4194" s="26" t="str">
        <f>IF(OR(E4194="",E4194="!!!",F4194="NEW"),"",INDEX(J$1:J4193,SUMPRODUCT(MAX(ROW(E$1:E4193)*(E4194=E$1:E4193)))))</f>
        <v> </v>
      </c>
      <c r="L4194" s="27"/>
    </row>
    <row r="4195" spans="1:12">
      <c r="A4195" s="20" t="s">
        <v>2582</v>
      </c>
      <c r="E4195" s="22">
        <f>IF(D4195="?OLD","!!!","")</f>
        <v/>
      </c>
      <c r="F4195" s="23" t="str">
        <f>IF(OR(E4195="",E4195="!!!"),"",IF(NOT(ISNA(VLOOKUP(E4195,E$1:E4194,1,FALSE()))),"OLD",IF(AND(E4195&lt;&gt;"",E4195&lt;&gt;"!!!"),"NEW","")))</f>
        <v> </v>
      </c>
      <c r="G4195" s="24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5" t="str">
        <f>IF(J4195&lt;&gt;1,"",IF(I4195="SBJ","CB","?"))</f>
        <v> </v>
      </c>
      <c r="I4195" s="26" t="str">
        <f>IF(OR(E4195="",E4195="!!!",F4195="NEW"),"",INDEX(B4194:B$2,-1+SUMPRODUCT(MAX(ROW(E4194:E$2)*(E4195=E4194:E$2)))))</f>
        <v> </v>
      </c>
      <c r="J4195" s="26" t="str">
        <f>IF(OR(E4195="",E4195="!!!",F4195="NEW"),"",COUNTBLANK(OFFSET(A$1,,,SUMPRODUCT(MAX(ROW(E$2:E4195)*(E4195=E$2:E4195)))))-COUNTBLANK(OFFSET(A$1,,,SUMPRODUCT(MAX(ROW(E$1:E4194)*(E2=E$1:E4194))))))</f>
        <v> </v>
      </c>
      <c r="K4195" s="26" t="str">
        <f>IF(OR(E4195="",E4195="!!!",F4195="NEW"),"",INDEX(J$1:J4194,SUMPRODUCT(MAX(ROW(E$1:E4194)*(E4195=E$1:E4194)))))</f>
        <v> </v>
      </c>
      <c r="L4195" s="27"/>
    </row>
    <row r="4196" spans="1:12">
      <c r="A4196" s="20" t="s">
        <v>982</v>
      </c>
      <c r="E4196" s="22">
        <f>IF(D4196="?OLD","!!!","")</f>
        <v/>
      </c>
      <c r="F4196" s="23" t="str">
        <f>IF(OR(E4196="",E4196="!!!"),"",IF(NOT(ISNA(VLOOKUP(E4196,E$1:E4195,1,FALSE()))),"OLD",IF(AND(E4196&lt;&gt;"",E4196&lt;&gt;"!!!"),"NEW","")))</f>
        <v> </v>
      </c>
      <c r="G4196" s="24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5" t="str">
        <f>IF(J4196&lt;&gt;1,"",IF(I4196="SBJ","CB","?"))</f>
        <v> </v>
      </c>
      <c r="I4196" s="26" t="str">
        <f>IF(OR(E4196="",E4196="!!!",F4196="NEW"),"",INDEX(B4195:B$2,-1+SUMPRODUCT(MAX(ROW(E4195:E$2)*(E4196=E4195:E$2)))))</f>
        <v> </v>
      </c>
      <c r="J4196" s="26" t="str">
        <f>IF(OR(E4196="",E4196="!!!",F4196="NEW"),"",COUNTBLANK(OFFSET(A$1,,,SUMPRODUCT(MAX(ROW(E$2:E4196)*(E4196=E$2:E4196)))))-COUNTBLANK(OFFSET(A$1,,,SUMPRODUCT(MAX(ROW(E$1:E4195)*(E2=E$1:E4195))))))</f>
        <v> </v>
      </c>
      <c r="K4196" s="26" t="str">
        <f>IF(OR(E4196="",E4196="!!!",F4196="NEW"),"",INDEX(J$1:J4195,SUMPRODUCT(MAX(ROW(E$1:E4195)*(E4196=E$1:E4195)))))</f>
        <v> </v>
      </c>
      <c r="L4196" s="27"/>
    </row>
    <row r="4197" spans="1:12">
      <c r="A4197" s="20" t="s">
        <v>1013</v>
      </c>
      <c r="E4197" s="22">
        <f>IF(D4197="?OLD","!!!","")</f>
        <v/>
      </c>
      <c r="F4197" s="23" t="str">
        <f>IF(OR(E4197="",E4197="!!!"),"",IF(NOT(ISNA(VLOOKUP(E4197,E$1:E4196,1,FALSE()))),"OLD",IF(AND(E4197&lt;&gt;"",E4197&lt;&gt;"!!!"),"NEW","")))</f>
        <v> </v>
      </c>
      <c r="G4197" s="24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5" t="str">
        <f>IF(J4197&lt;&gt;1,"",IF(I4197="SBJ","CB","?"))</f>
        <v> </v>
      </c>
      <c r="I4197" s="26" t="str">
        <f>IF(OR(E4197="",E4197="!!!",F4197="NEW"),"",INDEX(B4196:B$2,-1+SUMPRODUCT(MAX(ROW(E4196:E$2)*(E4197=E4196:E$2)))))</f>
        <v> </v>
      </c>
      <c r="J4197" s="26" t="str">
        <f>IF(OR(E4197="",E4197="!!!",F4197="NEW"),"",COUNTBLANK(OFFSET(A$1,,,SUMPRODUCT(MAX(ROW(E$2:E4197)*(E4197=E$2:E4197)))))-COUNTBLANK(OFFSET(A$1,,,SUMPRODUCT(MAX(ROW(E$1:E4196)*(E2=E$1:E4196))))))</f>
        <v> </v>
      </c>
      <c r="K4197" s="26" t="str">
        <f>IF(OR(E4197="",E4197="!!!",F4197="NEW"),"",INDEX(J$1:J4196,SUMPRODUCT(MAX(ROW(E$1:E4196)*(E4197=E$1:E4196)))))</f>
        <v> </v>
      </c>
      <c r="L4197" s="27"/>
    </row>
    <row r="4198" spans="1:12">
      <c r="A4198" s="20" t="s">
        <v>2583</v>
      </c>
      <c r="E4198" s="22">
        <f>IF(D4198="?OLD","!!!","")</f>
        <v/>
      </c>
      <c r="F4198" s="23" t="str">
        <f>IF(OR(E4198="",E4198="!!!"),"",IF(NOT(ISNA(VLOOKUP(E4198,E$1:E4197,1,FALSE()))),"OLD",IF(AND(E4198&lt;&gt;"",E4198&lt;&gt;"!!!"),"NEW","")))</f>
        <v> </v>
      </c>
      <c r="G4198" s="24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5" t="str">
        <f>IF(J4198&lt;&gt;1,"",IF(I4198="SBJ","CB","?"))</f>
        <v> </v>
      </c>
      <c r="I4198" s="26" t="str">
        <f>IF(OR(E4198="",E4198="!!!",F4198="NEW"),"",INDEX(B4197:B$2,-1+SUMPRODUCT(MAX(ROW(E4197:E$2)*(E4198=E4197:E$2)))))</f>
        <v> </v>
      </c>
      <c r="J4198" s="26" t="str">
        <f>IF(OR(E4198="",E4198="!!!",F4198="NEW"),"",COUNTBLANK(OFFSET(A$1,,,SUMPRODUCT(MAX(ROW(E$2:E4198)*(E4198=E$2:E4198)))))-COUNTBLANK(OFFSET(A$1,,,SUMPRODUCT(MAX(ROW(E$1:E4197)*(E2=E$1:E4197))))))</f>
        <v> </v>
      </c>
      <c r="K4198" s="26" t="str">
        <f>IF(OR(E4198="",E4198="!!!",F4198="NEW"),"",INDEX(J$1:J4197,SUMPRODUCT(MAX(ROW(E$1:E4197)*(E4198=E$1:E4197)))))</f>
        <v> </v>
      </c>
      <c r="L4198" s="27"/>
    </row>
    <row r="4199" spans="1:12">
      <c r="A4199" s="20" t="s">
        <v>1097</v>
      </c>
      <c r="E4199" s="22">
        <f>IF(D4199="?OLD","!!!","")</f>
        <v/>
      </c>
      <c r="F4199" s="23" t="str">
        <f>IF(OR(E4199="",E4199="!!!"),"",IF(NOT(ISNA(VLOOKUP(E4199,E$1:E4198,1,FALSE()))),"OLD",IF(AND(E4199&lt;&gt;"",E4199&lt;&gt;"!!!"),"NEW","")))</f>
        <v> </v>
      </c>
      <c r="G4199" s="24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5" t="str">
        <f>IF(J4199&lt;&gt;1,"",IF(I4199="SBJ","CB","?"))</f>
        <v> </v>
      </c>
      <c r="I4199" s="26" t="str">
        <f>IF(OR(E4199="",E4199="!!!",F4199="NEW"),"",INDEX(B4198:B$2,-1+SUMPRODUCT(MAX(ROW(E4198:E$2)*(E4199=E4198:E$2)))))</f>
        <v> </v>
      </c>
      <c r="J4199" s="26" t="str">
        <f>IF(OR(E4199="",E4199="!!!",F4199="NEW"),"",COUNTBLANK(OFFSET(A$1,,,SUMPRODUCT(MAX(ROW(E$2:E4199)*(E4199=E$2:E4199)))))-COUNTBLANK(OFFSET(A$1,,,SUMPRODUCT(MAX(ROW(E$1:E4198)*(E2=E$1:E4198))))))</f>
        <v> </v>
      </c>
      <c r="K4199" s="26" t="str">
        <f>IF(OR(E4199="",E4199="!!!",F4199="NEW"),"",INDEX(J$1:J4198,SUMPRODUCT(MAX(ROW(E$1:E4198)*(E4199=E$1:E4198)))))</f>
        <v> </v>
      </c>
      <c r="L4199" s="27"/>
    </row>
    <row r="4200" spans="1:12">
      <c r="A4200" s="20" t="s">
        <v>979</v>
      </c>
      <c r="E4200" s="22">
        <f>IF(D4200="?OLD","!!!","")</f>
        <v/>
      </c>
      <c r="F4200" s="23" t="str">
        <f>IF(OR(E4200="",E4200="!!!"),"",IF(NOT(ISNA(VLOOKUP(E4200,E$1:E4199,1,FALSE()))),"OLD",IF(AND(E4200&lt;&gt;"",E4200&lt;&gt;"!!!"),"NEW","")))</f>
        <v> </v>
      </c>
      <c r="G4200" s="24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5" t="str">
        <f>IF(J4200&lt;&gt;1,"",IF(I4200="SBJ","CB","?"))</f>
        <v> </v>
      </c>
      <c r="I4200" s="26" t="str">
        <f>IF(OR(E4200="",E4200="!!!",F4200="NEW"),"",INDEX(B4199:B$2,-1+SUMPRODUCT(MAX(ROW(E4199:E$2)*(E4200=E4199:E$2)))))</f>
        <v> </v>
      </c>
      <c r="J4200" s="26" t="str">
        <f>IF(OR(E4200="",E4200="!!!",F4200="NEW"),"",COUNTBLANK(OFFSET(A$1,,,SUMPRODUCT(MAX(ROW(E$2:E4200)*(E4200=E$2:E4200)))))-COUNTBLANK(OFFSET(A$1,,,SUMPRODUCT(MAX(ROW(E$1:E4199)*(E2=E$1:E4199))))))</f>
        <v> </v>
      </c>
      <c r="K4200" s="26" t="str">
        <f>IF(OR(E4200="",E4200="!!!",F4200="NEW"),"",INDEX(J$1:J4199,SUMPRODUCT(MAX(ROW(E$1:E4199)*(E4200=E$1:E4199)))))</f>
        <v> </v>
      </c>
      <c r="L4200" s="27"/>
    </row>
    <row r="4201" spans="1:12">
      <c r="A4201" s="20"/>
    </row>
    <row r="4202" spans="1:12">
      <c r="A4202" s="20" t="s">
        <v>2584</v>
      </c>
    </row>
    <row r="4203" spans="1:12">
      <c r="A4203" s="20" t="s">
        <v>981</v>
      </c>
      <c r="B4203" s="21" t="s">
        <v>975</v>
      </c>
      <c r="C4203" s="21" t="s">
        <v>971</v>
      </c>
      <c r="D4203" s="21" t="s">
        <v>972</v>
      </c>
      <c r="E4203" s="22">
        <f>IF(D4203="?OLD","!!!","")</f>
        <v/>
      </c>
      <c r="F4203" s="23" t="str">
        <f>IF(OR(E4203="",E4203="!!!"),"",IF(NOT(ISNA(VLOOKUP(E4203,E$1:E4202,1,FALSE()))),"OLD",IF(AND(E4203&lt;&gt;"",E4203&lt;&gt;"!!!"),"NEW","")))</f>
        <v> </v>
      </c>
      <c r="G4203" s="24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5" t="str">
        <f>IF(J4203&lt;&gt;1,"",IF(I4203="SBJ","CB","?"))</f>
        <v> </v>
      </c>
      <c r="I4203" s="26" t="str">
        <f>IF(OR(E4203="",E4203="!!!",F4203="NEW"),"",INDEX(B4202:B$2,-1+SUMPRODUCT(MAX(ROW(E4202:E$2)*(E4203=E4202:E$2)))))</f>
        <v> </v>
      </c>
      <c r="J4203" s="26" t="str">
        <f>IF(OR(E4203="",E4203="!!!",F4203="NEW"),"",COUNTBLANK(OFFSET(A$1,,,SUMPRODUCT(MAX(ROW(E$2:E4203)*(E4203=E$2:E4203)))))-COUNTBLANK(OFFSET(A$1,,,SUMPRODUCT(MAX(ROW(E$1:E4202)*(E2=E$1:E4202))))))</f>
        <v> </v>
      </c>
      <c r="K4203" s="26" t="str">
        <f>IF(OR(E4203="",E4203="!!!",F4203="NEW"),"",INDEX(J$1:J4202,SUMPRODUCT(MAX(ROW(E$1:E4202)*(E4203=E$1:E4202)))))</f>
        <v> </v>
      </c>
      <c r="L4203" s="27"/>
    </row>
    <row r="4204" spans="1:12">
      <c r="A4204" s="20" t="s">
        <v>1334</v>
      </c>
      <c r="E4204" s="22">
        <f>IF(D4204="?OLD","!!!","")</f>
        <v/>
      </c>
      <c r="F4204" s="23" t="str">
        <f>IF(OR(E4204="",E4204="!!!"),"",IF(NOT(ISNA(VLOOKUP(E4204,E$1:E4203,1,FALSE()))),"OLD",IF(AND(E4204&lt;&gt;"",E4204&lt;&gt;"!!!"),"NEW","")))</f>
        <v> </v>
      </c>
      <c r="G4204" s="24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5" t="str">
        <f>IF(J4204&lt;&gt;1,"",IF(I4204="SBJ","CB","?"))</f>
        <v> </v>
      </c>
      <c r="I4204" s="26" t="str">
        <f>IF(OR(E4204="",E4204="!!!",F4204="NEW"),"",INDEX(B4203:B$2,-1+SUMPRODUCT(MAX(ROW(E4203:E$2)*(E4204=E4203:E$2)))))</f>
        <v> </v>
      </c>
      <c r="J4204" s="26" t="str">
        <f>IF(OR(E4204="",E4204="!!!",F4204="NEW"),"",COUNTBLANK(OFFSET(A$1,,,SUMPRODUCT(MAX(ROW(E$2:E4204)*(E4204=E$2:E4204)))))-COUNTBLANK(OFFSET(A$1,,,SUMPRODUCT(MAX(ROW(E$1:E4203)*(E2=E$1:E4203))))))</f>
        <v> </v>
      </c>
      <c r="K4204" s="26" t="str">
        <f>IF(OR(E4204="",E4204="!!!",F4204="NEW"),"",INDEX(J$1:J4203,SUMPRODUCT(MAX(ROW(E$1:E4203)*(E4204=E$1:E4203)))))</f>
        <v> </v>
      </c>
      <c r="L4204" s="27"/>
    </row>
    <row r="4205" spans="1:12">
      <c r="A4205" s="20" t="s">
        <v>2585</v>
      </c>
      <c r="E4205" s="22">
        <f>IF(D4205="?OLD","!!!","")</f>
        <v/>
      </c>
      <c r="F4205" s="23" t="str">
        <f>IF(OR(E4205="",E4205="!!!"),"",IF(NOT(ISNA(VLOOKUP(E4205,E$1:E4204,1,FALSE()))),"OLD",IF(AND(E4205&lt;&gt;"",E4205&lt;&gt;"!!!"),"NEW","")))</f>
        <v> </v>
      </c>
      <c r="G4205" s="24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5" t="str">
        <f>IF(J4205&lt;&gt;1,"",IF(I4205="SBJ","CB","?"))</f>
        <v> </v>
      </c>
      <c r="I4205" s="26" t="str">
        <f>IF(OR(E4205="",E4205="!!!",F4205="NEW"),"",INDEX(B4204:B$2,-1+SUMPRODUCT(MAX(ROW(E4204:E$2)*(E4205=E4204:E$2)))))</f>
        <v> </v>
      </c>
      <c r="J4205" s="26" t="str">
        <f>IF(OR(E4205="",E4205="!!!",F4205="NEW"),"",COUNTBLANK(OFFSET(A$1,,,SUMPRODUCT(MAX(ROW(E$2:E4205)*(E4205=E$2:E4205)))))-COUNTBLANK(OFFSET(A$1,,,SUMPRODUCT(MAX(ROW(E$1:E4204)*(E2=E$1:E4204))))))</f>
        <v> </v>
      </c>
      <c r="K4205" s="26" t="str">
        <f>IF(OR(E4205="",E4205="!!!",F4205="NEW"),"",INDEX(J$1:J4204,SUMPRODUCT(MAX(ROW(E$1:E4204)*(E4205=E$1:E4204)))))</f>
        <v> </v>
      </c>
      <c r="L4205" s="27"/>
    </row>
    <row r="4206" spans="1:12">
      <c r="A4206" s="20" t="s">
        <v>2586</v>
      </c>
      <c r="E4206" s="22">
        <f>IF(D4206="?OLD","!!!","")</f>
        <v/>
      </c>
      <c r="F4206" s="23" t="str">
        <f>IF(OR(E4206="",E4206="!!!"),"",IF(NOT(ISNA(VLOOKUP(E4206,E$1:E4205,1,FALSE()))),"OLD",IF(AND(E4206&lt;&gt;"",E4206&lt;&gt;"!!!"),"NEW","")))</f>
        <v> </v>
      </c>
      <c r="G4206" s="24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5" t="str">
        <f>IF(J4206&lt;&gt;1,"",IF(I4206="SBJ","CB","?"))</f>
        <v> </v>
      </c>
      <c r="I4206" s="26" t="str">
        <f>IF(OR(E4206="",E4206="!!!",F4206="NEW"),"",INDEX(B4205:B$2,-1+SUMPRODUCT(MAX(ROW(E4205:E$2)*(E4206=E4205:E$2)))))</f>
        <v> </v>
      </c>
      <c r="J4206" s="26" t="str">
        <f>IF(OR(E4206="",E4206="!!!",F4206="NEW"),"",COUNTBLANK(OFFSET(A$1,,,SUMPRODUCT(MAX(ROW(E$2:E4206)*(E4206=E$2:E4206)))))-COUNTBLANK(OFFSET(A$1,,,SUMPRODUCT(MAX(ROW(E$1:E4205)*(E2=E$1:E4205))))))</f>
        <v> </v>
      </c>
      <c r="K4206" s="26" t="str">
        <f>IF(OR(E4206="",E4206="!!!",F4206="NEW"),"",INDEX(J$1:J4205,SUMPRODUCT(MAX(ROW(E$1:E4205)*(E4206=E$1:E4205)))))</f>
        <v> </v>
      </c>
      <c r="L4206" s="27"/>
    </row>
    <row r="4207" spans="1:12">
      <c r="A4207" s="20" t="s">
        <v>1141</v>
      </c>
      <c r="E4207" s="22">
        <f>IF(D4207="?OLD","!!!","")</f>
        <v/>
      </c>
      <c r="F4207" s="23" t="str">
        <f>IF(OR(E4207="",E4207="!!!"),"",IF(NOT(ISNA(VLOOKUP(E4207,E$1:E4206,1,FALSE()))),"OLD",IF(AND(E4207&lt;&gt;"",E4207&lt;&gt;"!!!"),"NEW","")))</f>
        <v> </v>
      </c>
      <c r="G4207" s="24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5" t="str">
        <f>IF(J4207&lt;&gt;1,"",IF(I4207="SBJ","CB","?"))</f>
        <v> </v>
      </c>
      <c r="I4207" s="26" t="str">
        <f>IF(OR(E4207="",E4207="!!!",F4207="NEW"),"",INDEX(B4206:B$2,-1+SUMPRODUCT(MAX(ROW(E4206:E$2)*(E4207=E4206:E$2)))))</f>
        <v> </v>
      </c>
      <c r="J4207" s="26" t="str">
        <f>IF(OR(E4207="",E4207="!!!",F4207="NEW"),"",COUNTBLANK(OFFSET(A$1,,,SUMPRODUCT(MAX(ROW(E$2:E4207)*(E4207=E$2:E4207)))))-COUNTBLANK(OFFSET(A$1,,,SUMPRODUCT(MAX(ROW(E$1:E4206)*(E2=E$1:E4206))))))</f>
        <v> </v>
      </c>
      <c r="K4207" s="26" t="str">
        <f>IF(OR(E4207="",E4207="!!!",F4207="NEW"),"",INDEX(J$1:J4206,SUMPRODUCT(MAX(ROW(E$1:E4206)*(E4207=E$1:E4206)))))</f>
        <v> </v>
      </c>
      <c r="L4207" s="27"/>
    </row>
    <row r="4208" spans="1:12">
      <c r="A4208" s="20" t="s">
        <v>1142</v>
      </c>
      <c r="E4208" s="22">
        <f>IF(D4208="?OLD","!!!","")</f>
        <v/>
      </c>
      <c r="F4208" s="23" t="str">
        <f>IF(OR(E4208="",E4208="!!!"),"",IF(NOT(ISNA(VLOOKUP(E4208,E$1:E4207,1,FALSE()))),"OLD",IF(AND(E4208&lt;&gt;"",E4208&lt;&gt;"!!!"),"NEW","")))</f>
        <v> </v>
      </c>
      <c r="G4208" s="24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5" t="str">
        <f>IF(J4208&lt;&gt;1,"",IF(I4208="SBJ","CB","?"))</f>
        <v> </v>
      </c>
      <c r="I4208" s="26" t="str">
        <f>IF(OR(E4208="",E4208="!!!",F4208="NEW"),"",INDEX(B4207:B$2,-1+SUMPRODUCT(MAX(ROW(E4207:E$2)*(E4208=E4207:E$2)))))</f>
        <v> </v>
      </c>
      <c r="J4208" s="26" t="str">
        <f>IF(OR(E4208="",E4208="!!!",F4208="NEW"),"",COUNTBLANK(OFFSET(A$1,,,SUMPRODUCT(MAX(ROW(E$2:E4208)*(E4208=E$2:E4208)))))-COUNTBLANK(OFFSET(A$1,,,SUMPRODUCT(MAX(ROW(E$1:E4207)*(E2=E$1:E4207))))))</f>
        <v> </v>
      </c>
      <c r="K4208" s="26" t="str">
        <f>IF(OR(E4208="",E4208="!!!",F4208="NEW"),"",INDEX(J$1:J4207,SUMPRODUCT(MAX(ROW(E$1:E4207)*(E4208=E$1:E4207)))))</f>
        <v> </v>
      </c>
      <c r="L4208" s="27"/>
    </row>
    <row r="4209" spans="1:12">
      <c r="A4209" s="20" t="s">
        <v>979</v>
      </c>
      <c r="E4209" s="22">
        <f>IF(D4209="?OLD","!!!","")</f>
        <v/>
      </c>
      <c r="F4209" s="23" t="str">
        <f>IF(OR(E4209="",E4209="!!!"),"",IF(NOT(ISNA(VLOOKUP(E4209,E$1:E4208,1,FALSE()))),"OLD",IF(AND(E4209&lt;&gt;"",E4209&lt;&gt;"!!!"),"NEW","")))</f>
        <v> </v>
      </c>
      <c r="G4209" s="24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5" t="str">
        <f>IF(J4209&lt;&gt;1,"",IF(I4209="SBJ","CB","?"))</f>
        <v> </v>
      </c>
      <c r="I4209" s="26" t="str">
        <f>IF(OR(E4209="",E4209="!!!",F4209="NEW"),"",INDEX(B4208:B$2,-1+SUMPRODUCT(MAX(ROW(E4208:E$2)*(E4209=E4208:E$2)))))</f>
        <v> </v>
      </c>
      <c r="J4209" s="26" t="str">
        <f>IF(OR(E4209="",E4209="!!!",F4209="NEW"),"",COUNTBLANK(OFFSET(A$1,,,SUMPRODUCT(MAX(ROW(E$2:E4209)*(E4209=E$2:E4209)))))-COUNTBLANK(OFFSET(A$1,,,SUMPRODUCT(MAX(ROW(E$1:E4208)*(E2=E$1:E4208))))))</f>
        <v> </v>
      </c>
      <c r="K4209" s="26" t="str">
        <f>IF(OR(E4209="",E4209="!!!",F4209="NEW"),"",INDEX(J$1:J4208,SUMPRODUCT(MAX(ROW(E$1:E4208)*(E4209=E$1:E4208)))))</f>
        <v> </v>
      </c>
      <c r="L4209" s="27"/>
    </row>
    <row r="4210" spans="1:12">
      <c r="A4210" s="20"/>
    </row>
    <row r="4211" spans="1:12">
      <c r="A4211" s="20" t="s">
        <v>2587</v>
      </c>
    </row>
    <row r="4212" spans="1:12">
      <c r="A4212" s="20" t="s">
        <v>981</v>
      </c>
      <c r="B4212" s="21" t="s">
        <v>975</v>
      </c>
      <c r="C4212" s="21" t="s">
        <v>971</v>
      </c>
      <c r="D4212" s="21" t="s">
        <v>972</v>
      </c>
      <c r="E4212" s="22">
        <f>IF(D4212="?OLD","!!!","")</f>
        <v/>
      </c>
      <c r="F4212" s="23" t="str">
        <f>IF(OR(E4212="",E4212="!!!"),"",IF(NOT(ISNA(VLOOKUP(E4212,E$1:E4211,1,FALSE()))),"OLD",IF(AND(E4212&lt;&gt;"",E4212&lt;&gt;"!!!"),"NEW","")))</f>
        <v> </v>
      </c>
      <c r="G4212" s="24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5" t="str">
        <f>IF(J4212&lt;&gt;1,"",IF(I4212="SBJ","CB","?"))</f>
        <v> </v>
      </c>
      <c r="I4212" s="26" t="str">
        <f>IF(OR(E4212="",E4212="!!!",F4212="NEW"),"",INDEX(B4211:B$2,-1+SUMPRODUCT(MAX(ROW(E4211:E$2)*(E4212=E4211:E$2)))))</f>
        <v> </v>
      </c>
      <c r="J4212" s="26" t="str">
        <f>IF(OR(E4212="",E4212="!!!",F4212="NEW"),"",COUNTBLANK(OFFSET(A$1,,,SUMPRODUCT(MAX(ROW(E$2:E4212)*(E4212=E$2:E4212)))))-COUNTBLANK(OFFSET(A$1,,,SUMPRODUCT(MAX(ROW(E$1:E4211)*(E2=E$1:E4211))))))</f>
        <v> </v>
      </c>
      <c r="K4212" s="26" t="str">
        <f>IF(OR(E4212="",E4212="!!!",F4212="NEW"),"",INDEX(J$1:J4211,SUMPRODUCT(MAX(ROW(E$1:E4211)*(E4212=E$1:E4211)))))</f>
        <v> </v>
      </c>
      <c r="L4212" s="27"/>
    </row>
    <row r="4213" spans="1:12">
      <c r="A4213" s="20" t="s">
        <v>2279</v>
      </c>
      <c r="E4213" s="22">
        <f>IF(D4213="?OLD","!!!","")</f>
        <v/>
      </c>
      <c r="F4213" s="23" t="str">
        <f>IF(OR(E4213="",E4213="!!!"),"",IF(NOT(ISNA(VLOOKUP(E4213,E$1:E4212,1,FALSE()))),"OLD",IF(AND(E4213&lt;&gt;"",E4213&lt;&gt;"!!!"),"NEW","")))</f>
        <v> </v>
      </c>
      <c r="G4213" s="24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5" t="str">
        <f>IF(J4213&lt;&gt;1,"",IF(I4213="SBJ","CB","?"))</f>
        <v> </v>
      </c>
      <c r="I4213" s="26" t="str">
        <f>IF(OR(E4213="",E4213="!!!",F4213="NEW"),"",INDEX(B4212:B$2,-1+SUMPRODUCT(MAX(ROW(E4212:E$2)*(E4213=E4212:E$2)))))</f>
        <v> </v>
      </c>
      <c r="J4213" s="26" t="str">
        <f>IF(OR(E4213="",E4213="!!!",F4213="NEW"),"",COUNTBLANK(OFFSET(A$1,,,SUMPRODUCT(MAX(ROW(E$2:E4213)*(E4213=E$2:E4213)))))-COUNTBLANK(OFFSET(A$1,,,SUMPRODUCT(MAX(ROW(E$1:E4212)*(E2=E$1:E4212))))))</f>
        <v> </v>
      </c>
      <c r="K4213" s="26" t="str">
        <f>IF(OR(E4213="",E4213="!!!",F4213="NEW"),"",INDEX(J$1:J4212,SUMPRODUCT(MAX(ROW(E$1:E4212)*(E4213=E$1:E4212)))))</f>
        <v> </v>
      </c>
      <c r="L4213" s="27"/>
    </row>
    <row r="4214" spans="1:12">
      <c r="A4214" s="20" t="s">
        <v>2588</v>
      </c>
      <c r="E4214" s="22">
        <f>IF(D4214="?OLD","!!!","")</f>
        <v/>
      </c>
      <c r="F4214" s="23" t="str">
        <f>IF(OR(E4214="",E4214="!!!"),"",IF(NOT(ISNA(VLOOKUP(E4214,E$1:E4213,1,FALSE()))),"OLD",IF(AND(E4214&lt;&gt;"",E4214&lt;&gt;"!!!"),"NEW","")))</f>
        <v> </v>
      </c>
      <c r="G4214" s="24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5" t="str">
        <f>IF(J4214&lt;&gt;1,"",IF(I4214="SBJ","CB","?"))</f>
        <v> </v>
      </c>
      <c r="I4214" s="26" t="str">
        <f>IF(OR(E4214="",E4214="!!!",F4214="NEW"),"",INDEX(B4213:B$2,-1+SUMPRODUCT(MAX(ROW(E4213:E$2)*(E4214=E4213:E$2)))))</f>
        <v> </v>
      </c>
      <c r="J4214" s="26" t="str">
        <f>IF(OR(E4214="",E4214="!!!",F4214="NEW"),"",COUNTBLANK(OFFSET(A$1,,,SUMPRODUCT(MAX(ROW(E$2:E4214)*(E4214=E$2:E4214)))))-COUNTBLANK(OFFSET(A$1,,,SUMPRODUCT(MAX(ROW(E$1:E4213)*(E2=E$1:E4213))))))</f>
        <v> </v>
      </c>
      <c r="K4214" s="26" t="str">
        <f>IF(OR(E4214="",E4214="!!!",F4214="NEW"),"",INDEX(J$1:J4213,SUMPRODUCT(MAX(ROW(E$1:E4213)*(E4214=E$1:E4213)))))</f>
        <v> </v>
      </c>
      <c r="L4214" s="27"/>
    </row>
    <row r="4215" spans="1:12">
      <c r="A4215" s="20" t="s">
        <v>2589</v>
      </c>
      <c r="B4215" s="21" t="s">
        <v>995</v>
      </c>
      <c r="C4215" s="21" t="s">
        <v>991</v>
      </c>
      <c r="E4215" s="22">
        <f>IF(D4215="?OLD","!!!","")</f>
        <v/>
      </c>
      <c r="F4215" s="23" t="str">
        <f>IF(OR(E4215="",E4215="!!!"),"",IF(NOT(ISNA(VLOOKUP(E4215,E$1:E4214,1,FALSE()))),"OLD",IF(AND(E4215&lt;&gt;"",E4215&lt;&gt;"!!!"),"NEW","")))</f>
        <v> </v>
      </c>
      <c r="G4215" s="24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5" t="str">
        <f>IF(J4215&lt;&gt;1,"",IF(I4215="SBJ","CB","?"))</f>
        <v> </v>
      </c>
      <c r="I4215" s="26" t="str">
        <f>IF(OR(E4215="",E4215="!!!",F4215="NEW"),"",INDEX(B4214:B$2,-1+SUMPRODUCT(MAX(ROW(E4214:E$2)*(E4215=E4214:E$2)))))</f>
        <v> </v>
      </c>
      <c r="J4215" s="26" t="str">
        <f>IF(OR(E4215="",E4215="!!!",F4215="NEW"),"",COUNTBLANK(OFFSET(A$1,,,SUMPRODUCT(MAX(ROW(E$2:E4215)*(E4215=E$2:E4215)))))-COUNTBLANK(OFFSET(A$1,,,SUMPRODUCT(MAX(ROW(E$1:E4214)*(E2=E$1:E4214))))))</f>
        <v> </v>
      </c>
      <c r="K4215" s="26" t="str">
        <f>IF(OR(E4215="",E4215="!!!",F4215="NEW"),"",INDEX(J$1:J4214,SUMPRODUCT(MAX(ROW(E$1:E4214)*(E4215=E$1:E4214)))))</f>
        <v> </v>
      </c>
      <c r="L4215" s="27"/>
    </row>
    <row r="4216" spans="1:12">
      <c r="A4216" s="20" t="s">
        <v>2590</v>
      </c>
      <c r="E4216" s="22">
        <f>IF(D4216="?OLD","!!!","")</f>
        <v/>
      </c>
      <c r="F4216" s="23" t="str">
        <f>IF(OR(E4216="",E4216="!!!"),"",IF(NOT(ISNA(VLOOKUP(E4216,E$1:E4215,1,FALSE()))),"OLD",IF(AND(E4216&lt;&gt;"",E4216&lt;&gt;"!!!"),"NEW","")))</f>
        <v> </v>
      </c>
      <c r="G4216" s="24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5" t="str">
        <f>IF(J4216&lt;&gt;1,"",IF(I4216="SBJ","CB","?"))</f>
        <v> </v>
      </c>
      <c r="I4216" s="26" t="str">
        <f>IF(OR(E4216="",E4216="!!!",F4216="NEW"),"",INDEX(B4215:B$2,-1+SUMPRODUCT(MAX(ROW(E4215:E$2)*(E4216=E4215:E$2)))))</f>
        <v> </v>
      </c>
      <c r="J4216" s="26" t="str">
        <f>IF(OR(E4216="",E4216="!!!",F4216="NEW"),"",COUNTBLANK(OFFSET(A$1,,,SUMPRODUCT(MAX(ROW(E$2:E4216)*(E4216=E$2:E4216)))))-COUNTBLANK(OFFSET(A$1,,,SUMPRODUCT(MAX(ROW(E$1:E4215)*(E2=E$1:E4215))))))</f>
        <v> </v>
      </c>
      <c r="K4216" s="26" t="str">
        <f>IF(OR(E4216="",E4216="!!!",F4216="NEW"),"",INDEX(J$1:J4215,SUMPRODUCT(MAX(ROW(E$1:E4215)*(E4216=E$1:E4215)))))</f>
        <v> </v>
      </c>
      <c r="L4216" s="27"/>
    </row>
    <row r="4217" spans="1:12">
      <c r="A4217" s="20" t="s">
        <v>1023</v>
      </c>
      <c r="E4217" s="22">
        <f>IF(D4217="?OLD","!!!","")</f>
        <v/>
      </c>
      <c r="F4217" s="23" t="str">
        <f>IF(OR(E4217="",E4217="!!!"),"",IF(NOT(ISNA(VLOOKUP(E4217,E$1:E4216,1,FALSE()))),"OLD",IF(AND(E4217&lt;&gt;"",E4217&lt;&gt;"!!!"),"NEW","")))</f>
        <v> </v>
      </c>
      <c r="G4217" s="24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5" t="str">
        <f>IF(J4217&lt;&gt;1,"",IF(I4217="SBJ","CB","?"))</f>
        <v> </v>
      </c>
      <c r="I4217" s="26" t="str">
        <f>IF(OR(E4217="",E4217="!!!",F4217="NEW"),"",INDEX(B4216:B$2,-1+SUMPRODUCT(MAX(ROW(E4216:E$2)*(E4217=E4216:E$2)))))</f>
        <v> </v>
      </c>
      <c r="J4217" s="26" t="str">
        <f>IF(OR(E4217="",E4217="!!!",F4217="NEW"),"",COUNTBLANK(OFFSET(A$1,,,SUMPRODUCT(MAX(ROW(E$2:E4217)*(E4217=E$2:E4217)))))-COUNTBLANK(OFFSET(A$1,,,SUMPRODUCT(MAX(ROW(E$1:E4216)*(E2=E$1:E4216))))))</f>
        <v> </v>
      </c>
      <c r="K4217" s="26" t="str">
        <f>IF(OR(E4217="",E4217="!!!",F4217="NEW"),"",INDEX(J$1:J4216,SUMPRODUCT(MAX(ROW(E$1:E4216)*(E4217=E$1:E4216)))))</f>
        <v> </v>
      </c>
      <c r="L4217" s="27"/>
    </row>
    <row r="4218" spans="1:12">
      <c r="A4218" s="20" t="s">
        <v>400</v>
      </c>
      <c r="B4218" s="21" t="s">
        <v>1101</v>
      </c>
      <c r="C4218" s="21" t="s">
        <v>971</v>
      </c>
      <c r="D4218" s="21" t="s">
        <v>972</v>
      </c>
      <c r="E4218" s="22">
        <f>IF(D4218="?OLD","!!!","")</f>
        <v/>
      </c>
      <c r="F4218" s="23" t="str">
        <f>IF(OR(E4218="",E4218="!!!"),"",IF(NOT(ISNA(VLOOKUP(E4218,E$1:E4217,1,FALSE()))),"OLD",IF(AND(E4218&lt;&gt;"",E4218&lt;&gt;"!!!"),"NEW","")))</f>
        <v> </v>
      </c>
      <c r="G4218" s="24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5" t="str">
        <f>IF(J4218&lt;&gt;1,"",IF(I4218="SBJ","CB","?"))</f>
        <v> </v>
      </c>
      <c r="I4218" s="26" t="str">
        <f>IF(OR(E4218="",E4218="!!!",F4218="NEW"),"",INDEX(B4217:B$2,-1+SUMPRODUCT(MAX(ROW(E4217:E$2)*(E4218=E4217:E$2)))))</f>
        <v> </v>
      </c>
      <c r="J4218" s="26" t="str">
        <f>IF(OR(E4218="",E4218="!!!",F4218="NEW"),"",COUNTBLANK(OFFSET(A$1,,,SUMPRODUCT(MAX(ROW(E$2:E4218)*(E4218=E$2:E4218)))))-COUNTBLANK(OFFSET(A$1,,,SUMPRODUCT(MAX(ROW(E$1:E4217)*(E2=E$1:E4217))))))</f>
        <v> </v>
      </c>
      <c r="K4218" s="26" t="str">
        <f>IF(OR(E4218="",E4218="!!!",F4218="NEW"),"",INDEX(J$1:J4217,SUMPRODUCT(MAX(ROW(E$1:E4217)*(E4218=E$1:E4217)))))</f>
        <v> </v>
      </c>
      <c r="L4218" s="27"/>
    </row>
    <row r="4219" spans="1:12">
      <c r="A4219" s="20" t="s">
        <v>2247</v>
      </c>
      <c r="E4219" s="22">
        <f>IF(D4219="?OLD","!!!","")</f>
        <v/>
      </c>
      <c r="F4219" s="23" t="str">
        <f>IF(OR(E4219="",E4219="!!!"),"",IF(NOT(ISNA(VLOOKUP(E4219,E$1:E4218,1,FALSE()))),"OLD",IF(AND(E4219&lt;&gt;"",E4219&lt;&gt;"!!!"),"NEW","")))</f>
        <v> </v>
      </c>
      <c r="G4219" s="24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5" t="str">
        <f>IF(J4219&lt;&gt;1,"",IF(I4219="SBJ","CB","?"))</f>
        <v> </v>
      </c>
      <c r="I4219" s="26" t="str">
        <f>IF(OR(E4219="",E4219="!!!",F4219="NEW"),"",INDEX(B4218:B$2,-1+SUMPRODUCT(MAX(ROW(E4218:E$2)*(E4219=E4218:E$2)))))</f>
        <v> </v>
      </c>
      <c r="J4219" s="26" t="str">
        <f>IF(OR(E4219="",E4219="!!!",F4219="NEW"),"",COUNTBLANK(OFFSET(A$1,,,SUMPRODUCT(MAX(ROW(E$2:E4219)*(E4219=E$2:E4219)))))-COUNTBLANK(OFFSET(A$1,,,SUMPRODUCT(MAX(ROW(E$1:E4218)*(E2=E$1:E4218))))))</f>
        <v> </v>
      </c>
      <c r="K4219" s="26" t="str">
        <f>IF(OR(E4219="",E4219="!!!",F4219="NEW"),"",INDEX(J$1:J4218,SUMPRODUCT(MAX(ROW(E$1:E4218)*(E4219=E$1:E4218)))))</f>
        <v> </v>
      </c>
      <c r="L4219" s="27"/>
    </row>
    <row r="4220" spans="1:12">
      <c r="A4220" s="20" t="s">
        <v>2321</v>
      </c>
      <c r="E4220" s="22">
        <f>IF(D4220="?OLD","!!!","")</f>
        <v/>
      </c>
      <c r="F4220" s="23" t="str">
        <f>IF(OR(E4220="",E4220="!!!"),"",IF(NOT(ISNA(VLOOKUP(E4220,E$1:E4219,1,FALSE()))),"OLD",IF(AND(E4220&lt;&gt;"",E4220&lt;&gt;"!!!"),"NEW","")))</f>
        <v> </v>
      </c>
      <c r="G4220" s="24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5" t="str">
        <f>IF(J4220&lt;&gt;1,"",IF(I4220="SBJ","CB","?"))</f>
        <v> </v>
      </c>
      <c r="I4220" s="26" t="str">
        <f>IF(OR(E4220="",E4220="!!!",F4220="NEW"),"",INDEX(B4219:B$2,-1+SUMPRODUCT(MAX(ROW(E4219:E$2)*(E4220=E4219:E$2)))))</f>
        <v> </v>
      </c>
      <c r="J4220" s="26" t="str">
        <f>IF(OR(E4220="",E4220="!!!",F4220="NEW"),"",COUNTBLANK(OFFSET(A$1,,,SUMPRODUCT(MAX(ROW(E$2:E4220)*(E4220=E$2:E4220)))))-COUNTBLANK(OFFSET(A$1,,,SUMPRODUCT(MAX(ROW(E$1:E4219)*(E2=E$1:E4219))))))</f>
        <v> </v>
      </c>
      <c r="K4220" s="26" t="str">
        <f>IF(OR(E4220="",E4220="!!!",F4220="NEW"),"",INDEX(J$1:J4219,SUMPRODUCT(MAX(ROW(E$1:E4219)*(E4220=E$1:E4219)))))</f>
        <v> </v>
      </c>
      <c r="L4220" s="27"/>
    </row>
    <row r="4221" spans="1:12">
      <c r="A4221" s="20" t="s">
        <v>2591</v>
      </c>
      <c r="E4221" s="22">
        <f>IF(D4221="?OLD","!!!","")</f>
        <v/>
      </c>
      <c r="F4221" s="23" t="str">
        <f>IF(OR(E4221="",E4221="!!!"),"",IF(NOT(ISNA(VLOOKUP(E4221,E$1:E4220,1,FALSE()))),"OLD",IF(AND(E4221&lt;&gt;"",E4221&lt;&gt;"!!!"),"NEW","")))</f>
        <v> </v>
      </c>
      <c r="G4221" s="24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5" t="str">
        <f>IF(J4221&lt;&gt;1,"",IF(I4221="SBJ","CB","?"))</f>
        <v> </v>
      </c>
      <c r="I4221" s="26" t="str">
        <f>IF(OR(E4221="",E4221="!!!",F4221="NEW"),"",INDEX(B4220:B$2,-1+SUMPRODUCT(MAX(ROW(E4220:E$2)*(E4221=E4220:E$2)))))</f>
        <v> </v>
      </c>
      <c r="J4221" s="26" t="str">
        <f>IF(OR(E4221="",E4221="!!!",F4221="NEW"),"",COUNTBLANK(OFFSET(A$1,,,SUMPRODUCT(MAX(ROW(E$2:E4221)*(E4221=E$2:E4221)))))-COUNTBLANK(OFFSET(A$1,,,SUMPRODUCT(MAX(ROW(E$1:E4220)*(E2=E$1:E4220))))))</f>
        <v> </v>
      </c>
      <c r="K4221" s="26" t="str">
        <f>IF(OR(E4221="",E4221="!!!",F4221="NEW"),"",INDEX(J$1:J4220,SUMPRODUCT(MAX(ROW(E$1:E4220)*(E4221=E$1:E4220)))))</f>
        <v> </v>
      </c>
      <c r="L4221" s="27"/>
    </row>
    <row r="4222" spans="1:12">
      <c r="A4222" s="20" t="s">
        <v>1955</v>
      </c>
      <c r="B4222" s="21" t="s">
        <v>1003</v>
      </c>
      <c r="E4222" s="22">
        <f>IF(D4222="?OLD","!!!","")</f>
        <v/>
      </c>
      <c r="F4222" s="23" t="str">
        <f>IF(OR(E4222="",E4222="!!!"),"",IF(NOT(ISNA(VLOOKUP(E4222,E$1:E4221,1,FALSE()))),"OLD",IF(AND(E4222&lt;&gt;"",E4222&lt;&gt;"!!!"),"NEW","")))</f>
        <v> </v>
      </c>
      <c r="G4222" s="24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5" t="str">
        <f>IF(J4222&lt;&gt;1,"",IF(I4222="SBJ","CB","?"))</f>
        <v> </v>
      </c>
      <c r="I4222" s="26" t="str">
        <f>IF(OR(E4222="",E4222="!!!",F4222="NEW"),"",INDEX(B4221:B$2,-1+SUMPRODUCT(MAX(ROW(E4221:E$2)*(E4222=E4221:E$2)))))</f>
        <v> </v>
      </c>
      <c r="J4222" s="26" t="str">
        <f>IF(OR(E4222="",E4222="!!!",F4222="NEW"),"",COUNTBLANK(OFFSET(A$1,,,SUMPRODUCT(MAX(ROW(E$2:E4222)*(E4222=E$2:E4222)))))-COUNTBLANK(OFFSET(A$1,,,SUMPRODUCT(MAX(ROW(E$1:E4221)*(E2=E$1:E4221))))))</f>
        <v> </v>
      </c>
      <c r="K4222" s="26" t="str">
        <f>IF(OR(E4222="",E4222="!!!",F4222="NEW"),"",INDEX(J$1:J4221,SUMPRODUCT(MAX(ROW(E$1:E4221)*(E4222=E$1:E4221)))))</f>
        <v> </v>
      </c>
      <c r="L4222" s="27"/>
    </row>
    <row r="4223" spans="1:12">
      <c r="A4223" s="20" t="s">
        <v>1013</v>
      </c>
      <c r="E4223" s="22">
        <f>IF(D4223="?OLD","!!!","")</f>
        <v/>
      </c>
      <c r="F4223" s="23" t="str">
        <f>IF(OR(E4223="",E4223="!!!"),"",IF(NOT(ISNA(VLOOKUP(E4223,E$1:E4222,1,FALSE()))),"OLD",IF(AND(E4223&lt;&gt;"",E4223&lt;&gt;"!!!"),"NEW","")))</f>
        <v> </v>
      </c>
      <c r="G4223" s="24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5" t="str">
        <f>IF(J4223&lt;&gt;1,"",IF(I4223="SBJ","CB","?"))</f>
        <v> </v>
      </c>
      <c r="I4223" s="26" t="str">
        <f>IF(OR(E4223="",E4223="!!!",F4223="NEW"),"",INDEX(B4222:B$2,-1+SUMPRODUCT(MAX(ROW(E4222:E$2)*(E4223=E4222:E$2)))))</f>
        <v> </v>
      </c>
      <c r="J4223" s="26" t="str">
        <f>IF(OR(E4223="",E4223="!!!",F4223="NEW"),"",COUNTBLANK(OFFSET(A$1,,,SUMPRODUCT(MAX(ROW(E$2:E4223)*(E4223=E$2:E4223)))))-COUNTBLANK(OFFSET(A$1,,,SUMPRODUCT(MAX(ROW(E$1:E4222)*(E2=E$1:E4222))))))</f>
        <v> </v>
      </c>
      <c r="K4223" s="26" t="str">
        <f>IF(OR(E4223="",E4223="!!!",F4223="NEW"),"",INDEX(J$1:J4222,SUMPRODUCT(MAX(ROW(E$1:E4222)*(E4223=E$1:E4222)))))</f>
        <v> </v>
      </c>
      <c r="L4223" s="27"/>
    </row>
    <row r="4224" spans="1:12">
      <c r="A4224" s="20" t="s">
        <v>2592</v>
      </c>
      <c r="E4224" s="22">
        <f>IF(D4224="?OLD","!!!","")</f>
        <v/>
      </c>
      <c r="F4224" s="23" t="str">
        <f>IF(OR(E4224="",E4224="!!!"),"",IF(NOT(ISNA(VLOOKUP(E4224,E$1:E4223,1,FALSE()))),"OLD",IF(AND(E4224&lt;&gt;"",E4224&lt;&gt;"!!!"),"NEW","")))</f>
        <v> </v>
      </c>
      <c r="G4224" s="24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5" t="str">
        <f>IF(J4224&lt;&gt;1,"",IF(I4224="SBJ","CB","?"))</f>
        <v> </v>
      </c>
      <c r="I4224" s="26" t="str">
        <f>IF(OR(E4224="",E4224="!!!",F4224="NEW"),"",INDEX(B4223:B$2,-1+SUMPRODUCT(MAX(ROW(E4223:E$2)*(E4224=E4223:E$2)))))</f>
        <v> </v>
      </c>
      <c r="J4224" s="26" t="str">
        <f>IF(OR(E4224="",E4224="!!!",F4224="NEW"),"",COUNTBLANK(OFFSET(A$1,,,SUMPRODUCT(MAX(ROW(E$2:E4224)*(E4224=E$2:E4224)))))-COUNTBLANK(OFFSET(A$1,,,SUMPRODUCT(MAX(ROW(E$1:E4223)*(E2=E$1:E4223))))))</f>
        <v> </v>
      </c>
      <c r="K4224" s="26" t="str">
        <f>IF(OR(E4224="",E4224="!!!",F4224="NEW"),"",INDEX(J$1:J4223,SUMPRODUCT(MAX(ROW(E$1:E4223)*(E4224=E$1:E4223)))))</f>
        <v> </v>
      </c>
      <c r="L4224" s="27"/>
    </row>
    <row r="4225" spans="1:12">
      <c r="A4225" s="20" t="s">
        <v>2593</v>
      </c>
      <c r="E4225" s="22">
        <f>IF(D4225="?OLD","!!!","")</f>
        <v/>
      </c>
      <c r="F4225" s="23" t="str">
        <f>IF(OR(E4225="",E4225="!!!"),"",IF(NOT(ISNA(VLOOKUP(E4225,E$1:E4224,1,FALSE()))),"OLD",IF(AND(E4225&lt;&gt;"",E4225&lt;&gt;"!!!"),"NEW","")))</f>
        <v> </v>
      </c>
      <c r="G4225" s="24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5" t="str">
        <f>IF(J4225&lt;&gt;1,"",IF(I4225="SBJ","CB","?"))</f>
        <v> </v>
      </c>
      <c r="I4225" s="26" t="str">
        <f>IF(OR(E4225="",E4225="!!!",F4225="NEW"),"",INDEX(B4224:B$2,-1+SUMPRODUCT(MAX(ROW(E4224:E$2)*(E4225=E4224:E$2)))))</f>
        <v> </v>
      </c>
      <c r="J4225" s="26" t="str">
        <f>IF(OR(E4225="",E4225="!!!",F4225="NEW"),"",COUNTBLANK(OFFSET(A$1,,,SUMPRODUCT(MAX(ROW(E$2:E4225)*(E4225=E$2:E4225)))))-COUNTBLANK(OFFSET(A$1,,,SUMPRODUCT(MAX(ROW(E$1:E4224)*(E2=E$1:E4224))))))</f>
        <v> </v>
      </c>
      <c r="K4225" s="26" t="str">
        <f>IF(OR(E4225="",E4225="!!!",F4225="NEW"),"",INDEX(J$1:J4224,SUMPRODUCT(MAX(ROW(E$1:E4224)*(E4225=E$1:E4224)))))</f>
        <v> </v>
      </c>
      <c r="L4225" s="27"/>
    </row>
    <row r="4226" spans="1:12">
      <c r="A4226" s="20" t="s">
        <v>1013</v>
      </c>
      <c r="E4226" s="22">
        <f>IF(D4226="?OLD","!!!","")</f>
        <v/>
      </c>
      <c r="F4226" s="23" t="str">
        <f>IF(OR(E4226="",E4226="!!!"),"",IF(NOT(ISNA(VLOOKUP(E4226,E$1:E4225,1,FALSE()))),"OLD",IF(AND(E4226&lt;&gt;"",E4226&lt;&gt;"!!!"),"NEW","")))</f>
        <v> </v>
      </c>
      <c r="G4226" s="24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5" t="str">
        <f>IF(J4226&lt;&gt;1,"",IF(I4226="SBJ","CB","?"))</f>
        <v> </v>
      </c>
      <c r="I4226" s="26" t="str">
        <f>IF(OR(E4226="",E4226="!!!",F4226="NEW"),"",INDEX(B4225:B$2,-1+SUMPRODUCT(MAX(ROW(E4225:E$2)*(E4226=E4225:E$2)))))</f>
        <v> </v>
      </c>
      <c r="J4226" s="26" t="str">
        <f>IF(OR(E4226="",E4226="!!!",F4226="NEW"),"",COUNTBLANK(OFFSET(A$1,,,SUMPRODUCT(MAX(ROW(E$2:E4226)*(E4226=E$2:E4226)))))-COUNTBLANK(OFFSET(A$1,,,SUMPRODUCT(MAX(ROW(E$1:E4225)*(E2=E$1:E4225))))))</f>
        <v> </v>
      </c>
      <c r="K4226" s="26" t="str">
        <f>IF(OR(E4226="",E4226="!!!",F4226="NEW"),"",INDEX(J$1:J4225,SUMPRODUCT(MAX(ROW(E$1:E4225)*(E4226=E$1:E4225)))))</f>
        <v> </v>
      </c>
      <c r="L4226" s="27"/>
    </row>
    <row r="4227" spans="1:12">
      <c r="A4227" s="20" t="s">
        <v>1222</v>
      </c>
      <c r="E4227" s="22">
        <f>IF(D4227="?OLD","!!!","")</f>
        <v/>
      </c>
      <c r="F4227" s="23" t="str">
        <f>IF(OR(E4227="",E4227="!!!"),"",IF(NOT(ISNA(VLOOKUP(E4227,E$1:E4226,1,FALSE()))),"OLD",IF(AND(E4227&lt;&gt;"",E4227&lt;&gt;"!!!"),"NEW","")))</f>
        <v> </v>
      </c>
      <c r="G4227" s="24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5" t="str">
        <f>IF(J4227&lt;&gt;1,"",IF(I4227="SBJ","CB","?"))</f>
        <v> </v>
      </c>
      <c r="I4227" s="26" t="str">
        <f>IF(OR(E4227="",E4227="!!!",F4227="NEW"),"",INDEX(B4226:B$2,-1+SUMPRODUCT(MAX(ROW(E4226:E$2)*(E4227=E4226:E$2)))))</f>
        <v> </v>
      </c>
      <c r="J4227" s="26" t="str">
        <f>IF(OR(E4227="",E4227="!!!",F4227="NEW"),"",COUNTBLANK(OFFSET(A$1,,,SUMPRODUCT(MAX(ROW(E$2:E4227)*(E4227=E$2:E4227)))))-COUNTBLANK(OFFSET(A$1,,,SUMPRODUCT(MAX(ROW(E$1:E4226)*(E2=E$1:E4226))))))</f>
        <v> </v>
      </c>
      <c r="K4227" s="26" t="str">
        <f>IF(OR(E4227="",E4227="!!!",F4227="NEW"),"",INDEX(J$1:J4226,SUMPRODUCT(MAX(ROW(E$1:E4226)*(E4227=E$1:E4226)))))</f>
        <v> </v>
      </c>
      <c r="L4227" s="27"/>
    </row>
    <row r="4228" spans="1:12">
      <c r="A4228" s="20" t="s">
        <v>400</v>
      </c>
      <c r="B4228" s="21" t="s">
        <v>1093</v>
      </c>
      <c r="C4228" s="21" t="s">
        <v>971</v>
      </c>
      <c r="D4228" s="21" t="s">
        <v>972</v>
      </c>
      <c r="E4228" s="22">
        <f>IF(D4228="?OLD","!!!","")</f>
        <v/>
      </c>
      <c r="F4228" s="23" t="str">
        <f>IF(OR(E4228="",E4228="!!!"),"",IF(NOT(ISNA(VLOOKUP(E4228,E$1:E4227,1,FALSE()))),"OLD",IF(AND(E4228&lt;&gt;"",E4228&lt;&gt;"!!!"),"NEW","")))</f>
        <v> </v>
      </c>
      <c r="G4228" s="24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5" t="str">
        <f>IF(J4228&lt;&gt;1,"",IF(I4228="SBJ","CB","?"))</f>
        <v> </v>
      </c>
      <c r="I4228" s="26" t="str">
        <f>IF(OR(E4228="",E4228="!!!",F4228="NEW"),"",INDEX(B4227:B$2,-1+SUMPRODUCT(MAX(ROW(E4227:E$2)*(E4228=E4227:E$2)))))</f>
        <v> </v>
      </c>
      <c r="J4228" s="26" t="str">
        <f>IF(OR(E4228="",E4228="!!!",F4228="NEW"),"",COUNTBLANK(OFFSET(A$1,,,SUMPRODUCT(MAX(ROW(E$2:E4228)*(E4228=E$2:E4228)))))-COUNTBLANK(OFFSET(A$1,,,SUMPRODUCT(MAX(ROW(E$1:E4227)*(E2=E$1:E4227))))))</f>
        <v> </v>
      </c>
      <c r="K4228" s="26" t="str">
        <f>IF(OR(E4228="",E4228="!!!",F4228="NEW"),"",INDEX(J$1:J4227,SUMPRODUCT(MAX(ROW(E$1:E4227)*(E4228=E$1:E4227)))))</f>
        <v> </v>
      </c>
      <c r="L4228" s="27"/>
    </row>
    <row r="4229" spans="1:12">
      <c r="A4229" s="20" t="s">
        <v>2247</v>
      </c>
      <c r="E4229" s="22">
        <f>IF(D4229="?OLD","!!!","")</f>
        <v/>
      </c>
      <c r="F4229" s="23" t="str">
        <f>IF(OR(E4229="",E4229="!!!"),"",IF(NOT(ISNA(VLOOKUP(E4229,E$1:E4228,1,FALSE()))),"OLD",IF(AND(E4229&lt;&gt;"",E4229&lt;&gt;"!!!"),"NEW","")))</f>
        <v> </v>
      </c>
      <c r="G4229" s="24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5" t="str">
        <f>IF(J4229&lt;&gt;1,"",IF(I4229="SBJ","CB","?"))</f>
        <v> </v>
      </c>
      <c r="I4229" s="26" t="str">
        <f>IF(OR(E4229="",E4229="!!!",F4229="NEW"),"",INDEX(B4228:B$2,-1+SUMPRODUCT(MAX(ROW(E4228:E$2)*(E4229=E4228:E$2)))))</f>
        <v> </v>
      </c>
      <c r="J4229" s="26" t="str">
        <f>IF(OR(E4229="",E4229="!!!",F4229="NEW"),"",COUNTBLANK(OFFSET(A$1,,,SUMPRODUCT(MAX(ROW(E$2:E4229)*(E4229=E$2:E4229)))))-COUNTBLANK(OFFSET(A$1,,,SUMPRODUCT(MAX(ROW(E$1:E4228)*(E2=E$1:E4228))))))</f>
        <v> </v>
      </c>
      <c r="K4229" s="26" t="str">
        <f>IF(OR(E4229="",E4229="!!!",F4229="NEW"),"",INDEX(J$1:J4228,SUMPRODUCT(MAX(ROW(E$1:E4228)*(E4229=E$1:E4228)))))</f>
        <v> </v>
      </c>
      <c r="L4229" s="27"/>
    </row>
    <row r="4230" spans="1:12">
      <c r="A4230" s="20" t="s">
        <v>757</v>
      </c>
      <c r="E4230" s="22">
        <f>IF(D4230="?OLD","!!!","")</f>
        <v/>
      </c>
      <c r="F4230" s="23" t="str">
        <f>IF(OR(E4230="",E4230="!!!"),"",IF(NOT(ISNA(VLOOKUP(E4230,E$1:E4229,1,FALSE()))),"OLD",IF(AND(E4230&lt;&gt;"",E4230&lt;&gt;"!!!"),"NEW","")))</f>
        <v> </v>
      </c>
      <c r="G4230" s="24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5" t="str">
        <f>IF(J4230&lt;&gt;1,"",IF(I4230="SBJ","CB","?"))</f>
        <v> </v>
      </c>
      <c r="I4230" s="26" t="str">
        <f>IF(OR(E4230="",E4230="!!!",F4230="NEW"),"",INDEX(B4229:B$2,-1+SUMPRODUCT(MAX(ROW(E4229:E$2)*(E4230=E4229:E$2)))))</f>
        <v> </v>
      </c>
      <c r="J4230" s="26" t="str">
        <f>IF(OR(E4230="",E4230="!!!",F4230="NEW"),"",COUNTBLANK(OFFSET(A$1,,,SUMPRODUCT(MAX(ROW(E$2:E4230)*(E4230=E$2:E4230)))))-COUNTBLANK(OFFSET(A$1,,,SUMPRODUCT(MAX(ROW(E$1:E4229)*(E2=E$1:E4229))))))</f>
        <v> </v>
      </c>
      <c r="K4230" s="26" t="str">
        <f>IF(OR(E4230="",E4230="!!!",F4230="NEW"),"",INDEX(J$1:J4229,SUMPRODUCT(MAX(ROW(E$1:E4229)*(E4230=E$1:E4229)))))</f>
        <v> </v>
      </c>
      <c r="L4230" s="27"/>
    </row>
    <row r="4231" spans="1:12">
      <c r="A4231" s="20" t="s">
        <v>1005</v>
      </c>
      <c r="E4231" s="22">
        <f>IF(D4231="?OLD","!!!","")</f>
        <v/>
      </c>
      <c r="F4231" s="23" t="str">
        <f>IF(OR(E4231="",E4231="!!!"),"",IF(NOT(ISNA(VLOOKUP(E4231,E$1:E4230,1,FALSE()))),"OLD",IF(AND(E4231&lt;&gt;"",E4231&lt;&gt;"!!!"),"NEW","")))</f>
        <v> </v>
      </c>
      <c r="G4231" s="24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5" t="str">
        <f>IF(J4231&lt;&gt;1,"",IF(I4231="SBJ","CB","?"))</f>
        <v> </v>
      </c>
      <c r="I4231" s="26" t="str">
        <f>IF(OR(E4231="",E4231="!!!",F4231="NEW"),"",INDEX(B4230:B$2,-1+SUMPRODUCT(MAX(ROW(E4230:E$2)*(E4231=E4230:E$2)))))</f>
        <v> </v>
      </c>
      <c r="J4231" s="26" t="str">
        <f>IF(OR(E4231="",E4231="!!!",F4231="NEW"),"",COUNTBLANK(OFFSET(A$1,,,SUMPRODUCT(MAX(ROW(E$2:E4231)*(E4231=E$2:E4231)))))-COUNTBLANK(OFFSET(A$1,,,SUMPRODUCT(MAX(ROW(E$1:E4230)*(E2=E$1:E4230))))))</f>
        <v> </v>
      </c>
      <c r="K4231" s="26" t="str">
        <f>IF(OR(E4231="",E4231="!!!",F4231="NEW"),"",INDEX(J$1:J4230,SUMPRODUCT(MAX(ROW(E$1:E4230)*(E4231=E$1:E4230)))))</f>
        <v> </v>
      </c>
      <c r="L4231" s="27"/>
    </row>
    <row r="4232" spans="1:12">
      <c r="A4232" s="20" t="s">
        <v>2594</v>
      </c>
      <c r="E4232" s="22">
        <f>IF(D4232="?OLD","!!!","")</f>
        <v/>
      </c>
      <c r="F4232" s="23" t="str">
        <f>IF(OR(E4232="",E4232="!!!"),"",IF(NOT(ISNA(VLOOKUP(E4232,E$1:E4231,1,FALSE()))),"OLD",IF(AND(E4232&lt;&gt;"",E4232&lt;&gt;"!!!"),"NEW","")))</f>
        <v> </v>
      </c>
      <c r="G4232" s="24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5" t="str">
        <f>IF(J4232&lt;&gt;1,"",IF(I4232="SBJ","CB","?"))</f>
        <v> </v>
      </c>
      <c r="I4232" s="26" t="str">
        <f>IF(OR(E4232="",E4232="!!!",F4232="NEW"),"",INDEX(B4231:B$2,-1+SUMPRODUCT(MAX(ROW(E4231:E$2)*(E4232=E4231:E$2)))))</f>
        <v> </v>
      </c>
      <c r="J4232" s="26" t="str">
        <f>IF(OR(E4232="",E4232="!!!",F4232="NEW"),"",COUNTBLANK(OFFSET(A$1,,,SUMPRODUCT(MAX(ROW(E$2:E4232)*(E4232=E$2:E4232)))))-COUNTBLANK(OFFSET(A$1,,,SUMPRODUCT(MAX(ROW(E$1:E4231)*(E2=E$1:E4231))))))</f>
        <v> </v>
      </c>
      <c r="K4232" s="26" t="str">
        <f>IF(OR(E4232="",E4232="!!!",F4232="NEW"),"",INDEX(J$1:J4231,SUMPRODUCT(MAX(ROW(E$1:E4231)*(E4232=E$1:E4231)))))</f>
        <v> </v>
      </c>
      <c r="L4232" s="27"/>
    </row>
    <row r="4233" spans="1:12">
      <c r="A4233" s="20" t="s">
        <v>1630</v>
      </c>
      <c r="E4233" s="22">
        <f>IF(D4233="?OLD","!!!","")</f>
        <v/>
      </c>
      <c r="F4233" s="23" t="str">
        <f>IF(OR(E4233="",E4233="!!!"),"",IF(NOT(ISNA(VLOOKUP(E4233,E$1:E4232,1,FALSE()))),"OLD",IF(AND(E4233&lt;&gt;"",E4233&lt;&gt;"!!!"),"NEW","")))</f>
        <v> </v>
      </c>
      <c r="G4233" s="24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5" t="str">
        <f>IF(J4233&lt;&gt;1,"",IF(I4233="SBJ","CB","?"))</f>
        <v> </v>
      </c>
      <c r="I4233" s="26" t="str">
        <f>IF(OR(E4233="",E4233="!!!",F4233="NEW"),"",INDEX(B4232:B$2,-1+SUMPRODUCT(MAX(ROW(E4232:E$2)*(E4233=E4232:E$2)))))</f>
        <v> </v>
      </c>
      <c r="J4233" s="26" t="str">
        <f>IF(OR(E4233="",E4233="!!!",F4233="NEW"),"",COUNTBLANK(OFFSET(A$1,,,SUMPRODUCT(MAX(ROW(E$2:E4233)*(E4233=E$2:E4233)))))-COUNTBLANK(OFFSET(A$1,,,SUMPRODUCT(MAX(ROW(E$1:E4232)*(E2=E$1:E4232))))))</f>
        <v> </v>
      </c>
      <c r="K4233" s="26" t="str">
        <f>IF(OR(E4233="",E4233="!!!",F4233="NEW"),"",INDEX(J$1:J4232,SUMPRODUCT(MAX(ROW(E$1:E4232)*(E4233=E$1:E4232)))))</f>
        <v> </v>
      </c>
      <c r="L4233" s="27"/>
    </row>
    <row r="4234" spans="1:12">
      <c r="A4234" s="20" t="s">
        <v>1013</v>
      </c>
      <c r="E4234" s="22">
        <f>IF(D4234="?OLD","!!!","")</f>
        <v/>
      </c>
      <c r="F4234" s="23" t="str">
        <f>IF(OR(E4234="",E4234="!!!"),"",IF(NOT(ISNA(VLOOKUP(E4234,E$1:E4233,1,FALSE()))),"OLD",IF(AND(E4234&lt;&gt;"",E4234&lt;&gt;"!!!"),"NEW","")))</f>
        <v> </v>
      </c>
      <c r="G4234" s="24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5" t="str">
        <f>IF(J4234&lt;&gt;1,"",IF(I4234="SBJ","CB","?"))</f>
        <v> </v>
      </c>
      <c r="I4234" s="26" t="str">
        <f>IF(OR(E4234="",E4234="!!!",F4234="NEW"),"",INDEX(B4233:B$2,-1+SUMPRODUCT(MAX(ROW(E4233:E$2)*(E4234=E4233:E$2)))))</f>
        <v> </v>
      </c>
      <c r="J4234" s="26" t="str">
        <f>IF(OR(E4234="",E4234="!!!",F4234="NEW"),"",COUNTBLANK(OFFSET(A$1,,,SUMPRODUCT(MAX(ROW(E$2:E4234)*(E4234=E$2:E4234)))))-COUNTBLANK(OFFSET(A$1,,,SUMPRODUCT(MAX(ROW(E$1:E4233)*(E2=E$1:E4233))))))</f>
        <v> </v>
      </c>
      <c r="K4234" s="26" t="str">
        <f>IF(OR(E4234="",E4234="!!!",F4234="NEW"),"",INDEX(J$1:J4233,SUMPRODUCT(MAX(ROW(E$1:E4233)*(E4234=E$1:E4233)))))</f>
        <v> </v>
      </c>
      <c r="L4234" s="27"/>
    </row>
    <row r="4235" spans="1:12">
      <c r="A4235" s="20" t="s">
        <v>1005</v>
      </c>
      <c r="E4235" s="22">
        <f>IF(D4235="?OLD","!!!","")</f>
        <v/>
      </c>
      <c r="F4235" s="23" t="str">
        <f>IF(OR(E4235="",E4235="!!!"),"",IF(NOT(ISNA(VLOOKUP(E4235,E$1:E4234,1,FALSE()))),"OLD",IF(AND(E4235&lt;&gt;"",E4235&lt;&gt;"!!!"),"NEW","")))</f>
        <v> </v>
      </c>
      <c r="G4235" s="24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5" t="str">
        <f>IF(J4235&lt;&gt;1,"",IF(I4235="SBJ","CB","?"))</f>
        <v> </v>
      </c>
      <c r="I4235" s="26" t="str">
        <f>IF(OR(E4235="",E4235="!!!",F4235="NEW"),"",INDEX(B4234:B$2,-1+SUMPRODUCT(MAX(ROW(E4234:E$2)*(E4235=E4234:E$2)))))</f>
        <v> </v>
      </c>
      <c r="J4235" s="26" t="str">
        <f>IF(OR(E4235="",E4235="!!!",F4235="NEW"),"",COUNTBLANK(OFFSET(A$1,,,SUMPRODUCT(MAX(ROW(E$2:E4235)*(E4235=E$2:E4235)))))-COUNTBLANK(OFFSET(A$1,,,SUMPRODUCT(MAX(ROW(E$1:E4234)*(E2=E$1:E4234))))))</f>
        <v> </v>
      </c>
      <c r="K4235" s="26" t="str">
        <f>IF(OR(E4235="",E4235="!!!",F4235="NEW"),"",INDEX(J$1:J4234,SUMPRODUCT(MAX(ROW(E$1:E4234)*(E4235=E$1:E4234)))))</f>
        <v> </v>
      </c>
      <c r="L4235" s="27"/>
    </row>
    <row r="4236" spans="1:12">
      <c r="A4236" s="20" t="s">
        <v>2595</v>
      </c>
      <c r="E4236" s="22">
        <f>IF(D4236="?OLD","!!!","")</f>
        <v/>
      </c>
      <c r="F4236" s="23" t="str">
        <f>IF(OR(E4236="",E4236="!!!"),"",IF(NOT(ISNA(VLOOKUP(E4236,E$1:E4235,1,FALSE()))),"OLD",IF(AND(E4236&lt;&gt;"",E4236&lt;&gt;"!!!"),"NEW","")))</f>
        <v> </v>
      </c>
      <c r="G4236" s="24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5" t="str">
        <f>IF(J4236&lt;&gt;1,"",IF(I4236="SBJ","CB","?"))</f>
        <v> </v>
      </c>
      <c r="I4236" s="26" t="str">
        <f>IF(OR(E4236="",E4236="!!!",F4236="NEW"),"",INDEX(B4235:B$2,-1+SUMPRODUCT(MAX(ROW(E4235:E$2)*(E4236=E4235:E$2)))))</f>
        <v> </v>
      </c>
      <c r="J4236" s="26" t="str">
        <f>IF(OR(E4236="",E4236="!!!",F4236="NEW"),"",COUNTBLANK(OFFSET(A$1,,,SUMPRODUCT(MAX(ROW(E$2:E4236)*(E4236=E$2:E4236)))))-COUNTBLANK(OFFSET(A$1,,,SUMPRODUCT(MAX(ROW(E$1:E4235)*(E2=E$1:E4235))))))</f>
        <v> </v>
      </c>
      <c r="K4236" s="26" t="str">
        <f>IF(OR(E4236="",E4236="!!!",F4236="NEW"),"",INDEX(J$1:J4235,SUMPRODUCT(MAX(ROW(E$1:E4235)*(E4236=E$1:E4235)))))</f>
        <v> </v>
      </c>
      <c r="L4236" s="27"/>
    </row>
    <row r="4237" spans="1:12">
      <c r="A4237" s="20" t="s">
        <v>2596</v>
      </c>
      <c r="E4237" s="22">
        <f>IF(D4237="?OLD","!!!","")</f>
        <v/>
      </c>
      <c r="F4237" s="23" t="str">
        <f>IF(OR(E4237="",E4237="!!!"),"",IF(NOT(ISNA(VLOOKUP(E4237,E$1:E4236,1,FALSE()))),"OLD",IF(AND(E4237&lt;&gt;"",E4237&lt;&gt;"!!!"),"NEW","")))</f>
        <v> </v>
      </c>
      <c r="G4237" s="24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5" t="str">
        <f>IF(J4237&lt;&gt;1,"",IF(I4237="SBJ","CB","?"))</f>
        <v> </v>
      </c>
      <c r="I4237" s="26" t="str">
        <f>IF(OR(E4237="",E4237="!!!",F4237="NEW"),"",INDEX(B4236:B$2,-1+SUMPRODUCT(MAX(ROW(E4236:E$2)*(E4237=E4236:E$2)))))</f>
        <v> </v>
      </c>
      <c r="J4237" s="26" t="str">
        <f>IF(OR(E4237="",E4237="!!!",F4237="NEW"),"",COUNTBLANK(OFFSET(A$1,,,SUMPRODUCT(MAX(ROW(E$2:E4237)*(E4237=E$2:E4237)))))-COUNTBLANK(OFFSET(A$1,,,SUMPRODUCT(MAX(ROW(E$1:E4236)*(E2=E$1:E4236))))))</f>
        <v> </v>
      </c>
      <c r="K4237" s="26" t="str">
        <f>IF(OR(E4237="",E4237="!!!",F4237="NEW"),"",INDEX(J$1:J4236,SUMPRODUCT(MAX(ROW(E$1:E4236)*(E4237=E$1:E4236)))))</f>
        <v> </v>
      </c>
      <c r="L4237" s="27"/>
    </row>
    <row r="4238" spans="1:12">
      <c r="A4238" s="20" t="s">
        <v>979</v>
      </c>
      <c r="E4238" s="22">
        <f>IF(D4238="?OLD","!!!","")</f>
        <v/>
      </c>
      <c r="F4238" s="23" t="str">
        <f>IF(OR(E4238="",E4238="!!!"),"",IF(NOT(ISNA(VLOOKUP(E4238,E$1:E4237,1,FALSE()))),"OLD",IF(AND(E4238&lt;&gt;"",E4238&lt;&gt;"!!!"),"NEW","")))</f>
        <v> </v>
      </c>
      <c r="G4238" s="24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5" t="str">
        <f>IF(J4238&lt;&gt;1,"",IF(I4238="SBJ","CB","?"))</f>
        <v> </v>
      </c>
      <c r="I4238" s="26" t="str">
        <f>IF(OR(E4238="",E4238="!!!",F4238="NEW"),"",INDEX(B4237:B$2,-1+SUMPRODUCT(MAX(ROW(E4237:E$2)*(E4238=E4237:E$2)))))</f>
        <v> </v>
      </c>
      <c r="J4238" s="26" t="str">
        <f>IF(OR(E4238="",E4238="!!!",F4238="NEW"),"",COUNTBLANK(OFFSET(A$1,,,SUMPRODUCT(MAX(ROW(E$2:E4238)*(E4238=E$2:E4238)))))-COUNTBLANK(OFFSET(A$1,,,SUMPRODUCT(MAX(ROW(E$1:E4237)*(E2=E$1:E4237))))))</f>
        <v> </v>
      </c>
      <c r="K4238" s="26" t="str">
        <f>IF(OR(E4238="",E4238="!!!",F4238="NEW"),"",INDEX(J$1:J4237,SUMPRODUCT(MAX(ROW(E$1:E4237)*(E4238=E$1:E4237)))))</f>
        <v> </v>
      </c>
      <c r="L4238" s="27"/>
    </row>
    <row r="4239" spans="1:12">
      <c r="A4239" s="20"/>
    </row>
    <row r="4240" spans="1:12">
      <c r="A4240" s="20" t="s">
        <v>2597</v>
      </c>
    </row>
    <row r="4241" spans="1:12">
      <c r="A4241" s="20" t="s">
        <v>2598</v>
      </c>
      <c r="E4241" s="22">
        <f>IF(D4241="?OLD","!!!","")</f>
        <v/>
      </c>
      <c r="F4241" s="23" t="str">
        <f>IF(OR(E4241="",E4241="!!!"),"",IF(NOT(ISNA(VLOOKUP(E4241,E$1:E4240,1,FALSE()))),"OLD",IF(AND(E4241&lt;&gt;"",E4241&lt;&gt;"!!!"),"NEW","")))</f>
        <v> </v>
      </c>
      <c r="G4241" s="24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5" t="str">
        <f>IF(J4241&lt;&gt;1,"",IF(I4241="SBJ","CB","?"))</f>
        <v> </v>
      </c>
      <c r="I4241" s="26" t="str">
        <f>IF(OR(E4241="",E4241="!!!",F4241="NEW"),"",INDEX(B4240:B$2,-1+SUMPRODUCT(MAX(ROW(E4240:E$2)*(E4241=E4240:E$2)))))</f>
        <v> </v>
      </c>
      <c r="J4241" s="26" t="str">
        <f>IF(OR(E4241="",E4241="!!!",F4241="NEW"),"",COUNTBLANK(OFFSET(A$1,,,SUMPRODUCT(MAX(ROW(E$2:E4241)*(E4241=E$2:E4241)))))-COUNTBLANK(OFFSET(A$1,,,SUMPRODUCT(MAX(ROW(E$1:E4240)*(E2=E$1:E4240))))))</f>
        <v> </v>
      </c>
      <c r="K4241" s="26" t="str">
        <f>IF(OR(E4241="",E4241="!!!",F4241="NEW"),"",INDEX(J$1:J4240,SUMPRODUCT(MAX(ROW(E$1:E4240)*(E4241=E$1:E4240)))))</f>
        <v> </v>
      </c>
      <c r="L4241" s="27"/>
    </row>
    <row r="4242" spans="1:12">
      <c r="A4242" s="20" t="s">
        <v>257</v>
      </c>
      <c r="E4242" s="22">
        <f>IF(D4242="?OLD","!!!","")</f>
        <v/>
      </c>
      <c r="F4242" s="23" t="str">
        <f>IF(OR(E4242="",E4242="!!!"),"",IF(NOT(ISNA(VLOOKUP(E4242,E$1:E4241,1,FALSE()))),"OLD",IF(AND(E4242&lt;&gt;"",E4242&lt;&gt;"!!!"),"NEW","")))</f>
        <v> </v>
      </c>
      <c r="G4242" s="24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5" t="str">
        <f>IF(J4242&lt;&gt;1,"",IF(I4242="SBJ","CB","?"))</f>
        <v> </v>
      </c>
      <c r="I4242" s="26" t="str">
        <f>IF(OR(E4242="",E4242="!!!",F4242="NEW"),"",INDEX(B4241:B$2,-1+SUMPRODUCT(MAX(ROW(E4241:E$2)*(E4242=E4241:E$2)))))</f>
        <v> </v>
      </c>
      <c r="J4242" s="26" t="str">
        <f>IF(OR(E4242="",E4242="!!!",F4242="NEW"),"",COUNTBLANK(OFFSET(A$1,,,SUMPRODUCT(MAX(ROW(E$2:E4242)*(E4242=E$2:E4242)))))-COUNTBLANK(OFFSET(A$1,,,SUMPRODUCT(MAX(ROW(E$1:E4241)*(E2=E$1:E4241))))))</f>
        <v> </v>
      </c>
      <c r="K4242" s="26" t="str">
        <f>IF(OR(E4242="",E4242="!!!",F4242="NEW"),"",INDEX(J$1:J4241,SUMPRODUCT(MAX(ROW(E$1:E4241)*(E4242=E$1:E4241)))))</f>
        <v> </v>
      </c>
      <c r="L4242" s="27"/>
    </row>
    <row r="4243" spans="1:12">
      <c r="A4243" s="20" t="s">
        <v>1023</v>
      </c>
      <c r="E4243" s="22">
        <f>IF(D4243="?OLD","!!!","")</f>
        <v/>
      </c>
      <c r="F4243" s="23" t="str">
        <f>IF(OR(E4243="",E4243="!!!"),"",IF(NOT(ISNA(VLOOKUP(E4243,E$1:E4242,1,FALSE()))),"OLD",IF(AND(E4243&lt;&gt;"",E4243&lt;&gt;"!!!"),"NEW","")))</f>
        <v> </v>
      </c>
      <c r="G4243" s="24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5" t="str">
        <f>IF(J4243&lt;&gt;1,"",IF(I4243="SBJ","CB","?"))</f>
        <v> </v>
      </c>
      <c r="I4243" s="26" t="str">
        <f>IF(OR(E4243="",E4243="!!!",F4243="NEW"),"",INDEX(B4242:B$2,-1+SUMPRODUCT(MAX(ROW(E4242:E$2)*(E4243=E4242:E$2)))))</f>
        <v> </v>
      </c>
      <c r="J4243" s="26" t="str">
        <f>IF(OR(E4243="",E4243="!!!",F4243="NEW"),"",COUNTBLANK(OFFSET(A$1,,,SUMPRODUCT(MAX(ROW(E$2:E4243)*(E4243=E$2:E4243)))))-COUNTBLANK(OFFSET(A$1,,,SUMPRODUCT(MAX(ROW(E$1:E4242)*(E2=E$1:E4242))))))</f>
        <v> </v>
      </c>
      <c r="K4243" s="26" t="str">
        <f>IF(OR(E4243="",E4243="!!!",F4243="NEW"),"",INDEX(J$1:J4242,SUMPRODUCT(MAX(ROW(E$1:E4242)*(E4243=E$1:E4242)))))</f>
        <v> </v>
      </c>
      <c r="L4243" s="27"/>
    </row>
    <row r="4244" spans="1:12">
      <c r="A4244" s="20" t="s">
        <v>2599</v>
      </c>
      <c r="E4244" s="22">
        <f>IF(D4244="?OLD","!!!","")</f>
        <v/>
      </c>
      <c r="F4244" s="23" t="str">
        <f>IF(OR(E4244="",E4244="!!!"),"",IF(NOT(ISNA(VLOOKUP(E4244,E$1:E4243,1,FALSE()))),"OLD",IF(AND(E4244&lt;&gt;"",E4244&lt;&gt;"!!!"),"NEW","")))</f>
        <v> </v>
      </c>
      <c r="G4244" s="24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5" t="str">
        <f>IF(J4244&lt;&gt;1,"",IF(I4244="SBJ","CB","?"))</f>
        <v> </v>
      </c>
      <c r="I4244" s="26" t="str">
        <f>IF(OR(E4244="",E4244="!!!",F4244="NEW"),"",INDEX(B4243:B$2,-1+SUMPRODUCT(MAX(ROW(E4243:E$2)*(E4244=E4243:E$2)))))</f>
        <v> </v>
      </c>
      <c r="J4244" s="26" t="str">
        <f>IF(OR(E4244="",E4244="!!!",F4244="NEW"),"",COUNTBLANK(OFFSET(A$1,,,SUMPRODUCT(MAX(ROW(E$2:E4244)*(E4244=E$2:E4244)))))-COUNTBLANK(OFFSET(A$1,,,SUMPRODUCT(MAX(ROW(E$1:E4243)*(E2=E$1:E4243))))))</f>
        <v> </v>
      </c>
      <c r="K4244" s="26" t="str">
        <f>IF(OR(E4244="",E4244="!!!",F4244="NEW"),"",INDEX(J$1:J4243,SUMPRODUCT(MAX(ROW(E$1:E4243)*(E4244=E$1:E4243)))))</f>
        <v> </v>
      </c>
      <c r="L4244" s="27"/>
    </row>
    <row r="4245" spans="1:12">
      <c r="A4245" s="20" t="s">
        <v>2600</v>
      </c>
      <c r="E4245" s="22">
        <f>IF(D4245="?OLD","!!!","")</f>
        <v/>
      </c>
      <c r="F4245" s="23" t="str">
        <f>IF(OR(E4245="",E4245="!!!"),"",IF(NOT(ISNA(VLOOKUP(E4245,E$1:E4244,1,FALSE()))),"OLD",IF(AND(E4245&lt;&gt;"",E4245&lt;&gt;"!!!"),"NEW","")))</f>
        <v> </v>
      </c>
      <c r="G4245" s="24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5" t="str">
        <f>IF(J4245&lt;&gt;1,"",IF(I4245="SBJ","CB","?"))</f>
        <v> </v>
      </c>
      <c r="I4245" s="26" t="str">
        <f>IF(OR(E4245="",E4245="!!!",F4245="NEW"),"",INDEX(B4244:B$2,-1+SUMPRODUCT(MAX(ROW(E4244:E$2)*(E4245=E4244:E$2)))))</f>
        <v> </v>
      </c>
      <c r="J4245" s="26" t="str">
        <f>IF(OR(E4245="",E4245="!!!",F4245="NEW"),"",COUNTBLANK(OFFSET(A$1,,,SUMPRODUCT(MAX(ROW(E$2:E4245)*(E4245=E$2:E4245)))))-COUNTBLANK(OFFSET(A$1,,,SUMPRODUCT(MAX(ROW(E$1:E4244)*(E2=E$1:E4244))))))</f>
        <v> </v>
      </c>
      <c r="K4245" s="26" t="str">
        <f>IF(OR(E4245="",E4245="!!!",F4245="NEW"),"",INDEX(J$1:J4244,SUMPRODUCT(MAX(ROW(E$1:E4244)*(E4245=E$1:E4244)))))</f>
        <v> </v>
      </c>
      <c r="L4245" s="27"/>
    </row>
    <row r="4246" spans="1:12">
      <c r="A4246" s="20" t="s">
        <v>985</v>
      </c>
      <c r="B4246" s="21" t="s">
        <v>1093</v>
      </c>
      <c r="E4246" s="22">
        <f>IF(D4246="?OLD","!!!","")</f>
        <v/>
      </c>
      <c r="F4246" s="23" t="str">
        <f>IF(OR(E4246="",E4246="!!!"),"",IF(NOT(ISNA(VLOOKUP(E4246,E$1:E4245,1,FALSE()))),"OLD",IF(AND(E4246&lt;&gt;"",E4246&lt;&gt;"!!!"),"NEW","")))</f>
        <v> </v>
      </c>
      <c r="G4246" s="24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5" t="str">
        <f>IF(J4246&lt;&gt;1,"",IF(I4246="SBJ","CB","?"))</f>
        <v> </v>
      </c>
      <c r="I4246" s="26" t="str">
        <f>IF(OR(E4246="",E4246="!!!",F4246="NEW"),"",INDEX(B4245:B$2,-1+SUMPRODUCT(MAX(ROW(E4245:E$2)*(E4246=E4245:E$2)))))</f>
        <v> </v>
      </c>
      <c r="J4246" s="26" t="str">
        <f>IF(OR(E4246="",E4246="!!!",F4246="NEW"),"",COUNTBLANK(OFFSET(A$1,,,SUMPRODUCT(MAX(ROW(E$2:E4246)*(E4246=E$2:E4246)))))-COUNTBLANK(OFFSET(A$1,,,SUMPRODUCT(MAX(ROW(E$1:E4245)*(E2=E$1:E4245))))))</f>
        <v> </v>
      </c>
      <c r="K4246" s="26" t="str">
        <f>IF(OR(E4246="",E4246="!!!",F4246="NEW"),"",INDEX(J$1:J4245,SUMPRODUCT(MAX(ROW(E$1:E4245)*(E4246=E$1:E4245)))))</f>
        <v> </v>
      </c>
      <c r="L4246" s="27"/>
    </row>
    <row r="4247" spans="1:12">
      <c r="A4247" s="20" t="s">
        <v>1013</v>
      </c>
      <c r="E4247" s="22">
        <f>IF(D4247="?OLD","!!!","")</f>
        <v/>
      </c>
      <c r="F4247" s="23" t="str">
        <f>IF(OR(E4247="",E4247="!!!"),"",IF(NOT(ISNA(VLOOKUP(E4247,E$1:E4246,1,FALSE()))),"OLD",IF(AND(E4247&lt;&gt;"",E4247&lt;&gt;"!!!"),"NEW","")))</f>
        <v> </v>
      </c>
      <c r="G4247" s="24" t="str">
        <f>IF(OR(E4247="",E4247="!!!"),"",IF(OR(J4247=0,AND(J4247=1,K4247=1),AND(J4247=1,I4247="SBJ"),AND(J4247=1,I4247=0)),"?IN_FOCUS",IF(J4247&lt;=2,"?ACTIVATED",IF(J4247&lt;&gt;"","?FAMILIAR",IF(F4247="NEW",IF(ISNA(VLOOKUP(E4247,#REF!,1,FALSE())),"?TYPE_IDENTIFIABLE","?REFERENTIAL"),"_")))))</f>
        <v> </v>
      </c>
      <c r="H4247" s="25" t="str">
        <f>IF(J4247&lt;&gt;1,"",IF(I4247="SBJ","CB","?"))</f>
        <v> </v>
      </c>
      <c r="I4247" s="26" t="str">
        <f>IF(OR(E4247="",E4247="!!!",F4247="NEW"),"",INDEX(B4246:B$2,-1+SUMPRODUCT(MAX(ROW(E4246:E$2)*(E4247=E4246:E$2)))))</f>
        <v> </v>
      </c>
      <c r="J4247" s="26" t="str">
        <f>IF(OR(E4247="",E4247="!!!",F4247="NEW"),"",COUNTBLANK(OFFSET(A$1,,,SUMPRODUCT(MAX(ROW(E$2:E4247)*(E4247=E$2:E4247)))))-COUNTBLANK(OFFSET(A$1,,,SUMPRODUCT(MAX(ROW(E$1:E4246)*(E2=E$1:E4246))))))</f>
        <v> </v>
      </c>
      <c r="K4247" s="26" t="str">
        <f>IF(OR(E4247="",E4247="!!!",F4247="NEW"),"",INDEX(J$1:J4246,SUMPRODUCT(MAX(ROW(E$1:E4246)*(E4247=E$1:E4246)))))</f>
        <v> </v>
      </c>
      <c r="L4247" s="27"/>
    </row>
    <row r="4248" spans="1:12">
      <c r="A4248" s="20" t="s">
        <v>2601</v>
      </c>
      <c r="E4248" s="22">
        <f>IF(D4248="?OLD","!!!","")</f>
        <v/>
      </c>
      <c r="F4248" s="23" t="str">
        <f>IF(OR(E4248="",E4248="!!!"),"",IF(NOT(ISNA(VLOOKUP(E4248,E$1:E4247,1,FALSE()))),"OLD",IF(AND(E4248&lt;&gt;"",E4248&lt;&gt;"!!!"),"NEW","")))</f>
        <v> </v>
      </c>
      <c r="G4248" s="24" t="str">
        <f>IF(OR(E4248="",E4248="!!!"),"",IF(OR(J4248=0,AND(J4248=1,K4248=1),AND(J4248=1,I4248="SBJ"),AND(J4248=1,I4248=0)),"?IN_FOCUS",IF(J4248&lt;=2,"?ACTIVATED",IF(J4248&lt;&gt;"","?FAMILIAR",IF(F4248="NEW",IF(ISNA(VLOOKUP(E4248,#REF!,1,FALSE())),"?TYPE_IDENTIFIABLE","?REFERENTIAL"),"_")))))</f>
        <v> </v>
      </c>
      <c r="H4248" s="25" t="str">
        <f>IF(J4248&lt;&gt;1,"",IF(I4248="SBJ","CB","?"))</f>
        <v> </v>
      </c>
      <c r="I4248" s="26" t="str">
        <f>IF(OR(E4248="",E4248="!!!",F4248="NEW"),"",INDEX(B4247:B$2,-1+SUMPRODUCT(MAX(ROW(E4247:E$2)*(E4248=E4247:E$2)))))</f>
        <v> </v>
      </c>
      <c r="J4248" s="26" t="str">
        <f>IF(OR(E4248="",E4248="!!!",F4248="NEW"),"",COUNTBLANK(OFFSET(A$1,,,SUMPRODUCT(MAX(ROW(E$2:E4248)*(E4248=E$2:E4248)))))-COUNTBLANK(OFFSET(A$1,,,SUMPRODUCT(MAX(ROW(E$1:E4247)*(E2=E$1:E4247))))))</f>
        <v> </v>
      </c>
      <c r="K4248" s="26" t="str">
        <f>IF(OR(E4248="",E4248="!!!",F4248="NEW"),"",INDEX(J$1:J4247,SUMPRODUCT(MAX(ROW(E$1:E4247)*(E4248=E$1:E4247)))))</f>
        <v> </v>
      </c>
      <c r="L4248" s="27"/>
    </row>
    <row r="4249" spans="1:12">
      <c r="A4249" s="20" t="s">
        <v>2602</v>
      </c>
      <c r="E4249" s="22">
        <f>IF(D4249="?OLD","!!!","")</f>
        <v/>
      </c>
      <c r="F4249" s="23" t="str">
        <f>IF(OR(E4249="",E4249="!!!"),"",IF(NOT(ISNA(VLOOKUP(E4249,E$1:E4248,1,FALSE()))),"OLD",IF(AND(E4249&lt;&gt;"",E4249&lt;&gt;"!!!"),"NEW","")))</f>
        <v> </v>
      </c>
      <c r="G4249" s="24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5" t="str">
        <f>IF(J4249&lt;&gt;1,"",IF(I4249="SBJ","CB","?"))</f>
        <v> </v>
      </c>
      <c r="I4249" s="26" t="str">
        <f>IF(OR(E4249="",E4249="!!!",F4249="NEW"),"",INDEX(B4248:B$2,-1+SUMPRODUCT(MAX(ROW(E4248:E$2)*(E4249=E4248:E$2)))))</f>
        <v> </v>
      </c>
      <c r="J4249" s="26" t="str">
        <f>IF(OR(E4249="",E4249="!!!",F4249="NEW"),"",COUNTBLANK(OFFSET(A$1,,,SUMPRODUCT(MAX(ROW(E$2:E4249)*(E4249=E$2:E4249)))))-COUNTBLANK(OFFSET(A$1,,,SUMPRODUCT(MAX(ROW(E$1:E4248)*(E2=E$1:E4248))))))</f>
        <v> </v>
      </c>
      <c r="K4249" s="26" t="str">
        <f>IF(OR(E4249="",E4249="!!!",F4249="NEW"),"",INDEX(J$1:J4248,SUMPRODUCT(MAX(ROW(E$1:E4248)*(E4249=E$1:E4248)))))</f>
        <v> </v>
      </c>
      <c r="L4249" s="27"/>
    </row>
    <row r="4250" spans="1:12">
      <c r="A4250" s="20" t="s">
        <v>979</v>
      </c>
      <c r="E4250" s="22">
        <f>IF(D4250="?OLD","!!!","")</f>
        <v/>
      </c>
      <c r="F4250" s="23" t="str">
        <f>IF(OR(E4250="",E4250="!!!"),"",IF(NOT(ISNA(VLOOKUP(E4250,E$1:E4249,1,FALSE()))),"OLD",IF(AND(E4250&lt;&gt;"",E4250&lt;&gt;"!!!"),"NEW","")))</f>
        <v> </v>
      </c>
      <c r="G4250" s="24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5" t="str">
        <f>IF(J4250&lt;&gt;1,"",IF(I4250="SBJ","CB","?"))</f>
        <v> </v>
      </c>
      <c r="I4250" s="26" t="str">
        <f>IF(OR(E4250="",E4250="!!!",F4250="NEW"),"",INDEX(B4249:B$2,-1+SUMPRODUCT(MAX(ROW(E4249:E$2)*(E4250=E4249:E$2)))))</f>
        <v> </v>
      </c>
      <c r="J4250" s="26" t="str">
        <f>IF(OR(E4250="",E4250="!!!",F4250="NEW"),"",COUNTBLANK(OFFSET(A$1,,,SUMPRODUCT(MAX(ROW(E$2:E4250)*(E4250=E$2:E4250)))))-COUNTBLANK(OFFSET(A$1,,,SUMPRODUCT(MAX(ROW(E$1:E4249)*(E2=E$1:E4249))))))</f>
        <v> </v>
      </c>
      <c r="K4250" s="26" t="str">
        <f>IF(OR(E4250="",E4250="!!!",F4250="NEW"),"",INDEX(J$1:J4249,SUMPRODUCT(MAX(ROW(E$1:E4249)*(E4250=E$1:E4249)))))</f>
        <v> </v>
      </c>
      <c r="L4250" s="27"/>
    </row>
    <row r="4251" spans="1:12">
      <c r="A4251" s="20"/>
    </row>
    <row r="4252" spans="1:12">
      <c r="A4252" s="20" t="s">
        <v>2603</v>
      </c>
    </row>
    <row r="4253" spans="1:12">
      <c r="A4253" s="20" t="s">
        <v>2604</v>
      </c>
      <c r="E4253" s="22">
        <f>IF(D4253="?OLD","!!!","")</f>
        <v/>
      </c>
      <c r="F4253" s="23" t="str">
        <f>IF(OR(E4253="",E4253="!!!"),"",IF(NOT(ISNA(VLOOKUP(E4253,E$1:E4252,1,FALSE()))),"OLD",IF(AND(E4253&lt;&gt;"",E4253&lt;&gt;"!!!"),"NEW","")))</f>
        <v> </v>
      </c>
      <c r="G4253" s="24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5" t="str">
        <f>IF(J4253&lt;&gt;1,"",IF(I4253="SBJ","CB","?"))</f>
        <v> </v>
      </c>
      <c r="I4253" s="26" t="str">
        <f>IF(OR(E4253="",E4253="!!!",F4253="NEW"),"",INDEX(B4252:B$2,-1+SUMPRODUCT(MAX(ROW(E4252:E$2)*(E4253=E4252:E$2)))))</f>
        <v> </v>
      </c>
      <c r="J4253" s="26" t="str">
        <f>IF(OR(E4253="",E4253="!!!",F4253="NEW"),"",COUNTBLANK(OFFSET(A$1,,,SUMPRODUCT(MAX(ROW(E$2:E4253)*(E4253=E$2:E4253)))))-COUNTBLANK(OFFSET(A$1,,,SUMPRODUCT(MAX(ROW(E$1:E4252)*(E2=E$1:E4252))))))</f>
        <v> </v>
      </c>
      <c r="K4253" s="26" t="str">
        <f>IF(OR(E4253="",E4253="!!!",F4253="NEW"),"",INDEX(J$1:J4252,SUMPRODUCT(MAX(ROW(E$1:E4252)*(E4253=E$1:E4252)))))</f>
        <v> </v>
      </c>
      <c r="L4253" s="27"/>
    </row>
    <row r="4254" spans="1:12">
      <c r="A4254" s="20" t="s">
        <v>1777</v>
      </c>
      <c r="E4254" s="22">
        <f>IF(D4254="?OLD","!!!","")</f>
        <v/>
      </c>
      <c r="F4254" s="23" t="str">
        <f>IF(OR(E4254="",E4254="!!!"),"",IF(NOT(ISNA(VLOOKUP(E4254,E$1:E4253,1,FALSE()))),"OLD",IF(AND(E4254&lt;&gt;"",E4254&lt;&gt;"!!!"),"NEW","")))</f>
        <v> </v>
      </c>
      <c r="G4254" s="24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5" t="str">
        <f>IF(J4254&lt;&gt;1,"",IF(I4254="SBJ","CB","?"))</f>
        <v> </v>
      </c>
      <c r="I4254" s="26" t="str">
        <f>IF(OR(E4254="",E4254="!!!",F4254="NEW"),"",INDEX(B4253:B$2,-1+SUMPRODUCT(MAX(ROW(E4253:E$2)*(E4254=E4253:E$2)))))</f>
        <v> </v>
      </c>
      <c r="J4254" s="26" t="str">
        <f>IF(OR(E4254="",E4254="!!!",F4254="NEW"),"",COUNTBLANK(OFFSET(A$1,,,SUMPRODUCT(MAX(ROW(E$2:E4254)*(E4254=E$2:E4254)))))-COUNTBLANK(OFFSET(A$1,,,SUMPRODUCT(MAX(ROW(E$1:E4253)*(E2=E$1:E4253))))))</f>
        <v> </v>
      </c>
      <c r="K4254" s="26" t="str">
        <f>IF(OR(E4254="",E4254="!!!",F4254="NEW"),"",INDEX(J$1:J4253,SUMPRODUCT(MAX(ROW(E$1:E4253)*(E4254=E$1:E4253)))))</f>
        <v> </v>
      </c>
      <c r="L4254" s="27"/>
    </row>
    <row r="4255" spans="1:12">
      <c r="A4255" s="20"/>
    </row>
    <row r="4256" spans="1:12">
      <c r="A4256" s="20" t="s">
        <v>2605</v>
      </c>
    </row>
    <row r="4257" spans="1:12">
      <c r="A4257" s="20" t="s">
        <v>1144</v>
      </c>
      <c r="E4257" s="22">
        <f>IF(D4257="?OLD","!!!","")</f>
        <v/>
      </c>
      <c r="F4257" s="23" t="str">
        <f>IF(OR(E4257="",E4257="!!!"),"",IF(NOT(ISNA(VLOOKUP(E4257,E$1:E4256,1,FALSE()))),"OLD",IF(AND(E4257&lt;&gt;"",E4257&lt;&gt;"!!!"),"NEW","")))</f>
        <v> </v>
      </c>
      <c r="G4257" s="24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5" t="str">
        <f>IF(J4257&lt;&gt;1,"",IF(I4257="SBJ","CB","?"))</f>
        <v> </v>
      </c>
      <c r="I4257" s="26" t="str">
        <f>IF(OR(E4257="",E4257="!!!",F4257="NEW"),"",INDEX(B4256:B$2,-1+SUMPRODUCT(MAX(ROW(E4256:E$2)*(E4257=E4256:E$2)))))</f>
        <v> </v>
      </c>
      <c r="J4257" s="26" t="str">
        <f>IF(OR(E4257="",E4257="!!!",F4257="NEW"),"",COUNTBLANK(OFFSET(A$1,,,SUMPRODUCT(MAX(ROW(E$2:E4257)*(E4257=E$2:E4257)))))-COUNTBLANK(OFFSET(A$1,,,SUMPRODUCT(MAX(ROW(E$1:E4256)*(E2=E$1:E4256))))))</f>
        <v> </v>
      </c>
      <c r="K4257" s="26" t="str">
        <f>IF(OR(E4257="",E4257="!!!",F4257="NEW"),"",INDEX(J$1:J4256,SUMPRODUCT(MAX(ROW(E$1:E4256)*(E4257=E$1:E4256)))))</f>
        <v> </v>
      </c>
      <c r="L4257" s="27"/>
    </row>
    <row r="4258" spans="1:12">
      <c r="A4258" s="20" t="s">
        <v>2606</v>
      </c>
      <c r="E4258" s="22">
        <f>IF(D4258="?OLD","!!!","")</f>
        <v/>
      </c>
      <c r="F4258" s="23" t="str">
        <f>IF(OR(E4258="",E4258="!!!"),"",IF(NOT(ISNA(VLOOKUP(E4258,E$1:E4257,1,FALSE()))),"OLD",IF(AND(E4258&lt;&gt;"",E4258&lt;&gt;"!!!"),"NEW","")))</f>
        <v> </v>
      </c>
      <c r="G4258" s="24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5" t="str">
        <f>IF(J4258&lt;&gt;1,"",IF(I4258="SBJ","CB","?"))</f>
        <v> </v>
      </c>
      <c r="I4258" s="26" t="str">
        <f>IF(OR(E4258="",E4258="!!!",F4258="NEW"),"",INDEX(B4257:B$2,-1+SUMPRODUCT(MAX(ROW(E4257:E$2)*(E4258=E4257:E$2)))))</f>
        <v> </v>
      </c>
      <c r="J4258" s="26" t="str">
        <f>IF(OR(E4258="",E4258="!!!",F4258="NEW"),"",COUNTBLANK(OFFSET(A$1,,,SUMPRODUCT(MAX(ROW(E$2:E4258)*(E4258=E$2:E4258)))))-COUNTBLANK(OFFSET(A$1,,,SUMPRODUCT(MAX(ROW(E$1:E4257)*(E2=E$1:E4257))))))</f>
        <v> </v>
      </c>
      <c r="K4258" s="26" t="str">
        <f>IF(OR(E4258="",E4258="!!!",F4258="NEW"),"",INDEX(J$1:J4257,SUMPRODUCT(MAX(ROW(E$1:E4257)*(E4258=E$1:E4257)))))</f>
        <v> </v>
      </c>
      <c r="L4258" s="27"/>
    </row>
    <row r="4259" spans="1:12">
      <c r="A4259" s="20" t="s">
        <v>1146</v>
      </c>
      <c r="E4259" s="22">
        <f>IF(D4259="?OLD","!!!","")</f>
        <v/>
      </c>
      <c r="F4259" s="23" t="str">
        <f>IF(OR(E4259="",E4259="!!!"),"",IF(NOT(ISNA(VLOOKUP(E4259,E$1:E4258,1,FALSE()))),"OLD",IF(AND(E4259&lt;&gt;"",E4259&lt;&gt;"!!!"),"NEW","")))</f>
        <v> </v>
      </c>
      <c r="G4259" s="24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5" t="str">
        <f>IF(J4259&lt;&gt;1,"",IF(I4259="SBJ","CB","?"))</f>
        <v> </v>
      </c>
      <c r="I4259" s="26" t="str">
        <f>IF(OR(E4259="",E4259="!!!",F4259="NEW"),"",INDEX(B4258:B$2,-1+SUMPRODUCT(MAX(ROW(E4258:E$2)*(E4259=E4258:E$2)))))</f>
        <v> </v>
      </c>
      <c r="J4259" s="26" t="str">
        <f>IF(OR(E4259="",E4259="!!!",F4259="NEW"),"",COUNTBLANK(OFFSET(A$1,,,SUMPRODUCT(MAX(ROW(E$2:E4259)*(E4259=E$2:E4259)))))-COUNTBLANK(OFFSET(A$1,,,SUMPRODUCT(MAX(ROW(E$1:E4258)*(E2=E$1:E4258))))))</f>
        <v> </v>
      </c>
      <c r="K4259" s="26" t="str">
        <f>IF(OR(E4259="",E4259="!!!",F4259="NEW"),"",INDEX(J$1:J4258,SUMPRODUCT(MAX(ROW(E$1:E4258)*(E4259=E$1:E4258)))))</f>
        <v> </v>
      </c>
      <c r="L4259" s="27"/>
    </row>
    <row r="4260" spans="1:12">
      <c r="A426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2024-12-05T18:03:19Z</dcterms:created>
  <dcterms:modified xsi:type="dcterms:W3CDTF">2024-12-05T18:03:19Z</dcterms:modified>
</cp:coreProperties>
</file>